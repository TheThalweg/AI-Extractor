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azdyasa\Downloads\"/>
    </mc:Choice>
  </mc:AlternateContent>
  <xr:revisionPtr revIDLastSave="0" documentId="8_{2EE0E755-8AC6-419B-B935-033467E392B7}" xr6:coauthVersionLast="47" xr6:coauthVersionMax="47" xr10:uidLastSave="{00000000-0000-0000-0000-000000000000}"/>
  <bookViews>
    <workbookView xWindow="-21640" yWindow="-710" windowWidth="21370" windowHeight="20320" activeTab="3" xr2:uid="{83EA492E-03CE-40A2-843D-CE249FF7BE59}"/>
  </bookViews>
  <sheets>
    <sheet name="EUR Run" sheetId="5" r:id="rId1"/>
    <sheet name="USD Run" sheetId="14" r:id="rId2"/>
    <sheet name="GBP Run" sheetId="15" r:id="rId3"/>
    <sheet name="CHF Run" sheetId="16" r:id="rId4"/>
    <sheet name="USD Payoff" sheetId="2" state="hidden" r:id="rId5"/>
    <sheet name="EUR Payoff" sheetId="1" state="hidden" r:id="rId6"/>
    <sheet name="GBP Payoff" sheetId="12" state="hidden" r:id="rId7"/>
    <sheet name="CHF Payoff" sheetId="13" state="hidden" r:id="rId8"/>
  </sheets>
  <externalReferences>
    <externalReference r:id="rId9"/>
  </externalReferences>
  <definedNames>
    <definedName name="FDR_loc_2">[1]Static!$V$7:$W$50</definedName>
    <definedName name="Mailbody">'[1]Run Main'!$E$5:$R$207,'[1]Run Main'!$AC$5:$AI$207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5" i="16" l="1"/>
  <c r="K324" i="16"/>
  <c r="K323" i="16"/>
  <c r="F323" i="16"/>
  <c r="K322" i="16"/>
  <c r="F322" i="16"/>
  <c r="K321" i="16"/>
  <c r="F321" i="16"/>
  <c r="K320" i="16"/>
  <c r="F320" i="16"/>
  <c r="O316" i="16"/>
  <c r="N316" i="16"/>
  <c r="L316" i="16"/>
  <c r="K316" i="16"/>
  <c r="J316" i="16"/>
  <c r="I316" i="16"/>
  <c r="G316" i="16"/>
  <c r="F316" i="16"/>
  <c r="O315" i="16"/>
  <c r="N315" i="16"/>
  <c r="L315" i="16"/>
  <c r="K315" i="16"/>
  <c r="J315" i="16"/>
  <c r="I315" i="16"/>
  <c r="G315" i="16"/>
  <c r="F315" i="16"/>
  <c r="O314" i="16"/>
  <c r="N314" i="16"/>
  <c r="L314" i="16"/>
  <c r="K314" i="16"/>
  <c r="J314" i="16"/>
  <c r="I314" i="16"/>
  <c r="G314" i="16"/>
  <c r="F314" i="16"/>
  <c r="O313" i="16"/>
  <c r="N313" i="16"/>
  <c r="L313" i="16"/>
  <c r="K313" i="16"/>
  <c r="J313" i="16"/>
  <c r="I313" i="16"/>
  <c r="G313" i="16"/>
  <c r="F313" i="16"/>
  <c r="O312" i="16"/>
  <c r="N312" i="16"/>
  <c r="K312" i="16"/>
  <c r="J312" i="16"/>
  <c r="I312" i="16"/>
  <c r="H312" i="16"/>
  <c r="T312" i="16" s="1"/>
  <c r="F312" i="16"/>
  <c r="O311" i="16"/>
  <c r="N311" i="16"/>
  <c r="K311" i="16"/>
  <c r="J311" i="16"/>
  <c r="I311" i="16"/>
  <c r="F311" i="16"/>
  <c r="O310" i="16"/>
  <c r="N310" i="16"/>
  <c r="K310" i="16"/>
  <c r="J310" i="16"/>
  <c r="I310" i="16"/>
  <c r="F310" i="16"/>
  <c r="O309" i="16"/>
  <c r="N309" i="16"/>
  <c r="K309" i="16"/>
  <c r="J309" i="16"/>
  <c r="I309" i="16"/>
  <c r="F309" i="16"/>
  <c r="O308" i="16"/>
  <c r="N308" i="16"/>
  <c r="K308" i="16"/>
  <c r="J308" i="16"/>
  <c r="I308" i="16"/>
  <c r="F308" i="16"/>
  <c r="O307" i="16"/>
  <c r="N307" i="16"/>
  <c r="K307" i="16"/>
  <c r="J307" i="16"/>
  <c r="I307" i="16"/>
  <c r="F307" i="16"/>
  <c r="O306" i="16"/>
  <c r="N306" i="16"/>
  <c r="K306" i="16"/>
  <c r="J306" i="16"/>
  <c r="I306" i="16"/>
  <c r="F306" i="16"/>
  <c r="O305" i="16"/>
  <c r="N305" i="16"/>
  <c r="M305" i="16"/>
  <c r="K305" i="16"/>
  <c r="J305" i="16"/>
  <c r="I305" i="16"/>
  <c r="F305" i="16"/>
  <c r="O304" i="16"/>
  <c r="N304" i="16"/>
  <c r="K304" i="16"/>
  <c r="J304" i="16"/>
  <c r="I304" i="16"/>
  <c r="F304" i="16"/>
  <c r="O303" i="16"/>
  <c r="N303" i="16"/>
  <c r="K303" i="16"/>
  <c r="J303" i="16"/>
  <c r="I303" i="16"/>
  <c r="F303" i="16"/>
  <c r="O302" i="16"/>
  <c r="N302" i="16"/>
  <c r="K302" i="16"/>
  <c r="J302" i="16"/>
  <c r="I302" i="16"/>
  <c r="F302" i="16"/>
  <c r="O301" i="16"/>
  <c r="N301" i="16"/>
  <c r="M301" i="16"/>
  <c r="L301" i="16"/>
  <c r="K301" i="16"/>
  <c r="J301" i="16"/>
  <c r="I301" i="16"/>
  <c r="F301" i="16"/>
  <c r="O300" i="16"/>
  <c r="N300" i="16"/>
  <c r="K300" i="16"/>
  <c r="J300" i="16"/>
  <c r="I300" i="16"/>
  <c r="F300" i="16"/>
  <c r="O299" i="16"/>
  <c r="N299" i="16"/>
  <c r="K299" i="16"/>
  <c r="J299" i="16"/>
  <c r="I299" i="16"/>
  <c r="G299" i="16"/>
  <c r="F299" i="16"/>
  <c r="O298" i="16"/>
  <c r="N298" i="16"/>
  <c r="K298" i="16"/>
  <c r="J298" i="16"/>
  <c r="I298" i="16"/>
  <c r="F298" i="16"/>
  <c r="O297" i="16"/>
  <c r="N297" i="16"/>
  <c r="K297" i="16"/>
  <c r="J297" i="16"/>
  <c r="I297" i="16"/>
  <c r="F297" i="16"/>
  <c r="O296" i="16"/>
  <c r="N296" i="16"/>
  <c r="K296" i="16"/>
  <c r="J296" i="16"/>
  <c r="I296" i="16"/>
  <c r="F296" i="16"/>
  <c r="O295" i="16"/>
  <c r="N295" i="16"/>
  <c r="K295" i="16"/>
  <c r="J295" i="16"/>
  <c r="I295" i="16"/>
  <c r="F295" i="16"/>
  <c r="O294" i="16"/>
  <c r="N294" i="16"/>
  <c r="K294" i="16"/>
  <c r="J294" i="16"/>
  <c r="I294" i="16"/>
  <c r="F294" i="16"/>
  <c r="O293" i="16"/>
  <c r="N293" i="16"/>
  <c r="K293" i="16"/>
  <c r="J293" i="16"/>
  <c r="I293" i="16"/>
  <c r="F293" i="16"/>
  <c r="O292" i="16"/>
  <c r="N292" i="16"/>
  <c r="K292" i="16"/>
  <c r="J292" i="16"/>
  <c r="I292" i="16"/>
  <c r="F292" i="16"/>
  <c r="O291" i="16"/>
  <c r="N291" i="16"/>
  <c r="K291" i="16"/>
  <c r="J291" i="16"/>
  <c r="I291" i="16"/>
  <c r="F291" i="16"/>
  <c r="O290" i="16"/>
  <c r="N290" i="16"/>
  <c r="L290" i="16"/>
  <c r="K290" i="16"/>
  <c r="J290" i="16"/>
  <c r="I290" i="16"/>
  <c r="G290" i="16"/>
  <c r="F290" i="16"/>
  <c r="K286" i="16"/>
  <c r="I286" i="16"/>
  <c r="F286" i="16"/>
  <c r="L285" i="16"/>
  <c r="K285" i="16"/>
  <c r="F285" i="16"/>
  <c r="K284" i="16"/>
  <c r="F284" i="16"/>
  <c r="K283" i="16"/>
  <c r="F283" i="16"/>
  <c r="K282" i="16"/>
  <c r="F282" i="16"/>
  <c r="N281" i="16"/>
  <c r="K281" i="16"/>
  <c r="F281" i="16"/>
  <c r="T280" i="16"/>
  <c r="O280" i="16"/>
  <c r="N280" i="16"/>
  <c r="M280" i="16"/>
  <c r="L280" i="16"/>
  <c r="K280" i="16"/>
  <c r="J280" i="16"/>
  <c r="I280" i="16"/>
  <c r="H280" i="16"/>
  <c r="G280" i="16"/>
  <c r="F280" i="16"/>
  <c r="K276" i="16"/>
  <c r="F276" i="16"/>
  <c r="K275" i="16"/>
  <c r="F275" i="16"/>
  <c r="K274" i="16"/>
  <c r="F274" i="16"/>
  <c r="M273" i="16"/>
  <c r="K273" i="16"/>
  <c r="N271" i="16"/>
  <c r="M271" i="16"/>
  <c r="L271" i="16"/>
  <c r="K271" i="16"/>
  <c r="F271" i="16"/>
  <c r="K270" i="16"/>
  <c r="F270" i="16"/>
  <c r="K269" i="16"/>
  <c r="F269" i="16"/>
  <c r="K268" i="16"/>
  <c r="F268" i="16"/>
  <c r="M267" i="16"/>
  <c r="K267" i="16"/>
  <c r="G267" i="16"/>
  <c r="F267" i="16"/>
  <c r="I266" i="16"/>
  <c r="K265" i="16"/>
  <c r="F265" i="16"/>
  <c r="K264" i="16"/>
  <c r="K263" i="16"/>
  <c r="K262" i="16"/>
  <c r="K261" i="16"/>
  <c r="T259" i="16"/>
  <c r="O259" i="16"/>
  <c r="N259" i="16"/>
  <c r="M259" i="16"/>
  <c r="L259" i="16"/>
  <c r="K259" i="16"/>
  <c r="J259" i="16"/>
  <c r="I259" i="16"/>
  <c r="H259" i="16"/>
  <c r="G259" i="16"/>
  <c r="F259" i="16"/>
  <c r="K258" i="16"/>
  <c r="F258" i="16"/>
  <c r="K257" i="16"/>
  <c r="F257" i="16"/>
  <c r="K256" i="16"/>
  <c r="F256" i="16"/>
  <c r="K255" i="16"/>
  <c r="G255" i="16"/>
  <c r="F255" i="16"/>
  <c r="K254" i="16"/>
  <c r="F254" i="16"/>
  <c r="M253" i="16"/>
  <c r="L253" i="16"/>
  <c r="K253" i="16"/>
  <c r="I253" i="16"/>
  <c r="G253" i="16"/>
  <c r="F253" i="16"/>
  <c r="K252" i="16"/>
  <c r="F252" i="16"/>
  <c r="K251" i="16"/>
  <c r="F251" i="16"/>
  <c r="K250" i="16"/>
  <c r="F250" i="16"/>
  <c r="K249" i="16"/>
  <c r="F249" i="16"/>
  <c r="N248" i="16"/>
  <c r="M248" i="16"/>
  <c r="K248" i="16"/>
  <c r="F248" i="16"/>
  <c r="K247" i="16"/>
  <c r="F247" i="16"/>
  <c r="K246" i="16"/>
  <c r="I246" i="16"/>
  <c r="G246" i="16"/>
  <c r="F246" i="16"/>
  <c r="K245" i="16"/>
  <c r="F245" i="16"/>
  <c r="K244" i="16"/>
  <c r="F244" i="16"/>
  <c r="K243" i="16"/>
  <c r="F243" i="16"/>
  <c r="K242" i="16"/>
  <c r="G242" i="16"/>
  <c r="F242" i="16"/>
  <c r="N241" i="16"/>
  <c r="K241" i="16"/>
  <c r="H241" i="16"/>
  <c r="T241" i="16" s="1"/>
  <c r="F241" i="16"/>
  <c r="N240" i="16"/>
  <c r="M240" i="16"/>
  <c r="K240" i="16"/>
  <c r="F240" i="16"/>
  <c r="K239" i="16"/>
  <c r="F239" i="16"/>
  <c r="K238" i="16"/>
  <c r="F238" i="16"/>
  <c r="K237" i="16"/>
  <c r="H237" i="16"/>
  <c r="T237" i="16" s="1"/>
  <c r="F237" i="16"/>
  <c r="K236" i="16"/>
  <c r="F236" i="16"/>
  <c r="K235" i="16"/>
  <c r="F235" i="16"/>
  <c r="K234" i="16"/>
  <c r="H234" i="16"/>
  <c r="T234" i="16" s="1"/>
  <c r="G234" i="16"/>
  <c r="F234" i="16"/>
  <c r="N233" i="16"/>
  <c r="K233" i="16"/>
  <c r="F233" i="16"/>
  <c r="K232" i="16"/>
  <c r="F232" i="16"/>
  <c r="K231" i="16"/>
  <c r="H231" i="16"/>
  <c r="T231" i="16" s="1"/>
  <c r="F231" i="16"/>
  <c r="K230" i="16"/>
  <c r="F230" i="16"/>
  <c r="K229" i="16"/>
  <c r="F229" i="16"/>
  <c r="K228" i="16"/>
  <c r="F228" i="16"/>
  <c r="M227" i="16"/>
  <c r="K227" i="16"/>
  <c r="F227" i="16"/>
  <c r="K226" i="16"/>
  <c r="F226" i="16"/>
  <c r="K225" i="16"/>
  <c r="F225" i="16"/>
  <c r="K224" i="16"/>
  <c r="H224" i="16"/>
  <c r="T224" i="16" s="1"/>
  <c r="F224" i="16"/>
  <c r="L223" i="16"/>
  <c r="K223" i="16"/>
  <c r="F223" i="16"/>
  <c r="K222" i="16"/>
  <c r="F222" i="16"/>
  <c r="K221" i="16"/>
  <c r="H221" i="16"/>
  <c r="T221" i="16" s="1"/>
  <c r="F221" i="16"/>
  <c r="K220" i="16"/>
  <c r="F220" i="16"/>
  <c r="K219" i="16"/>
  <c r="F219" i="16"/>
  <c r="K218" i="16"/>
  <c r="F218" i="16"/>
  <c r="M217" i="16"/>
  <c r="K217" i="16"/>
  <c r="G217" i="16"/>
  <c r="F217" i="16"/>
  <c r="N216" i="16"/>
  <c r="M216" i="16"/>
  <c r="L216" i="16"/>
  <c r="K216" i="16"/>
  <c r="F216" i="16"/>
  <c r="K215" i="16"/>
  <c r="F215" i="16"/>
  <c r="K214" i="16"/>
  <c r="F214" i="16"/>
  <c r="K213" i="16"/>
  <c r="F213" i="16"/>
  <c r="K212" i="16"/>
  <c r="F212" i="16"/>
  <c r="L211" i="16"/>
  <c r="K211" i="16"/>
  <c r="F211" i="16"/>
  <c r="N210" i="16"/>
  <c r="L210" i="16"/>
  <c r="K210" i="16"/>
  <c r="F210" i="16"/>
  <c r="K209" i="16"/>
  <c r="F209" i="16"/>
  <c r="L208" i="16"/>
  <c r="K208" i="16"/>
  <c r="F208" i="16"/>
  <c r="K207" i="16"/>
  <c r="H207" i="16"/>
  <c r="T207" i="16" s="1"/>
  <c r="G207" i="16"/>
  <c r="F207" i="16"/>
  <c r="K206" i="16"/>
  <c r="F206" i="16"/>
  <c r="K205" i="16"/>
  <c r="I205" i="16"/>
  <c r="G205" i="16"/>
  <c r="F205" i="16"/>
  <c r="N204" i="16"/>
  <c r="M204" i="16"/>
  <c r="K204" i="16"/>
  <c r="F204" i="16"/>
  <c r="K203" i="16"/>
  <c r="F203" i="16"/>
  <c r="K202" i="16"/>
  <c r="F202" i="16"/>
  <c r="K201" i="16"/>
  <c r="I201" i="16"/>
  <c r="G201" i="16"/>
  <c r="F201" i="16"/>
  <c r="K200" i="16"/>
  <c r="F200" i="16"/>
  <c r="K199" i="16"/>
  <c r="I199" i="16"/>
  <c r="F199" i="16"/>
  <c r="L198" i="16"/>
  <c r="K198" i="16"/>
  <c r="F198" i="16"/>
  <c r="K197" i="16"/>
  <c r="F197" i="16"/>
  <c r="M196" i="16"/>
  <c r="K196" i="16"/>
  <c r="F196" i="16"/>
  <c r="L195" i="16"/>
  <c r="K195" i="16"/>
  <c r="I195" i="16"/>
  <c r="F195" i="16"/>
  <c r="K194" i="16"/>
  <c r="F194" i="16"/>
  <c r="M193" i="16"/>
  <c r="L193" i="16"/>
  <c r="K193" i="16"/>
  <c r="G193" i="16"/>
  <c r="F193" i="16"/>
  <c r="K192" i="16"/>
  <c r="F192" i="16"/>
  <c r="K191" i="16"/>
  <c r="F191" i="16"/>
  <c r="K190" i="16"/>
  <c r="F190" i="16"/>
  <c r="K189" i="16"/>
  <c r="H189" i="16"/>
  <c r="T189" i="16" s="1"/>
  <c r="F189" i="16"/>
  <c r="M188" i="16"/>
  <c r="L188" i="16"/>
  <c r="K188" i="16"/>
  <c r="F188" i="16"/>
  <c r="K187" i="16"/>
  <c r="F187" i="16"/>
  <c r="M186" i="16"/>
  <c r="K186" i="16"/>
  <c r="F186" i="16"/>
  <c r="M185" i="16"/>
  <c r="K185" i="16"/>
  <c r="F185" i="16"/>
  <c r="K184" i="16"/>
  <c r="F184" i="16"/>
  <c r="N183" i="16"/>
  <c r="L183" i="16"/>
  <c r="K183" i="16"/>
  <c r="H183" i="16"/>
  <c r="T183" i="16" s="1"/>
  <c r="G183" i="16"/>
  <c r="F183" i="16"/>
  <c r="M182" i="16"/>
  <c r="L182" i="16"/>
  <c r="K182" i="16"/>
  <c r="F182" i="16"/>
  <c r="K181" i="16"/>
  <c r="I181" i="16"/>
  <c r="F181" i="16"/>
  <c r="K180" i="16"/>
  <c r="F180" i="16"/>
  <c r="M179" i="16"/>
  <c r="L179" i="16"/>
  <c r="K179" i="16"/>
  <c r="F179" i="16"/>
  <c r="K178" i="16"/>
  <c r="I178" i="16"/>
  <c r="F178" i="16"/>
  <c r="N177" i="16"/>
  <c r="M177" i="16"/>
  <c r="L177" i="16"/>
  <c r="K177" i="16"/>
  <c r="H177" i="16"/>
  <c r="T177" i="16" s="1"/>
  <c r="F177" i="16"/>
  <c r="K176" i="16"/>
  <c r="F176" i="16"/>
  <c r="K175" i="16"/>
  <c r="H175" i="16"/>
  <c r="T175" i="16" s="1"/>
  <c r="G175" i="16"/>
  <c r="F175" i="16"/>
  <c r="K174" i="16"/>
  <c r="H174" i="16"/>
  <c r="T174" i="16" s="1"/>
  <c r="F174" i="16"/>
  <c r="K173" i="16"/>
  <c r="I173" i="16"/>
  <c r="G173" i="16"/>
  <c r="F173" i="16"/>
  <c r="K172" i="16"/>
  <c r="H172" i="16"/>
  <c r="T172" i="16" s="1"/>
  <c r="F172" i="16"/>
  <c r="K171" i="16"/>
  <c r="F171" i="16"/>
  <c r="K170" i="16"/>
  <c r="I170" i="16"/>
  <c r="F170" i="16"/>
  <c r="N169" i="16"/>
  <c r="K169" i="16"/>
  <c r="I169" i="16"/>
  <c r="H169" i="16"/>
  <c r="T169" i="16" s="1"/>
  <c r="F169" i="16"/>
  <c r="K168" i="16"/>
  <c r="F168" i="16"/>
  <c r="M167" i="16"/>
  <c r="K167" i="16"/>
  <c r="F167" i="16"/>
  <c r="K166" i="16"/>
  <c r="F166" i="16"/>
  <c r="K165" i="16"/>
  <c r="G165" i="16"/>
  <c r="F165" i="16"/>
  <c r="K164" i="16"/>
  <c r="I164" i="16"/>
  <c r="H164" i="16"/>
  <c r="T164" i="16" s="1"/>
  <c r="F164" i="16"/>
  <c r="K163" i="16"/>
  <c r="F163" i="16"/>
  <c r="L162" i="16"/>
  <c r="K162" i="16"/>
  <c r="H162" i="16"/>
  <c r="T162" i="16" s="1"/>
  <c r="F162" i="16"/>
  <c r="K161" i="16"/>
  <c r="F161" i="16"/>
  <c r="K160" i="16"/>
  <c r="H160" i="16"/>
  <c r="T160" i="16" s="1"/>
  <c r="F160" i="16"/>
  <c r="K159" i="16"/>
  <c r="I159" i="16"/>
  <c r="H159" i="16"/>
  <c r="T159" i="16" s="1"/>
  <c r="F159" i="16"/>
  <c r="K158" i="16"/>
  <c r="H158" i="16"/>
  <c r="T158" i="16" s="1"/>
  <c r="G158" i="16"/>
  <c r="K157" i="16"/>
  <c r="H157" i="16"/>
  <c r="T157" i="16" s="1"/>
  <c r="F157" i="16"/>
  <c r="K156" i="16"/>
  <c r="F156" i="16"/>
  <c r="K155" i="16"/>
  <c r="I155" i="16"/>
  <c r="H155" i="16"/>
  <c r="T155" i="16" s="1"/>
  <c r="G155" i="16"/>
  <c r="F155" i="16"/>
  <c r="M154" i="16"/>
  <c r="K154" i="16"/>
  <c r="F154" i="16"/>
  <c r="L153" i="16"/>
  <c r="K153" i="16"/>
  <c r="I153" i="16"/>
  <c r="F153" i="16"/>
  <c r="M152" i="16"/>
  <c r="K152" i="16"/>
  <c r="K151" i="16"/>
  <c r="K150" i="16"/>
  <c r="I150" i="16"/>
  <c r="H150" i="16"/>
  <c r="T150" i="16" s="1"/>
  <c r="K149" i="16"/>
  <c r="G148" i="16"/>
  <c r="F148" i="16"/>
  <c r="M147" i="16"/>
  <c r="K147" i="16"/>
  <c r="I147" i="16"/>
  <c r="H146" i="16"/>
  <c r="T146" i="16" s="1"/>
  <c r="M145" i="16"/>
  <c r="K145" i="16"/>
  <c r="K144" i="16"/>
  <c r="K143" i="16"/>
  <c r="I143" i="16"/>
  <c r="H143" i="16"/>
  <c r="T143" i="16" s="1"/>
  <c r="F143" i="16"/>
  <c r="M138" i="16"/>
  <c r="K138" i="16"/>
  <c r="F138" i="16"/>
  <c r="L137" i="16"/>
  <c r="K137" i="16"/>
  <c r="I137" i="16"/>
  <c r="F137" i="16"/>
  <c r="K136" i="16"/>
  <c r="F136" i="16"/>
  <c r="T135" i="16"/>
  <c r="O135" i="16"/>
  <c r="N135" i="16"/>
  <c r="M135" i="16"/>
  <c r="L135" i="16"/>
  <c r="K135" i="16"/>
  <c r="J135" i="16"/>
  <c r="I135" i="16"/>
  <c r="H135" i="16"/>
  <c r="G135" i="16"/>
  <c r="F135" i="16"/>
  <c r="K134" i="16"/>
  <c r="I134" i="16"/>
  <c r="G134" i="16"/>
  <c r="F134" i="16"/>
  <c r="K133" i="16"/>
  <c r="F133" i="16"/>
  <c r="K132" i="16"/>
  <c r="I132" i="16"/>
  <c r="H132" i="16"/>
  <c r="T132" i="16" s="1"/>
  <c r="G132" i="16"/>
  <c r="F132" i="16"/>
  <c r="M131" i="16"/>
  <c r="K131" i="16"/>
  <c r="F131" i="16"/>
  <c r="N130" i="16"/>
  <c r="K130" i="16"/>
  <c r="I130" i="16"/>
  <c r="G130" i="16"/>
  <c r="F130" i="16"/>
  <c r="N129" i="16"/>
  <c r="L129" i="16"/>
  <c r="K129" i="16"/>
  <c r="F129" i="16"/>
  <c r="K128" i="16"/>
  <c r="H128" i="16"/>
  <c r="T128" i="16" s="1"/>
  <c r="F128" i="16"/>
  <c r="N127" i="16"/>
  <c r="L127" i="16"/>
  <c r="K127" i="16"/>
  <c r="I127" i="16"/>
  <c r="H127" i="16"/>
  <c r="T127" i="16" s="1"/>
  <c r="F127" i="16"/>
  <c r="K126" i="16"/>
  <c r="F126" i="16"/>
  <c r="K125" i="16"/>
  <c r="G125" i="16"/>
  <c r="F125" i="16"/>
  <c r="K124" i="16"/>
  <c r="F124" i="16"/>
  <c r="K123" i="16"/>
  <c r="H123" i="16"/>
  <c r="T123" i="16" s="1"/>
  <c r="F123" i="16"/>
  <c r="K122" i="16"/>
  <c r="I122" i="16"/>
  <c r="H122" i="16"/>
  <c r="T122" i="16" s="1"/>
  <c r="G122" i="16"/>
  <c r="F122" i="16"/>
  <c r="K121" i="16"/>
  <c r="F121" i="16"/>
  <c r="K120" i="16"/>
  <c r="I120" i="16"/>
  <c r="F120" i="16"/>
  <c r="K119" i="16"/>
  <c r="F119" i="16"/>
  <c r="M118" i="16"/>
  <c r="L118" i="16"/>
  <c r="K118" i="16"/>
  <c r="G118" i="16"/>
  <c r="F118" i="16"/>
  <c r="N117" i="16"/>
  <c r="M117" i="16"/>
  <c r="K117" i="16"/>
  <c r="F117" i="16"/>
  <c r="K116" i="16"/>
  <c r="F116" i="16"/>
  <c r="L115" i="16"/>
  <c r="K115" i="16"/>
  <c r="F115" i="16"/>
  <c r="K110" i="16"/>
  <c r="G110" i="16"/>
  <c r="F110" i="16"/>
  <c r="M109" i="16"/>
  <c r="K109" i="16"/>
  <c r="I109" i="16"/>
  <c r="H109" i="16"/>
  <c r="T109" i="16" s="1"/>
  <c r="F109" i="16"/>
  <c r="M108" i="16"/>
  <c r="K108" i="16"/>
  <c r="N107" i="16"/>
  <c r="K107" i="16"/>
  <c r="H107" i="16"/>
  <c r="T107" i="16" s="1"/>
  <c r="K106" i="16"/>
  <c r="F106" i="16"/>
  <c r="M105" i="16"/>
  <c r="L105" i="16"/>
  <c r="K105" i="16"/>
  <c r="G105" i="16"/>
  <c r="F105" i="16"/>
  <c r="N104" i="16"/>
  <c r="M104" i="16"/>
  <c r="L104" i="16"/>
  <c r="K104" i="16"/>
  <c r="L103" i="16"/>
  <c r="K103" i="16"/>
  <c r="H103" i="16"/>
  <c r="T103" i="16" s="1"/>
  <c r="F103" i="16"/>
  <c r="K102" i="16"/>
  <c r="K101" i="16"/>
  <c r="G101" i="16"/>
  <c r="N100" i="16"/>
  <c r="K100" i="16"/>
  <c r="I100" i="16"/>
  <c r="H100" i="16"/>
  <c r="T100" i="16" s="1"/>
  <c r="T99" i="16"/>
  <c r="O99" i="16"/>
  <c r="N99" i="16"/>
  <c r="M99" i="16"/>
  <c r="L99" i="16"/>
  <c r="K99" i="16"/>
  <c r="J99" i="16"/>
  <c r="I99" i="16"/>
  <c r="H99" i="16"/>
  <c r="G99" i="16"/>
  <c r="F99" i="16"/>
  <c r="L98" i="16"/>
  <c r="K98" i="16"/>
  <c r="I98" i="16"/>
  <c r="K97" i="16"/>
  <c r="I97" i="16"/>
  <c r="G97" i="16"/>
  <c r="F97" i="16"/>
  <c r="N96" i="16"/>
  <c r="M96" i="16"/>
  <c r="L96" i="16"/>
  <c r="K96" i="16"/>
  <c r="K95" i="16"/>
  <c r="G95" i="16"/>
  <c r="F95" i="16"/>
  <c r="K94" i="16"/>
  <c r="I94" i="16"/>
  <c r="H94" i="16"/>
  <c r="T94" i="16" s="1"/>
  <c r="G94" i="16"/>
  <c r="K93" i="16"/>
  <c r="F93" i="16"/>
  <c r="N92" i="16"/>
  <c r="L92" i="16"/>
  <c r="K92" i="16"/>
  <c r="I92" i="16"/>
  <c r="H92" i="16"/>
  <c r="T92" i="16" s="1"/>
  <c r="G92" i="16"/>
  <c r="K91" i="16"/>
  <c r="F91" i="16"/>
  <c r="K90" i="16"/>
  <c r="F90" i="16"/>
  <c r="M89" i="16"/>
  <c r="L89" i="16"/>
  <c r="K89" i="16"/>
  <c r="F89" i="16"/>
  <c r="M88" i="16"/>
  <c r="L88" i="16"/>
  <c r="K88" i="16"/>
  <c r="G88" i="16"/>
  <c r="F88" i="16"/>
  <c r="N87" i="16"/>
  <c r="L87" i="16"/>
  <c r="K87" i="16"/>
  <c r="F87" i="16"/>
  <c r="K86" i="16"/>
  <c r="F86" i="16"/>
  <c r="N85" i="16"/>
  <c r="M85" i="16"/>
  <c r="L85" i="16"/>
  <c r="K85" i="16"/>
  <c r="I85" i="16"/>
  <c r="H85" i="16"/>
  <c r="T85" i="16" s="1"/>
  <c r="F85" i="16"/>
  <c r="K84" i="16"/>
  <c r="H84" i="16"/>
  <c r="T84" i="16" s="1"/>
  <c r="F84" i="16"/>
  <c r="N83" i="16"/>
  <c r="L83" i="16"/>
  <c r="K82" i="16"/>
  <c r="N81" i="16"/>
  <c r="M81" i="16"/>
  <c r="L81" i="16"/>
  <c r="K81" i="16"/>
  <c r="I81" i="16"/>
  <c r="H81" i="16"/>
  <c r="T81" i="16" s="1"/>
  <c r="G81" i="16"/>
  <c r="K80" i="16"/>
  <c r="T79" i="16"/>
  <c r="O79" i="16"/>
  <c r="N79" i="16"/>
  <c r="M79" i="16"/>
  <c r="L79" i="16"/>
  <c r="K79" i="16"/>
  <c r="J79" i="16"/>
  <c r="I79" i="16"/>
  <c r="H79" i="16"/>
  <c r="G79" i="16"/>
  <c r="F79" i="16"/>
  <c r="K78" i="16"/>
  <c r="G78" i="16"/>
  <c r="M77" i="16"/>
  <c r="L77" i="16"/>
  <c r="K77" i="16"/>
  <c r="I77" i="16"/>
  <c r="H77" i="16"/>
  <c r="T77" i="16" s="1"/>
  <c r="G77" i="16"/>
  <c r="F77" i="16"/>
  <c r="N75" i="16"/>
  <c r="K75" i="16"/>
  <c r="G75" i="16"/>
  <c r="F75" i="16"/>
  <c r="N74" i="16"/>
  <c r="K74" i="16"/>
  <c r="K73" i="16"/>
  <c r="F73" i="16"/>
  <c r="M71" i="16"/>
  <c r="L71" i="16"/>
  <c r="K71" i="16"/>
  <c r="I71" i="16"/>
  <c r="G71" i="16"/>
  <c r="F71" i="16"/>
  <c r="M70" i="16"/>
  <c r="L70" i="16"/>
  <c r="K70" i="16"/>
  <c r="I70" i="16"/>
  <c r="F70" i="16"/>
  <c r="L69" i="16"/>
  <c r="K69" i="16"/>
  <c r="F69" i="16"/>
  <c r="T68" i="16"/>
  <c r="L68" i="16"/>
  <c r="K68" i="16"/>
  <c r="F68" i="16"/>
  <c r="T67" i="16"/>
  <c r="M67" i="16"/>
  <c r="L67" i="16"/>
  <c r="K67" i="16"/>
  <c r="I67" i="16"/>
  <c r="F67" i="16"/>
  <c r="T66" i="16"/>
  <c r="O66" i="16"/>
  <c r="N66" i="16"/>
  <c r="M66" i="16"/>
  <c r="L66" i="16"/>
  <c r="K66" i="16"/>
  <c r="J66" i="16"/>
  <c r="I66" i="16"/>
  <c r="H66" i="16"/>
  <c r="G66" i="16"/>
  <c r="F66" i="16"/>
  <c r="T65" i="16"/>
  <c r="K65" i="16"/>
  <c r="H65" i="16"/>
  <c r="F65" i="16"/>
  <c r="N64" i="16"/>
  <c r="M64" i="16"/>
  <c r="L64" i="16"/>
  <c r="K64" i="16"/>
  <c r="I64" i="16"/>
  <c r="H64" i="16"/>
  <c r="T64" i="16" s="1"/>
  <c r="F64" i="16"/>
  <c r="K63" i="16"/>
  <c r="I63" i="16"/>
  <c r="F63" i="16"/>
  <c r="K62" i="16"/>
  <c r="H62" i="16"/>
  <c r="T62" i="16" s="1"/>
  <c r="F62" i="16"/>
  <c r="T61" i="16"/>
  <c r="O61" i="16"/>
  <c r="N61" i="16"/>
  <c r="M61" i="16"/>
  <c r="L61" i="16"/>
  <c r="K61" i="16"/>
  <c r="J61" i="16"/>
  <c r="I61" i="16"/>
  <c r="H61" i="16"/>
  <c r="G61" i="16"/>
  <c r="F61" i="16"/>
  <c r="M60" i="16"/>
  <c r="K60" i="16"/>
  <c r="F60" i="16"/>
  <c r="K59" i="16"/>
  <c r="I59" i="16"/>
  <c r="G59" i="16"/>
  <c r="F59" i="16"/>
  <c r="M58" i="16"/>
  <c r="L58" i="16"/>
  <c r="K58" i="16"/>
  <c r="H58" i="16"/>
  <c r="T58" i="16" s="1"/>
  <c r="F58" i="16"/>
  <c r="L57" i="16"/>
  <c r="K57" i="16"/>
  <c r="G57" i="16"/>
  <c r="M56" i="16"/>
  <c r="K56" i="16"/>
  <c r="F56" i="16"/>
  <c r="K55" i="16"/>
  <c r="I55" i="16"/>
  <c r="G55" i="16"/>
  <c r="F55" i="16"/>
  <c r="T54" i="16"/>
  <c r="O54" i="16"/>
  <c r="N54" i="16"/>
  <c r="M54" i="16"/>
  <c r="L54" i="16"/>
  <c r="K54" i="16"/>
  <c r="J54" i="16"/>
  <c r="I54" i="16"/>
  <c r="H54" i="16"/>
  <c r="G54" i="16"/>
  <c r="F54" i="16"/>
  <c r="T53" i="16"/>
  <c r="K53" i="16"/>
  <c r="F53" i="16"/>
  <c r="N52" i="16"/>
  <c r="L52" i="16"/>
  <c r="K52" i="16"/>
  <c r="I52" i="16"/>
  <c r="F52" i="16"/>
  <c r="L51" i="16"/>
  <c r="K51" i="16"/>
  <c r="I51" i="16"/>
  <c r="G51" i="16"/>
  <c r="F51" i="16"/>
  <c r="M50" i="16"/>
  <c r="K50" i="16"/>
  <c r="F50" i="16"/>
  <c r="K49" i="16"/>
  <c r="F49" i="16"/>
  <c r="N48" i="16"/>
  <c r="M48" i="16"/>
  <c r="L48" i="16"/>
  <c r="K48" i="16"/>
  <c r="F48" i="16"/>
  <c r="N47" i="16"/>
  <c r="M47" i="16"/>
  <c r="K47" i="16"/>
  <c r="G47" i="16"/>
  <c r="F47" i="16"/>
  <c r="M46" i="16"/>
  <c r="K46" i="16"/>
  <c r="F46" i="16"/>
  <c r="K45" i="16"/>
  <c r="G45" i="16"/>
  <c r="F45" i="16"/>
  <c r="T44" i="16"/>
  <c r="O44" i="16"/>
  <c r="N44" i="16"/>
  <c r="M44" i="16"/>
  <c r="L44" i="16"/>
  <c r="K44" i="16"/>
  <c r="J44" i="16"/>
  <c r="I44" i="16"/>
  <c r="H44" i="16"/>
  <c r="G44" i="16"/>
  <c r="F44" i="16"/>
  <c r="K43" i="16"/>
  <c r="N42" i="16"/>
  <c r="M42" i="16"/>
  <c r="K42" i="16"/>
  <c r="H42" i="16"/>
  <c r="T42" i="16" s="1"/>
  <c r="G42" i="16"/>
  <c r="F42" i="16"/>
  <c r="N41" i="16"/>
  <c r="L41" i="16"/>
  <c r="K41" i="16"/>
  <c r="I41" i="16"/>
  <c r="H41" i="16"/>
  <c r="T41" i="16" s="1"/>
  <c r="F41" i="16"/>
  <c r="T40" i="16"/>
  <c r="O40" i="16"/>
  <c r="N40" i="16"/>
  <c r="M40" i="16"/>
  <c r="L40" i="16"/>
  <c r="K40" i="16"/>
  <c r="J40" i="16"/>
  <c r="I40" i="16"/>
  <c r="H40" i="16"/>
  <c r="G40" i="16"/>
  <c r="F40" i="16"/>
  <c r="T39" i="16"/>
  <c r="N39" i="16"/>
  <c r="L39" i="16"/>
  <c r="K39" i="16"/>
  <c r="I39" i="16"/>
  <c r="H39" i="16"/>
  <c r="G39" i="16"/>
  <c r="K38" i="16"/>
  <c r="F38" i="16"/>
  <c r="K37" i="16"/>
  <c r="G37" i="16"/>
  <c r="F37" i="16"/>
  <c r="L36" i="16"/>
  <c r="K36" i="16"/>
  <c r="I36" i="16"/>
  <c r="H36" i="16"/>
  <c r="T36" i="16" s="1"/>
  <c r="G36" i="16"/>
  <c r="F36" i="16"/>
  <c r="N35" i="16"/>
  <c r="M35" i="16"/>
  <c r="L35" i="16"/>
  <c r="K35" i="16"/>
  <c r="I35" i="16"/>
  <c r="F35" i="16"/>
  <c r="K34" i="16"/>
  <c r="F34" i="16"/>
  <c r="N33" i="16"/>
  <c r="M33" i="16"/>
  <c r="L33" i="16"/>
  <c r="K33" i="16"/>
  <c r="I33" i="16"/>
  <c r="G33" i="16"/>
  <c r="F33" i="16"/>
  <c r="K32" i="16"/>
  <c r="H32" i="16"/>
  <c r="T32" i="16" s="1"/>
  <c r="G32" i="16"/>
  <c r="F32" i="16"/>
  <c r="M31" i="16"/>
  <c r="K31" i="16"/>
  <c r="F31" i="16"/>
  <c r="N26" i="16"/>
  <c r="K26" i="16"/>
  <c r="I26" i="16"/>
  <c r="G26" i="16"/>
  <c r="F26" i="16"/>
  <c r="O25" i="16"/>
  <c r="N25" i="16"/>
  <c r="M25" i="16"/>
  <c r="L25" i="16"/>
  <c r="K25" i="16"/>
  <c r="J25" i="16"/>
  <c r="I25" i="16"/>
  <c r="H24" i="16"/>
  <c r="G24" i="16"/>
  <c r="O23" i="16"/>
  <c r="N23" i="16"/>
  <c r="M23" i="16"/>
  <c r="J23" i="16"/>
  <c r="I23" i="16"/>
  <c r="M22" i="16"/>
  <c r="L22" i="16"/>
  <c r="K22" i="16"/>
  <c r="G22" i="16"/>
  <c r="N21" i="16"/>
  <c r="M21" i="16"/>
  <c r="L21" i="16"/>
  <c r="K21" i="16"/>
  <c r="I21" i="16"/>
  <c r="H21" i="16"/>
  <c r="F21" i="16"/>
  <c r="N17" i="16"/>
  <c r="L17" i="16"/>
  <c r="K17" i="16"/>
  <c r="I17" i="16"/>
  <c r="F17" i="16"/>
  <c r="O16" i="16"/>
  <c r="N16" i="16"/>
  <c r="M16" i="16"/>
  <c r="L16" i="16"/>
  <c r="K16" i="16"/>
  <c r="J16" i="16"/>
  <c r="I16" i="16"/>
  <c r="H16" i="16"/>
  <c r="L15" i="16"/>
  <c r="I15" i="16"/>
  <c r="H15" i="16"/>
  <c r="G15" i="16"/>
  <c r="O14" i="16"/>
  <c r="N14" i="16"/>
  <c r="M14" i="16"/>
  <c r="J14" i="16"/>
  <c r="I14" i="16"/>
  <c r="G14" i="16"/>
  <c r="K13" i="16"/>
  <c r="H13" i="16"/>
  <c r="G13" i="16"/>
  <c r="F13" i="16"/>
  <c r="M12" i="16"/>
  <c r="L12" i="16"/>
  <c r="K12" i="16"/>
  <c r="I12" i="16"/>
  <c r="H12" i="16"/>
  <c r="G12" i="16"/>
  <c r="F12" i="16"/>
  <c r="I236" i="16"/>
  <c r="F3" i="16"/>
  <c r="N34" i="16" s="1"/>
  <c r="E3" i="16"/>
  <c r="H31" i="16" s="1"/>
  <c r="T31" i="16" s="1"/>
  <c r="D3" i="16"/>
  <c r="L273" i="16" s="1"/>
  <c r="C3" i="16"/>
  <c r="F100" i="16" s="1"/>
  <c r="K325" i="15"/>
  <c r="K324" i="15"/>
  <c r="K323" i="15"/>
  <c r="K322" i="15"/>
  <c r="K320" i="15"/>
  <c r="O316" i="15"/>
  <c r="N316" i="15"/>
  <c r="L316" i="15"/>
  <c r="K316" i="15"/>
  <c r="J316" i="15"/>
  <c r="I316" i="15"/>
  <c r="G316" i="15"/>
  <c r="F316" i="15"/>
  <c r="O315" i="15"/>
  <c r="N315" i="15"/>
  <c r="L315" i="15"/>
  <c r="K315" i="15"/>
  <c r="J315" i="15"/>
  <c r="I315" i="15"/>
  <c r="G315" i="15"/>
  <c r="F315" i="15"/>
  <c r="O314" i="15"/>
  <c r="N314" i="15"/>
  <c r="L314" i="15"/>
  <c r="K314" i="15"/>
  <c r="J314" i="15"/>
  <c r="I314" i="15"/>
  <c r="G314" i="15"/>
  <c r="F314" i="15"/>
  <c r="O313" i="15"/>
  <c r="N313" i="15"/>
  <c r="L313" i="15"/>
  <c r="K313" i="15"/>
  <c r="J313" i="15"/>
  <c r="I313" i="15"/>
  <c r="G313" i="15"/>
  <c r="F313" i="15"/>
  <c r="O312" i="15"/>
  <c r="N312" i="15"/>
  <c r="K312" i="15"/>
  <c r="J312" i="15"/>
  <c r="I312" i="15"/>
  <c r="F312" i="15"/>
  <c r="O311" i="15"/>
  <c r="N311" i="15"/>
  <c r="K311" i="15"/>
  <c r="J311" i="15"/>
  <c r="I311" i="15"/>
  <c r="F311" i="15"/>
  <c r="O310" i="15"/>
  <c r="N310" i="15"/>
  <c r="K310" i="15"/>
  <c r="J310" i="15"/>
  <c r="I310" i="15"/>
  <c r="F310" i="15"/>
  <c r="O309" i="15"/>
  <c r="N309" i="15"/>
  <c r="K309" i="15"/>
  <c r="J309" i="15"/>
  <c r="I309" i="15"/>
  <c r="F309" i="15"/>
  <c r="O308" i="15"/>
  <c r="N308" i="15"/>
  <c r="K308" i="15"/>
  <c r="J308" i="15"/>
  <c r="I308" i="15"/>
  <c r="F308" i="15"/>
  <c r="O307" i="15"/>
  <c r="N307" i="15"/>
  <c r="K307" i="15"/>
  <c r="J307" i="15"/>
  <c r="I307" i="15"/>
  <c r="F307" i="15"/>
  <c r="O306" i="15"/>
  <c r="N306" i="15"/>
  <c r="K306" i="15"/>
  <c r="J306" i="15"/>
  <c r="I306" i="15"/>
  <c r="F306" i="15"/>
  <c r="O305" i="15"/>
  <c r="N305" i="15"/>
  <c r="K305" i="15"/>
  <c r="J305" i="15"/>
  <c r="I305" i="15"/>
  <c r="F305" i="15"/>
  <c r="O304" i="15"/>
  <c r="N304" i="15"/>
  <c r="K304" i="15"/>
  <c r="J304" i="15"/>
  <c r="I304" i="15"/>
  <c r="F304" i="15"/>
  <c r="O303" i="15"/>
  <c r="N303" i="15"/>
  <c r="K303" i="15"/>
  <c r="J303" i="15"/>
  <c r="I303" i="15"/>
  <c r="F303" i="15"/>
  <c r="O302" i="15"/>
  <c r="N302" i="15"/>
  <c r="K302" i="15"/>
  <c r="J302" i="15"/>
  <c r="I302" i="15"/>
  <c r="F302" i="15"/>
  <c r="O301" i="15"/>
  <c r="N301" i="15"/>
  <c r="K301" i="15"/>
  <c r="J301" i="15"/>
  <c r="I301" i="15"/>
  <c r="F301" i="15"/>
  <c r="O300" i="15"/>
  <c r="N300" i="15"/>
  <c r="K300" i="15"/>
  <c r="J300" i="15"/>
  <c r="I300" i="15"/>
  <c r="F300" i="15"/>
  <c r="O299" i="15"/>
  <c r="N299" i="15"/>
  <c r="K299" i="15"/>
  <c r="J299" i="15"/>
  <c r="I299" i="15"/>
  <c r="F299" i="15"/>
  <c r="O298" i="15"/>
  <c r="N298" i="15"/>
  <c r="K298" i="15"/>
  <c r="J298" i="15"/>
  <c r="I298" i="15"/>
  <c r="F298" i="15"/>
  <c r="O297" i="15"/>
  <c r="N297" i="15"/>
  <c r="K297" i="15"/>
  <c r="J297" i="15"/>
  <c r="I297" i="15"/>
  <c r="F297" i="15"/>
  <c r="O296" i="15"/>
  <c r="N296" i="15"/>
  <c r="K296" i="15"/>
  <c r="J296" i="15"/>
  <c r="I296" i="15"/>
  <c r="F296" i="15"/>
  <c r="O295" i="15"/>
  <c r="N295" i="15"/>
  <c r="K295" i="15"/>
  <c r="J295" i="15"/>
  <c r="I295" i="15"/>
  <c r="F295" i="15"/>
  <c r="O294" i="15"/>
  <c r="N294" i="15"/>
  <c r="K294" i="15"/>
  <c r="J294" i="15"/>
  <c r="I294" i="15"/>
  <c r="F294" i="15"/>
  <c r="O293" i="15"/>
  <c r="N293" i="15"/>
  <c r="K293" i="15"/>
  <c r="J293" i="15"/>
  <c r="I293" i="15"/>
  <c r="F293" i="15"/>
  <c r="O292" i="15"/>
  <c r="N292" i="15"/>
  <c r="K292" i="15"/>
  <c r="J292" i="15"/>
  <c r="I292" i="15"/>
  <c r="F292" i="15"/>
  <c r="O291" i="15"/>
  <c r="N291" i="15"/>
  <c r="K291" i="15"/>
  <c r="J291" i="15"/>
  <c r="I291" i="15"/>
  <c r="F291" i="15"/>
  <c r="O290" i="15"/>
  <c r="N290" i="15"/>
  <c r="L290" i="15"/>
  <c r="K290" i="15"/>
  <c r="J290" i="15"/>
  <c r="I290" i="15"/>
  <c r="G290" i="15"/>
  <c r="F290" i="15"/>
  <c r="K286" i="15"/>
  <c r="F286" i="15"/>
  <c r="K285" i="15"/>
  <c r="F285" i="15"/>
  <c r="K284" i="15"/>
  <c r="F284" i="15"/>
  <c r="K283" i="15"/>
  <c r="F283" i="15"/>
  <c r="K282" i="15"/>
  <c r="F282" i="15"/>
  <c r="K281" i="15"/>
  <c r="F281" i="15"/>
  <c r="K280" i="15"/>
  <c r="F280" i="15"/>
  <c r="K276" i="15"/>
  <c r="K274" i="15"/>
  <c r="K272" i="15"/>
  <c r="K271" i="15"/>
  <c r="K270" i="15"/>
  <c r="K268" i="15"/>
  <c r="K267" i="15"/>
  <c r="K266" i="15"/>
  <c r="K265" i="15"/>
  <c r="K262" i="15"/>
  <c r="T259" i="15"/>
  <c r="O259" i="15"/>
  <c r="N259" i="15"/>
  <c r="M259" i="15"/>
  <c r="L259" i="15"/>
  <c r="K259" i="15"/>
  <c r="J259" i="15"/>
  <c r="I259" i="15"/>
  <c r="H259" i="15"/>
  <c r="G259" i="15"/>
  <c r="F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6" i="15"/>
  <c r="K245" i="15"/>
  <c r="K244" i="15"/>
  <c r="K243" i="15"/>
  <c r="K242" i="15"/>
  <c r="K241" i="15"/>
  <c r="K240" i="15"/>
  <c r="K239" i="15"/>
  <c r="K238" i="15"/>
  <c r="K237" i="15"/>
  <c r="K236" i="15"/>
  <c r="K235" i="15"/>
  <c r="K234" i="15"/>
  <c r="K233" i="15"/>
  <c r="K232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201" i="15"/>
  <c r="K200" i="15"/>
  <c r="K199" i="15"/>
  <c r="K198" i="15"/>
  <c r="K197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59" i="15"/>
  <c r="K157" i="15"/>
  <c r="K155" i="15"/>
  <c r="K154" i="15"/>
  <c r="K153" i="15"/>
  <c r="K152" i="15"/>
  <c r="K150" i="15"/>
  <c r="K149" i="15"/>
  <c r="K148" i="15"/>
  <c r="K146" i="15"/>
  <c r="K145" i="15"/>
  <c r="K144" i="15"/>
  <c r="K143" i="15"/>
  <c r="K138" i="15"/>
  <c r="K137" i="15"/>
  <c r="K136" i="15"/>
  <c r="T135" i="15"/>
  <c r="O135" i="15"/>
  <c r="N135" i="15"/>
  <c r="M135" i="15"/>
  <c r="L135" i="15"/>
  <c r="K135" i="15"/>
  <c r="J135" i="15"/>
  <c r="I135" i="15"/>
  <c r="H135" i="15"/>
  <c r="G135" i="15"/>
  <c r="F135" i="15"/>
  <c r="K134" i="15"/>
  <c r="K133" i="15"/>
  <c r="K132" i="15"/>
  <c r="K131" i="15"/>
  <c r="K130" i="15"/>
  <c r="K129" i="15"/>
  <c r="K128" i="15"/>
  <c r="K127" i="15"/>
  <c r="K125" i="15"/>
  <c r="K124" i="15"/>
  <c r="K123" i="15"/>
  <c r="K122" i="15"/>
  <c r="K121" i="15"/>
  <c r="K120" i="15"/>
  <c r="K119" i="15"/>
  <c r="K118" i="15"/>
  <c r="K117" i="15"/>
  <c r="K115" i="15"/>
  <c r="K110" i="15"/>
  <c r="K109" i="15"/>
  <c r="K108" i="15"/>
  <c r="K107" i="15"/>
  <c r="K106" i="15"/>
  <c r="K105" i="15"/>
  <c r="K104" i="15"/>
  <c r="K103" i="15"/>
  <c r="K100" i="15"/>
  <c r="T99" i="15"/>
  <c r="O99" i="15"/>
  <c r="N99" i="15"/>
  <c r="M99" i="15"/>
  <c r="L99" i="15"/>
  <c r="K99" i="15"/>
  <c r="J99" i="15"/>
  <c r="I99" i="15"/>
  <c r="H99" i="15"/>
  <c r="G99" i="15"/>
  <c r="F99" i="15"/>
  <c r="K98" i="15"/>
  <c r="K97" i="15"/>
  <c r="K96" i="15"/>
  <c r="K95" i="15"/>
  <c r="K94" i="15"/>
  <c r="K93" i="15"/>
  <c r="K91" i="15"/>
  <c r="K90" i="15"/>
  <c r="K88" i="15"/>
  <c r="K86" i="15"/>
  <c r="K85" i="15"/>
  <c r="K84" i="15"/>
  <c r="K83" i="15"/>
  <c r="K81" i="15"/>
  <c r="K80" i="15"/>
  <c r="T79" i="15"/>
  <c r="O79" i="15"/>
  <c r="N79" i="15"/>
  <c r="M79" i="15"/>
  <c r="L79" i="15"/>
  <c r="K79" i="15"/>
  <c r="J79" i="15"/>
  <c r="I79" i="15"/>
  <c r="H79" i="15"/>
  <c r="G79" i="15"/>
  <c r="F79" i="15"/>
  <c r="K78" i="15"/>
  <c r="K77" i="15"/>
  <c r="K75" i="15"/>
  <c r="K74" i="15"/>
  <c r="K73" i="15"/>
  <c r="K71" i="15"/>
  <c r="K69" i="15"/>
  <c r="T68" i="15"/>
  <c r="K68" i="15"/>
  <c r="T67" i="15"/>
  <c r="K67" i="15"/>
  <c r="T66" i="15"/>
  <c r="O66" i="15"/>
  <c r="N66" i="15"/>
  <c r="M66" i="15"/>
  <c r="L66" i="15"/>
  <c r="K66" i="15"/>
  <c r="J66" i="15"/>
  <c r="I66" i="15"/>
  <c r="H66" i="15"/>
  <c r="G66" i="15"/>
  <c r="F66" i="15"/>
  <c r="T65" i="15"/>
  <c r="K65" i="15"/>
  <c r="K64" i="15"/>
  <c r="K62" i="15"/>
  <c r="T61" i="15"/>
  <c r="O61" i="15"/>
  <c r="N61" i="15"/>
  <c r="M61" i="15"/>
  <c r="L61" i="15"/>
  <c r="K61" i="15"/>
  <c r="J61" i="15"/>
  <c r="I61" i="15"/>
  <c r="H61" i="15"/>
  <c r="G61" i="15"/>
  <c r="F61" i="15"/>
  <c r="K59" i="15"/>
  <c r="K58" i="15"/>
  <c r="K57" i="15"/>
  <c r="K56" i="15"/>
  <c r="K55" i="15"/>
  <c r="T54" i="15"/>
  <c r="O54" i="15"/>
  <c r="N54" i="15"/>
  <c r="M54" i="15"/>
  <c r="L54" i="15"/>
  <c r="K54" i="15"/>
  <c r="J54" i="15"/>
  <c r="I54" i="15"/>
  <c r="H54" i="15"/>
  <c r="G54" i="15"/>
  <c r="F54" i="15"/>
  <c r="T53" i="15"/>
  <c r="K53" i="15"/>
  <c r="K52" i="15"/>
  <c r="K51" i="15"/>
  <c r="K50" i="15"/>
  <c r="K49" i="15"/>
  <c r="K48" i="15"/>
  <c r="K47" i="15"/>
  <c r="K46" i="15"/>
  <c r="K45" i="15"/>
  <c r="T44" i="15"/>
  <c r="O44" i="15"/>
  <c r="N44" i="15"/>
  <c r="M44" i="15"/>
  <c r="L44" i="15"/>
  <c r="K44" i="15"/>
  <c r="J44" i="15"/>
  <c r="I44" i="15"/>
  <c r="H44" i="15"/>
  <c r="G44" i="15"/>
  <c r="F44" i="15"/>
  <c r="K43" i="15"/>
  <c r="K42" i="15"/>
  <c r="K41" i="15"/>
  <c r="T40" i="15"/>
  <c r="O40" i="15"/>
  <c r="N40" i="15"/>
  <c r="M40" i="15"/>
  <c r="L40" i="15"/>
  <c r="K40" i="15"/>
  <c r="J40" i="15"/>
  <c r="I40" i="15"/>
  <c r="H40" i="15"/>
  <c r="G40" i="15"/>
  <c r="F40" i="15"/>
  <c r="T39" i="15"/>
  <c r="K39" i="15"/>
  <c r="K38" i="15"/>
  <c r="K37" i="15"/>
  <c r="K36" i="15"/>
  <c r="K35" i="15"/>
  <c r="K34" i="15"/>
  <c r="K33" i="15"/>
  <c r="K32" i="15"/>
  <c r="K31" i="15"/>
  <c r="N26" i="15"/>
  <c r="K26" i="15"/>
  <c r="I26" i="15"/>
  <c r="F26" i="15"/>
  <c r="O25" i="15"/>
  <c r="N25" i="15"/>
  <c r="J25" i="15"/>
  <c r="I25" i="15"/>
  <c r="O23" i="15"/>
  <c r="N23" i="15"/>
  <c r="J23" i="15"/>
  <c r="I23" i="15"/>
  <c r="K22" i="15"/>
  <c r="K21" i="15"/>
  <c r="F21" i="15"/>
  <c r="N17" i="15"/>
  <c r="K17" i="15"/>
  <c r="I17" i="15"/>
  <c r="F17" i="15"/>
  <c r="O16" i="15"/>
  <c r="N16" i="15"/>
  <c r="K16" i="15"/>
  <c r="J16" i="15"/>
  <c r="I16" i="15"/>
  <c r="O14" i="15"/>
  <c r="N14" i="15"/>
  <c r="J14" i="15"/>
  <c r="I14" i="15"/>
  <c r="F14" i="15"/>
  <c r="K13" i="15"/>
  <c r="K12" i="15"/>
  <c r="F12" i="15"/>
  <c r="D3" i="15"/>
  <c r="G78" i="15" s="1"/>
  <c r="C3" i="15"/>
  <c r="F96" i="15" s="1"/>
  <c r="K322" i="14"/>
  <c r="K321" i="14"/>
  <c r="K320" i="14"/>
  <c r="O316" i="14"/>
  <c r="N316" i="14"/>
  <c r="L316" i="14"/>
  <c r="K316" i="14"/>
  <c r="J316" i="14"/>
  <c r="I316" i="14"/>
  <c r="G316" i="14"/>
  <c r="F316" i="14"/>
  <c r="O315" i="14"/>
  <c r="N315" i="14"/>
  <c r="L315" i="14"/>
  <c r="K315" i="14"/>
  <c r="J315" i="14"/>
  <c r="I315" i="14"/>
  <c r="G315" i="14"/>
  <c r="F315" i="14"/>
  <c r="O314" i="14"/>
  <c r="N314" i="14"/>
  <c r="L314" i="14"/>
  <c r="K314" i="14"/>
  <c r="J314" i="14"/>
  <c r="I314" i="14"/>
  <c r="G314" i="14"/>
  <c r="F314" i="14"/>
  <c r="O313" i="14"/>
  <c r="N313" i="14"/>
  <c r="K313" i="14"/>
  <c r="J313" i="14"/>
  <c r="I313" i="14"/>
  <c r="F313" i="14"/>
  <c r="O312" i="14"/>
  <c r="N312" i="14"/>
  <c r="K312" i="14"/>
  <c r="J312" i="14"/>
  <c r="I312" i="14"/>
  <c r="F312" i="14"/>
  <c r="O311" i="14"/>
  <c r="N311" i="14"/>
  <c r="K311" i="14"/>
  <c r="J311" i="14"/>
  <c r="I311" i="14"/>
  <c r="F311" i="14"/>
  <c r="O310" i="14"/>
  <c r="N310" i="14"/>
  <c r="K310" i="14"/>
  <c r="J310" i="14"/>
  <c r="I310" i="14"/>
  <c r="F310" i="14"/>
  <c r="O309" i="14"/>
  <c r="N309" i="14"/>
  <c r="K309" i="14"/>
  <c r="J309" i="14"/>
  <c r="I309" i="14"/>
  <c r="F309" i="14"/>
  <c r="O308" i="14"/>
  <c r="N308" i="14"/>
  <c r="K308" i="14"/>
  <c r="J308" i="14"/>
  <c r="I308" i="14"/>
  <c r="F308" i="14"/>
  <c r="O307" i="14"/>
  <c r="N307" i="14"/>
  <c r="K307" i="14"/>
  <c r="J307" i="14"/>
  <c r="I307" i="14"/>
  <c r="F307" i="14"/>
  <c r="O306" i="14"/>
  <c r="N306" i="14"/>
  <c r="K306" i="14"/>
  <c r="J306" i="14"/>
  <c r="I306" i="14"/>
  <c r="F306" i="14"/>
  <c r="O305" i="14"/>
  <c r="N305" i="14"/>
  <c r="K305" i="14"/>
  <c r="J305" i="14"/>
  <c r="I305" i="14"/>
  <c r="F305" i="14"/>
  <c r="O304" i="14"/>
  <c r="N304" i="14"/>
  <c r="K304" i="14"/>
  <c r="J304" i="14"/>
  <c r="I304" i="14"/>
  <c r="F304" i="14"/>
  <c r="O303" i="14"/>
  <c r="N303" i="14"/>
  <c r="K303" i="14"/>
  <c r="J303" i="14"/>
  <c r="I303" i="14"/>
  <c r="F303" i="14"/>
  <c r="O302" i="14"/>
  <c r="N302" i="14"/>
  <c r="K302" i="14"/>
  <c r="J302" i="14"/>
  <c r="I302" i="14"/>
  <c r="F302" i="14"/>
  <c r="O301" i="14"/>
  <c r="N301" i="14"/>
  <c r="K301" i="14"/>
  <c r="J301" i="14"/>
  <c r="I301" i="14"/>
  <c r="F301" i="14"/>
  <c r="O300" i="14"/>
  <c r="N300" i="14"/>
  <c r="K300" i="14"/>
  <c r="J300" i="14"/>
  <c r="I300" i="14"/>
  <c r="F300" i="14"/>
  <c r="O299" i="14"/>
  <c r="N299" i="14"/>
  <c r="K299" i="14"/>
  <c r="J299" i="14"/>
  <c r="I299" i="14"/>
  <c r="F299" i="14"/>
  <c r="O298" i="14"/>
  <c r="N298" i="14"/>
  <c r="K298" i="14"/>
  <c r="J298" i="14"/>
  <c r="I298" i="14"/>
  <c r="F298" i="14"/>
  <c r="O297" i="14"/>
  <c r="N297" i="14"/>
  <c r="K297" i="14"/>
  <c r="J297" i="14"/>
  <c r="I297" i="14"/>
  <c r="F297" i="14"/>
  <c r="O296" i="14"/>
  <c r="N296" i="14"/>
  <c r="K296" i="14"/>
  <c r="J296" i="14"/>
  <c r="I296" i="14"/>
  <c r="F296" i="14"/>
  <c r="O295" i="14"/>
  <c r="N295" i="14"/>
  <c r="K295" i="14"/>
  <c r="J295" i="14"/>
  <c r="I295" i="14"/>
  <c r="F295" i="14"/>
  <c r="O294" i="14"/>
  <c r="N294" i="14"/>
  <c r="K294" i="14"/>
  <c r="J294" i="14"/>
  <c r="I294" i="14"/>
  <c r="F294" i="14"/>
  <c r="O293" i="14"/>
  <c r="N293" i="14"/>
  <c r="K293" i="14"/>
  <c r="J293" i="14"/>
  <c r="I293" i="14"/>
  <c r="F293" i="14"/>
  <c r="O292" i="14"/>
  <c r="N292" i="14"/>
  <c r="K292" i="14"/>
  <c r="J292" i="14"/>
  <c r="I292" i="14"/>
  <c r="F292" i="14"/>
  <c r="O291" i="14"/>
  <c r="N291" i="14"/>
  <c r="K291" i="14"/>
  <c r="J291" i="14"/>
  <c r="I291" i="14"/>
  <c r="F291" i="14"/>
  <c r="O290" i="14"/>
  <c r="N290" i="14"/>
  <c r="L290" i="14"/>
  <c r="K290" i="14"/>
  <c r="J290" i="14"/>
  <c r="I290" i="14"/>
  <c r="G290" i="14"/>
  <c r="F290" i="14"/>
  <c r="K286" i="14"/>
  <c r="F286" i="14"/>
  <c r="K285" i="14"/>
  <c r="F285" i="14"/>
  <c r="K284" i="14"/>
  <c r="F284" i="14"/>
  <c r="K283" i="14"/>
  <c r="F283" i="14"/>
  <c r="L282" i="14"/>
  <c r="K282" i="14"/>
  <c r="F282" i="14"/>
  <c r="K281" i="14"/>
  <c r="F281" i="14"/>
  <c r="K280" i="14"/>
  <c r="F280" i="14"/>
  <c r="K276" i="14"/>
  <c r="K275" i="14"/>
  <c r="K274" i="14"/>
  <c r="K273" i="14"/>
  <c r="K272" i="14"/>
  <c r="K271" i="14"/>
  <c r="K264" i="14"/>
  <c r="K262" i="14"/>
  <c r="K261" i="14"/>
  <c r="T259" i="14"/>
  <c r="O259" i="14"/>
  <c r="N259" i="14"/>
  <c r="M259" i="14"/>
  <c r="L259" i="14"/>
  <c r="K259" i="14"/>
  <c r="J259" i="14"/>
  <c r="I259" i="14"/>
  <c r="H259" i="14"/>
  <c r="G259" i="14"/>
  <c r="F259" i="14"/>
  <c r="K258" i="14"/>
  <c r="K257" i="14"/>
  <c r="K256" i="14"/>
  <c r="K255" i="14"/>
  <c r="K254" i="14"/>
  <c r="K253" i="14"/>
  <c r="K252" i="14"/>
  <c r="K251" i="14"/>
  <c r="K250" i="14"/>
  <c r="K249" i="14"/>
  <c r="K248" i="14"/>
  <c r="K247" i="14"/>
  <c r="K246" i="14"/>
  <c r="K245" i="14"/>
  <c r="K244" i="14"/>
  <c r="K243" i="14"/>
  <c r="K242" i="14"/>
  <c r="K241" i="14"/>
  <c r="K240" i="14"/>
  <c r="K239" i="14"/>
  <c r="K238" i="14"/>
  <c r="K237" i="14"/>
  <c r="K236" i="14"/>
  <c r="K235" i="14"/>
  <c r="K234" i="14"/>
  <c r="K233" i="14"/>
  <c r="K232" i="14"/>
  <c r="K231" i="14"/>
  <c r="K230" i="14"/>
  <c r="K229" i="14"/>
  <c r="K228" i="14"/>
  <c r="K227" i="14"/>
  <c r="K226" i="14"/>
  <c r="K225" i="14"/>
  <c r="K224" i="14"/>
  <c r="K223" i="14"/>
  <c r="K222" i="14"/>
  <c r="K221" i="14"/>
  <c r="K220" i="14"/>
  <c r="K219" i="14"/>
  <c r="K218" i="14"/>
  <c r="K217" i="14"/>
  <c r="K216" i="14"/>
  <c r="K215" i="14"/>
  <c r="K214" i="14"/>
  <c r="K213" i="14"/>
  <c r="K212" i="14"/>
  <c r="K211" i="14"/>
  <c r="K210" i="14"/>
  <c r="K209" i="14"/>
  <c r="K208" i="14"/>
  <c r="K207" i="14"/>
  <c r="K206" i="14"/>
  <c r="K205" i="14"/>
  <c r="K204" i="14"/>
  <c r="K203" i="14"/>
  <c r="K202" i="14"/>
  <c r="K201" i="14"/>
  <c r="K200" i="14"/>
  <c r="K199" i="14"/>
  <c r="K198" i="14"/>
  <c r="K197" i="14"/>
  <c r="K195" i="14"/>
  <c r="K194" i="14"/>
  <c r="K193" i="14"/>
  <c r="K192" i="14"/>
  <c r="K191" i="14"/>
  <c r="K190" i="14"/>
  <c r="K189" i="14"/>
  <c r="K188" i="14"/>
  <c r="K187" i="14"/>
  <c r="K186" i="14"/>
  <c r="K185" i="14"/>
  <c r="K184" i="14"/>
  <c r="K183" i="14"/>
  <c r="K182" i="14"/>
  <c r="K181" i="14"/>
  <c r="K180" i="14"/>
  <c r="K179" i="14"/>
  <c r="K178" i="14"/>
  <c r="K177" i="14"/>
  <c r="K176" i="14"/>
  <c r="K175" i="14"/>
  <c r="K174" i="14"/>
  <c r="K173" i="14"/>
  <c r="K172" i="14"/>
  <c r="K171" i="14"/>
  <c r="K170" i="14"/>
  <c r="K169" i="14"/>
  <c r="K168" i="14"/>
  <c r="K167" i="14"/>
  <c r="K166" i="14"/>
  <c r="K165" i="14"/>
  <c r="K164" i="14"/>
  <c r="K163" i="14"/>
  <c r="K162" i="14"/>
  <c r="K161" i="14"/>
  <c r="K160" i="14"/>
  <c r="K159" i="14"/>
  <c r="K155" i="14"/>
  <c r="K152" i="14"/>
  <c r="K151" i="14"/>
  <c r="K150" i="14"/>
  <c r="K149" i="14"/>
  <c r="K148" i="14"/>
  <c r="K147" i="14"/>
  <c r="K146" i="14"/>
  <c r="K145" i="14"/>
  <c r="K144" i="14"/>
  <c r="K143" i="14"/>
  <c r="K138" i="14"/>
  <c r="K137" i="14"/>
  <c r="K136" i="14"/>
  <c r="T135" i="14"/>
  <c r="O135" i="14"/>
  <c r="N135" i="14"/>
  <c r="M135" i="14"/>
  <c r="L135" i="14"/>
  <c r="K135" i="14"/>
  <c r="J135" i="14"/>
  <c r="I135" i="14"/>
  <c r="H135" i="14"/>
  <c r="G135" i="14"/>
  <c r="F135" i="14"/>
  <c r="K134" i="14"/>
  <c r="K133" i="14"/>
  <c r="K132" i="14"/>
  <c r="K131" i="14"/>
  <c r="T130" i="14"/>
  <c r="K130" i="14"/>
  <c r="K129" i="14"/>
  <c r="K128" i="14"/>
  <c r="K127" i="14"/>
  <c r="K126" i="14"/>
  <c r="K125" i="14"/>
  <c r="T124" i="14"/>
  <c r="T123" i="14"/>
  <c r="K123" i="14"/>
  <c r="K122" i="14"/>
  <c r="K121" i="14"/>
  <c r="K120" i="14"/>
  <c r="T119" i="14"/>
  <c r="K119" i="14"/>
  <c r="K118" i="14"/>
  <c r="T117" i="14"/>
  <c r="K117" i="14"/>
  <c r="K116" i="14"/>
  <c r="K115" i="14"/>
  <c r="K110" i="14"/>
  <c r="K109" i="14"/>
  <c r="K108" i="14"/>
  <c r="K107" i="14"/>
  <c r="K106" i="14"/>
  <c r="K100" i="14"/>
  <c r="T99" i="14"/>
  <c r="O99" i="14"/>
  <c r="N99" i="14"/>
  <c r="M99" i="14"/>
  <c r="L99" i="14"/>
  <c r="K99" i="14"/>
  <c r="J99" i="14"/>
  <c r="I99" i="14"/>
  <c r="H99" i="14"/>
  <c r="G99" i="14"/>
  <c r="F99" i="14"/>
  <c r="T98" i="14"/>
  <c r="K98" i="14"/>
  <c r="K97" i="14"/>
  <c r="T95" i="14"/>
  <c r="K95" i="14"/>
  <c r="K93" i="14"/>
  <c r="T92" i="14"/>
  <c r="K92" i="14"/>
  <c r="T91" i="14"/>
  <c r="K91" i="14"/>
  <c r="T90" i="14"/>
  <c r="K90" i="14"/>
  <c r="K89" i="14"/>
  <c r="K88" i="14"/>
  <c r="K87" i="14"/>
  <c r="K86" i="14"/>
  <c r="T85" i="14"/>
  <c r="K85" i="14"/>
  <c r="T84" i="14"/>
  <c r="K84" i="14"/>
  <c r="T80" i="14"/>
  <c r="T79" i="14"/>
  <c r="O79" i="14"/>
  <c r="N79" i="14"/>
  <c r="M79" i="14"/>
  <c r="L79" i="14"/>
  <c r="K79" i="14"/>
  <c r="J79" i="14"/>
  <c r="I79" i="14"/>
  <c r="H79" i="14"/>
  <c r="G79" i="14"/>
  <c r="F79" i="14"/>
  <c r="T78" i="14"/>
  <c r="K78" i="14"/>
  <c r="K77" i="14"/>
  <c r="T75" i="14"/>
  <c r="K75" i="14"/>
  <c r="K73" i="14"/>
  <c r="K71" i="14"/>
  <c r="K69" i="14"/>
  <c r="T68" i="14"/>
  <c r="K68" i="14"/>
  <c r="T67" i="14"/>
  <c r="K67" i="14"/>
  <c r="T66" i="14"/>
  <c r="O66" i="14"/>
  <c r="N66" i="14"/>
  <c r="M66" i="14"/>
  <c r="L66" i="14"/>
  <c r="K66" i="14"/>
  <c r="J66" i="14"/>
  <c r="I66" i="14"/>
  <c r="H66" i="14"/>
  <c r="G66" i="14"/>
  <c r="F66" i="14"/>
  <c r="T65" i="14"/>
  <c r="K64" i="14"/>
  <c r="T61" i="14"/>
  <c r="O61" i="14"/>
  <c r="N61" i="14"/>
  <c r="M61" i="14"/>
  <c r="L61" i="14"/>
  <c r="K61" i="14"/>
  <c r="J61" i="14"/>
  <c r="I61" i="14"/>
  <c r="H61" i="14"/>
  <c r="G61" i="14"/>
  <c r="F61" i="14"/>
  <c r="K60" i="14"/>
  <c r="F60" i="14"/>
  <c r="K59" i="14"/>
  <c r="K58" i="14"/>
  <c r="K55" i="14"/>
  <c r="T54" i="14"/>
  <c r="O54" i="14"/>
  <c r="N54" i="14"/>
  <c r="M54" i="14"/>
  <c r="L54" i="14"/>
  <c r="K54" i="14"/>
  <c r="J54" i="14"/>
  <c r="I54" i="14"/>
  <c r="H54" i="14"/>
  <c r="G54" i="14"/>
  <c r="F54" i="14"/>
  <c r="T53" i="14"/>
  <c r="K53" i="14"/>
  <c r="K52" i="14"/>
  <c r="K51" i="14"/>
  <c r="T50" i="14"/>
  <c r="K49" i="14"/>
  <c r="K48" i="14"/>
  <c r="K46" i="14"/>
  <c r="K45" i="14"/>
  <c r="T44" i="14"/>
  <c r="O44" i="14"/>
  <c r="N44" i="14"/>
  <c r="M44" i="14"/>
  <c r="L44" i="14"/>
  <c r="K44" i="14"/>
  <c r="J44" i="14"/>
  <c r="I44" i="14"/>
  <c r="H44" i="14"/>
  <c r="G44" i="14"/>
  <c r="F44" i="14"/>
  <c r="K43" i="14"/>
  <c r="K42" i="14"/>
  <c r="K41" i="14"/>
  <c r="T40" i="14"/>
  <c r="O40" i="14"/>
  <c r="N40" i="14"/>
  <c r="M40" i="14"/>
  <c r="L40" i="14"/>
  <c r="K40" i="14"/>
  <c r="J40" i="14"/>
  <c r="I40" i="14"/>
  <c r="H40" i="14"/>
  <c r="G40" i="14"/>
  <c r="F40" i="14"/>
  <c r="T39" i="14"/>
  <c r="K39" i="14"/>
  <c r="K38" i="14"/>
  <c r="K37" i="14"/>
  <c r="K36" i="14"/>
  <c r="F36" i="14"/>
  <c r="K35" i="14"/>
  <c r="K34" i="14"/>
  <c r="K32" i="14"/>
  <c r="K31" i="14"/>
  <c r="N26" i="14"/>
  <c r="K26" i="14"/>
  <c r="I26" i="14"/>
  <c r="F26" i="14"/>
  <c r="O25" i="14"/>
  <c r="N25" i="14"/>
  <c r="K25" i="14"/>
  <c r="J25" i="14"/>
  <c r="I25" i="14"/>
  <c r="K24" i="14"/>
  <c r="O23" i="14"/>
  <c r="N23" i="14"/>
  <c r="L23" i="14"/>
  <c r="J23" i="14"/>
  <c r="I23" i="14"/>
  <c r="F23" i="14"/>
  <c r="K21" i="14"/>
  <c r="F21" i="14"/>
  <c r="N17" i="14"/>
  <c r="K17" i="14"/>
  <c r="I17" i="14"/>
  <c r="F17" i="14"/>
  <c r="O16" i="14"/>
  <c r="N16" i="14"/>
  <c r="K16" i="14"/>
  <c r="J16" i="14"/>
  <c r="I16" i="14"/>
  <c r="F16" i="14"/>
  <c r="O14" i="14"/>
  <c r="N14" i="14"/>
  <c r="L14" i="14"/>
  <c r="J14" i="14"/>
  <c r="I14" i="14"/>
  <c r="L13" i="14"/>
  <c r="K13" i="14"/>
  <c r="K12" i="14"/>
  <c r="F12" i="14"/>
  <c r="D3" i="14"/>
  <c r="G57" i="14" s="1"/>
  <c r="C3" i="14"/>
  <c r="F68" i="14" s="1"/>
  <c r="K323" i="5"/>
  <c r="K320" i="5"/>
  <c r="K321" i="5"/>
  <c r="K322" i="5"/>
  <c r="K324" i="5"/>
  <c r="K325" i="5"/>
  <c r="F301" i="5"/>
  <c r="I301" i="5"/>
  <c r="J301" i="5"/>
  <c r="K301" i="5"/>
  <c r="N301" i="5"/>
  <c r="O301" i="5"/>
  <c r="K268" i="5"/>
  <c r="K269" i="5"/>
  <c r="K270" i="5"/>
  <c r="K271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G259" i="5"/>
  <c r="K104" i="5"/>
  <c r="K105" i="5"/>
  <c r="K106" i="5"/>
  <c r="K107" i="5"/>
  <c r="K71" i="5"/>
  <c r="T78" i="5"/>
  <c r="T75" i="5"/>
  <c r="K78" i="5"/>
  <c r="K77" i="5"/>
  <c r="K75" i="5"/>
  <c r="K74" i="5"/>
  <c r="K73" i="5"/>
  <c r="I174" i="16" l="1"/>
  <c r="G230" i="16"/>
  <c r="I241" i="16"/>
  <c r="N273" i="16"/>
  <c r="G293" i="16"/>
  <c r="I22" i="16"/>
  <c r="N58" i="16"/>
  <c r="L100" i="16"/>
  <c r="L109" i="16"/>
  <c r="L122" i="16"/>
  <c r="M127" i="16"/>
  <c r="G143" i="16"/>
  <c r="F150" i="16"/>
  <c r="N159" i="16"/>
  <c r="N164" i="16"/>
  <c r="G170" i="16"/>
  <c r="I183" i="16"/>
  <c r="N188" i="16"/>
  <c r="N211" i="16"/>
  <c r="H217" i="16"/>
  <c r="T217" i="16" s="1"/>
  <c r="H230" i="16"/>
  <c r="T230" i="16" s="1"/>
  <c r="L267" i="16"/>
  <c r="H293" i="16"/>
  <c r="T293" i="16" s="1"/>
  <c r="H14" i="16"/>
  <c r="G23" i="16"/>
  <c r="H37" i="16"/>
  <c r="T37" i="16" s="1"/>
  <c r="H45" i="16"/>
  <c r="T45" i="16" s="1"/>
  <c r="G49" i="16"/>
  <c r="G53" i="16"/>
  <c r="L55" i="16"/>
  <c r="I62" i="16"/>
  <c r="M68" i="16"/>
  <c r="G82" i="16"/>
  <c r="H90" i="16"/>
  <c r="T90" i="16" s="1"/>
  <c r="M98" i="16"/>
  <c r="L101" i="16"/>
  <c r="H110" i="16"/>
  <c r="T110" i="16" s="1"/>
  <c r="G119" i="16"/>
  <c r="I128" i="16"/>
  <c r="N143" i="16"/>
  <c r="M150" i="16"/>
  <c r="L160" i="16"/>
  <c r="I175" i="16"/>
  <c r="N179" i="16"/>
  <c r="M195" i="16"/>
  <c r="I213" i="16"/>
  <c r="I231" i="16"/>
  <c r="I237" i="16"/>
  <c r="N260" i="16"/>
  <c r="L268" i="16"/>
  <c r="L275" i="16"/>
  <c r="H309" i="16"/>
  <c r="T309" i="16" s="1"/>
  <c r="G321" i="16"/>
  <c r="G34" i="16"/>
  <c r="I37" i="16"/>
  <c r="F43" i="16"/>
  <c r="I53" i="16"/>
  <c r="L59" i="16"/>
  <c r="N68" i="16"/>
  <c r="L73" i="16"/>
  <c r="H86" i="16"/>
  <c r="T86" i="16" s="1"/>
  <c r="I90" i="16"/>
  <c r="L94" i="16"/>
  <c r="N98" i="16"/>
  <c r="I102" i="16"/>
  <c r="L106" i="16"/>
  <c r="I124" i="16"/>
  <c r="M132" i="16"/>
  <c r="G151" i="16"/>
  <c r="L171" i="16"/>
  <c r="N195" i="16"/>
  <c r="L207" i="16"/>
  <c r="M268" i="16"/>
  <c r="G282" i="16"/>
  <c r="G303" i="16"/>
  <c r="G17" i="16"/>
  <c r="L26" i="16"/>
  <c r="I34" i="16"/>
  <c r="G43" i="16"/>
  <c r="M45" i="16"/>
  <c r="L49" i="16"/>
  <c r="G56" i="16"/>
  <c r="L62" i="16"/>
  <c r="F74" i="16"/>
  <c r="L82" i="16"/>
  <c r="M94" i="16"/>
  <c r="M106" i="16"/>
  <c r="L119" i="16"/>
  <c r="L128" i="16"/>
  <c r="F145" i="16"/>
  <c r="H151" i="16"/>
  <c r="T151" i="16" s="1"/>
  <c r="N166" i="16"/>
  <c r="N171" i="16"/>
  <c r="M175" i="16"/>
  <c r="G180" i="16"/>
  <c r="L190" i="16"/>
  <c r="L202" i="16"/>
  <c r="L231" i="16"/>
  <c r="L237" i="16"/>
  <c r="L261" i="16"/>
  <c r="I276" i="16"/>
  <c r="H282" i="16"/>
  <c r="T282" i="16" s="1"/>
  <c r="H303" i="16"/>
  <c r="T303" i="16" s="1"/>
  <c r="L321" i="16"/>
  <c r="K14" i="16"/>
  <c r="K23" i="16"/>
  <c r="L37" i="16"/>
  <c r="H43" i="16"/>
  <c r="T43" i="16" s="1"/>
  <c r="N45" i="16"/>
  <c r="M49" i="16"/>
  <c r="L53" i="16"/>
  <c r="M62" i="16"/>
  <c r="G74" i="16"/>
  <c r="G83" i="16"/>
  <c r="L86" i="16"/>
  <c r="L90" i="16"/>
  <c r="N94" i="16"/>
  <c r="L102" i="16"/>
  <c r="N106" i="16"/>
  <c r="I115" i="16"/>
  <c r="M119" i="16"/>
  <c r="L124" i="16"/>
  <c r="G133" i="16"/>
  <c r="H136" i="16"/>
  <c r="T136" i="16" s="1"/>
  <c r="G145" i="16"/>
  <c r="M161" i="16"/>
  <c r="I180" i="16"/>
  <c r="M190" i="16"/>
  <c r="N202" i="16"/>
  <c r="I208" i="16"/>
  <c r="N231" i="16"/>
  <c r="M237" i="16"/>
  <c r="G250" i="16"/>
  <c r="M261" i="16"/>
  <c r="L14" i="16"/>
  <c r="L23" i="16"/>
  <c r="L34" i="16"/>
  <c r="M37" i="16"/>
  <c r="I43" i="16"/>
  <c r="L56" i="16"/>
  <c r="L60" i="16"/>
  <c r="N62" i="16"/>
  <c r="G69" i="16"/>
  <c r="I74" i="16"/>
  <c r="H83" i="16"/>
  <c r="T83" i="16" s="1"/>
  <c r="N90" i="16"/>
  <c r="M102" i="16"/>
  <c r="F107" i="16"/>
  <c r="N119" i="16"/>
  <c r="H133" i="16"/>
  <c r="T133" i="16" s="1"/>
  <c r="I136" i="16"/>
  <c r="H145" i="16"/>
  <c r="T145" i="16" s="1"/>
  <c r="H152" i="16"/>
  <c r="T152" i="16" s="1"/>
  <c r="G157" i="16"/>
  <c r="N161" i="16"/>
  <c r="H167" i="16"/>
  <c r="T167" i="16" s="1"/>
  <c r="G172" i="16"/>
  <c r="L185" i="16"/>
  <c r="L196" i="16"/>
  <c r="N214" i="16"/>
  <c r="N219" i="16"/>
  <c r="N226" i="16"/>
  <c r="H244" i="16"/>
  <c r="T244" i="16" s="1"/>
  <c r="M257" i="16"/>
  <c r="N261" i="16"/>
  <c r="M276" i="16"/>
  <c r="I69" i="16"/>
  <c r="I83" i="16"/>
  <c r="I87" i="16"/>
  <c r="N102" i="16"/>
  <c r="I145" i="16"/>
  <c r="I152" i="16"/>
  <c r="I167" i="16"/>
  <c r="N257" i="16"/>
  <c r="G262" i="16"/>
  <c r="N276" i="16"/>
  <c r="H316" i="16"/>
  <c r="T316" i="16" s="1"/>
  <c r="M17" i="16"/>
  <c r="L31" i="16"/>
  <c r="H35" i="16"/>
  <c r="T35" i="16" s="1"/>
  <c r="G38" i="16"/>
  <c r="M43" i="16"/>
  <c r="L46" i="16"/>
  <c r="L50" i="16"/>
  <c r="N56" i="16"/>
  <c r="N60" i="16"/>
  <c r="H63" i="16"/>
  <c r="T63" i="16" s="1"/>
  <c r="L74" i="16"/>
  <c r="K83" i="16"/>
  <c r="G91" i="16"/>
  <c r="I95" i="16"/>
  <c r="I107" i="16"/>
  <c r="M115" i="16"/>
  <c r="H120" i="16"/>
  <c r="T120" i="16" s="1"/>
  <c r="I125" i="16"/>
  <c r="M129" i="16"/>
  <c r="N136" i="16"/>
  <c r="I157" i="16"/>
  <c r="G162" i="16"/>
  <c r="I172" i="16"/>
  <c r="G177" i="16"/>
  <c r="H181" i="16"/>
  <c r="T181" i="16" s="1"/>
  <c r="N185" i="16"/>
  <c r="M191" i="16"/>
  <c r="N203" i="16"/>
  <c r="M208" i="16"/>
  <c r="H215" i="16"/>
  <c r="T215" i="16" s="1"/>
  <c r="G227" i="16"/>
  <c r="N238" i="16"/>
  <c r="L244" i="16"/>
  <c r="N270" i="16"/>
  <c r="H301" i="16"/>
  <c r="T301" i="16" s="1"/>
  <c r="I215" i="16"/>
  <c r="L220" i="16"/>
  <c r="H227" i="16"/>
  <c r="T227" i="16" s="1"/>
  <c r="M244" i="16"/>
  <c r="G258" i="16"/>
  <c r="N262" i="16"/>
  <c r="F15" i="16"/>
  <c r="F24" i="16"/>
  <c r="N31" i="16"/>
  <c r="F39" i="16"/>
  <c r="G41" i="16"/>
  <c r="N46" i="16"/>
  <c r="N50" i="16"/>
  <c r="I57" i="16"/>
  <c r="M83" i="16"/>
  <c r="M87" i="16"/>
  <c r="M91" i="16"/>
  <c r="I96" i="16"/>
  <c r="L107" i="16"/>
  <c r="H116" i="16"/>
  <c r="T116" i="16" s="1"/>
  <c r="N125" i="16"/>
  <c r="H134" i="16"/>
  <c r="T134" i="16" s="1"/>
  <c r="G137" i="16"/>
  <c r="G146" i="16"/>
  <c r="N157" i="16"/>
  <c r="N172" i="16"/>
  <c r="I177" i="16"/>
  <c r="M233" i="16"/>
  <c r="H271" i="16"/>
  <c r="T271" i="16" s="1"/>
  <c r="G14" i="15"/>
  <c r="K63" i="15"/>
  <c r="K70" i="15"/>
  <c r="K82" i="15"/>
  <c r="K116" i="15"/>
  <c r="K151" i="15"/>
  <c r="K264" i="15"/>
  <c r="K321" i="15"/>
  <c r="K87" i="15"/>
  <c r="K156" i="15"/>
  <c r="K196" i="15"/>
  <c r="K269" i="15"/>
  <c r="K60" i="15"/>
  <c r="K89" i="15"/>
  <c r="K158" i="15"/>
  <c r="K101" i="15"/>
  <c r="K160" i="15"/>
  <c r="K273" i="15"/>
  <c r="L12" i="15"/>
  <c r="K92" i="15"/>
  <c r="K102" i="15"/>
  <c r="K126" i="15"/>
  <c r="K161" i="15"/>
  <c r="K275" i="15"/>
  <c r="K62" i="14"/>
  <c r="K101" i="14"/>
  <c r="K153" i="14"/>
  <c r="K265" i="14"/>
  <c r="K323" i="14"/>
  <c r="F47" i="14"/>
  <c r="K63" i="14"/>
  <c r="K70" i="14"/>
  <c r="K80" i="14"/>
  <c r="K94" i="14"/>
  <c r="K102" i="14"/>
  <c r="K154" i="14"/>
  <c r="K266" i="14"/>
  <c r="K324" i="14"/>
  <c r="K325" i="14"/>
  <c r="K47" i="14"/>
  <c r="K267" i="14"/>
  <c r="K56" i="14"/>
  <c r="K65" i="14"/>
  <c r="K81" i="14"/>
  <c r="K104" i="14"/>
  <c r="K124" i="14"/>
  <c r="K156" i="14"/>
  <c r="K196" i="14"/>
  <c r="K268" i="14"/>
  <c r="K103" i="14"/>
  <c r="K57" i="14"/>
  <c r="K74" i="14"/>
  <c r="K82" i="14"/>
  <c r="K96" i="14"/>
  <c r="K105" i="14"/>
  <c r="K157" i="14"/>
  <c r="K269" i="14"/>
  <c r="F31" i="14"/>
  <c r="K22" i="14"/>
  <c r="K33" i="14"/>
  <c r="K50" i="14"/>
  <c r="K83" i="14"/>
  <c r="F106" i="14"/>
  <c r="K158" i="14"/>
  <c r="K270" i="14"/>
  <c r="N12" i="16"/>
  <c r="F22" i="16"/>
  <c r="H26" i="16"/>
  <c r="N37" i="16"/>
  <c r="M39" i="16"/>
  <c r="I45" i="16"/>
  <c r="I47" i="16"/>
  <c r="I49" i="16"/>
  <c r="H51" i="16"/>
  <c r="T51" i="16" s="1"/>
  <c r="H53" i="16"/>
  <c r="F57" i="16"/>
  <c r="H71" i="16"/>
  <c r="T71" i="16" s="1"/>
  <c r="I88" i="16"/>
  <c r="M92" i="16"/>
  <c r="F101" i="16"/>
  <c r="I105" i="16"/>
  <c r="N109" i="16"/>
  <c r="G116" i="16"/>
  <c r="H118" i="16"/>
  <c r="T118" i="16" s="1"/>
  <c r="H130" i="16"/>
  <c r="T130" i="16" s="1"/>
  <c r="H137" i="16"/>
  <c r="T137" i="16" s="1"/>
  <c r="N145" i="16"/>
  <c r="I148" i="16"/>
  <c r="G153" i="16"/>
  <c r="G160" i="16"/>
  <c r="L180" i="16"/>
  <c r="L186" i="16"/>
  <c r="M189" i="16"/>
  <c r="I193" i="16"/>
  <c r="H199" i="16"/>
  <c r="T199" i="16" s="1"/>
  <c r="L217" i="16"/>
  <c r="G221" i="16"/>
  <c r="I224" i="16"/>
  <c r="N234" i="16"/>
  <c r="L262" i="16"/>
  <c r="F272" i="16"/>
  <c r="L295" i="16"/>
  <c r="H17" i="16"/>
  <c r="H22" i="16"/>
  <c r="I24" i="16"/>
  <c r="I32" i="16"/>
  <c r="H34" i="16"/>
  <c r="T34" i="16" s="1"/>
  <c r="M41" i="16"/>
  <c r="L43" i="16"/>
  <c r="L47" i="16"/>
  <c r="H55" i="16"/>
  <c r="T55" i="16" s="1"/>
  <c r="H57" i="16"/>
  <c r="T57" i="16" s="1"/>
  <c r="H59" i="16"/>
  <c r="T59" i="16" s="1"/>
  <c r="G63" i="16"/>
  <c r="G65" i="16"/>
  <c r="M74" i="16"/>
  <c r="N77" i="16"/>
  <c r="F82" i="16"/>
  <c r="M90" i="16"/>
  <c r="H97" i="16"/>
  <c r="T97" i="16" s="1"/>
  <c r="M107" i="16"/>
  <c r="I116" i="16"/>
  <c r="L120" i="16"/>
  <c r="G123" i="16"/>
  <c r="M125" i="16"/>
  <c r="G128" i="16"/>
  <c r="M143" i="16"/>
  <c r="F146" i="16"/>
  <c r="M148" i="16"/>
  <c r="F151" i="16"/>
  <c r="M155" i="16"/>
  <c r="F158" i="16"/>
  <c r="I160" i="16"/>
  <c r="N162" i="16"/>
  <c r="I165" i="16"/>
  <c r="H170" i="16"/>
  <c r="T170" i="16" s="1"/>
  <c r="L175" i="16"/>
  <c r="G178" i="16"/>
  <c r="G181" i="16"/>
  <c r="M183" i="16"/>
  <c r="N186" i="16"/>
  <c r="M202" i="16"/>
  <c r="H205" i="16"/>
  <c r="T205" i="16" s="1"/>
  <c r="M211" i="16"/>
  <c r="I221" i="16"/>
  <c r="M231" i="16"/>
  <c r="I235" i="16"/>
  <c r="L238" i="16"/>
  <c r="H246" i="16"/>
  <c r="T246" i="16" s="1"/>
  <c r="I283" i="16"/>
  <c r="N321" i="16"/>
  <c r="G324" i="16"/>
  <c r="L306" i="16"/>
  <c r="G301" i="16"/>
  <c r="L269" i="16"/>
  <c r="G264" i="16"/>
  <c r="L249" i="16"/>
  <c r="G244" i="16"/>
  <c r="L229" i="16"/>
  <c r="G224" i="16"/>
  <c r="L209" i="16"/>
  <c r="G204" i="16"/>
  <c r="L189" i="16"/>
  <c r="G184" i="16"/>
  <c r="L169" i="16"/>
  <c r="G164" i="16"/>
  <c r="L149" i="16"/>
  <c r="G144" i="16"/>
  <c r="L125" i="16"/>
  <c r="G120" i="16"/>
  <c r="G310" i="16"/>
  <c r="G322" i="16"/>
  <c r="G308" i="16"/>
  <c r="L293" i="16"/>
  <c r="L276" i="16"/>
  <c r="G271" i="16"/>
  <c r="L256" i="16"/>
  <c r="G251" i="16"/>
  <c r="L325" i="16"/>
  <c r="G320" i="16"/>
  <c r="L302" i="16"/>
  <c r="G297" i="16"/>
  <c r="G283" i="16"/>
  <c r="L265" i="16"/>
  <c r="G260" i="16"/>
  <c r="L245" i="16"/>
  <c r="G240" i="16"/>
  <c r="L225" i="16"/>
  <c r="G220" i="16"/>
  <c r="L311" i="16"/>
  <c r="G306" i="16"/>
  <c r="L291" i="16"/>
  <c r="L274" i="16"/>
  <c r="G269" i="16"/>
  <c r="L254" i="16"/>
  <c r="G249" i="16"/>
  <c r="L234" i="16"/>
  <c r="G229" i="16"/>
  <c r="L214" i="16"/>
  <c r="G209" i="16"/>
  <c r="L194" i="16"/>
  <c r="G189" i="16"/>
  <c r="G309" i="16"/>
  <c r="L294" i="16"/>
  <c r="G272" i="16"/>
  <c r="L257" i="16"/>
  <c r="G252" i="16"/>
  <c r="G311" i="16"/>
  <c r="L300" i="16"/>
  <c r="L296" i="16"/>
  <c r="L292" i="16"/>
  <c r="L298" i="16"/>
  <c r="L304" i="16"/>
  <c r="G325" i="16"/>
  <c r="L308" i="16"/>
  <c r="L270" i="16"/>
  <c r="G266" i="16"/>
  <c r="L263" i="16"/>
  <c r="G241" i="16"/>
  <c r="G237" i="16"/>
  <c r="G235" i="16"/>
  <c r="L222" i="16"/>
  <c r="L322" i="16"/>
  <c r="G294" i="16"/>
  <c r="G261" i="16"/>
  <c r="G243" i="16"/>
  <c r="G239" i="16"/>
  <c r="L226" i="16"/>
  <c r="L224" i="16"/>
  <c r="G212" i="16"/>
  <c r="G210" i="16"/>
  <c r="G208" i="16"/>
  <c r="G206" i="16"/>
  <c r="G202" i="16"/>
  <c r="L310" i="16"/>
  <c r="G302" i="16"/>
  <c r="G300" i="16"/>
  <c r="G298" i="16"/>
  <c r="G296" i="16"/>
  <c r="G292" i="16"/>
  <c r="L282" i="16"/>
  <c r="G275" i="16"/>
  <c r="L272" i="16"/>
  <c r="G268" i="16"/>
  <c r="G254" i="16"/>
  <c r="G247" i="16"/>
  <c r="G245" i="16"/>
  <c r="L228" i="16"/>
  <c r="G218" i="16"/>
  <c r="G216" i="16"/>
  <c r="G214" i="16"/>
  <c r="G200" i="16"/>
  <c r="G198" i="16"/>
  <c r="G196" i="16"/>
  <c r="L178" i="16"/>
  <c r="G169" i="16"/>
  <c r="L284" i="16"/>
  <c r="L232" i="16"/>
  <c r="L230" i="16"/>
  <c r="G194" i="16"/>
  <c r="G192" i="16"/>
  <c r="G190" i="16"/>
  <c r="G188" i="16"/>
  <c r="G186" i="16"/>
  <c r="L176" i="16"/>
  <c r="G167" i="16"/>
  <c r="L159" i="16"/>
  <c r="G150" i="16"/>
  <c r="L136" i="16"/>
  <c r="G127" i="16"/>
  <c r="L117" i="16"/>
  <c r="G106" i="16"/>
  <c r="L91" i="16"/>
  <c r="G86" i="16"/>
  <c r="L312" i="16"/>
  <c r="G304" i="16"/>
  <c r="L286" i="16"/>
  <c r="G270" i="16"/>
  <c r="L258" i="16"/>
  <c r="G256" i="16"/>
  <c r="L251" i="16"/>
  <c r="G312" i="16"/>
  <c r="L307" i="16"/>
  <c r="L303" i="16"/>
  <c r="G286" i="16"/>
  <c r="L255" i="16"/>
  <c r="L248" i="16"/>
  <c r="G295" i="16"/>
  <c r="L281" i="16"/>
  <c r="L240" i="16"/>
  <c r="G238" i="16"/>
  <c r="L233" i="16"/>
  <c r="G231" i="16"/>
  <c r="L204" i="16"/>
  <c r="L187" i="16"/>
  <c r="G115" i="16"/>
  <c r="G109" i="16"/>
  <c r="G107" i="16"/>
  <c r="G90" i="16"/>
  <c r="L80" i="16"/>
  <c r="L65" i="16"/>
  <c r="G60" i="16"/>
  <c r="L45" i="16"/>
  <c r="L324" i="16"/>
  <c r="L297" i="16"/>
  <c r="G276" i="16"/>
  <c r="L260" i="16"/>
  <c r="G195" i="16"/>
  <c r="G185" i="16"/>
  <c r="L172" i="16"/>
  <c r="L170" i="16"/>
  <c r="L168" i="16"/>
  <c r="L166" i="16"/>
  <c r="L164" i="16"/>
  <c r="G305" i="16"/>
  <c r="G284" i="16"/>
  <c r="G281" i="16"/>
  <c r="G248" i="16"/>
  <c r="G228" i="16"/>
  <c r="L218" i="16"/>
  <c r="L206" i="16"/>
  <c r="L199" i="16"/>
  <c r="L192" i="16"/>
  <c r="L174" i="16"/>
  <c r="L154" i="16"/>
  <c r="L152" i="16"/>
  <c r="L150" i="16"/>
  <c r="L148" i="16"/>
  <c r="L146" i="16"/>
  <c r="L144" i="16"/>
  <c r="L138" i="16"/>
  <c r="L134" i="16"/>
  <c r="L132" i="16"/>
  <c r="G103" i="16"/>
  <c r="G84" i="16"/>
  <c r="L63" i="16"/>
  <c r="G58" i="16"/>
  <c r="G273" i="16"/>
  <c r="L266" i="16"/>
  <c r="L235" i="16"/>
  <c r="G223" i="16"/>
  <c r="L213" i="16"/>
  <c r="G211" i="16"/>
  <c r="L201" i="16"/>
  <c r="L130" i="16"/>
  <c r="L95" i="16"/>
  <c r="L75" i="16"/>
  <c r="G67" i="16"/>
  <c r="L320" i="16"/>
  <c r="G257" i="16"/>
  <c r="L250" i="16"/>
  <c r="L242" i="16"/>
  <c r="G233" i="16"/>
  <c r="L323" i="16"/>
  <c r="L309" i="16"/>
  <c r="G307" i="16"/>
  <c r="L299" i="16"/>
  <c r="G263" i="16"/>
  <c r="L283" i="16"/>
  <c r="L247" i="16"/>
  <c r="L227" i="16"/>
  <c r="G225" i="16"/>
  <c r="G213" i="16"/>
  <c r="G199" i="16"/>
  <c r="L184" i="16"/>
  <c r="G182" i="16"/>
  <c r="G176" i="16"/>
  <c r="G174" i="16"/>
  <c r="G215" i="16"/>
  <c r="L212" i="16"/>
  <c r="G203" i="16"/>
  <c r="L167" i="16"/>
  <c r="L165" i="16"/>
  <c r="L163" i="16"/>
  <c r="L161" i="16"/>
  <c r="L157" i="16"/>
  <c r="L155" i="16"/>
  <c r="L147" i="16"/>
  <c r="L145" i="16"/>
  <c r="L143" i="16"/>
  <c r="G265" i="16"/>
  <c r="L252" i="16"/>
  <c r="L241" i="16"/>
  <c r="L219" i="16"/>
  <c r="I13" i="16"/>
  <c r="L24" i="16"/>
  <c r="M26" i="16"/>
  <c r="L32" i="16"/>
  <c r="H38" i="16"/>
  <c r="T38" i="16" s="1"/>
  <c r="N49" i="16"/>
  <c r="M51" i="16"/>
  <c r="M53" i="16"/>
  <c r="M65" i="16"/>
  <c r="N67" i="16"/>
  <c r="M69" i="16"/>
  <c r="N71" i="16"/>
  <c r="F78" i="16"/>
  <c r="G80" i="16"/>
  <c r="L84" i="16"/>
  <c r="M86" i="16"/>
  <c r="N88" i="16"/>
  <c r="G93" i="16"/>
  <c r="L97" i="16"/>
  <c r="M101" i="16"/>
  <c r="M103" i="16"/>
  <c r="N105" i="16"/>
  <c r="F108" i="16"/>
  <c r="I110" i="16"/>
  <c r="L116" i="16"/>
  <c r="G121" i="16"/>
  <c r="I133" i="16"/>
  <c r="N137" i="16"/>
  <c r="F149" i="16"/>
  <c r="I151" i="16"/>
  <c r="N153" i="16"/>
  <c r="I158" i="16"/>
  <c r="N160" i="16"/>
  <c r="M165" i="16"/>
  <c r="G168" i="16"/>
  <c r="N170" i="16"/>
  <c r="G187" i="16"/>
  <c r="N190" i="16"/>
  <c r="L205" i="16"/>
  <c r="L221" i="16"/>
  <c r="H225" i="16"/>
  <c r="T225" i="16" s="1"/>
  <c r="H255" i="16"/>
  <c r="T255" i="16" s="1"/>
  <c r="N268" i="16"/>
  <c r="M283" i="16"/>
  <c r="M290" i="16"/>
  <c r="H299" i="16"/>
  <c r="T299" i="16" s="1"/>
  <c r="K15" i="16"/>
  <c r="M24" i="16"/>
  <c r="M32" i="16"/>
  <c r="N51" i="16"/>
  <c r="N53" i="16"/>
  <c r="N65" i="16"/>
  <c r="N69" i="16"/>
  <c r="H80" i="16"/>
  <c r="T80" i="16" s="1"/>
  <c r="M84" i="16"/>
  <c r="N86" i="16"/>
  <c r="H93" i="16"/>
  <c r="T93" i="16" s="1"/>
  <c r="N97" i="16"/>
  <c r="N101" i="16"/>
  <c r="N103" i="16"/>
  <c r="G108" i="16"/>
  <c r="M116" i="16"/>
  <c r="H121" i="16"/>
  <c r="T121" i="16" s="1"/>
  <c r="L123" i="16"/>
  <c r="G126" i="16"/>
  <c r="G131" i="16"/>
  <c r="F144" i="16"/>
  <c r="M146" i="16"/>
  <c r="G149" i="16"/>
  <c r="G156" i="16"/>
  <c r="G163" i="16"/>
  <c r="N165" i="16"/>
  <c r="H168" i="16"/>
  <c r="T168" i="16" s="1"/>
  <c r="M205" i="16"/>
  <c r="H209" i="16"/>
  <c r="T209" i="16" s="1"/>
  <c r="I212" i="16"/>
  <c r="M221" i="16"/>
  <c r="I225" i="16"/>
  <c r="G232" i="16"/>
  <c r="I239" i="16"/>
  <c r="L246" i="16"/>
  <c r="I255" i="16"/>
  <c r="L264" i="16"/>
  <c r="G323" i="16"/>
  <c r="N24" i="16"/>
  <c r="N32" i="16"/>
  <c r="M55" i="16"/>
  <c r="M57" i="16"/>
  <c r="M59" i="16"/>
  <c r="M63" i="16"/>
  <c r="H78" i="16"/>
  <c r="T78" i="16" s="1"/>
  <c r="M82" i="16"/>
  <c r="N84" i="16"/>
  <c r="I93" i="16"/>
  <c r="N95" i="16"/>
  <c r="H108" i="16"/>
  <c r="T108" i="16" s="1"/>
  <c r="I121" i="16"/>
  <c r="M123" i="16"/>
  <c r="H126" i="16"/>
  <c r="T126" i="16" s="1"/>
  <c r="H131" i="16"/>
  <c r="T131" i="16" s="1"/>
  <c r="H144" i="16"/>
  <c r="T144" i="16" s="1"/>
  <c r="H149" i="16"/>
  <c r="T149" i="16" s="1"/>
  <c r="L151" i="16"/>
  <c r="H156" i="16"/>
  <c r="T156" i="16" s="1"/>
  <c r="L158" i="16"/>
  <c r="H163" i="16"/>
  <c r="T163" i="16" s="1"/>
  <c r="I168" i="16"/>
  <c r="L173" i="16"/>
  <c r="H176" i="16"/>
  <c r="T176" i="16" s="1"/>
  <c r="G179" i="16"/>
  <c r="L181" i="16"/>
  <c r="M184" i="16"/>
  <c r="M187" i="16"/>
  <c r="G197" i="16"/>
  <c r="H203" i="16"/>
  <c r="T203" i="16" s="1"/>
  <c r="I209" i="16"/>
  <c r="L215" i="16"/>
  <c r="I229" i="16"/>
  <c r="H232" i="16"/>
  <c r="T232" i="16" s="1"/>
  <c r="G236" i="16"/>
  <c r="I251" i="16"/>
  <c r="M264" i="16"/>
  <c r="G274" i="16"/>
  <c r="M296" i="16"/>
  <c r="H311" i="16"/>
  <c r="T311" i="16" s="1"/>
  <c r="H323" i="16"/>
  <c r="T323" i="16" s="1"/>
  <c r="F80" i="16"/>
  <c r="L13" i="16"/>
  <c r="M15" i="16"/>
  <c r="N22" i="16"/>
  <c r="M36" i="16"/>
  <c r="L38" i="16"/>
  <c r="I42" i="16"/>
  <c r="G46" i="16"/>
  <c r="G48" i="16"/>
  <c r="N55" i="16"/>
  <c r="N57" i="16"/>
  <c r="N59" i="16"/>
  <c r="H75" i="16"/>
  <c r="T75" i="16" s="1"/>
  <c r="I78" i="16"/>
  <c r="N80" i="16"/>
  <c r="N82" i="16"/>
  <c r="H91" i="16"/>
  <c r="T91" i="16" s="1"/>
  <c r="I108" i="16"/>
  <c r="L110" i="16"/>
  <c r="H119" i="16"/>
  <c r="T119" i="16" s="1"/>
  <c r="I126" i="16"/>
  <c r="I131" i="16"/>
  <c r="L133" i="16"/>
  <c r="I144" i="16"/>
  <c r="I149" i="16"/>
  <c r="N151" i="16"/>
  <c r="G154" i="16"/>
  <c r="I156" i="16"/>
  <c r="G171" i="16"/>
  <c r="M173" i="16"/>
  <c r="I176" i="16"/>
  <c r="H179" i="16"/>
  <c r="T179" i="16" s="1"/>
  <c r="M181" i="16"/>
  <c r="N184" i="16"/>
  <c r="G191" i="16"/>
  <c r="I203" i="16"/>
  <c r="I206" i="16"/>
  <c r="M215" i="16"/>
  <c r="G219" i="16"/>
  <c r="G222" i="16"/>
  <c r="I232" i="16"/>
  <c r="H236" i="16"/>
  <c r="T236" i="16" s="1"/>
  <c r="L239" i="16"/>
  <c r="N264" i="16"/>
  <c r="I274" i="16"/>
  <c r="I323" i="16"/>
  <c r="M315" i="16"/>
  <c r="H310" i="16"/>
  <c r="T310" i="16" s="1"/>
  <c r="M295" i="16"/>
  <c r="M281" i="16"/>
  <c r="H273" i="16"/>
  <c r="T273" i="16" s="1"/>
  <c r="M258" i="16"/>
  <c r="H253" i="16"/>
  <c r="T253" i="16" s="1"/>
  <c r="M238" i="16"/>
  <c r="H233" i="16"/>
  <c r="T233" i="16" s="1"/>
  <c r="M218" i="16"/>
  <c r="H213" i="16"/>
  <c r="T213" i="16" s="1"/>
  <c r="M198" i="16"/>
  <c r="H193" i="16"/>
  <c r="T193" i="16" s="1"/>
  <c r="M178" i="16"/>
  <c r="H173" i="16"/>
  <c r="T173" i="16" s="1"/>
  <c r="M158" i="16"/>
  <c r="H153" i="16"/>
  <c r="T153" i="16" s="1"/>
  <c r="M134" i="16"/>
  <c r="H129" i="16"/>
  <c r="T129" i="16" s="1"/>
  <c r="M110" i="16"/>
  <c r="H322" i="16"/>
  <c r="T322" i="16" s="1"/>
  <c r="M313" i="16"/>
  <c r="M325" i="16"/>
  <c r="H320" i="16"/>
  <c r="T320" i="16" s="1"/>
  <c r="M302" i="16"/>
  <c r="H297" i="16"/>
  <c r="T297" i="16" s="1"/>
  <c r="H283" i="16"/>
  <c r="T283" i="16" s="1"/>
  <c r="M265" i="16"/>
  <c r="H260" i="16"/>
  <c r="T260" i="16" s="1"/>
  <c r="M311" i="16"/>
  <c r="H306" i="16"/>
  <c r="T306" i="16" s="1"/>
  <c r="M291" i="16"/>
  <c r="M274" i="16"/>
  <c r="H269" i="16"/>
  <c r="T269" i="16" s="1"/>
  <c r="M254" i="16"/>
  <c r="H249" i="16"/>
  <c r="T249" i="16" s="1"/>
  <c r="M234" i="16"/>
  <c r="H229" i="16"/>
  <c r="T229" i="16" s="1"/>
  <c r="M214" i="16"/>
  <c r="M323" i="16"/>
  <c r="H315" i="16"/>
  <c r="T315" i="16" s="1"/>
  <c r="M300" i="16"/>
  <c r="H295" i="16"/>
  <c r="T295" i="16" s="1"/>
  <c r="M286" i="16"/>
  <c r="H281" i="16"/>
  <c r="T281" i="16" s="1"/>
  <c r="M263" i="16"/>
  <c r="H258" i="16"/>
  <c r="T258" i="16" s="1"/>
  <c r="M243" i="16"/>
  <c r="H238" i="16"/>
  <c r="T238" i="16" s="1"/>
  <c r="M223" i="16"/>
  <c r="H218" i="16"/>
  <c r="T218" i="16" s="1"/>
  <c r="M203" i="16"/>
  <c r="H198" i="16"/>
  <c r="T198" i="16" s="1"/>
  <c r="M321" i="16"/>
  <c r="H321" i="16"/>
  <c r="T321" i="16" s="1"/>
  <c r="M303" i="16"/>
  <c r="H298" i="16"/>
  <c r="T298" i="16" s="1"/>
  <c r="H284" i="16"/>
  <c r="T284" i="16" s="1"/>
  <c r="M266" i="16"/>
  <c r="H261" i="16"/>
  <c r="T261" i="16" s="1"/>
  <c r="H313" i="16"/>
  <c r="T313" i="16" s="1"/>
  <c r="M298" i="16"/>
  <c r="M304" i="16"/>
  <c r="H325" i="16"/>
  <c r="T325" i="16" s="1"/>
  <c r="M308" i="16"/>
  <c r="M306" i="16"/>
  <c r="M322" i="16"/>
  <c r="H294" i="16"/>
  <c r="T294" i="16" s="1"/>
  <c r="H290" i="16"/>
  <c r="M256" i="16"/>
  <c r="H243" i="16"/>
  <c r="T243" i="16" s="1"/>
  <c r="H239" i="16"/>
  <c r="T239" i="16" s="1"/>
  <c r="M226" i="16"/>
  <c r="M224" i="16"/>
  <c r="H212" i="16"/>
  <c r="T212" i="16" s="1"/>
  <c r="H210" i="16"/>
  <c r="T210" i="16" s="1"/>
  <c r="H208" i="16"/>
  <c r="T208" i="16" s="1"/>
  <c r="H206" i="16"/>
  <c r="T206" i="16" s="1"/>
  <c r="H202" i="16"/>
  <c r="T202" i="16" s="1"/>
  <c r="M310" i="16"/>
  <c r="H302" i="16"/>
  <c r="T302" i="16" s="1"/>
  <c r="H300" i="16"/>
  <c r="T300" i="16" s="1"/>
  <c r="H296" i="16"/>
  <c r="T296" i="16" s="1"/>
  <c r="H292" i="16"/>
  <c r="T292" i="16" s="1"/>
  <c r="M282" i="16"/>
  <c r="H275" i="16"/>
  <c r="T275" i="16" s="1"/>
  <c r="M272" i="16"/>
  <c r="H268" i="16"/>
  <c r="T268" i="16" s="1"/>
  <c r="H254" i="16"/>
  <c r="T254" i="16" s="1"/>
  <c r="M249" i="16"/>
  <c r="H247" i="16"/>
  <c r="T247" i="16" s="1"/>
  <c r="H245" i="16"/>
  <c r="T245" i="16" s="1"/>
  <c r="M228" i="16"/>
  <c r="H216" i="16"/>
  <c r="T216" i="16" s="1"/>
  <c r="H214" i="16"/>
  <c r="T214" i="16" s="1"/>
  <c r="H204" i="16"/>
  <c r="T204" i="16" s="1"/>
  <c r="H200" i="16"/>
  <c r="T200" i="16" s="1"/>
  <c r="H196" i="16"/>
  <c r="T196" i="16" s="1"/>
  <c r="M316" i="16"/>
  <c r="M314" i="16"/>
  <c r="M284" i="16"/>
  <c r="M232" i="16"/>
  <c r="M230" i="16"/>
  <c r="H194" i="16"/>
  <c r="T194" i="16" s="1"/>
  <c r="H192" i="16"/>
  <c r="T192" i="16" s="1"/>
  <c r="H190" i="16"/>
  <c r="T190" i="16" s="1"/>
  <c r="H188" i="16"/>
  <c r="T188" i="16" s="1"/>
  <c r="H186" i="16"/>
  <c r="T186" i="16" s="1"/>
  <c r="M176" i="16"/>
  <c r="M312" i="16"/>
  <c r="H304" i="16"/>
  <c r="T304" i="16" s="1"/>
  <c r="H270" i="16"/>
  <c r="T270" i="16" s="1"/>
  <c r="H256" i="16"/>
  <c r="T256" i="16" s="1"/>
  <c r="M251" i="16"/>
  <c r="H222" i="16"/>
  <c r="T222" i="16" s="1"/>
  <c r="H220" i="16"/>
  <c r="T220" i="16" s="1"/>
  <c r="H184" i="16"/>
  <c r="T184" i="16" s="1"/>
  <c r="H182" i="16"/>
  <c r="T182" i="16" s="1"/>
  <c r="H165" i="16"/>
  <c r="T165" i="16" s="1"/>
  <c r="M157" i="16"/>
  <c r="H148" i="16"/>
  <c r="T148" i="16" s="1"/>
  <c r="H125" i="16"/>
  <c r="T125" i="16" s="1"/>
  <c r="M100" i="16"/>
  <c r="H95" i="16"/>
  <c r="T95" i="16" s="1"/>
  <c r="M80" i="16"/>
  <c r="H74" i="16"/>
  <c r="T74" i="16" s="1"/>
  <c r="M324" i="16"/>
  <c r="H308" i="16"/>
  <c r="T308" i="16" s="1"/>
  <c r="H263" i="16"/>
  <c r="T263" i="16" s="1"/>
  <c r="H324" i="16"/>
  <c r="T324" i="16" s="1"/>
  <c r="M309" i="16"/>
  <c r="H274" i="16"/>
  <c r="T274" i="16" s="1"/>
  <c r="M269" i="16"/>
  <c r="H267" i="16"/>
  <c r="T267" i="16" s="1"/>
  <c r="M262" i="16"/>
  <c r="M307" i="16"/>
  <c r="M297" i="16"/>
  <c r="H276" i="16"/>
  <c r="T276" i="16" s="1"/>
  <c r="M260" i="16"/>
  <c r="H251" i="16"/>
  <c r="T251" i="16" s="1"/>
  <c r="H195" i="16"/>
  <c r="T195" i="16" s="1"/>
  <c r="H185" i="16"/>
  <c r="T185" i="16" s="1"/>
  <c r="M172" i="16"/>
  <c r="M170" i="16"/>
  <c r="M168" i="16"/>
  <c r="M166" i="16"/>
  <c r="M164" i="16"/>
  <c r="M162" i="16"/>
  <c r="M160" i="16"/>
  <c r="M156" i="16"/>
  <c r="H105" i="16"/>
  <c r="T105" i="16" s="1"/>
  <c r="M97" i="16"/>
  <c r="H88" i="16"/>
  <c r="T88" i="16" s="1"/>
  <c r="M78" i="16"/>
  <c r="H69" i="16"/>
  <c r="T69" i="16" s="1"/>
  <c r="H49" i="16"/>
  <c r="T49" i="16" s="1"/>
  <c r="M34" i="16"/>
  <c r="H305" i="16"/>
  <c r="T305" i="16" s="1"/>
  <c r="H264" i="16"/>
  <c r="T264" i="16" s="1"/>
  <c r="H248" i="16"/>
  <c r="T248" i="16" s="1"/>
  <c r="H228" i="16"/>
  <c r="T228" i="16" s="1"/>
  <c r="M206" i="16"/>
  <c r="M199" i="16"/>
  <c r="M192" i="16"/>
  <c r="M174" i="16"/>
  <c r="M292" i="16"/>
  <c r="M245" i="16"/>
  <c r="M235" i="16"/>
  <c r="M225" i="16"/>
  <c r="H223" i="16"/>
  <c r="T223" i="16" s="1"/>
  <c r="M213" i="16"/>
  <c r="H211" i="16"/>
  <c r="T211" i="16" s="1"/>
  <c r="M201" i="16"/>
  <c r="M136" i="16"/>
  <c r="M130" i="16"/>
  <c r="M95" i="16"/>
  <c r="M75" i="16"/>
  <c r="H67" i="16"/>
  <c r="M52" i="16"/>
  <c r="H47" i="16"/>
  <c r="T47" i="16" s="1"/>
  <c r="M320" i="16"/>
  <c r="H257" i="16"/>
  <c r="T257" i="16" s="1"/>
  <c r="M250" i="16"/>
  <c r="M242" i="16"/>
  <c r="H197" i="16"/>
  <c r="T197" i="16" s="1"/>
  <c r="H187" i="16"/>
  <c r="T187" i="16" s="1"/>
  <c r="M180" i="16"/>
  <c r="M128" i="16"/>
  <c r="M126" i="16"/>
  <c r="M124" i="16"/>
  <c r="M122" i="16"/>
  <c r="M120" i="16"/>
  <c r="H101" i="16"/>
  <c r="T101" i="16" s="1"/>
  <c r="M93" i="16"/>
  <c r="H82" i="16"/>
  <c r="T82" i="16" s="1"/>
  <c r="M73" i="16"/>
  <c r="H56" i="16"/>
  <c r="T56" i="16" s="1"/>
  <c r="H307" i="16"/>
  <c r="T307" i="16" s="1"/>
  <c r="M299" i="16"/>
  <c r="H240" i="16"/>
  <c r="T240" i="16" s="1"/>
  <c r="M220" i="16"/>
  <c r="M294" i="16"/>
  <c r="M275" i="16"/>
  <c r="H272" i="16"/>
  <c r="T272" i="16" s="1"/>
  <c r="H286" i="16"/>
  <c r="T286" i="16" s="1"/>
  <c r="H266" i="16"/>
  <c r="T266" i="16" s="1"/>
  <c r="H250" i="16"/>
  <c r="T250" i="16" s="1"/>
  <c r="H242" i="16"/>
  <c r="T242" i="16" s="1"/>
  <c r="H235" i="16"/>
  <c r="T235" i="16" s="1"/>
  <c r="M210" i="16"/>
  <c r="H201" i="16"/>
  <c r="T201" i="16" s="1"/>
  <c r="H180" i="16"/>
  <c r="T180" i="16" s="1"/>
  <c r="H178" i="16"/>
  <c r="T178" i="16" s="1"/>
  <c r="H314" i="16"/>
  <c r="T314" i="16" s="1"/>
  <c r="H265" i="16"/>
  <c r="T265" i="16" s="1"/>
  <c r="M252" i="16"/>
  <c r="M241" i="16"/>
  <c r="M229" i="16"/>
  <c r="M219" i="16"/>
  <c r="M207" i="16"/>
  <c r="M171" i="16"/>
  <c r="M169" i="16"/>
  <c r="M159" i="16"/>
  <c r="M153" i="16"/>
  <c r="M151" i="16"/>
  <c r="M149" i="16"/>
  <c r="M137" i="16"/>
  <c r="M293" i="16"/>
  <c r="H291" i="16"/>
  <c r="T291" i="16" s="1"/>
  <c r="M285" i="16"/>
  <c r="H262" i="16"/>
  <c r="T262" i="16" s="1"/>
  <c r="M255" i="16"/>
  <c r="M246" i="16"/>
  <c r="M236" i="16"/>
  <c r="M13" i="16"/>
  <c r="N15" i="16"/>
  <c r="G25" i="16"/>
  <c r="G31" i="16"/>
  <c r="N36" i="16"/>
  <c r="M38" i="16"/>
  <c r="H46" i="16"/>
  <c r="T46" i="16" s="1"/>
  <c r="H48" i="16"/>
  <c r="T48" i="16" s="1"/>
  <c r="G50" i="16"/>
  <c r="G68" i="16"/>
  <c r="G73" i="16"/>
  <c r="I75" i="16"/>
  <c r="G89" i="16"/>
  <c r="I91" i="16"/>
  <c r="L93" i="16"/>
  <c r="F96" i="16"/>
  <c r="F98" i="16"/>
  <c r="F102" i="16"/>
  <c r="F104" i="16"/>
  <c r="H106" i="16"/>
  <c r="T106" i="16" s="1"/>
  <c r="N110" i="16"/>
  <c r="G117" i="16"/>
  <c r="I119" i="16"/>
  <c r="L121" i="16"/>
  <c r="M133" i="16"/>
  <c r="G138" i="16"/>
  <c r="F147" i="16"/>
  <c r="H154" i="16"/>
  <c r="T154" i="16" s="1"/>
  <c r="G161" i="16"/>
  <c r="G166" i="16"/>
  <c r="N168" i="16"/>
  <c r="H171" i="16"/>
  <c r="T171" i="16" s="1"/>
  <c r="I179" i="16"/>
  <c r="H191" i="16"/>
  <c r="T191" i="16" s="1"/>
  <c r="M194" i="16"/>
  <c r="L197" i="16"/>
  <c r="L200" i="16"/>
  <c r="M212" i="16"/>
  <c r="N215" i="16"/>
  <c r="H219" i="16"/>
  <c r="T219" i="16" s="1"/>
  <c r="G226" i="16"/>
  <c r="M239" i="16"/>
  <c r="L243" i="16"/>
  <c r="G285" i="16"/>
  <c r="G291" i="16"/>
  <c r="K24" i="16"/>
  <c r="I322" i="16"/>
  <c r="I285" i="16"/>
  <c r="N267" i="16"/>
  <c r="I262" i="16"/>
  <c r="N247" i="16"/>
  <c r="I242" i="16"/>
  <c r="N227" i="16"/>
  <c r="I222" i="16"/>
  <c r="N207" i="16"/>
  <c r="I202" i="16"/>
  <c r="N187" i="16"/>
  <c r="I182" i="16"/>
  <c r="N167" i="16"/>
  <c r="I162" i="16"/>
  <c r="N147" i="16"/>
  <c r="I138" i="16"/>
  <c r="N123" i="16"/>
  <c r="I118" i="16"/>
  <c r="N325" i="16"/>
  <c r="I320" i="16"/>
  <c r="N274" i="16"/>
  <c r="I269" i="16"/>
  <c r="N254" i="16"/>
  <c r="I249" i="16"/>
  <c r="N323" i="16"/>
  <c r="N286" i="16"/>
  <c r="I281" i="16"/>
  <c r="N263" i="16"/>
  <c r="I258" i="16"/>
  <c r="N243" i="16"/>
  <c r="I238" i="16"/>
  <c r="N223" i="16"/>
  <c r="I218" i="16"/>
  <c r="N272" i="16"/>
  <c r="I267" i="16"/>
  <c r="N252" i="16"/>
  <c r="I247" i="16"/>
  <c r="N232" i="16"/>
  <c r="I227" i="16"/>
  <c r="N212" i="16"/>
  <c r="I207" i="16"/>
  <c r="N192" i="16"/>
  <c r="I187" i="16"/>
  <c r="I325" i="16"/>
  <c r="N275" i="16"/>
  <c r="I270" i="16"/>
  <c r="N255" i="16"/>
  <c r="I250" i="16"/>
  <c r="N322" i="16"/>
  <c r="N282" i="16"/>
  <c r="I275" i="16"/>
  <c r="I268" i="16"/>
  <c r="I261" i="16"/>
  <c r="I254" i="16"/>
  <c r="N249" i="16"/>
  <c r="I245" i="16"/>
  <c r="N228" i="16"/>
  <c r="I216" i="16"/>
  <c r="I214" i="16"/>
  <c r="I204" i="16"/>
  <c r="I200" i="16"/>
  <c r="I196" i="16"/>
  <c r="N284" i="16"/>
  <c r="N230" i="16"/>
  <c r="I198" i="16"/>
  <c r="I194" i="16"/>
  <c r="I192" i="16"/>
  <c r="I190" i="16"/>
  <c r="I188" i="16"/>
  <c r="I186" i="16"/>
  <c r="I256" i="16"/>
  <c r="N251" i="16"/>
  <c r="I220" i="16"/>
  <c r="I184" i="16"/>
  <c r="N324" i="16"/>
  <c r="N265" i="16"/>
  <c r="I263" i="16"/>
  <c r="N258" i="16"/>
  <c r="N236" i="16"/>
  <c r="N174" i="16"/>
  <c r="I163" i="16"/>
  <c r="N155" i="16"/>
  <c r="I146" i="16"/>
  <c r="N134" i="16"/>
  <c r="N132" i="16"/>
  <c r="I123" i="16"/>
  <c r="N115" i="16"/>
  <c r="I104" i="16"/>
  <c r="N89" i="16"/>
  <c r="I84" i="16"/>
  <c r="I282" i="16"/>
  <c r="I321" i="16"/>
  <c r="I260" i="16"/>
  <c r="I264" i="16"/>
  <c r="I248" i="16"/>
  <c r="I243" i="16"/>
  <c r="I228" i="16"/>
  <c r="N206" i="16"/>
  <c r="N199" i="16"/>
  <c r="N158" i="16"/>
  <c r="N154" i="16"/>
  <c r="N152" i="16"/>
  <c r="N150" i="16"/>
  <c r="N148" i="16"/>
  <c r="N146" i="16"/>
  <c r="N144" i="16"/>
  <c r="N138" i="16"/>
  <c r="I103" i="16"/>
  <c r="I86" i="16"/>
  <c r="N63" i="16"/>
  <c r="I58" i="16"/>
  <c r="N43" i="16"/>
  <c r="I38" i="16"/>
  <c r="I284" i="16"/>
  <c r="N245" i="16"/>
  <c r="N235" i="16"/>
  <c r="N225" i="16"/>
  <c r="I223" i="16"/>
  <c r="N218" i="16"/>
  <c r="N213" i="16"/>
  <c r="I211" i="16"/>
  <c r="N201" i="16"/>
  <c r="N320" i="16"/>
  <c r="I273" i="16"/>
  <c r="N269" i="16"/>
  <c r="N266" i="16"/>
  <c r="I257" i="16"/>
  <c r="N250" i="16"/>
  <c r="N242" i="16"/>
  <c r="I197" i="16"/>
  <c r="N180" i="16"/>
  <c r="N176" i="16"/>
  <c r="N128" i="16"/>
  <c r="N126" i="16"/>
  <c r="N124" i="16"/>
  <c r="N122" i="16"/>
  <c r="N120" i="16"/>
  <c r="I101" i="16"/>
  <c r="N93" i="16"/>
  <c r="I82" i="16"/>
  <c r="N73" i="16"/>
  <c r="I56" i="16"/>
  <c r="I240" i="16"/>
  <c r="I233" i="16"/>
  <c r="N220" i="16"/>
  <c r="N208" i="16"/>
  <c r="N189" i="16"/>
  <c r="N182" i="16"/>
  <c r="N178" i="16"/>
  <c r="N118" i="16"/>
  <c r="N116" i="16"/>
  <c r="N108" i="16"/>
  <c r="N91" i="16"/>
  <c r="I80" i="16"/>
  <c r="N70" i="16"/>
  <c r="I65" i="16"/>
  <c r="I324" i="16"/>
  <c r="I272" i="16"/>
  <c r="N253" i="16"/>
  <c r="N237" i="16"/>
  <c r="I230" i="16"/>
  <c r="N283" i="16"/>
  <c r="N256" i="16"/>
  <c r="N244" i="16"/>
  <c r="N222" i="16"/>
  <c r="N217" i="16"/>
  <c r="N205" i="16"/>
  <c r="N196" i="16"/>
  <c r="N191" i="16"/>
  <c r="I189" i="16"/>
  <c r="N285" i="16"/>
  <c r="N246" i="16"/>
  <c r="N224" i="16"/>
  <c r="I210" i="16"/>
  <c r="N198" i="16"/>
  <c r="N193" i="16"/>
  <c r="I191" i="16"/>
  <c r="N181" i="16"/>
  <c r="N175" i="16"/>
  <c r="N173" i="16"/>
  <c r="N133" i="16"/>
  <c r="N131" i="16"/>
  <c r="I271" i="16"/>
  <c r="I244" i="16"/>
  <c r="I234" i="16"/>
  <c r="N221" i="16"/>
  <c r="I217" i="16"/>
  <c r="N13" i="16"/>
  <c r="H25" i="16"/>
  <c r="N38" i="16"/>
  <c r="I46" i="16"/>
  <c r="I48" i="16"/>
  <c r="H50" i="16"/>
  <c r="T50" i="16" s="1"/>
  <c r="G52" i="16"/>
  <c r="H60" i="16"/>
  <c r="T60" i="16" s="1"/>
  <c r="H68" i="16"/>
  <c r="G70" i="16"/>
  <c r="H73" i="16"/>
  <c r="T73" i="16" s="1"/>
  <c r="L78" i="16"/>
  <c r="G87" i="16"/>
  <c r="H89" i="16"/>
  <c r="T89" i="16" s="1"/>
  <c r="G96" i="16"/>
  <c r="G98" i="16"/>
  <c r="G102" i="16"/>
  <c r="G104" i="16"/>
  <c r="I106" i="16"/>
  <c r="H117" i="16"/>
  <c r="T117" i="16" s="1"/>
  <c r="M121" i="16"/>
  <c r="G124" i="16"/>
  <c r="G129" i="16"/>
  <c r="H138" i="16"/>
  <c r="T138" i="16" s="1"/>
  <c r="M144" i="16"/>
  <c r="G147" i="16"/>
  <c r="I154" i="16"/>
  <c r="L156" i="16"/>
  <c r="H161" i="16"/>
  <c r="T161" i="16" s="1"/>
  <c r="M163" i="16"/>
  <c r="H166" i="16"/>
  <c r="T166" i="16" s="1"/>
  <c r="I171" i="16"/>
  <c r="N194" i="16"/>
  <c r="M197" i="16"/>
  <c r="M200" i="16"/>
  <c r="M209" i="16"/>
  <c r="I219" i="16"/>
  <c r="M222" i="16"/>
  <c r="H226" i="16"/>
  <c r="T226" i="16" s="1"/>
  <c r="N229" i="16"/>
  <c r="N239" i="16"/>
  <c r="M247" i="16"/>
  <c r="H252" i="16"/>
  <c r="T252" i="16" s="1"/>
  <c r="H285" i="16"/>
  <c r="T285" i="16" s="1"/>
  <c r="K260" i="16"/>
  <c r="F324" i="16"/>
  <c r="F262" i="16"/>
  <c r="F260" i="16"/>
  <c r="F263" i="16"/>
  <c r="F273" i="16"/>
  <c r="F325" i="16"/>
  <c r="F266" i="16"/>
  <c r="F261" i="16"/>
  <c r="K272" i="16"/>
  <c r="F152" i="16"/>
  <c r="F92" i="16"/>
  <c r="F25" i="16"/>
  <c r="F23" i="16"/>
  <c r="F16" i="16"/>
  <c r="F14" i="16"/>
  <c r="F264" i="16"/>
  <c r="K148" i="16"/>
  <c r="K146" i="16"/>
  <c r="K266" i="16"/>
  <c r="G16" i="16"/>
  <c r="G21" i="16"/>
  <c r="H23" i="16"/>
  <c r="I31" i="16"/>
  <c r="H33" i="16"/>
  <c r="T33" i="16" s="1"/>
  <c r="G35" i="16"/>
  <c r="L42" i="16"/>
  <c r="I50" i="16"/>
  <c r="H52" i="16"/>
  <c r="T52" i="16" s="1"/>
  <c r="I60" i="16"/>
  <c r="G62" i="16"/>
  <c r="G64" i="16"/>
  <c r="I68" i="16"/>
  <c r="H70" i="16"/>
  <c r="T70" i="16" s="1"/>
  <c r="I73" i="16"/>
  <c r="N78" i="16"/>
  <c r="F81" i="16"/>
  <c r="F83" i="16"/>
  <c r="G85" i="16"/>
  <c r="H87" i="16"/>
  <c r="T87" i="16" s="1"/>
  <c r="I89" i="16"/>
  <c r="F94" i="16"/>
  <c r="H96" i="16"/>
  <c r="T96" i="16" s="1"/>
  <c r="H98" i="16"/>
  <c r="T98" i="16" s="1"/>
  <c r="G100" i="16"/>
  <c r="H102" i="16"/>
  <c r="T102" i="16" s="1"/>
  <c r="H104" i="16"/>
  <c r="T104" i="16" s="1"/>
  <c r="L108" i="16"/>
  <c r="H115" i="16"/>
  <c r="T115" i="16" s="1"/>
  <c r="I117" i="16"/>
  <c r="N121" i="16"/>
  <c r="H124" i="16"/>
  <c r="T124" i="16" s="1"/>
  <c r="L126" i="16"/>
  <c r="I129" i="16"/>
  <c r="L131" i="16"/>
  <c r="G136" i="16"/>
  <c r="H147" i="16"/>
  <c r="T147" i="16" s="1"/>
  <c r="N149" i="16"/>
  <c r="G152" i="16"/>
  <c r="N156" i="16"/>
  <c r="G159" i="16"/>
  <c r="I161" i="16"/>
  <c r="N163" i="16"/>
  <c r="I166" i="16"/>
  <c r="I185" i="16"/>
  <c r="L191" i="16"/>
  <c r="N197" i="16"/>
  <c r="N200" i="16"/>
  <c r="L203" i="16"/>
  <c r="N209" i="16"/>
  <c r="I226" i="16"/>
  <c r="L236" i="16"/>
  <c r="I252" i="16"/>
  <c r="I265" i="16"/>
  <c r="M270" i="16"/>
  <c r="L305" i="16"/>
  <c r="L15" i="15"/>
  <c r="L22" i="15"/>
  <c r="F25" i="15"/>
  <c r="L26" i="15"/>
  <c r="G32" i="15"/>
  <c r="L33" i="15"/>
  <c r="F35" i="15"/>
  <c r="L41" i="15"/>
  <c r="F43" i="15"/>
  <c r="G48" i="15"/>
  <c r="L49" i="15"/>
  <c r="F51" i="15"/>
  <c r="L55" i="15"/>
  <c r="G60" i="15"/>
  <c r="G74" i="15"/>
  <c r="L81" i="15"/>
  <c r="F83" i="15"/>
  <c r="L108" i="15"/>
  <c r="G21" i="15"/>
  <c r="K23" i="15"/>
  <c r="G25" i="15"/>
  <c r="G35" i="15"/>
  <c r="L36" i="15"/>
  <c r="F38" i="15"/>
  <c r="G43" i="15"/>
  <c r="F46" i="15"/>
  <c r="G51" i="15"/>
  <c r="L52" i="15"/>
  <c r="F68" i="15"/>
  <c r="L75" i="15"/>
  <c r="G83" i="15"/>
  <c r="L87" i="15"/>
  <c r="F15" i="15"/>
  <c r="L16" i="15"/>
  <c r="F22" i="15"/>
  <c r="L23" i="15"/>
  <c r="L31" i="15"/>
  <c r="F33" i="15"/>
  <c r="G38" i="15"/>
  <c r="L39" i="15"/>
  <c r="F41" i="15"/>
  <c r="G46" i="15"/>
  <c r="L47" i="15"/>
  <c r="F49" i="15"/>
  <c r="L56" i="15"/>
  <c r="L62" i="15"/>
  <c r="L63" i="15"/>
  <c r="G67" i="15"/>
  <c r="G68" i="15"/>
  <c r="L84" i="15"/>
  <c r="F88" i="15"/>
  <c r="G15" i="15"/>
  <c r="G22" i="15"/>
  <c r="K24" i="15"/>
  <c r="G26" i="15"/>
  <c r="G33" i="15"/>
  <c r="L34" i="15"/>
  <c r="F36" i="15"/>
  <c r="G41" i="15"/>
  <c r="L42" i="15"/>
  <c r="G49" i="15"/>
  <c r="L50" i="15"/>
  <c r="F52" i="15"/>
  <c r="L53" i="15"/>
  <c r="F55" i="15"/>
  <c r="L58" i="15"/>
  <c r="L64" i="15"/>
  <c r="F78" i="15"/>
  <c r="G86" i="15"/>
  <c r="G93" i="15"/>
  <c r="L102" i="15"/>
  <c r="F275" i="15"/>
  <c r="F267" i="15"/>
  <c r="K260" i="15"/>
  <c r="F251" i="15"/>
  <c r="F243" i="15"/>
  <c r="F324" i="15"/>
  <c r="F272" i="15"/>
  <c r="F264" i="15"/>
  <c r="F256" i="15"/>
  <c r="F248" i="15"/>
  <c r="F240" i="15"/>
  <c r="F321" i="15"/>
  <c r="F269" i="15"/>
  <c r="F261" i="15"/>
  <c r="F253" i="15"/>
  <c r="F245" i="15"/>
  <c r="F237" i="15"/>
  <c r="F274" i="15"/>
  <c r="F266" i="15"/>
  <c r="F258" i="15"/>
  <c r="F250" i="15"/>
  <c r="F242" i="15"/>
  <c r="F323" i="15"/>
  <c r="F271" i="15"/>
  <c r="F263" i="15"/>
  <c r="F255" i="15"/>
  <c r="F247" i="15"/>
  <c r="F239" i="15"/>
  <c r="F325" i="15"/>
  <c r="F273" i="15"/>
  <c r="F265" i="15"/>
  <c r="F257" i="15"/>
  <c r="F249" i="15"/>
  <c r="F241" i="15"/>
  <c r="F322" i="15"/>
  <c r="F270" i="15"/>
  <c r="K263" i="15"/>
  <c r="F262" i="15"/>
  <c r="F254" i="15"/>
  <c r="F246" i="15"/>
  <c r="F238" i="15"/>
  <c r="F230" i="15"/>
  <c r="F222" i="15"/>
  <c r="F214" i="15"/>
  <c r="F206" i="15"/>
  <c r="F198" i="15"/>
  <c r="F190" i="15"/>
  <c r="F182" i="15"/>
  <c r="F320" i="15"/>
  <c r="F252" i="15"/>
  <c r="F235" i="15"/>
  <c r="F227" i="15"/>
  <c r="F219" i="15"/>
  <c r="F211" i="15"/>
  <c r="F203" i="15"/>
  <c r="F195" i="15"/>
  <c r="F187" i="15"/>
  <c r="F179" i="15"/>
  <c r="F232" i="15"/>
  <c r="F224" i="15"/>
  <c r="F216" i="15"/>
  <c r="F208" i="15"/>
  <c r="F200" i="15"/>
  <c r="F192" i="15"/>
  <c r="F184" i="15"/>
  <c r="F244" i="15"/>
  <c r="F229" i="15"/>
  <c r="F221" i="15"/>
  <c r="F213" i="15"/>
  <c r="F205" i="15"/>
  <c r="F197" i="15"/>
  <c r="F189" i="15"/>
  <c r="F181" i="15"/>
  <c r="F276" i="15"/>
  <c r="K261" i="15"/>
  <c r="F234" i="15"/>
  <c r="F226" i="15"/>
  <c r="F218" i="15"/>
  <c r="F210" i="15"/>
  <c r="F202" i="15"/>
  <c r="F194" i="15"/>
  <c r="F186" i="15"/>
  <c r="F236" i="15"/>
  <c r="F231" i="15"/>
  <c r="F223" i="15"/>
  <c r="F215" i="15"/>
  <c r="F207" i="15"/>
  <c r="F199" i="15"/>
  <c r="F191" i="15"/>
  <c r="F183" i="15"/>
  <c r="F268" i="15"/>
  <c r="F260" i="15"/>
  <c r="F228" i="15"/>
  <c r="F220" i="15"/>
  <c r="F212" i="15"/>
  <c r="F204" i="15"/>
  <c r="F196" i="15"/>
  <c r="F188" i="15"/>
  <c r="F180" i="15"/>
  <c r="F178" i="15"/>
  <c r="F175" i="15"/>
  <c r="F167" i="15"/>
  <c r="F159" i="15"/>
  <c r="F151" i="15"/>
  <c r="F143" i="15"/>
  <c r="F131" i="15"/>
  <c r="F123" i="15"/>
  <c r="F115" i="15"/>
  <c r="F209" i="15"/>
  <c r="F172" i="15"/>
  <c r="F164" i="15"/>
  <c r="F156" i="15"/>
  <c r="F148" i="15"/>
  <c r="F136" i="15"/>
  <c r="F177" i="15"/>
  <c r="F169" i="15"/>
  <c r="F161" i="15"/>
  <c r="F153" i="15"/>
  <c r="F145" i="15"/>
  <c r="F133" i="15"/>
  <c r="F233" i="15"/>
  <c r="F201" i="15"/>
  <c r="F174" i="15"/>
  <c r="F166" i="15"/>
  <c r="F158" i="15"/>
  <c r="F150" i="15"/>
  <c r="F138" i="15"/>
  <c r="F130" i="15"/>
  <c r="F171" i="15"/>
  <c r="F163" i="15"/>
  <c r="F155" i="15"/>
  <c r="F147" i="15"/>
  <c r="F225" i="15"/>
  <c r="F193" i="15"/>
  <c r="F176" i="15"/>
  <c r="F168" i="15"/>
  <c r="F160" i="15"/>
  <c r="F152" i="15"/>
  <c r="F144" i="15"/>
  <c r="F132" i="15"/>
  <c r="F173" i="15"/>
  <c r="F165" i="15"/>
  <c r="F157" i="15"/>
  <c r="F149" i="15"/>
  <c r="F137" i="15"/>
  <c r="F129" i="15"/>
  <c r="F185" i="15"/>
  <c r="F146" i="15"/>
  <c r="F101" i="15"/>
  <c r="F93" i="15"/>
  <c r="F85" i="15"/>
  <c r="F77" i="15"/>
  <c r="F67" i="15"/>
  <c r="F59" i="15"/>
  <c r="F128" i="15"/>
  <c r="F127" i="15"/>
  <c r="F118" i="15"/>
  <c r="F110" i="15"/>
  <c r="F106" i="15"/>
  <c r="F98" i="15"/>
  <c r="F90" i="15"/>
  <c r="F82" i="15"/>
  <c r="F73" i="15"/>
  <c r="F217" i="15"/>
  <c r="F170" i="15"/>
  <c r="F122" i="15"/>
  <c r="F103" i="15"/>
  <c r="F95" i="15"/>
  <c r="F87" i="15"/>
  <c r="F69" i="15"/>
  <c r="F126" i="15"/>
  <c r="F117" i="15"/>
  <c r="F109" i="15"/>
  <c r="F100" i="15"/>
  <c r="F92" i="15"/>
  <c r="F84" i="15"/>
  <c r="F75" i="15"/>
  <c r="F162" i="15"/>
  <c r="F134" i="15"/>
  <c r="F125" i="15"/>
  <c r="F121" i="15"/>
  <c r="F108" i="15"/>
  <c r="F105" i="15"/>
  <c r="F97" i="15"/>
  <c r="K147" i="15"/>
  <c r="F120" i="15"/>
  <c r="F102" i="15"/>
  <c r="F94" i="15"/>
  <c r="F86" i="15"/>
  <c r="F154" i="15"/>
  <c r="F116" i="15"/>
  <c r="F107" i="15"/>
  <c r="F91" i="15"/>
  <c r="F124" i="15"/>
  <c r="F119" i="15"/>
  <c r="L13" i="15"/>
  <c r="F16" i="15"/>
  <c r="L17" i="15"/>
  <c r="F23" i="15"/>
  <c r="L24" i="15"/>
  <c r="F31" i="15"/>
  <c r="G36" i="15"/>
  <c r="L37" i="15"/>
  <c r="F39" i="15"/>
  <c r="L45" i="15"/>
  <c r="F47" i="15"/>
  <c r="G52" i="15"/>
  <c r="G55" i="15"/>
  <c r="L60" i="15"/>
  <c r="F62" i="15"/>
  <c r="L68" i="15"/>
  <c r="L69" i="15"/>
  <c r="G77" i="15"/>
  <c r="L325" i="15"/>
  <c r="G324" i="15"/>
  <c r="L306" i="15"/>
  <c r="G305" i="15"/>
  <c r="L298" i="15"/>
  <c r="G297" i="15"/>
  <c r="L284" i="15"/>
  <c r="G283" i="15"/>
  <c r="L273" i="15"/>
  <c r="G272" i="15"/>
  <c r="L265" i="15"/>
  <c r="G264" i="15"/>
  <c r="L257" i="15"/>
  <c r="G256" i="15"/>
  <c r="L249" i="15"/>
  <c r="G248" i="15"/>
  <c r="L241" i="15"/>
  <c r="G240" i="15"/>
  <c r="L322" i="15"/>
  <c r="G321" i="15"/>
  <c r="L311" i="15"/>
  <c r="G310" i="15"/>
  <c r="L303" i="15"/>
  <c r="G302" i="15"/>
  <c r="L295" i="15"/>
  <c r="G294" i="15"/>
  <c r="L281" i="15"/>
  <c r="G280" i="15"/>
  <c r="L270" i="15"/>
  <c r="G269" i="15"/>
  <c r="L262" i="15"/>
  <c r="G261" i="15"/>
  <c r="L254" i="15"/>
  <c r="G253" i="15"/>
  <c r="L246" i="15"/>
  <c r="G245" i="15"/>
  <c r="L238" i="15"/>
  <c r="G237" i="15"/>
  <c r="L308" i="15"/>
  <c r="G307" i="15"/>
  <c r="L300" i="15"/>
  <c r="G299" i="15"/>
  <c r="L292" i="15"/>
  <c r="G291" i="15"/>
  <c r="L286" i="15"/>
  <c r="G285" i="15"/>
  <c r="L275" i="15"/>
  <c r="G274" i="15"/>
  <c r="L267" i="15"/>
  <c r="G266" i="15"/>
  <c r="G258" i="15"/>
  <c r="L251" i="15"/>
  <c r="G250" i="15"/>
  <c r="L243" i="15"/>
  <c r="G242" i="15"/>
  <c r="L235" i="15"/>
  <c r="L324" i="15"/>
  <c r="G323" i="15"/>
  <c r="G312" i="15"/>
  <c r="L305" i="15"/>
  <c r="G304" i="15"/>
  <c r="L297" i="15"/>
  <c r="G296" i="15"/>
  <c r="L283" i="15"/>
  <c r="G282" i="15"/>
  <c r="L272" i="15"/>
  <c r="G271" i="15"/>
  <c r="L264" i="15"/>
  <c r="G263" i="15"/>
  <c r="L256" i="15"/>
  <c r="G255" i="15"/>
  <c r="L248" i="15"/>
  <c r="G247" i="15"/>
  <c r="L240" i="15"/>
  <c r="G239" i="15"/>
  <c r="L321" i="15"/>
  <c r="G320" i="15"/>
  <c r="L310" i="15"/>
  <c r="G309" i="15"/>
  <c r="L302" i="15"/>
  <c r="G301" i="15"/>
  <c r="L294" i="15"/>
  <c r="G293" i="15"/>
  <c r="L280" i="15"/>
  <c r="G276" i="15"/>
  <c r="L269" i="15"/>
  <c r="G268" i="15"/>
  <c r="L261" i="15"/>
  <c r="G260" i="15"/>
  <c r="L253" i="15"/>
  <c r="G252" i="15"/>
  <c r="L245" i="15"/>
  <c r="G244" i="15"/>
  <c r="L237" i="15"/>
  <c r="G236" i="15"/>
  <c r="L323" i="15"/>
  <c r="G322" i="15"/>
  <c r="L312" i="15"/>
  <c r="G311" i="15"/>
  <c r="L304" i="15"/>
  <c r="G303" i="15"/>
  <c r="L296" i="15"/>
  <c r="G295" i="15"/>
  <c r="L282" i="15"/>
  <c r="G281" i="15"/>
  <c r="L271" i="15"/>
  <c r="G270" i="15"/>
  <c r="L263" i="15"/>
  <c r="G262" i="15"/>
  <c r="L255" i="15"/>
  <c r="G254" i="15"/>
  <c r="L247" i="15"/>
  <c r="G246" i="15"/>
  <c r="L239" i="15"/>
  <c r="G238" i="15"/>
  <c r="L320" i="15"/>
  <c r="L309" i="15"/>
  <c r="G308" i="15"/>
  <c r="L301" i="15"/>
  <c r="G300" i="15"/>
  <c r="L293" i="15"/>
  <c r="G292" i="15"/>
  <c r="G286" i="15"/>
  <c r="L276" i="15"/>
  <c r="G275" i="15"/>
  <c r="L268" i="15"/>
  <c r="G267" i="15"/>
  <c r="L260" i="15"/>
  <c r="L252" i="15"/>
  <c r="G251" i="15"/>
  <c r="L244" i="15"/>
  <c r="G243" i="15"/>
  <c r="L236" i="15"/>
  <c r="G235" i="15"/>
  <c r="G249" i="15"/>
  <c r="L228" i="15"/>
  <c r="G227" i="15"/>
  <c r="L220" i="15"/>
  <c r="G219" i="15"/>
  <c r="L212" i="15"/>
  <c r="G211" i="15"/>
  <c r="L204" i="15"/>
  <c r="G203" i="15"/>
  <c r="L196" i="15"/>
  <c r="G195" i="15"/>
  <c r="L188" i="15"/>
  <c r="G187" i="15"/>
  <c r="L180" i="15"/>
  <c r="G179" i="15"/>
  <c r="L266" i="15"/>
  <c r="L233" i="15"/>
  <c r="G232" i="15"/>
  <c r="L225" i="15"/>
  <c r="G224" i="15"/>
  <c r="L217" i="15"/>
  <c r="G216" i="15"/>
  <c r="L209" i="15"/>
  <c r="G208" i="15"/>
  <c r="L201" i="15"/>
  <c r="G200" i="15"/>
  <c r="L193" i="15"/>
  <c r="G192" i="15"/>
  <c r="L185" i="15"/>
  <c r="G184" i="15"/>
  <c r="L299" i="15"/>
  <c r="L258" i="15"/>
  <c r="G241" i="15"/>
  <c r="L230" i="15"/>
  <c r="G229" i="15"/>
  <c r="L222" i="15"/>
  <c r="G221" i="15"/>
  <c r="L214" i="15"/>
  <c r="G213" i="15"/>
  <c r="L206" i="15"/>
  <c r="G205" i="15"/>
  <c r="L198" i="15"/>
  <c r="G197" i="15"/>
  <c r="L190" i="15"/>
  <c r="G189" i="15"/>
  <c r="L182" i="15"/>
  <c r="G181" i="15"/>
  <c r="G273" i="15"/>
  <c r="G234" i="15"/>
  <c r="L227" i="15"/>
  <c r="G226" i="15"/>
  <c r="L219" i="15"/>
  <c r="G218" i="15"/>
  <c r="L211" i="15"/>
  <c r="G210" i="15"/>
  <c r="L203" i="15"/>
  <c r="G202" i="15"/>
  <c r="L195" i="15"/>
  <c r="G194" i="15"/>
  <c r="L187" i="15"/>
  <c r="G186" i="15"/>
  <c r="L179" i="15"/>
  <c r="G178" i="15"/>
  <c r="G298" i="15"/>
  <c r="G284" i="15"/>
  <c r="L250" i="15"/>
  <c r="L232" i="15"/>
  <c r="G231" i="15"/>
  <c r="L224" i="15"/>
  <c r="G223" i="15"/>
  <c r="L216" i="15"/>
  <c r="G215" i="15"/>
  <c r="L208" i="15"/>
  <c r="G207" i="15"/>
  <c r="L200" i="15"/>
  <c r="G199" i="15"/>
  <c r="L192" i="15"/>
  <c r="G191" i="15"/>
  <c r="L184" i="15"/>
  <c r="G183" i="15"/>
  <c r="L307" i="15"/>
  <c r="G265" i="15"/>
  <c r="L229" i="15"/>
  <c r="G228" i="15"/>
  <c r="L221" i="15"/>
  <c r="G220" i="15"/>
  <c r="L213" i="15"/>
  <c r="G212" i="15"/>
  <c r="L205" i="15"/>
  <c r="G204" i="15"/>
  <c r="L197" i="15"/>
  <c r="G196" i="15"/>
  <c r="L189" i="15"/>
  <c r="G188" i="15"/>
  <c r="L181" i="15"/>
  <c r="G180" i="15"/>
  <c r="G325" i="15"/>
  <c r="G257" i="15"/>
  <c r="L242" i="15"/>
  <c r="L234" i="15"/>
  <c r="G233" i="15"/>
  <c r="L226" i="15"/>
  <c r="G225" i="15"/>
  <c r="L218" i="15"/>
  <c r="G217" i="15"/>
  <c r="L210" i="15"/>
  <c r="G209" i="15"/>
  <c r="L202" i="15"/>
  <c r="G201" i="15"/>
  <c r="L194" i="15"/>
  <c r="G193" i="15"/>
  <c r="L186" i="15"/>
  <c r="G185" i="15"/>
  <c r="L178" i="15"/>
  <c r="L223" i="15"/>
  <c r="G206" i="15"/>
  <c r="L191" i="15"/>
  <c r="L173" i="15"/>
  <c r="G172" i="15"/>
  <c r="L165" i="15"/>
  <c r="G164" i="15"/>
  <c r="L157" i="15"/>
  <c r="G156" i="15"/>
  <c r="L149" i="15"/>
  <c r="G148" i="15"/>
  <c r="L137" i="15"/>
  <c r="G136" i="15"/>
  <c r="L129" i="15"/>
  <c r="G128" i="15"/>
  <c r="L121" i="15"/>
  <c r="G120" i="15"/>
  <c r="L109" i="15"/>
  <c r="G108" i="15"/>
  <c r="G177" i="15"/>
  <c r="L170" i="15"/>
  <c r="G169" i="15"/>
  <c r="L162" i="15"/>
  <c r="G161" i="15"/>
  <c r="L154" i="15"/>
  <c r="G153" i="15"/>
  <c r="L146" i="15"/>
  <c r="G145" i="15"/>
  <c r="L134" i="15"/>
  <c r="G133" i="15"/>
  <c r="G230" i="15"/>
  <c r="L215" i="15"/>
  <c r="G198" i="15"/>
  <c r="L183" i="15"/>
  <c r="L175" i="15"/>
  <c r="G174" i="15"/>
  <c r="L167" i="15"/>
  <c r="G166" i="15"/>
  <c r="L159" i="15"/>
  <c r="G158" i="15"/>
  <c r="L151" i="15"/>
  <c r="G150" i="15"/>
  <c r="L143" i="15"/>
  <c r="G138" i="15"/>
  <c r="L131" i="15"/>
  <c r="G130" i="15"/>
  <c r="L172" i="15"/>
  <c r="G171" i="15"/>
  <c r="L164" i="15"/>
  <c r="G163" i="15"/>
  <c r="L156" i="15"/>
  <c r="G155" i="15"/>
  <c r="L148" i="15"/>
  <c r="G147" i="15"/>
  <c r="L136" i="15"/>
  <c r="L285" i="15"/>
  <c r="L274" i="15"/>
  <c r="G222" i="15"/>
  <c r="L207" i="15"/>
  <c r="G190" i="15"/>
  <c r="G176" i="15"/>
  <c r="L169" i="15"/>
  <c r="G168" i="15"/>
  <c r="L161" i="15"/>
  <c r="G160" i="15"/>
  <c r="L153" i="15"/>
  <c r="G152" i="15"/>
  <c r="L145" i="15"/>
  <c r="G144" i="15"/>
  <c r="L133" i="15"/>
  <c r="G132" i="15"/>
  <c r="G306" i="15"/>
  <c r="L291" i="15"/>
  <c r="L177" i="15"/>
  <c r="L174" i="15"/>
  <c r="G173" i="15"/>
  <c r="L166" i="15"/>
  <c r="G165" i="15"/>
  <c r="L158" i="15"/>
  <c r="G157" i="15"/>
  <c r="L150" i="15"/>
  <c r="G149" i="15"/>
  <c r="L138" i="15"/>
  <c r="G137" i="15"/>
  <c r="L130" i="15"/>
  <c r="G129" i="15"/>
  <c r="L231" i="15"/>
  <c r="G214" i="15"/>
  <c r="L199" i="15"/>
  <c r="G182" i="15"/>
  <c r="L171" i="15"/>
  <c r="G170" i="15"/>
  <c r="L163" i="15"/>
  <c r="G162" i="15"/>
  <c r="L155" i="15"/>
  <c r="G154" i="15"/>
  <c r="L147" i="15"/>
  <c r="G146" i="15"/>
  <c r="G134" i="15"/>
  <c r="G127" i="15"/>
  <c r="G123" i="15"/>
  <c r="L120" i="15"/>
  <c r="G118" i="15"/>
  <c r="L116" i="15"/>
  <c r="G110" i="15"/>
  <c r="G106" i="15"/>
  <c r="G98" i="15"/>
  <c r="L91" i="15"/>
  <c r="G90" i="15"/>
  <c r="L83" i="15"/>
  <c r="G82" i="15"/>
  <c r="L74" i="15"/>
  <c r="G73" i="15"/>
  <c r="L65" i="15"/>
  <c r="G64" i="15"/>
  <c r="L57" i="15"/>
  <c r="G56" i="15"/>
  <c r="G167" i="15"/>
  <c r="L152" i="15"/>
  <c r="L124" i="15"/>
  <c r="G122" i="15"/>
  <c r="L107" i="15"/>
  <c r="L104" i="15"/>
  <c r="G103" i="15"/>
  <c r="L96" i="15"/>
  <c r="G95" i="15"/>
  <c r="L88" i="15"/>
  <c r="G87" i="15"/>
  <c r="L80" i="15"/>
  <c r="L70" i="15"/>
  <c r="G69" i="15"/>
  <c r="G126" i="15"/>
  <c r="L119" i="15"/>
  <c r="G117" i="15"/>
  <c r="L115" i="15"/>
  <c r="G109" i="15"/>
  <c r="L101" i="15"/>
  <c r="G100" i="15"/>
  <c r="L93" i="15"/>
  <c r="G92" i="15"/>
  <c r="L85" i="15"/>
  <c r="G84" i="15"/>
  <c r="L77" i="15"/>
  <c r="G75" i="15"/>
  <c r="L67" i="15"/>
  <c r="L59" i="15"/>
  <c r="G58" i="15"/>
  <c r="L176" i="15"/>
  <c r="G159" i="15"/>
  <c r="L144" i="15"/>
  <c r="G131" i="15"/>
  <c r="G125" i="15"/>
  <c r="L123" i="15"/>
  <c r="G121" i="15"/>
  <c r="L118" i="15"/>
  <c r="L106" i="15"/>
  <c r="G105" i="15"/>
  <c r="L98" i="15"/>
  <c r="G97" i="15"/>
  <c r="L90" i="15"/>
  <c r="G89" i="15"/>
  <c r="L82" i="15"/>
  <c r="G81" i="15"/>
  <c r="L73" i="15"/>
  <c r="G71" i="15"/>
  <c r="L128" i="15"/>
  <c r="L110" i="15"/>
  <c r="L103" i="15"/>
  <c r="G102" i="15"/>
  <c r="L95" i="15"/>
  <c r="G94" i="15"/>
  <c r="L168" i="15"/>
  <c r="G151" i="15"/>
  <c r="L127" i="15"/>
  <c r="L126" i="15"/>
  <c r="L122" i="15"/>
  <c r="G116" i="15"/>
  <c r="G107" i="15"/>
  <c r="L100" i="15"/>
  <c r="L92" i="15"/>
  <c r="G91" i="15"/>
  <c r="G124" i="15"/>
  <c r="G119" i="15"/>
  <c r="L117" i="15"/>
  <c r="L105" i="15"/>
  <c r="G104" i="15"/>
  <c r="L97" i="15"/>
  <c r="G96" i="15"/>
  <c r="L89" i="15"/>
  <c r="G88" i="15"/>
  <c r="G175" i="15"/>
  <c r="L160" i="15"/>
  <c r="G143" i="15"/>
  <c r="L132" i="15"/>
  <c r="L125" i="15"/>
  <c r="G12" i="15"/>
  <c r="K14" i="15"/>
  <c r="G16" i="15"/>
  <c r="G23" i="15"/>
  <c r="K25" i="15"/>
  <c r="G31" i="15"/>
  <c r="L32" i="15"/>
  <c r="F34" i="15"/>
  <c r="G39" i="15"/>
  <c r="F42" i="15"/>
  <c r="G47" i="15"/>
  <c r="L48" i="15"/>
  <c r="F50" i="15"/>
  <c r="F56" i="15"/>
  <c r="G62" i="15"/>
  <c r="F70" i="15"/>
  <c r="F71" i="15"/>
  <c r="G85" i="15"/>
  <c r="L86" i="15"/>
  <c r="G115" i="15"/>
  <c r="E3" i="15"/>
  <c r="H80" i="15" s="1"/>
  <c r="T80" i="15" s="1"/>
  <c r="F13" i="15"/>
  <c r="L14" i="15"/>
  <c r="L21" i="15"/>
  <c r="F24" i="15"/>
  <c r="L25" i="15"/>
  <c r="G34" i="15"/>
  <c r="L35" i="15"/>
  <c r="F37" i="15"/>
  <c r="G42" i="15"/>
  <c r="L43" i="15"/>
  <c r="F45" i="15"/>
  <c r="G50" i="15"/>
  <c r="L51" i="15"/>
  <c r="F53" i="15"/>
  <c r="F57" i="15"/>
  <c r="F63" i="15"/>
  <c r="F64" i="15"/>
  <c r="F65" i="15"/>
  <c r="G70" i="15"/>
  <c r="L78" i="15"/>
  <c r="F80" i="15"/>
  <c r="F81" i="15"/>
  <c r="F89" i="15"/>
  <c r="F104" i="15"/>
  <c r="G13" i="15"/>
  <c r="K15" i="15"/>
  <c r="G17" i="15"/>
  <c r="G24" i="15"/>
  <c r="F32" i="15"/>
  <c r="M35" i="15"/>
  <c r="G37" i="15"/>
  <c r="L38" i="15"/>
  <c r="G45" i="15"/>
  <c r="L46" i="15"/>
  <c r="F48" i="15"/>
  <c r="G53" i="15"/>
  <c r="G57" i="15"/>
  <c r="F58" i="15"/>
  <c r="G59" i="15"/>
  <c r="F60" i="15"/>
  <c r="G63" i="15"/>
  <c r="G65" i="15"/>
  <c r="L71" i="15"/>
  <c r="F74" i="15"/>
  <c r="G80" i="15"/>
  <c r="L94" i="15"/>
  <c r="H98" i="15"/>
  <c r="T98" i="15" s="1"/>
  <c r="G101" i="15"/>
  <c r="G49" i="14"/>
  <c r="G22" i="14"/>
  <c r="L37" i="14"/>
  <c r="G60" i="14"/>
  <c r="L53" i="14"/>
  <c r="G65" i="14"/>
  <c r="L77" i="14"/>
  <c r="L17" i="14"/>
  <c r="L58" i="14"/>
  <c r="G74" i="14"/>
  <c r="G26" i="14"/>
  <c r="G36" i="14"/>
  <c r="L42" i="14"/>
  <c r="F52" i="14"/>
  <c r="F63" i="14"/>
  <c r="L101" i="14"/>
  <c r="L24" i="14"/>
  <c r="L45" i="14"/>
  <c r="G52" i="14"/>
  <c r="F134" i="14"/>
  <c r="L321" i="14"/>
  <c r="G320" i="14"/>
  <c r="L310" i="14"/>
  <c r="G309" i="14"/>
  <c r="L302" i="14"/>
  <c r="G301" i="14"/>
  <c r="L294" i="14"/>
  <c r="G293" i="14"/>
  <c r="L280" i="14"/>
  <c r="G276" i="14"/>
  <c r="L269" i="14"/>
  <c r="G268" i="14"/>
  <c r="L261" i="14"/>
  <c r="G260" i="14"/>
  <c r="L253" i="14"/>
  <c r="G252" i="14"/>
  <c r="L245" i="14"/>
  <c r="G244" i="14"/>
  <c r="L237" i="14"/>
  <c r="G236" i="14"/>
  <c r="G325" i="14"/>
  <c r="L307" i="14"/>
  <c r="G306" i="14"/>
  <c r="L299" i="14"/>
  <c r="G298" i="14"/>
  <c r="L291" i="14"/>
  <c r="L285" i="14"/>
  <c r="G284" i="14"/>
  <c r="L274" i="14"/>
  <c r="G273" i="14"/>
  <c r="L266" i="14"/>
  <c r="G265" i="14"/>
  <c r="L258" i="14"/>
  <c r="G257" i="14"/>
  <c r="L250" i="14"/>
  <c r="G249" i="14"/>
  <c r="L242" i="14"/>
  <c r="G241" i="14"/>
  <c r="L323" i="14"/>
  <c r="G322" i="14"/>
  <c r="L312" i="14"/>
  <c r="G311" i="14"/>
  <c r="L304" i="14"/>
  <c r="G303" i="14"/>
  <c r="L296" i="14"/>
  <c r="G295" i="14"/>
  <c r="G281" i="14"/>
  <c r="L271" i="14"/>
  <c r="G270" i="14"/>
  <c r="L263" i="14"/>
  <c r="G262" i="14"/>
  <c r="L255" i="14"/>
  <c r="G254" i="14"/>
  <c r="L247" i="14"/>
  <c r="G246" i="14"/>
  <c r="L239" i="14"/>
  <c r="G238" i="14"/>
  <c r="L320" i="14"/>
  <c r="L309" i="14"/>
  <c r="G308" i="14"/>
  <c r="L301" i="14"/>
  <c r="G300" i="14"/>
  <c r="L293" i="14"/>
  <c r="G292" i="14"/>
  <c r="G286" i="14"/>
  <c r="L276" i="14"/>
  <c r="G275" i="14"/>
  <c r="L268" i="14"/>
  <c r="G267" i="14"/>
  <c r="L260" i="14"/>
  <c r="L252" i="14"/>
  <c r="G251" i="14"/>
  <c r="L244" i="14"/>
  <c r="G243" i="14"/>
  <c r="L236" i="14"/>
  <c r="G235" i="14"/>
  <c r="L308" i="14"/>
  <c r="G307" i="14"/>
  <c r="L300" i="14"/>
  <c r="G299" i="14"/>
  <c r="L292" i="14"/>
  <c r="G291" i="14"/>
  <c r="L286" i="14"/>
  <c r="G285" i="14"/>
  <c r="L275" i="14"/>
  <c r="G274" i="14"/>
  <c r="L267" i="14"/>
  <c r="G266" i="14"/>
  <c r="G258" i="14"/>
  <c r="L251" i="14"/>
  <c r="G250" i="14"/>
  <c r="L243" i="14"/>
  <c r="G242" i="14"/>
  <c r="L235" i="14"/>
  <c r="L324" i="14"/>
  <c r="G323" i="14"/>
  <c r="L313" i="14"/>
  <c r="G312" i="14"/>
  <c r="L305" i="14"/>
  <c r="G304" i="14"/>
  <c r="L297" i="14"/>
  <c r="G296" i="14"/>
  <c r="L283" i="14"/>
  <c r="G282" i="14"/>
  <c r="L272" i="14"/>
  <c r="G271" i="14"/>
  <c r="L264" i="14"/>
  <c r="G263" i="14"/>
  <c r="L256" i="14"/>
  <c r="G255" i="14"/>
  <c r="L325" i="14"/>
  <c r="G297" i="14"/>
  <c r="L273" i="14"/>
  <c r="G234" i="14"/>
  <c r="L229" i="14"/>
  <c r="G228" i="14"/>
  <c r="L221" i="14"/>
  <c r="G220" i="14"/>
  <c r="L213" i="14"/>
  <c r="G212" i="14"/>
  <c r="L205" i="14"/>
  <c r="G204" i="14"/>
  <c r="L197" i="14"/>
  <c r="G196" i="14"/>
  <c r="L189" i="14"/>
  <c r="G188" i="14"/>
  <c r="L181" i="14"/>
  <c r="G180" i="14"/>
  <c r="L173" i="14"/>
  <c r="G321" i="14"/>
  <c r="L303" i="14"/>
  <c r="G269" i="14"/>
  <c r="G264" i="14"/>
  <c r="L254" i="14"/>
  <c r="L248" i="14"/>
  <c r="G247" i="14"/>
  <c r="G240" i="14"/>
  <c r="L238" i="14"/>
  <c r="G237" i="14"/>
  <c r="G233" i="14"/>
  <c r="L226" i="14"/>
  <c r="G225" i="14"/>
  <c r="L218" i="14"/>
  <c r="G217" i="14"/>
  <c r="L210" i="14"/>
  <c r="G209" i="14"/>
  <c r="L202" i="14"/>
  <c r="G201" i="14"/>
  <c r="L194" i="14"/>
  <c r="G193" i="14"/>
  <c r="L186" i="14"/>
  <c r="L241" i="14"/>
  <c r="L231" i="14"/>
  <c r="G230" i="14"/>
  <c r="L223" i="14"/>
  <c r="G222" i="14"/>
  <c r="L215" i="14"/>
  <c r="G214" i="14"/>
  <c r="L207" i="14"/>
  <c r="G206" i="14"/>
  <c r="L199" i="14"/>
  <c r="G198" i="14"/>
  <c r="L191" i="14"/>
  <c r="G190" i="14"/>
  <c r="L322" i="14"/>
  <c r="G310" i="14"/>
  <c r="L295" i="14"/>
  <c r="L270" i="14"/>
  <c r="G256" i="14"/>
  <c r="G248" i="14"/>
  <c r="L246" i="14"/>
  <c r="G245" i="14"/>
  <c r="L228" i="14"/>
  <c r="G227" i="14"/>
  <c r="L220" i="14"/>
  <c r="G219" i="14"/>
  <c r="L212" i="14"/>
  <c r="G211" i="14"/>
  <c r="L204" i="14"/>
  <c r="G203" i="14"/>
  <c r="L196" i="14"/>
  <c r="G195" i="14"/>
  <c r="L188" i="14"/>
  <c r="G187" i="14"/>
  <c r="G313" i="14"/>
  <c r="L306" i="14"/>
  <c r="G280" i="14"/>
  <c r="L265" i="14"/>
  <c r="G261" i="14"/>
  <c r="L249" i="14"/>
  <c r="L234" i="14"/>
  <c r="L233" i="14"/>
  <c r="G232" i="14"/>
  <c r="G324" i="14"/>
  <c r="G302" i="14"/>
  <c r="G283" i="14"/>
  <c r="L281" i="14"/>
  <c r="G272" i="14"/>
  <c r="L230" i="14"/>
  <c r="G229" i="14"/>
  <c r="L222" i="14"/>
  <c r="G221" i="14"/>
  <c r="L214" i="14"/>
  <c r="G213" i="14"/>
  <c r="L206" i="14"/>
  <c r="G205" i="14"/>
  <c r="L198" i="14"/>
  <c r="G197" i="14"/>
  <c r="L190" i="14"/>
  <c r="G189" i="14"/>
  <c r="L311" i="14"/>
  <c r="G305" i="14"/>
  <c r="G239" i="14"/>
  <c r="L227" i="14"/>
  <c r="L203" i="14"/>
  <c r="G184" i="14"/>
  <c r="G179" i="14"/>
  <c r="G175" i="14"/>
  <c r="L167" i="14"/>
  <c r="G166" i="14"/>
  <c r="L159" i="14"/>
  <c r="G158" i="14"/>
  <c r="L151" i="14"/>
  <c r="G150" i="14"/>
  <c r="L143" i="14"/>
  <c r="G138" i="14"/>
  <c r="G210" i="14"/>
  <c r="L208" i="14"/>
  <c r="G207" i="14"/>
  <c r="L201" i="14"/>
  <c r="G200" i="14"/>
  <c r="L185" i="14"/>
  <c r="L176" i="14"/>
  <c r="G174" i="14"/>
  <c r="L172" i="14"/>
  <c r="G171" i="14"/>
  <c r="L164" i="14"/>
  <c r="G163" i="14"/>
  <c r="L156" i="14"/>
  <c r="G155" i="14"/>
  <c r="L148" i="14"/>
  <c r="G147" i="14"/>
  <c r="L298" i="14"/>
  <c r="L284" i="14"/>
  <c r="L211" i="14"/>
  <c r="G183" i="14"/>
  <c r="L180" i="14"/>
  <c r="G178" i="14"/>
  <c r="L169" i="14"/>
  <c r="G168" i="14"/>
  <c r="L161" i="14"/>
  <c r="G160" i="14"/>
  <c r="L153" i="14"/>
  <c r="G152" i="14"/>
  <c r="L145" i="14"/>
  <c r="G144" i="14"/>
  <c r="L262" i="14"/>
  <c r="L257" i="14"/>
  <c r="G218" i="14"/>
  <c r="L216" i="14"/>
  <c r="G215" i="14"/>
  <c r="L209" i="14"/>
  <c r="G208" i="14"/>
  <c r="L184" i="14"/>
  <c r="G182" i="14"/>
  <c r="G177" i="14"/>
  <c r="L175" i="14"/>
  <c r="G173" i="14"/>
  <c r="L166" i="14"/>
  <c r="G165" i="14"/>
  <c r="L158" i="14"/>
  <c r="G157" i="14"/>
  <c r="L150" i="14"/>
  <c r="G149" i="14"/>
  <c r="L138" i="14"/>
  <c r="G137" i="14"/>
  <c r="G253" i="14"/>
  <c r="L240" i="14"/>
  <c r="L219" i="14"/>
  <c r="L187" i="14"/>
  <c r="G186" i="14"/>
  <c r="L179" i="14"/>
  <c r="L171" i="14"/>
  <c r="G170" i="14"/>
  <c r="L163" i="14"/>
  <c r="G162" i="14"/>
  <c r="L155" i="14"/>
  <c r="G154" i="14"/>
  <c r="G231" i="14"/>
  <c r="G226" i="14"/>
  <c r="L224" i="14"/>
  <c r="G223" i="14"/>
  <c r="L217" i="14"/>
  <c r="G216" i="14"/>
  <c r="G194" i="14"/>
  <c r="L192" i="14"/>
  <c r="G191" i="14"/>
  <c r="G185" i="14"/>
  <c r="L183" i="14"/>
  <c r="G181" i="14"/>
  <c r="L178" i="14"/>
  <c r="L174" i="14"/>
  <c r="L168" i="14"/>
  <c r="G167" i="14"/>
  <c r="L160" i="14"/>
  <c r="G159" i="14"/>
  <c r="L152" i="14"/>
  <c r="G151" i="14"/>
  <c r="L144" i="14"/>
  <c r="G143" i="14"/>
  <c r="G294" i="14"/>
  <c r="G224" i="14"/>
  <c r="L162" i="14"/>
  <c r="L134" i="14"/>
  <c r="G133" i="14"/>
  <c r="L126" i="14"/>
  <c r="G125" i="14"/>
  <c r="L118" i="14"/>
  <c r="G117" i="14"/>
  <c r="L106" i="14"/>
  <c r="G105" i="14"/>
  <c r="L98" i="14"/>
  <c r="G97" i="14"/>
  <c r="L90" i="14"/>
  <c r="G89" i="14"/>
  <c r="L82" i="14"/>
  <c r="G81" i="14"/>
  <c r="L232" i="14"/>
  <c r="L157" i="14"/>
  <c r="L131" i="14"/>
  <c r="G130" i="14"/>
  <c r="L123" i="14"/>
  <c r="G122" i="14"/>
  <c r="L115" i="14"/>
  <c r="G110" i="14"/>
  <c r="L103" i="14"/>
  <c r="G102" i="14"/>
  <c r="L95" i="14"/>
  <c r="G94" i="14"/>
  <c r="L87" i="14"/>
  <c r="G86" i="14"/>
  <c r="G78" i="14"/>
  <c r="G199" i="14"/>
  <c r="G176" i="14"/>
  <c r="G169" i="14"/>
  <c r="G164" i="14"/>
  <c r="G153" i="14"/>
  <c r="L136" i="14"/>
  <c r="L128" i="14"/>
  <c r="G127" i="14"/>
  <c r="L120" i="14"/>
  <c r="G119" i="14"/>
  <c r="L108" i="14"/>
  <c r="G107" i="14"/>
  <c r="L100" i="14"/>
  <c r="L92" i="14"/>
  <c r="G91" i="14"/>
  <c r="L84" i="14"/>
  <c r="G83" i="14"/>
  <c r="G202" i="14"/>
  <c r="L193" i="14"/>
  <c r="L137" i="14"/>
  <c r="L133" i="14"/>
  <c r="G132" i="14"/>
  <c r="L125" i="14"/>
  <c r="G124" i="14"/>
  <c r="L117" i="14"/>
  <c r="G116" i="14"/>
  <c r="L105" i="14"/>
  <c r="G104" i="14"/>
  <c r="L97" i="14"/>
  <c r="G96" i="14"/>
  <c r="L89" i="14"/>
  <c r="G88" i="14"/>
  <c r="L81" i="14"/>
  <c r="G80" i="14"/>
  <c r="L170" i="14"/>
  <c r="L154" i="14"/>
  <c r="G148" i="14"/>
  <c r="L146" i="14"/>
  <c r="G145" i="14"/>
  <c r="L130" i="14"/>
  <c r="G129" i="14"/>
  <c r="L122" i="14"/>
  <c r="G121" i="14"/>
  <c r="L110" i="14"/>
  <c r="G109" i="14"/>
  <c r="L102" i="14"/>
  <c r="G101" i="14"/>
  <c r="L94" i="14"/>
  <c r="G93" i="14"/>
  <c r="L225" i="14"/>
  <c r="L182" i="14"/>
  <c r="L177" i="14"/>
  <c r="L165" i="14"/>
  <c r="L149" i="14"/>
  <c r="G134" i="14"/>
  <c r="L127" i="14"/>
  <c r="G126" i="14"/>
  <c r="L119" i="14"/>
  <c r="G118" i="14"/>
  <c r="L107" i="14"/>
  <c r="G106" i="14"/>
  <c r="G98" i="14"/>
  <c r="L91" i="14"/>
  <c r="G90" i="14"/>
  <c r="L83" i="14"/>
  <c r="G82" i="14"/>
  <c r="L195" i="14"/>
  <c r="G172" i="14"/>
  <c r="L147" i="14"/>
  <c r="G136" i="14"/>
  <c r="L129" i="14"/>
  <c r="G123" i="14"/>
  <c r="L116" i="14"/>
  <c r="G95" i="14"/>
  <c r="L71" i="14"/>
  <c r="G70" i="14"/>
  <c r="L63" i="14"/>
  <c r="G62" i="14"/>
  <c r="L55" i="14"/>
  <c r="L47" i="14"/>
  <c r="G46" i="14"/>
  <c r="L39" i="14"/>
  <c r="G38" i="14"/>
  <c r="L31" i="14"/>
  <c r="L16" i="14"/>
  <c r="L12" i="14"/>
  <c r="G131" i="14"/>
  <c r="G108" i="14"/>
  <c r="G103" i="14"/>
  <c r="G87" i="14"/>
  <c r="L78" i="14"/>
  <c r="L68" i="14"/>
  <c r="G67" i="14"/>
  <c r="L60" i="14"/>
  <c r="G59" i="14"/>
  <c r="L52" i="14"/>
  <c r="G51" i="14"/>
  <c r="G43" i="14"/>
  <c r="L36" i="14"/>
  <c r="G35" i="14"/>
  <c r="G25" i="14"/>
  <c r="G21" i="14"/>
  <c r="G14" i="14"/>
  <c r="L200" i="14"/>
  <c r="G156" i="14"/>
  <c r="L124" i="14"/>
  <c r="L96" i="14"/>
  <c r="L88" i="14"/>
  <c r="L85" i="14"/>
  <c r="G84" i="14"/>
  <c r="L80" i="14"/>
  <c r="G77" i="14"/>
  <c r="L74" i="14"/>
  <c r="G73" i="14"/>
  <c r="L65" i="14"/>
  <c r="G64" i="14"/>
  <c r="L57" i="14"/>
  <c r="G56" i="14"/>
  <c r="L49" i="14"/>
  <c r="G48" i="14"/>
  <c r="L41" i="14"/>
  <c r="L33" i="14"/>
  <c r="G32" i="14"/>
  <c r="L26" i="14"/>
  <c r="L22" i="14"/>
  <c r="L15" i="14"/>
  <c r="G161" i="14"/>
  <c r="G146" i="14"/>
  <c r="L109" i="14"/>
  <c r="L86" i="14"/>
  <c r="L70" i="14"/>
  <c r="G69" i="14"/>
  <c r="L62" i="14"/>
  <c r="G53" i="14"/>
  <c r="L46" i="14"/>
  <c r="G45" i="14"/>
  <c r="L38" i="14"/>
  <c r="G37" i="14"/>
  <c r="G24" i="14"/>
  <c r="G17" i="14"/>
  <c r="G13" i="14"/>
  <c r="L132" i="14"/>
  <c r="G120" i="14"/>
  <c r="L104" i="14"/>
  <c r="G92" i="14"/>
  <c r="G85" i="14"/>
  <c r="G75" i="14"/>
  <c r="L67" i="14"/>
  <c r="L59" i="14"/>
  <c r="G58" i="14"/>
  <c r="L51" i="14"/>
  <c r="G50" i="14"/>
  <c r="L43" i="14"/>
  <c r="G42" i="14"/>
  <c r="L35" i="14"/>
  <c r="G34" i="14"/>
  <c r="L25" i="14"/>
  <c r="L21" i="14"/>
  <c r="G192" i="14"/>
  <c r="G115" i="14"/>
  <c r="G100" i="14"/>
  <c r="L73" i="14"/>
  <c r="G71" i="14"/>
  <c r="L64" i="14"/>
  <c r="G63" i="14"/>
  <c r="L56" i="14"/>
  <c r="G55" i="14"/>
  <c r="L48" i="14"/>
  <c r="G47" i="14"/>
  <c r="G39" i="14"/>
  <c r="L32" i="14"/>
  <c r="G31" i="14"/>
  <c r="G23" i="14"/>
  <c r="G16" i="14"/>
  <c r="G12" i="14"/>
  <c r="G128" i="14"/>
  <c r="L121" i="14"/>
  <c r="L93" i="14"/>
  <c r="L69" i="14"/>
  <c r="G33" i="14"/>
  <c r="G15" i="14"/>
  <c r="L34" i="14"/>
  <c r="F39" i="14"/>
  <c r="G41" i="14"/>
  <c r="L50" i="14"/>
  <c r="F323" i="14"/>
  <c r="F271" i="14"/>
  <c r="F263" i="14"/>
  <c r="F255" i="14"/>
  <c r="F247" i="14"/>
  <c r="F239" i="14"/>
  <c r="F320" i="14"/>
  <c r="F276" i="14"/>
  <c r="F268" i="14"/>
  <c r="F260" i="14"/>
  <c r="F252" i="14"/>
  <c r="F244" i="14"/>
  <c r="F236" i="14"/>
  <c r="F325" i="14"/>
  <c r="F273" i="14"/>
  <c r="F265" i="14"/>
  <c r="F257" i="14"/>
  <c r="F249" i="14"/>
  <c r="F241" i="14"/>
  <c r="F322" i="14"/>
  <c r="F270" i="14"/>
  <c r="K263" i="14"/>
  <c r="F262" i="14"/>
  <c r="F254" i="14"/>
  <c r="F246" i="14"/>
  <c r="F238" i="14"/>
  <c r="F321" i="14"/>
  <c r="F269" i="14"/>
  <c r="F261" i="14"/>
  <c r="F253" i="14"/>
  <c r="F245" i="14"/>
  <c r="F237" i="14"/>
  <c r="F274" i="14"/>
  <c r="F266" i="14"/>
  <c r="F258" i="14"/>
  <c r="F231" i="14"/>
  <c r="F223" i="14"/>
  <c r="F215" i="14"/>
  <c r="F207" i="14"/>
  <c r="F199" i="14"/>
  <c r="F191" i="14"/>
  <c r="F183" i="14"/>
  <c r="F175" i="14"/>
  <c r="F242" i="14"/>
  <c r="F235" i="14"/>
  <c r="F234" i="14"/>
  <c r="F228" i="14"/>
  <c r="F220" i="14"/>
  <c r="F212" i="14"/>
  <c r="F204" i="14"/>
  <c r="F196" i="14"/>
  <c r="F188" i="14"/>
  <c r="F264" i="14"/>
  <c r="F240" i="14"/>
  <c r="F233" i="14"/>
  <c r="F225" i="14"/>
  <c r="F217" i="14"/>
  <c r="F209" i="14"/>
  <c r="F201" i="14"/>
  <c r="F193" i="14"/>
  <c r="F275" i="14"/>
  <c r="F250" i="14"/>
  <c r="F243" i="14"/>
  <c r="F230" i="14"/>
  <c r="F222" i="14"/>
  <c r="F214" i="14"/>
  <c r="F206" i="14"/>
  <c r="F198" i="14"/>
  <c r="F190" i="14"/>
  <c r="F256" i="14"/>
  <c r="F248" i="14"/>
  <c r="F227" i="14"/>
  <c r="K260" i="14"/>
  <c r="F251" i="14"/>
  <c r="F232" i="14"/>
  <c r="F224" i="14"/>
  <c r="F216" i="14"/>
  <c r="F208" i="14"/>
  <c r="F200" i="14"/>
  <c r="F192" i="14"/>
  <c r="F202" i="14"/>
  <c r="F197" i="14"/>
  <c r="F195" i="14"/>
  <c r="F169" i="14"/>
  <c r="F161" i="14"/>
  <c r="F153" i="14"/>
  <c r="F145" i="14"/>
  <c r="F184" i="14"/>
  <c r="F179" i="14"/>
  <c r="F166" i="14"/>
  <c r="F158" i="14"/>
  <c r="F150" i="14"/>
  <c r="F138" i="14"/>
  <c r="F324" i="14"/>
  <c r="F210" i="14"/>
  <c r="F205" i="14"/>
  <c r="F203" i="14"/>
  <c r="F174" i="14"/>
  <c r="F171" i="14"/>
  <c r="F163" i="14"/>
  <c r="F155" i="14"/>
  <c r="F147" i="14"/>
  <c r="F229" i="14"/>
  <c r="F178" i="14"/>
  <c r="F168" i="14"/>
  <c r="F160" i="14"/>
  <c r="F152" i="14"/>
  <c r="F144" i="14"/>
  <c r="F218" i="14"/>
  <c r="F213" i="14"/>
  <c r="F211" i="14"/>
  <c r="F182" i="14"/>
  <c r="F177" i="14"/>
  <c r="F173" i="14"/>
  <c r="F165" i="14"/>
  <c r="F157" i="14"/>
  <c r="F267" i="14"/>
  <c r="F186" i="14"/>
  <c r="F170" i="14"/>
  <c r="F162" i="14"/>
  <c r="F154" i="14"/>
  <c r="F146" i="14"/>
  <c r="F167" i="14"/>
  <c r="F151" i="14"/>
  <c r="F136" i="14"/>
  <c r="F128" i="14"/>
  <c r="F120" i="14"/>
  <c r="F108" i="14"/>
  <c r="F100" i="14"/>
  <c r="F92" i="14"/>
  <c r="F84" i="14"/>
  <c r="F272" i="14"/>
  <c r="F219" i="14"/>
  <c r="F133" i="14"/>
  <c r="F125" i="14"/>
  <c r="F117" i="14"/>
  <c r="F105" i="14"/>
  <c r="F97" i="14"/>
  <c r="F89" i="14"/>
  <c r="F81" i="14"/>
  <c r="F194" i="14"/>
  <c r="F181" i="14"/>
  <c r="F130" i="14"/>
  <c r="F122" i="14"/>
  <c r="F110" i="14"/>
  <c r="F102" i="14"/>
  <c r="F94" i="14"/>
  <c r="F86" i="14"/>
  <c r="F78" i="14"/>
  <c r="F189" i="14"/>
  <c r="F176" i="14"/>
  <c r="F164" i="14"/>
  <c r="F127" i="14"/>
  <c r="F119" i="14"/>
  <c r="F107" i="14"/>
  <c r="F91" i="14"/>
  <c r="F83" i="14"/>
  <c r="F226" i="14"/>
  <c r="F159" i="14"/>
  <c r="F132" i="14"/>
  <c r="F124" i="14"/>
  <c r="F116" i="14"/>
  <c r="F104" i="14"/>
  <c r="F96" i="14"/>
  <c r="F221" i="14"/>
  <c r="F185" i="14"/>
  <c r="F148" i="14"/>
  <c r="F143" i="14"/>
  <c r="F129" i="14"/>
  <c r="F121" i="14"/>
  <c r="F109" i="14"/>
  <c r="F101" i="14"/>
  <c r="F93" i="14"/>
  <c r="F85" i="14"/>
  <c r="F77" i="14"/>
  <c r="F74" i="14"/>
  <c r="F65" i="14"/>
  <c r="F57" i="14"/>
  <c r="F49" i="14"/>
  <c r="F41" i="14"/>
  <c r="F33" i="14"/>
  <c r="F22" i="14"/>
  <c r="F15" i="14"/>
  <c r="F172" i="14"/>
  <c r="F123" i="14"/>
  <c r="F95" i="14"/>
  <c r="F70" i="14"/>
  <c r="F62" i="14"/>
  <c r="F46" i="14"/>
  <c r="F38" i="14"/>
  <c r="K23" i="14"/>
  <c r="F131" i="14"/>
  <c r="F103" i="14"/>
  <c r="F87" i="14"/>
  <c r="F67" i="14"/>
  <c r="F59" i="14"/>
  <c r="F51" i="14"/>
  <c r="F43" i="14"/>
  <c r="F35" i="14"/>
  <c r="F25" i="14"/>
  <c r="F14" i="14"/>
  <c r="F187" i="14"/>
  <c r="F156" i="14"/>
  <c r="F118" i="14"/>
  <c r="F82" i="14"/>
  <c r="F73" i="14"/>
  <c r="F64" i="14"/>
  <c r="F56" i="14"/>
  <c r="F48" i="14"/>
  <c r="F32" i="14"/>
  <c r="K15" i="14"/>
  <c r="F137" i="14"/>
  <c r="F126" i="14"/>
  <c r="F90" i="14"/>
  <c r="F88" i="14"/>
  <c r="F80" i="14"/>
  <c r="F69" i="14"/>
  <c r="F53" i="14"/>
  <c r="F45" i="14"/>
  <c r="F37" i="14"/>
  <c r="F24" i="14"/>
  <c r="F13" i="14"/>
  <c r="F180" i="14"/>
  <c r="F98" i="14"/>
  <c r="F75" i="14"/>
  <c r="F58" i="14"/>
  <c r="F50" i="14"/>
  <c r="F42" i="14"/>
  <c r="F34" i="14"/>
  <c r="K14" i="14"/>
  <c r="F149" i="14"/>
  <c r="F115" i="14"/>
  <c r="F71" i="14"/>
  <c r="F55" i="14"/>
  <c r="G68" i="14"/>
  <c r="L75" i="14"/>
  <c r="E3" i="14"/>
  <c r="H133" i="14" s="1"/>
  <c r="T133" i="14" s="1"/>
  <c r="M17" i="14"/>
  <c r="M24" i="14"/>
  <c r="M37" i="14"/>
  <c r="M45" i="14"/>
  <c r="H52" i="14"/>
  <c r="T52" i="14" s="1"/>
  <c r="M53" i="14"/>
  <c r="H60" i="14"/>
  <c r="T60" i="14" s="1"/>
  <c r="H68" i="14"/>
  <c r="M69" i="14"/>
  <c r="M93" i="14"/>
  <c r="M106" i="14"/>
  <c r="M121" i="14"/>
  <c r="H128" i="14"/>
  <c r="T128" i="14" s="1"/>
  <c r="M134" i="14"/>
  <c r="H204" i="14"/>
  <c r="T204" i="14" s="1"/>
  <c r="H294" i="14"/>
  <c r="T294" i="14" s="1"/>
  <c r="H47" i="14"/>
  <c r="T47" i="14" s="1"/>
  <c r="H55" i="14"/>
  <c r="T55" i="14" s="1"/>
  <c r="M56" i="14"/>
  <c r="M64" i="14"/>
  <c r="H71" i="14"/>
  <c r="T71" i="14" s="1"/>
  <c r="M73" i="14"/>
  <c r="H100" i="14"/>
  <c r="T100" i="14" s="1"/>
  <c r="H175" i="14"/>
  <c r="T175" i="14" s="1"/>
  <c r="M14" i="14"/>
  <c r="M21" i="14"/>
  <c r="M25" i="14"/>
  <c r="H34" i="14"/>
  <c r="T34" i="14" s="1"/>
  <c r="M35" i="14"/>
  <c r="H42" i="14"/>
  <c r="T42" i="14" s="1"/>
  <c r="M43" i="14"/>
  <c r="H50" i="14"/>
  <c r="M51" i="14"/>
  <c r="M59" i="14"/>
  <c r="H75" i="14"/>
  <c r="M83" i="14"/>
  <c r="M98" i="14"/>
  <c r="H105" i="14"/>
  <c r="T105" i="14" s="1"/>
  <c r="H120" i="14"/>
  <c r="T120" i="14" s="1"/>
  <c r="H325" i="14"/>
  <c r="T325" i="14" s="1"/>
  <c r="M315" i="14"/>
  <c r="H314" i="14"/>
  <c r="T314" i="14" s="1"/>
  <c r="M307" i="14"/>
  <c r="H306" i="14"/>
  <c r="T306" i="14" s="1"/>
  <c r="M299" i="14"/>
  <c r="H298" i="14"/>
  <c r="T298" i="14" s="1"/>
  <c r="M291" i="14"/>
  <c r="M285" i="14"/>
  <c r="H284" i="14"/>
  <c r="T284" i="14" s="1"/>
  <c r="M274" i="14"/>
  <c r="M266" i="14"/>
  <c r="M258" i="14"/>
  <c r="H257" i="14"/>
  <c r="T257" i="14" s="1"/>
  <c r="H249" i="14"/>
  <c r="T249" i="14" s="1"/>
  <c r="M242" i="14"/>
  <c r="H241" i="14"/>
  <c r="T241" i="14" s="1"/>
  <c r="M234" i="14"/>
  <c r="M323" i="14"/>
  <c r="H322" i="14"/>
  <c r="T322" i="14" s="1"/>
  <c r="M312" i="14"/>
  <c r="H311" i="14"/>
  <c r="T311" i="14" s="1"/>
  <c r="M304" i="14"/>
  <c r="H303" i="14"/>
  <c r="T303" i="14" s="1"/>
  <c r="M296" i="14"/>
  <c r="H295" i="14"/>
  <c r="T295" i="14" s="1"/>
  <c r="M282" i="14"/>
  <c r="H281" i="14"/>
  <c r="T281" i="14" s="1"/>
  <c r="H270" i="14"/>
  <c r="T270" i="14" s="1"/>
  <c r="H262" i="14"/>
  <c r="T262" i="14" s="1"/>
  <c r="M255" i="14"/>
  <c r="M247" i="14"/>
  <c r="H246" i="14"/>
  <c r="T246" i="14" s="1"/>
  <c r="M239" i="14"/>
  <c r="H238" i="14"/>
  <c r="T238" i="14" s="1"/>
  <c r="M320" i="14"/>
  <c r="H316" i="14"/>
  <c r="T316" i="14" s="1"/>
  <c r="M309" i="14"/>
  <c r="H308" i="14"/>
  <c r="T308" i="14" s="1"/>
  <c r="M301" i="14"/>
  <c r="H300" i="14"/>
  <c r="T300" i="14" s="1"/>
  <c r="M293" i="14"/>
  <c r="H292" i="14"/>
  <c r="T292" i="14" s="1"/>
  <c r="M290" i="14"/>
  <c r="H286" i="14"/>
  <c r="T286" i="14" s="1"/>
  <c r="H275" i="14"/>
  <c r="T275" i="14" s="1"/>
  <c r="H267" i="14"/>
  <c r="T267" i="14" s="1"/>
  <c r="M260" i="14"/>
  <c r="H251" i="14"/>
  <c r="T251" i="14" s="1"/>
  <c r="M244" i="14"/>
  <c r="H243" i="14"/>
  <c r="T243" i="14" s="1"/>
  <c r="M236" i="14"/>
  <c r="H235" i="14"/>
  <c r="T235" i="14" s="1"/>
  <c r="M325" i="14"/>
  <c r="H324" i="14"/>
  <c r="T324" i="14" s="1"/>
  <c r="M314" i="14"/>
  <c r="H313" i="14"/>
  <c r="T313" i="14" s="1"/>
  <c r="M306" i="14"/>
  <c r="H305" i="14"/>
  <c r="T305" i="14" s="1"/>
  <c r="M298" i="14"/>
  <c r="H297" i="14"/>
  <c r="T297" i="14" s="1"/>
  <c r="M284" i="14"/>
  <c r="M273" i="14"/>
  <c r="M265" i="14"/>
  <c r="H264" i="14"/>
  <c r="T264" i="14" s="1"/>
  <c r="H256" i="14"/>
  <c r="T256" i="14" s="1"/>
  <c r="M249" i="14"/>
  <c r="H248" i="14"/>
  <c r="T248" i="14" s="1"/>
  <c r="M241" i="14"/>
  <c r="H240" i="14"/>
  <c r="T240" i="14" s="1"/>
  <c r="M233" i="14"/>
  <c r="M324" i="14"/>
  <c r="H323" i="14"/>
  <c r="T323" i="14" s="1"/>
  <c r="M313" i="14"/>
  <c r="H312" i="14"/>
  <c r="T312" i="14" s="1"/>
  <c r="M305" i="14"/>
  <c r="H304" i="14"/>
  <c r="T304" i="14" s="1"/>
  <c r="M297" i="14"/>
  <c r="H296" i="14"/>
  <c r="T296" i="14" s="1"/>
  <c r="H282" i="14"/>
  <c r="T282" i="14" s="1"/>
  <c r="H271" i="14"/>
  <c r="T271" i="14" s="1"/>
  <c r="M264" i="14"/>
  <c r="M256" i="14"/>
  <c r="H255" i="14"/>
  <c r="T255" i="14" s="1"/>
  <c r="M248" i="14"/>
  <c r="H247" i="14"/>
  <c r="T247" i="14" s="1"/>
  <c r="M240" i="14"/>
  <c r="H239" i="14"/>
  <c r="T239" i="14" s="1"/>
  <c r="M321" i="14"/>
  <c r="H320" i="14"/>
  <c r="T320" i="14" s="1"/>
  <c r="M310" i="14"/>
  <c r="H309" i="14"/>
  <c r="T309" i="14" s="1"/>
  <c r="M302" i="14"/>
  <c r="H301" i="14"/>
  <c r="T301" i="14" s="1"/>
  <c r="M294" i="14"/>
  <c r="H293" i="14"/>
  <c r="T293" i="14" s="1"/>
  <c r="M280" i="14"/>
  <c r="M269" i="14"/>
  <c r="H268" i="14"/>
  <c r="T268" i="14" s="1"/>
  <c r="H260" i="14"/>
  <c r="T260" i="14" s="1"/>
  <c r="M253" i="14"/>
  <c r="H252" i="14"/>
  <c r="T252" i="14" s="1"/>
  <c r="H321" i="14"/>
  <c r="T321" i="14" s="1"/>
  <c r="H307" i="14"/>
  <c r="T307" i="14" s="1"/>
  <c r="M303" i="14"/>
  <c r="H269" i="14"/>
  <c r="T269" i="14" s="1"/>
  <c r="M254" i="14"/>
  <c r="M245" i="14"/>
  <c r="H242" i="14"/>
  <c r="T242" i="14" s="1"/>
  <c r="M238" i="14"/>
  <c r="H237" i="14"/>
  <c r="T237" i="14" s="1"/>
  <c r="H233" i="14"/>
  <c r="T233" i="14" s="1"/>
  <c r="M226" i="14"/>
  <c r="M218" i="14"/>
  <c r="M210" i="14"/>
  <c r="H209" i="14"/>
  <c r="T209" i="14" s="1"/>
  <c r="H201" i="14"/>
  <c r="T201" i="14" s="1"/>
  <c r="M194" i="14"/>
  <c r="H193" i="14"/>
  <c r="T193" i="14" s="1"/>
  <c r="M186" i="14"/>
  <c r="H185" i="14"/>
  <c r="T185" i="14" s="1"/>
  <c r="M178" i="14"/>
  <c r="H177" i="14"/>
  <c r="T177" i="14" s="1"/>
  <c r="M292" i="14"/>
  <c r="M275" i="14"/>
  <c r="M243" i="14"/>
  <c r="M231" i="14"/>
  <c r="H230" i="14"/>
  <c r="T230" i="14" s="1"/>
  <c r="M223" i="14"/>
  <c r="H222" i="14"/>
  <c r="T222" i="14" s="1"/>
  <c r="H214" i="14"/>
  <c r="T214" i="14" s="1"/>
  <c r="H206" i="14"/>
  <c r="T206" i="14" s="1"/>
  <c r="M199" i="14"/>
  <c r="M191" i="14"/>
  <c r="H190" i="14"/>
  <c r="T190" i="14" s="1"/>
  <c r="M322" i="14"/>
  <c r="H310" i="14"/>
  <c r="T310" i="14" s="1"/>
  <c r="H299" i="14"/>
  <c r="T299" i="14" s="1"/>
  <c r="M295" i="14"/>
  <c r="M270" i="14"/>
  <c r="H250" i="14"/>
  <c r="T250" i="14" s="1"/>
  <c r="M246" i="14"/>
  <c r="H245" i="14"/>
  <c r="T245" i="14" s="1"/>
  <c r="M228" i="14"/>
  <c r="H227" i="14"/>
  <c r="T227" i="14" s="1"/>
  <c r="M220" i="14"/>
  <c r="H219" i="14"/>
  <c r="T219" i="14" s="1"/>
  <c r="H211" i="14"/>
  <c r="T211" i="14" s="1"/>
  <c r="H203" i="14"/>
  <c r="T203" i="14" s="1"/>
  <c r="M196" i="14"/>
  <c r="M188" i="14"/>
  <c r="H187" i="14"/>
  <c r="T187" i="14" s="1"/>
  <c r="H280" i="14"/>
  <c r="T280" i="14" s="1"/>
  <c r="H266" i="14"/>
  <c r="T266" i="14" s="1"/>
  <c r="H261" i="14"/>
  <c r="T261" i="14" s="1"/>
  <c r="M251" i="14"/>
  <c r="H232" i="14"/>
  <c r="T232" i="14" s="1"/>
  <c r="M225" i="14"/>
  <c r="H224" i="14"/>
  <c r="T224" i="14" s="1"/>
  <c r="M217" i="14"/>
  <c r="H216" i="14"/>
  <c r="T216" i="14" s="1"/>
  <c r="M209" i="14"/>
  <c r="H208" i="14"/>
  <c r="T208" i="14" s="1"/>
  <c r="M201" i="14"/>
  <c r="M193" i="14"/>
  <c r="H315" i="14"/>
  <c r="T315" i="14" s="1"/>
  <c r="H302" i="14"/>
  <c r="T302" i="14" s="1"/>
  <c r="M281" i="14"/>
  <c r="M230" i="14"/>
  <c r="H229" i="14"/>
  <c r="T229" i="14" s="1"/>
  <c r="M308" i="14"/>
  <c r="H285" i="14"/>
  <c r="T285" i="14" s="1"/>
  <c r="M267" i="14"/>
  <c r="M262" i="14"/>
  <c r="H258" i="14"/>
  <c r="T258" i="14" s="1"/>
  <c r="H236" i="14"/>
  <c r="T236" i="14" s="1"/>
  <c r="M227" i="14"/>
  <c r="H226" i="14"/>
  <c r="T226" i="14" s="1"/>
  <c r="M219" i="14"/>
  <c r="H218" i="14"/>
  <c r="T218" i="14" s="1"/>
  <c r="M211" i="14"/>
  <c r="M203" i="14"/>
  <c r="M195" i="14"/>
  <c r="H194" i="14"/>
  <c r="T194" i="14" s="1"/>
  <c r="H212" i="14"/>
  <c r="T212" i="14" s="1"/>
  <c r="M208" i="14"/>
  <c r="H207" i="14"/>
  <c r="T207" i="14" s="1"/>
  <c r="M198" i="14"/>
  <c r="M185" i="14"/>
  <c r="M181" i="14"/>
  <c r="M176" i="14"/>
  <c r="H174" i="14"/>
  <c r="T174" i="14" s="1"/>
  <c r="M172" i="14"/>
  <c r="H171" i="14"/>
  <c r="T171" i="14" s="1"/>
  <c r="M164" i="14"/>
  <c r="H163" i="14"/>
  <c r="T163" i="14" s="1"/>
  <c r="M156" i="14"/>
  <c r="H155" i="14"/>
  <c r="T155" i="14" s="1"/>
  <c r="H147" i="14"/>
  <c r="T147" i="14" s="1"/>
  <c r="M213" i="14"/>
  <c r="H205" i="14"/>
  <c r="T205" i="14" s="1"/>
  <c r="H183" i="14"/>
  <c r="T183" i="14" s="1"/>
  <c r="M180" i="14"/>
  <c r="H178" i="14"/>
  <c r="T178" i="14" s="1"/>
  <c r="M169" i="14"/>
  <c r="H168" i="14"/>
  <c r="T168" i="14" s="1"/>
  <c r="M161" i="14"/>
  <c r="H160" i="14"/>
  <c r="T160" i="14" s="1"/>
  <c r="M153" i="14"/>
  <c r="H152" i="14"/>
  <c r="T152" i="14" s="1"/>
  <c r="M145" i="14"/>
  <c r="H144" i="14"/>
  <c r="T144" i="14" s="1"/>
  <c r="M316" i="14"/>
  <c r="M237" i="14"/>
  <c r="H234" i="14"/>
  <c r="T234" i="14" s="1"/>
  <c r="H220" i="14"/>
  <c r="T220" i="14" s="1"/>
  <c r="H215" i="14"/>
  <c r="T215" i="14" s="1"/>
  <c r="M206" i="14"/>
  <c r="H188" i="14"/>
  <c r="T188" i="14" s="1"/>
  <c r="M184" i="14"/>
  <c r="H182" i="14"/>
  <c r="T182" i="14" s="1"/>
  <c r="M175" i="14"/>
  <c r="H173" i="14"/>
  <c r="T173" i="14" s="1"/>
  <c r="M166" i="14"/>
  <c r="H165" i="14"/>
  <c r="T165" i="14" s="1"/>
  <c r="M158" i="14"/>
  <c r="H157" i="14"/>
  <c r="T157" i="14" s="1"/>
  <c r="M150" i="14"/>
  <c r="H149" i="14"/>
  <c r="T149" i="14" s="1"/>
  <c r="M138" i="14"/>
  <c r="H274" i="14"/>
  <c r="T274" i="14" s="1"/>
  <c r="H253" i="14"/>
  <c r="T253" i="14" s="1"/>
  <c r="M221" i="14"/>
  <c r="H213" i="14"/>
  <c r="T213" i="14" s="1"/>
  <c r="M189" i="14"/>
  <c r="M179" i="14"/>
  <c r="M171" i="14"/>
  <c r="H170" i="14"/>
  <c r="T170" i="14" s="1"/>
  <c r="M163" i="14"/>
  <c r="H162" i="14"/>
  <c r="T162" i="14" s="1"/>
  <c r="M155" i="14"/>
  <c r="H154" i="14"/>
  <c r="T154" i="14" s="1"/>
  <c r="M147" i="14"/>
  <c r="H146" i="14"/>
  <c r="T146" i="14" s="1"/>
  <c r="H231" i="14"/>
  <c r="T231" i="14" s="1"/>
  <c r="M224" i="14"/>
  <c r="H223" i="14"/>
  <c r="T223" i="14" s="1"/>
  <c r="M214" i="14"/>
  <c r="H196" i="14"/>
  <c r="T196" i="14" s="1"/>
  <c r="M192" i="14"/>
  <c r="H191" i="14"/>
  <c r="T191" i="14" s="1"/>
  <c r="M183" i="14"/>
  <c r="H181" i="14"/>
  <c r="T181" i="14" s="1"/>
  <c r="M174" i="14"/>
  <c r="M168" i="14"/>
  <c r="H167" i="14"/>
  <c r="T167" i="14" s="1"/>
  <c r="M160" i="14"/>
  <c r="H159" i="14"/>
  <c r="T159" i="14" s="1"/>
  <c r="M152" i="14"/>
  <c r="H151" i="14"/>
  <c r="T151" i="14" s="1"/>
  <c r="M300" i="14"/>
  <c r="M286" i="14"/>
  <c r="H221" i="14"/>
  <c r="T221" i="14" s="1"/>
  <c r="M197" i="14"/>
  <c r="H189" i="14"/>
  <c r="T189" i="14" s="1"/>
  <c r="H176" i="14"/>
  <c r="T176" i="14" s="1"/>
  <c r="H172" i="14"/>
  <c r="T172" i="14" s="1"/>
  <c r="M165" i="14"/>
  <c r="H164" i="14"/>
  <c r="T164" i="14" s="1"/>
  <c r="M157" i="14"/>
  <c r="H156" i="14"/>
  <c r="T156" i="14" s="1"/>
  <c r="M149" i="14"/>
  <c r="H148" i="14"/>
  <c r="T148" i="14" s="1"/>
  <c r="M137" i="14"/>
  <c r="M232" i="14"/>
  <c r="M190" i="14"/>
  <c r="H158" i="14"/>
  <c r="T158" i="14" s="1"/>
  <c r="M131" i="14"/>
  <c r="H130" i="14"/>
  <c r="M123" i="14"/>
  <c r="H122" i="14"/>
  <c r="T122" i="14" s="1"/>
  <c r="M115" i="14"/>
  <c r="H110" i="14"/>
  <c r="T110" i="14" s="1"/>
  <c r="M103" i="14"/>
  <c r="H102" i="14"/>
  <c r="T102" i="14" s="1"/>
  <c r="M95" i="14"/>
  <c r="H94" i="14"/>
  <c r="T94" i="14" s="1"/>
  <c r="M87" i="14"/>
  <c r="H86" i="14"/>
  <c r="T86" i="14" s="1"/>
  <c r="H78" i="14"/>
  <c r="H228" i="14"/>
  <c r="T228" i="14" s="1"/>
  <c r="H199" i="14"/>
  <c r="T199" i="14" s="1"/>
  <c r="H184" i="14"/>
  <c r="T184" i="14" s="1"/>
  <c r="H179" i="14"/>
  <c r="T179" i="14" s="1"/>
  <c r="M173" i="14"/>
  <c r="H169" i="14"/>
  <c r="T169" i="14" s="1"/>
  <c r="H153" i="14"/>
  <c r="T153" i="14" s="1"/>
  <c r="H138" i="14"/>
  <c r="T138" i="14" s="1"/>
  <c r="M136" i="14"/>
  <c r="M128" i="14"/>
  <c r="H127" i="14"/>
  <c r="T127" i="14" s="1"/>
  <c r="M120" i="14"/>
  <c r="H119" i="14"/>
  <c r="M108" i="14"/>
  <c r="H107" i="14"/>
  <c r="T107" i="14" s="1"/>
  <c r="M100" i="14"/>
  <c r="M92" i="14"/>
  <c r="H91" i="14"/>
  <c r="M84" i="14"/>
  <c r="H83" i="14"/>
  <c r="T83" i="14" s="1"/>
  <c r="H244" i="14"/>
  <c r="T244" i="14" s="1"/>
  <c r="M222" i="14"/>
  <c r="M159" i="14"/>
  <c r="M143" i="14"/>
  <c r="M133" i="14"/>
  <c r="H132" i="14"/>
  <c r="T132" i="14" s="1"/>
  <c r="M125" i="14"/>
  <c r="H124" i="14"/>
  <c r="M117" i="14"/>
  <c r="H116" i="14"/>
  <c r="T116" i="14" s="1"/>
  <c r="M105" i="14"/>
  <c r="H104" i="14"/>
  <c r="T104" i="14" s="1"/>
  <c r="M97" i="14"/>
  <c r="H96" i="14"/>
  <c r="T96" i="14" s="1"/>
  <c r="M89" i="14"/>
  <c r="H88" i="14"/>
  <c r="T88" i="14" s="1"/>
  <c r="M81" i="14"/>
  <c r="H80" i="14"/>
  <c r="M205" i="14"/>
  <c r="M170" i="14"/>
  <c r="M154" i="14"/>
  <c r="M146" i="14"/>
  <c r="H145" i="14"/>
  <c r="T145" i="14" s="1"/>
  <c r="M130" i="14"/>
  <c r="H129" i="14"/>
  <c r="T129" i="14" s="1"/>
  <c r="M122" i="14"/>
  <c r="H121" i="14"/>
  <c r="T121" i="14" s="1"/>
  <c r="M110" i="14"/>
  <c r="H109" i="14"/>
  <c r="T109" i="14" s="1"/>
  <c r="M102" i="14"/>
  <c r="H101" i="14"/>
  <c r="T101" i="14" s="1"/>
  <c r="M94" i="14"/>
  <c r="H93" i="14"/>
  <c r="T93" i="14" s="1"/>
  <c r="M86" i="14"/>
  <c r="H85" i="14"/>
  <c r="M78" i="14"/>
  <c r="H77" i="14"/>
  <c r="T77" i="14" s="1"/>
  <c r="M311" i="14"/>
  <c r="M235" i="14"/>
  <c r="M182" i="14"/>
  <c r="M177" i="14"/>
  <c r="H166" i="14"/>
  <c r="T166" i="14" s="1"/>
  <c r="H150" i="14"/>
  <c r="T150" i="14" s="1"/>
  <c r="H143" i="14"/>
  <c r="T143" i="14" s="1"/>
  <c r="H134" i="14"/>
  <c r="T134" i="14" s="1"/>
  <c r="M127" i="14"/>
  <c r="H126" i="14"/>
  <c r="T126" i="14" s="1"/>
  <c r="M119" i="14"/>
  <c r="H118" i="14"/>
  <c r="T118" i="14" s="1"/>
  <c r="M107" i="14"/>
  <c r="H106" i="14"/>
  <c r="T106" i="14" s="1"/>
  <c r="H98" i="14"/>
  <c r="M91" i="14"/>
  <c r="H90" i="14"/>
  <c r="M200" i="14"/>
  <c r="H197" i="14"/>
  <c r="T197" i="14" s="1"/>
  <c r="H180" i="14"/>
  <c r="T180" i="14" s="1"/>
  <c r="H161" i="14"/>
  <c r="T161" i="14" s="1"/>
  <c r="M144" i="14"/>
  <c r="H137" i="14"/>
  <c r="T137" i="14" s="1"/>
  <c r="M132" i="14"/>
  <c r="H131" i="14"/>
  <c r="T131" i="14" s="1"/>
  <c r="M124" i="14"/>
  <c r="H123" i="14"/>
  <c r="M116" i="14"/>
  <c r="H115" i="14"/>
  <c r="T115" i="14" s="1"/>
  <c r="M104" i="14"/>
  <c r="H103" i="14"/>
  <c r="T103" i="14" s="1"/>
  <c r="M96" i="14"/>
  <c r="H95" i="14"/>
  <c r="M88" i="14"/>
  <c r="H87" i="14"/>
  <c r="T87" i="14" s="1"/>
  <c r="M80" i="14"/>
  <c r="H13" i="14"/>
  <c r="H17" i="14"/>
  <c r="H24" i="14"/>
  <c r="H37" i="14"/>
  <c r="T37" i="14" s="1"/>
  <c r="M38" i="14"/>
  <c r="H45" i="14"/>
  <c r="T45" i="14" s="1"/>
  <c r="M46" i="14"/>
  <c r="H53" i="14"/>
  <c r="M62" i="14"/>
  <c r="H69" i="14"/>
  <c r="T69" i="14" s="1"/>
  <c r="M70" i="14"/>
  <c r="H82" i="14"/>
  <c r="T82" i="14" s="1"/>
  <c r="M90" i="14"/>
  <c r="M109" i="14"/>
  <c r="M126" i="14"/>
  <c r="M151" i="14"/>
  <c r="M15" i="14"/>
  <c r="M22" i="14"/>
  <c r="M26" i="14"/>
  <c r="H32" i="14"/>
  <c r="T32" i="14" s="1"/>
  <c r="M33" i="14"/>
  <c r="M41" i="14"/>
  <c r="H48" i="14"/>
  <c r="T48" i="14" s="1"/>
  <c r="M49" i="14"/>
  <c r="H56" i="14"/>
  <c r="T56" i="14" s="1"/>
  <c r="M57" i="14"/>
  <c r="H64" i="14"/>
  <c r="T64" i="14" s="1"/>
  <c r="M65" i="14"/>
  <c r="H73" i="14"/>
  <c r="T73" i="14" s="1"/>
  <c r="M74" i="14"/>
  <c r="H84" i="14"/>
  <c r="M85" i="14"/>
  <c r="H97" i="14"/>
  <c r="T97" i="14" s="1"/>
  <c r="M118" i="14"/>
  <c r="H14" i="14"/>
  <c r="H21" i="14"/>
  <c r="H25" i="14"/>
  <c r="H35" i="14"/>
  <c r="T35" i="14" s="1"/>
  <c r="M36" i="14"/>
  <c r="H43" i="14"/>
  <c r="T43" i="14" s="1"/>
  <c r="H51" i="14"/>
  <c r="T51" i="14" s="1"/>
  <c r="M52" i="14"/>
  <c r="H59" i="14"/>
  <c r="T59" i="14" s="1"/>
  <c r="M60" i="14"/>
  <c r="H67" i="14"/>
  <c r="M68" i="14"/>
  <c r="M82" i="14"/>
  <c r="H89" i="14"/>
  <c r="T89" i="14" s="1"/>
  <c r="H108" i="14"/>
  <c r="T108" i="14" s="1"/>
  <c r="H125" i="14"/>
  <c r="T125" i="14" s="1"/>
  <c r="M162" i="14"/>
  <c r="M167" i="14"/>
  <c r="AG8" i="5"/>
  <c r="J23" i="5"/>
  <c r="I23" i="5"/>
  <c r="N26" i="5"/>
  <c r="K26" i="5"/>
  <c r="I26" i="5"/>
  <c r="F26" i="5"/>
  <c r="O25" i="5"/>
  <c r="N25" i="5"/>
  <c r="J25" i="5"/>
  <c r="I25" i="5"/>
  <c r="O23" i="5"/>
  <c r="N23" i="5"/>
  <c r="K21" i="5"/>
  <c r="F21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70" i="5"/>
  <c r="K69" i="5"/>
  <c r="T68" i="5"/>
  <c r="K68" i="5"/>
  <c r="T67" i="5"/>
  <c r="K67" i="5"/>
  <c r="T66" i="5"/>
  <c r="O66" i="5"/>
  <c r="N66" i="5"/>
  <c r="M66" i="5"/>
  <c r="L66" i="5"/>
  <c r="K66" i="5"/>
  <c r="J66" i="5"/>
  <c r="I66" i="5"/>
  <c r="H66" i="5"/>
  <c r="G66" i="5"/>
  <c r="F66" i="5"/>
  <c r="K257" i="5"/>
  <c r="K176" i="5"/>
  <c r="K196" i="5"/>
  <c r="K197" i="5"/>
  <c r="K198" i="5"/>
  <c r="K199" i="5"/>
  <c r="K200" i="5"/>
  <c r="K201" i="5"/>
  <c r="K202" i="5"/>
  <c r="F281" i="5"/>
  <c r="K281" i="5"/>
  <c r="F306" i="5"/>
  <c r="I306" i="5"/>
  <c r="J306" i="5"/>
  <c r="K306" i="5"/>
  <c r="N306" i="5"/>
  <c r="O306" i="5"/>
  <c r="M78" i="15" l="1"/>
  <c r="M25" i="15"/>
  <c r="M48" i="15"/>
  <c r="M17" i="15"/>
  <c r="H47" i="15"/>
  <c r="T47" i="15" s="1"/>
  <c r="M14" i="15"/>
  <c r="H34" i="15"/>
  <c r="T34" i="15" s="1"/>
  <c r="H70" i="15"/>
  <c r="T70" i="15" s="1"/>
  <c r="H77" i="15"/>
  <c r="T77" i="15" s="1"/>
  <c r="H64" i="15"/>
  <c r="T64" i="15" s="1"/>
  <c r="H39" i="15"/>
  <c r="H55" i="15"/>
  <c r="T55" i="15" s="1"/>
  <c r="H52" i="15"/>
  <c r="T52" i="15" s="1"/>
  <c r="M32" i="15"/>
  <c r="H23" i="15"/>
  <c r="M37" i="15"/>
  <c r="M91" i="15"/>
  <c r="H50" i="15"/>
  <c r="T50" i="15" s="1"/>
  <c r="M43" i="15"/>
  <c r="H16" i="15"/>
  <c r="H36" i="15"/>
  <c r="T36" i="15" s="1"/>
  <c r="M187" i="14"/>
  <c r="H291" i="14"/>
  <c r="T291" i="14" s="1"/>
  <c r="H195" i="14"/>
  <c r="T195" i="14" s="1"/>
  <c r="H198" i="14"/>
  <c r="T198" i="14" s="1"/>
  <c r="M202" i="14"/>
  <c r="M261" i="14"/>
  <c r="H263" i="14"/>
  <c r="T263" i="14" s="1"/>
  <c r="M257" i="14"/>
  <c r="M252" i="14"/>
  <c r="H254" i="14"/>
  <c r="T254" i="14" s="1"/>
  <c r="M250" i="14"/>
  <c r="H92" i="14"/>
  <c r="H63" i="14"/>
  <c r="T63" i="14" s="1"/>
  <c r="H36" i="14"/>
  <c r="T36" i="14" s="1"/>
  <c r="M229" i="14"/>
  <c r="H202" i="14"/>
  <c r="T202" i="14" s="1"/>
  <c r="H192" i="14"/>
  <c r="T192" i="14" s="1"/>
  <c r="M204" i="14"/>
  <c r="M207" i="14"/>
  <c r="H217" i="14"/>
  <c r="T217" i="14" s="1"/>
  <c r="H276" i="14"/>
  <c r="T276" i="14" s="1"/>
  <c r="M272" i="14"/>
  <c r="H272" i="14"/>
  <c r="T272" i="14" s="1"/>
  <c r="M268" i="14"/>
  <c r="M263" i="14"/>
  <c r="H265" i="14"/>
  <c r="T265" i="14" s="1"/>
  <c r="M67" i="14"/>
  <c r="M48" i="14"/>
  <c r="M13" i="14"/>
  <c r="H186" i="14"/>
  <c r="T186" i="14" s="1"/>
  <c r="M216" i="14"/>
  <c r="M148" i="14"/>
  <c r="H210" i="14"/>
  <c r="T210" i="14" s="1"/>
  <c r="H200" i="14"/>
  <c r="T200" i="14" s="1"/>
  <c r="M212" i="14"/>
  <c r="M215" i="14"/>
  <c r="H225" i="14"/>
  <c r="T225" i="14" s="1"/>
  <c r="H290" i="14"/>
  <c r="M283" i="14"/>
  <c r="H283" i="14"/>
  <c r="T283" i="14" s="1"/>
  <c r="M276" i="14"/>
  <c r="M271" i="14"/>
  <c r="H273" i="14"/>
  <c r="T273" i="14" s="1"/>
  <c r="H58" i="14"/>
  <c r="T58" i="14" s="1"/>
  <c r="H39" i="14"/>
  <c r="O176" i="16"/>
  <c r="J171" i="16"/>
  <c r="O156" i="16"/>
  <c r="O132" i="16"/>
  <c r="J127" i="16"/>
  <c r="O108" i="16"/>
  <c r="O325" i="16"/>
  <c r="J320" i="16"/>
  <c r="O323" i="16"/>
  <c r="J267" i="16"/>
  <c r="O241" i="16"/>
  <c r="J236" i="16"/>
  <c r="O221" i="16"/>
  <c r="J216" i="16"/>
  <c r="J325" i="16"/>
  <c r="O230" i="16"/>
  <c r="J198" i="16"/>
  <c r="J192" i="16"/>
  <c r="J190" i="16"/>
  <c r="J188" i="16"/>
  <c r="J186" i="16"/>
  <c r="O240" i="16"/>
  <c r="O234" i="16"/>
  <c r="J224" i="16"/>
  <c r="J180" i="16"/>
  <c r="O172" i="16"/>
  <c r="J161" i="16"/>
  <c r="J144" i="16"/>
  <c r="J121" i="16"/>
  <c r="O109" i="16"/>
  <c r="O98" i="16"/>
  <c r="O245" i="16"/>
  <c r="O235" i="16"/>
  <c r="O225" i="16"/>
  <c r="O218" i="16"/>
  <c r="O213" i="16"/>
  <c r="O192" i="16"/>
  <c r="O75" i="16"/>
  <c r="J67" i="16"/>
  <c r="O52" i="16"/>
  <c r="J47" i="16"/>
  <c r="J254" i="16"/>
  <c r="J240" i="16"/>
  <c r="J233" i="16"/>
  <c r="J187" i="16"/>
  <c r="O178" i="16"/>
  <c r="O118" i="16"/>
  <c r="O116" i="16"/>
  <c r="J80" i="16"/>
  <c r="O70" i="16"/>
  <c r="J65" i="16"/>
  <c r="O50" i="16"/>
  <c r="O110" i="16"/>
  <c r="O106" i="16"/>
  <c r="O89" i="16"/>
  <c r="J78" i="16"/>
  <c r="O59" i="16"/>
  <c r="O283" i="16"/>
  <c r="O275" i="16"/>
  <c r="J269" i="16"/>
  <c r="J245" i="16"/>
  <c r="J225" i="16"/>
  <c r="J234" i="16"/>
  <c r="J217" i="16"/>
  <c r="J205" i="16"/>
  <c r="O200" i="16"/>
  <c r="O183" i="16"/>
  <c r="O179" i="16"/>
  <c r="O177" i="16"/>
  <c r="J285" i="16"/>
  <c r="O247" i="16"/>
  <c r="O229" i="16"/>
  <c r="O222" i="16"/>
  <c r="O13" i="16"/>
  <c r="J242" i="16"/>
  <c r="O90" i="16"/>
  <c r="J57" i="16"/>
  <c r="O43" i="16"/>
  <c r="O274" i="16"/>
  <c r="J179" i="16"/>
  <c r="O168" i="16"/>
  <c r="O133" i="16"/>
  <c r="J119" i="16"/>
  <c r="J149" i="16"/>
  <c r="J131" i="16"/>
  <c r="J108" i="16"/>
  <c r="O80" i="16"/>
  <c r="O57" i="16"/>
  <c r="O55" i="16"/>
  <c r="J42" i="16"/>
  <c r="O22" i="16"/>
  <c r="O17" i="16"/>
  <c r="J229" i="16"/>
  <c r="G3" i="16"/>
  <c r="O276" i="16" s="1"/>
  <c r="J250" i="16"/>
  <c r="O228" i="16"/>
  <c r="O202" i="16"/>
  <c r="J255" i="16"/>
  <c r="O246" i="16"/>
  <c r="J243" i="16"/>
  <c r="J212" i="16"/>
  <c r="J200" i="16"/>
  <c r="O165" i="16"/>
  <c r="O101" i="16"/>
  <c r="O190" i="16"/>
  <c r="O170" i="16"/>
  <c r="O160" i="16"/>
  <c r="O137" i="16"/>
  <c r="J133" i="16"/>
  <c r="J110" i="16"/>
  <c r="O105" i="16"/>
  <c r="O67" i="16"/>
  <c r="O49" i="16"/>
  <c r="J38" i="16"/>
  <c r="J173" i="16"/>
  <c r="J146" i="16"/>
  <c r="J128" i="16"/>
  <c r="J95" i="16"/>
  <c r="O47" i="16"/>
  <c r="O45" i="16"/>
  <c r="J264" i="16"/>
  <c r="O238" i="16"/>
  <c r="O211" i="16"/>
  <c r="O199" i="16"/>
  <c r="J82" i="16"/>
  <c r="J137" i="16"/>
  <c r="J130" i="16"/>
  <c r="J103" i="16"/>
  <c r="J69" i="16"/>
  <c r="J53" i="16"/>
  <c r="J51" i="16"/>
  <c r="O39" i="16"/>
  <c r="J26" i="16"/>
  <c r="J193" i="16"/>
  <c r="J148" i="16"/>
  <c r="J175" i="16"/>
  <c r="O157" i="16"/>
  <c r="J143" i="16"/>
  <c r="J125" i="16"/>
  <c r="O122" i="16"/>
  <c r="J120" i="16"/>
  <c r="O94" i="16"/>
  <c r="O83" i="16"/>
  <c r="O81" i="16"/>
  <c r="J43" i="16"/>
  <c r="O285" i="16"/>
  <c r="J90" i="16"/>
  <c r="O48" i="16"/>
  <c r="J24" i="16"/>
  <c r="O154" i="16"/>
  <c r="J116" i="16"/>
  <c r="O68" i="16"/>
  <c r="O126" i="16"/>
  <c r="J107" i="16"/>
  <c r="J33" i="16"/>
  <c r="J94" i="16"/>
  <c r="J92" i="16"/>
  <c r="J74" i="16"/>
  <c r="J201" i="16"/>
  <c r="O166" i="16"/>
  <c r="J145" i="16"/>
  <c r="J73" i="16"/>
  <c r="J261" i="16"/>
  <c r="O244" i="16"/>
  <c r="O223" i="16"/>
  <c r="J98" i="16"/>
  <c r="O62" i="16"/>
  <c r="J174" i="16"/>
  <c r="J21" i="16"/>
  <c r="J150" i="16"/>
  <c r="O119" i="16"/>
  <c r="J136" i="16"/>
  <c r="O164" i="16"/>
  <c r="O148" i="16"/>
  <c r="O35" i="16"/>
  <c r="O233" i="16"/>
  <c r="J185" i="16"/>
  <c r="O163" i="16"/>
  <c r="O210" i="16"/>
  <c r="J96" i="16"/>
  <c r="O131" i="16"/>
  <c r="J56" i="16"/>
  <c r="O204" i="16"/>
  <c r="J169" i="16"/>
  <c r="J122" i="16"/>
  <c r="J104" i="16"/>
  <c r="J100" i="16"/>
  <c r="J115" i="16"/>
  <c r="J87" i="16"/>
  <c r="O21" i="16"/>
  <c r="J102" i="16"/>
  <c r="J109" i="16"/>
  <c r="J85" i="16"/>
  <c r="J52" i="16"/>
  <c r="J265" i="16"/>
  <c r="O226" i="16"/>
  <c r="O197" i="16"/>
  <c r="O124" i="16"/>
  <c r="J58" i="16"/>
  <c r="J159" i="16"/>
  <c r="J50" i="16"/>
  <c r="O100" i="16"/>
  <c r="J41" i="16"/>
  <c r="J165" i="16"/>
  <c r="J157" i="16"/>
  <c r="J252" i="16"/>
  <c r="J210" i="16"/>
  <c r="J81" i="16"/>
  <c r="O46" i="16"/>
  <c r="O33" i="16"/>
  <c r="J31" i="16"/>
  <c r="J77" i="16"/>
  <c r="J275" i="16"/>
  <c r="O149" i="16"/>
  <c r="H33" i="15"/>
  <c r="T33" i="15" s="1"/>
  <c r="H15" i="15"/>
  <c r="M63" i="15"/>
  <c r="H14" i="15"/>
  <c r="H74" i="15"/>
  <c r="T74" i="15" s="1"/>
  <c r="M26" i="15"/>
  <c r="M129" i="15"/>
  <c r="M121" i="15"/>
  <c r="M97" i="15"/>
  <c r="M92" i="15"/>
  <c r="M165" i="15"/>
  <c r="H102" i="15"/>
  <c r="T102" i="15" s="1"/>
  <c r="M73" i="15"/>
  <c r="M106" i="15"/>
  <c r="H75" i="15"/>
  <c r="T75" i="15" s="1"/>
  <c r="H109" i="15"/>
  <c r="T109" i="15" s="1"/>
  <c r="M80" i="15"/>
  <c r="H122" i="15"/>
  <c r="T122" i="15" s="1"/>
  <c r="M144" i="15"/>
  <c r="M176" i="15"/>
  <c r="M163" i="15"/>
  <c r="M130" i="15"/>
  <c r="M166" i="15"/>
  <c r="H152" i="15"/>
  <c r="T152" i="15" s="1"/>
  <c r="M204" i="15"/>
  <c r="H155" i="15"/>
  <c r="T155" i="15" s="1"/>
  <c r="H138" i="15"/>
  <c r="T138" i="15" s="1"/>
  <c r="H174" i="15"/>
  <c r="T174" i="15" s="1"/>
  <c r="H125" i="15"/>
  <c r="T125" i="15" s="1"/>
  <c r="H161" i="15"/>
  <c r="T161" i="15" s="1"/>
  <c r="M191" i="15"/>
  <c r="M223" i="15"/>
  <c r="M186" i="15"/>
  <c r="M218" i="15"/>
  <c r="H180" i="15"/>
  <c r="T180" i="15" s="1"/>
  <c r="H212" i="15"/>
  <c r="T212" i="15" s="1"/>
  <c r="H183" i="15"/>
  <c r="T183" i="15" s="1"/>
  <c r="H215" i="15"/>
  <c r="T215" i="15" s="1"/>
  <c r="H178" i="15"/>
  <c r="T178" i="15" s="1"/>
  <c r="H210" i="15"/>
  <c r="T210" i="15" s="1"/>
  <c r="H181" i="15"/>
  <c r="T181" i="15" s="1"/>
  <c r="H213" i="15"/>
  <c r="T213" i="15" s="1"/>
  <c r="M282" i="15"/>
  <c r="H200" i="15"/>
  <c r="T200" i="15" s="1"/>
  <c r="H232" i="15"/>
  <c r="T232" i="15" s="1"/>
  <c r="M257" i="15"/>
  <c r="M298" i="15"/>
  <c r="M236" i="15"/>
  <c r="H275" i="15"/>
  <c r="T275" i="15" s="1"/>
  <c r="H308" i="15"/>
  <c r="T308" i="15" s="1"/>
  <c r="H257" i="15"/>
  <c r="T257" i="15" s="1"/>
  <c r="M291" i="15"/>
  <c r="H236" i="15"/>
  <c r="T236" i="15" s="1"/>
  <c r="H268" i="15"/>
  <c r="T268" i="15" s="1"/>
  <c r="M302" i="15"/>
  <c r="M248" i="15"/>
  <c r="M283" i="15"/>
  <c r="M324" i="15"/>
  <c r="M267" i="15"/>
  <c r="M300" i="15"/>
  <c r="M246" i="15"/>
  <c r="M281" i="15"/>
  <c r="M322" i="15"/>
  <c r="H59" i="15"/>
  <c r="T59" i="15" s="1"/>
  <c r="H45" i="15"/>
  <c r="T45" i="15" s="1"/>
  <c r="H118" i="15"/>
  <c r="T118" i="15" s="1"/>
  <c r="M59" i="15"/>
  <c r="M84" i="15"/>
  <c r="M47" i="15"/>
  <c r="M12" i="15"/>
  <c r="N173" i="15"/>
  <c r="I172" i="15"/>
  <c r="N137" i="15"/>
  <c r="I136" i="15"/>
  <c r="N101" i="15"/>
  <c r="I100" i="15"/>
  <c r="N59" i="15"/>
  <c r="I105" i="15"/>
  <c r="N98" i="15"/>
  <c r="I71" i="15"/>
  <c r="N209" i="15"/>
  <c r="N118" i="15"/>
  <c r="N110" i="15"/>
  <c r="I108" i="15"/>
  <c r="I86" i="15"/>
  <c r="I78" i="15"/>
  <c r="N69" i="15"/>
  <c r="I107" i="15"/>
  <c r="N75" i="15"/>
  <c r="I74" i="15"/>
  <c r="I169" i="15"/>
  <c r="N109" i="15"/>
  <c r="N105" i="15"/>
  <c r="N108" i="15"/>
  <c r="N102" i="15"/>
  <c r="I101" i="15"/>
  <c r="N146" i="15"/>
  <c r="I133" i="15"/>
  <c r="I123" i="15"/>
  <c r="N91" i="15"/>
  <c r="I90" i="15"/>
  <c r="I192" i="15"/>
  <c r="I56" i="15"/>
  <c r="N48" i="15"/>
  <c r="F3" i="15"/>
  <c r="N275" i="15" s="1"/>
  <c r="N107" i="15"/>
  <c r="I77" i="15"/>
  <c r="N68" i="15"/>
  <c r="N37" i="15"/>
  <c r="I36" i="15"/>
  <c r="N24" i="15"/>
  <c r="N53" i="15"/>
  <c r="N50" i="15"/>
  <c r="I49" i="15"/>
  <c r="N42" i="15"/>
  <c r="I15" i="15"/>
  <c r="I103" i="15"/>
  <c r="I82" i="15"/>
  <c r="N74" i="15"/>
  <c r="N57" i="15"/>
  <c r="N56" i="15"/>
  <c r="N47" i="15"/>
  <c r="I88" i="15"/>
  <c r="N80" i="15"/>
  <c r="I73" i="15"/>
  <c r="N62" i="15"/>
  <c r="I35" i="15"/>
  <c r="I21" i="15"/>
  <c r="N81" i="15"/>
  <c r="N41" i="15"/>
  <c r="N33" i="15"/>
  <c r="I32" i="15"/>
  <c r="N22" i="15"/>
  <c r="I69" i="15"/>
  <c r="I65" i="15"/>
  <c r="I59" i="15"/>
  <c r="I57" i="15"/>
  <c r="N46" i="15"/>
  <c r="I24" i="15"/>
  <c r="I13" i="15"/>
  <c r="I95" i="15"/>
  <c r="N89" i="15"/>
  <c r="I63" i="15"/>
  <c r="I53" i="15"/>
  <c r="N51" i="15"/>
  <c r="I50" i="15"/>
  <c r="N43" i="15"/>
  <c r="N21" i="15"/>
  <c r="M86" i="15"/>
  <c r="M125" i="15"/>
  <c r="H104" i="15"/>
  <c r="T104" i="15" s="1"/>
  <c r="M100" i="15"/>
  <c r="H68" i="15"/>
  <c r="M103" i="15"/>
  <c r="H81" i="15"/>
  <c r="T81" i="15" s="1"/>
  <c r="H121" i="15"/>
  <c r="T121" i="15" s="1"/>
  <c r="M77" i="15"/>
  <c r="M115" i="15"/>
  <c r="H87" i="15"/>
  <c r="T87" i="15" s="1"/>
  <c r="M124" i="15"/>
  <c r="H151" i="15"/>
  <c r="T151" i="15" s="1"/>
  <c r="H311" i="15"/>
  <c r="T311" i="15" s="1"/>
  <c r="H170" i="15"/>
  <c r="T170" i="15" s="1"/>
  <c r="H137" i="15"/>
  <c r="T137" i="15" s="1"/>
  <c r="H173" i="15"/>
  <c r="T173" i="15" s="1"/>
  <c r="M153" i="15"/>
  <c r="H219" i="15"/>
  <c r="T219" i="15" s="1"/>
  <c r="M156" i="15"/>
  <c r="M143" i="15"/>
  <c r="M175" i="15"/>
  <c r="M126" i="15"/>
  <c r="M162" i="15"/>
  <c r="H198" i="15"/>
  <c r="T198" i="15" s="1"/>
  <c r="H230" i="15"/>
  <c r="T230" i="15" s="1"/>
  <c r="H193" i="15"/>
  <c r="T193" i="15" s="1"/>
  <c r="H225" i="15"/>
  <c r="T225" i="15" s="1"/>
  <c r="M181" i="15"/>
  <c r="M213" i="15"/>
  <c r="M184" i="15"/>
  <c r="M216" i="15"/>
  <c r="M179" i="15"/>
  <c r="M211" i="15"/>
  <c r="M182" i="15"/>
  <c r="M214" i="15"/>
  <c r="H295" i="15"/>
  <c r="T295" i="15" s="1"/>
  <c r="M201" i="15"/>
  <c r="M233" i="15"/>
  <c r="H264" i="15"/>
  <c r="T264" i="15" s="1"/>
  <c r="H305" i="15"/>
  <c r="T305" i="15" s="1"/>
  <c r="H243" i="15"/>
  <c r="T243" i="15" s="1"/>
  <c r="M276" i="15"/>
  <c r="M309" i="15"/>
  <c r="M258" i="15"/>
  <c r="H298" i="15"/>
  <c r="T298" i="15" s="1"/>
  <c r="M237" i="15"/>
  <c r="M269" i="15"/>
  <c r="H309" i="15"/>
  <c r="T309" i="15" s="1"/>
  <c r="H255" i="15"/>
  <c r="T255" i="15" s="1"/>
  <c r="H296" i="15"/>
  <c r="T296" i="15" s="1"/>
  <c r="M235" i="15"/>
  <c r="H274" i="15"/>
  <c r="T274" i="15" s="1"/>
  <c r="H307" i="15"/>
  <c r="T307" i="15" s="1"/>
  <c r="H253" i="15"/>
  <c r="T253" i="15" s="1"/>
  <c r="H294" i="15"/>
  <c r="T294" i="15" s="1"/>
  <c r="H58" i="15"/>
  <c r="T58" i="15" s="1"/>
  <c r="H91" i="15"/>
  <c r="T91" i="15" s="1"/>
  <c r="M58" i="15"/>
  <c r="M42" i="15"/>
  <c r="H26" i="15"/>
  <c r="H82" i="15"/>
  <c r="T82" i="15" s="1"/>
  <c r="M57" i="15"/>
  <c r="H46" i="15"/>
  <c r="T46" i="15" s="1"/>
  <c r="M31" i="15"/>
  <c r="H106" i="15"/>
  <c r="T106" i="15" s="1"/>
  <c r="H43" i="15"/>
  <c r="T43" i="15" s="1"/>
  <c r="H25" i="15"/>
  <c r="M116" i="15"/>
  <c r="H60" i="15"/>
  <c r="T60" i="15" s="1"/>
  <c r="M41" i="15"/>
  <c r="H93" i="15"/>
  <c r="T93" i="15" s="1"/>
  <c r="H136" i="15"/>
  <c r="T136" i="15" s="1"/>
  <c r="M105" i="15"/>
  <c r="H107" i="15"/>
  <c r="T107" i="15" s="1"/>
  <c r="M69" i="15"/>
  <c r="H108" i="15"/>
  <c r="T108" i="15" s="1"/>
  <c r="M82" i="15"/>
  <c r="M123" i="15"/>
  <c r="H84" i="15"/>
  <c r="T84" i="15" s="1"/>
  <c r="M119" i="15"/>
  <c r="M88" i="15"/>
  <c r="H128" i="15"/>
  <c r="T128" i="15" s="1"/>
  <c r="M152" i="15"/>
  <c r="H134" i="15"/>
  <c r="T134" i="15" s="1"/>
  <c r="M171" i="15"/>
  <c r="M138" i="15"/>
  <c r="M174" i="15"/>
  <c r="H160" i="15"/>
  <c r="T160" i="15" s="1"/>
  <c r="H246" i="15"/>
  <c r="T246" i="15" s="1"/>
  <c r="H163" i="15"/>
  <c r="T163" i="15" s="1"/>
  <c r="H150" i="15"/>
  <c r="T150" i="15" s="1"/>
  <c r="M180" i="15"/>
  <c r="H133" i="15"/>
  <c r="T133" i="15" s="1"/>
  <c r="H169" i="15"/>
  <c r="T169" i="15" s="1"/>
  <c r="M199" i="15"/>
  <c r="M231" i="15"/>
  <c r="M194" i="15"/>
  <c r="M226" i="15"/>
  <c r="H188" i="15"/>
  <c r="T188" i="15" s="1"/>
  <c r="H220" i="15"/>
  <c r="T220" i="15" s="1"/>
  <c r="H191" i="15"/>
  <c r="T191" i="15" s="1"/>
  <c r="H223" i="15"/>
  <c r="T223" i="15" s="1"/>
  <c r="H186" i="15"/>
  <c r="T186" i="15" s="1"/>
  <c r="H218" i="15"/>
  <c r="T218" i="15" s="1"/>
  <c r="H189" i="15"/>
  <c r="T189" i="15" s="1"/>
  <c r="H221" i="15"/>
  <c r="T221" i="15" s="1"/>
  <c r="M304" i="15"/>
  <c r="H208" i="15"/>
  <c r="T208" i="15" s="1"/>
  <c r="M263" i="15"/>
  <c r="M265" i="15"/>
  <c r="M306" i="15"/>
  <c r="M244" i="15"/>
  <c r="H286" i="15"/>
  <c r="T286" i="15" s="1"/>
  <c r="H316" i="15"/>
  <c r="T316" i="15" s="1"/>
  <c r="H265" i="15"/>
  <c r="T265" i="15" s="1"/>
  <c r="M299" i="15"/>
  <c r="H244" i="15"/>
  <c r="T244" i="15" s="1"/>
  <c r="H276" i="15"/>
  <c r="T276" i="15" s="1"/>
  <c r="M310" i="15"/>
  <c r="M256" i="15"/>
  <c r="M297" i="15"/>
  <c r="H242" i="15"/>
  <c r="T242" i="15" s="1"/>
  <c r="M275" i="15"/>
  <c r="M308" i="15"/>
  <c r="M254" i="15"/>
  <c r="M295" i="15"/>
  <c r="H57" i="15"/>
  <c r="T57" i="15" s="1"/>
  <c r="H24" i="15"/>
  <c r="M83" i="15"/>
  <c r="H41" i="15"/>
  <c r="T41" i="15" s="1"/>
  <c r="M56" i="15"/>
  <c r="H90" i="15"/>
  <c r="T90" i="15" s="1"/>
  <c r="M55" i="15"/>
  <c r="M22" i="15"/>
  <c r="M94" i="15"/>
  <c r="M157" i="15"/>
  <c r="M109" i="15"/>
  <c r="H116" i="15"/>
  <c r="T116" i="15" s="1"/>
  <c r="H78" i="15"/>
  <c r="T78" i="15" s="1"/>
  <c r="M110" i="15"/>
  <c r="H89" i="15"/>
  <c r="T89" i="15" s="1"/>
  <c r="M137" i="15"/>
  <c r="M85" i="15"/>
  <c r="H126" i="15"/>
  <c r="T126" i="15" s="1"/>
  <c r="H95" i="15"/>
  <c r="T95" i="15" s="1"/>
  <c r="M149" i="15"/>
  <c r="H159" i="15"/>
  <c r="T159" i="15" s="1"/>
  <c r="H146" i="15"/>
  <c r="T146" i="15" s="1"/>
  <c r="H179" i="15"/>
  <c r="T179" i="15" s="1"/>
  <c r="H149" i="15"/>
  <c r="T149" i="15" s="1"/>
  <c r="M177" i="15"/>
  <c r="M161" i="15"/>
  <c r="H127" i="15"/>
  <c r="T127" i="15" s="1"/>
  <c r="M164" i="15"/>
  <c r="M151" i="15"/>
  <c r="H195" i="15"/>
  <c r="T195" i="15" s="1"/>
  <c r="M134" i="15"/>
  <c r="M170" i="15"/>
  <c r="H206" i="15"/>
  <c r="T206" i="15" s="1"/>
  <c r="M271" i="15"/>
  <c r="H201" i="15"/>
  <c r="T201" i="15" s="1"/>
  <c r="H233" i="15"/>
  <c r="T233" i="15" s="1"/>
  <c r="M189" i="15"/>
  <c r="M221" i="15"/>
  <c r="M192" i="15"/>
  <c r="M224" i="15"/>
  <c r="M187" i="15"/>
  <c r="M219" i="15"/>
  <c r="M190" i="15"/>
  <c r="M222" i="15"/>
  <c r="M323" i="15"/>
  <c r="M209" i="15"/>
  <c r="H240" i="15"/>
  <c r="T240" i="15" s="1"/>
  <c r="H272" i="15"/>
  <c r="T272" i="15" s="1"/>
  <c r="H313" i="15"/>
  <c r="T313" i="15" s="1"/>
  <c r="H251" i="15"/>
  <c r="T251" i="15" s="1"/>
  <c r="M290" i="15"/>
  <c r="M320" i="15"/>
  <c r="M266" i="15"/>
  <c r="H306" i="15"/>
  <c r="T306" i="15" s="1"/>
  <c r="M245" i="15"/>
  <c r="M280" i="15"/>
  <c r="H320" i="15"/>
  <c r="T320" i="15" s="1"/>
  <c r="H263" i="15"/>
  <c r="T263" i="15" s="1"/>
  <c r="H304" i="15"/>
  <c r="T304" i="15" s="1"/>
  <c r="M243" i="15"/>
  <c r="H285" i="15"/>
  <c r="T285" i="15" s="1"/>
  <c r="H315" i="15"/>
  <c r="T315" i="15" s="1"/>
  <c r="H261" i="15"/>
  <c r="T261" i="15" s="1"/>
  <c r="H302" i="15"/>
  <c r="T302" i="15" s="1"/>
  <c r="M38" i="15"/>
  <c r="M13" i="15"/>
  <c r="M53" i="15"/>
  <c r="M74" i="15"/>
  <c r="H101" i="15"/>
  <c r="T101" i="15" s="1"/>
  <c r="H172" i="15"/>
  <c r="T172" i="15" s="1"/>
  <c r="M117" i="15"/>
  <c r="H120" i="15"/>
  <c r="T120" i="15" s="1"/>
  <c r="H86" i="15"/>
  <c r="T86" i="15" s="1"/>
  <c r="M188" i="15"/>
  <c r="M90" i="15"/>
  <c r="H156" i="15"/>
  <c r="T156" i="15" s="1"/>
  <c r="H92" i="15"/>
  <c r="T92" i="15" s="1"/>
  <c r="H53" i="15"/>
  <c r="M96" i="15"/>
  <c r="H164" i="15"/>
  <c r="T164" i="15" s="1"/>
  <c r="M160" i="15"/>
  <c r="M147" i="15"/>
  <c r="M196" i="15"/>
  <c r="M150" i="15"/>
  <c r="H132" i="15"/>
  <c r="T132" i="15" s="1"/>
  <c r="H168" i="15"/>
  <c r="T168" i="15" s="1"/>
  <c r="M128" i="15"/>
  <c r="H171" i="15"/>
  <c r="T171" i="15" s="1"/>
  <c r="H158" i="15"/>
  <c r="T158" i="15" s="1"/>
  <c r="M212" i="15"/>
  <c r="H145" i="15"/>
  <c r="T145" i="15" s="1"/>
  <c r="H177" i="15"/>
  <c r="T177" i="15" s="1"/>
  <c r="M207" i="15"/>
  <c r="H281" i="15"/>
  <c r="T281" i="15" s="1"/>
  <c r="M202" i="15"/>
  <c r="M234" i="15"/>
  <c r="H196" i="15"/>
  <c r="T196" i="15" s="1"/>
  <c r="H228" i="15"/>
  <c r="T228" i="15" s="1"/>
  <c r="H199" i="15"/>
  <c r="T199" i="15" s="1"/>
  <c r="H231" i="15"/>
  <c r="T231" i="15" s="1"/>
  <c r="H194" i="15"/>
  <c r="T194" i="15" s="1"/>
  <c r="H226" i="15"/>
  <c r="T226" i="15" s="1"/>
  <c r="H197" i="15"/>
  <c r="T197" i="15" s="1"/>
  <c r="H229" i="15"/>
  <c r="T229" i="15" s="1"/>
  <c r="H184" i="15"/>
  <c r="T184" i="15" s="1"/>
  <c r="H216" i="15"/>
  <c r="T216" i="15" s="1"/>
  <c r="M241" i="15"/>
  <c r="M273" i="15"/>
  <c r="M314" i="15"/>
  <c r="M252" i="15"/>
  <c r="H292" i="15"/>
  <c r="T292" i="15" s="1"/>
  <c r="H241" i="15"/>
  <c r="T241" i="15" s="1"/>
  <c r="H273" i="15"/>
  <c r="T273" i="15" s="1"/>
  <c r="M307" i="15"/>
  <c r="H252" i="15"/>
  <c r="T252" i="15" s="1"/>
  <c r="H290" i="15"/>
  <c r="M321" i="15"/>
  <c r="M264" i="15"/>
  <c r="M305" i="15"/>
  <c r="H250" i="15"/>
  <c r="T250" i="15" s="1"/>
  <c r="M286" i="15"/>
  <c r="M316" i="15"/>
  <c r="M262" i="15"/>
  <c r="M303" i="15"/>
  <c r="H37" i="15"/>
  <c r="T37" i="15" s="1"/>
  <c r="H17" i="15"/>
  <c r="H42" i="15"/>
  <c r="T42" i="15" s="1"/>
  <c r="M21" i="15"/>
  <c r="H85" i="15"/>
  <c r="T85" i="15" s="1"/>
  <c r="H62" i="15"/>
  <c r="T62" i="15" s="1"/>
  <c r="H31" i="15"/>
  <c r="T31" i="15" s="1"/>
  <c r="H12" i="15"/>
  <c r="M68" i="15"/>
  <c r="H22" i="15"/>
  <c r="H110" i="15"/>
  <c r="T110" i="15" s="1"/>
  <c r="H67" i="15"/>
  <c r="M39" i="15"/>
  <c r="M23" i="15"/>
  <c r="H83" i="15"/>
  <c r="T83" i="15" s="1"/>
  <c r="M52" i="15"/>
  <c r="H21" i="15"/>
  <c r="M15" i="15"/>
  <c r="M102" i="15"/>
  <c r="H88" i="15"/>
  <c r="T88" i="15" s="1"/>
  <c r="H119" i="15"/>
  <c r="T119" i="15" s="1"/>
  <c r="M122" i="15"/>
  <c r="M87" i="15"/>
  <c r="H63" i="15"/>
  <c r="T63" i="15" s="1"/>
  <c r="H97" i="15"/>
  <c r="T97" i="15" s="1"/>
  <c r="M173" i="15"/>
  <c r="M93" i="15"/>
  <c r="M62" i="15"/>
  <c r="H103" i="15"/>
  <c r="T103" i="15" s="1"/>
  <c r="H131" i="15"/>
  <c r="T131" i="15" s="1"/>
  <c r="H167" i="15"/>
  <c r="T167" i="15" s="1"/>
  <c r="H154" i="15"/>
  <c r="T154" i="15" s="1"/>
  <c r="H211" i="15"/>
  <c r="T211" i="15" s="1"/>
  <c r="H157" i="15"/>
  <c r="T157" i="15" s="1"/>
  <c r="M133" i="15"/>
  <c r="M169" i="15"/>
  <c r="M136" i="15"/>
  <c r="M172" i="15"/>
  <c r="M159" i="15"/>
  <c r="H227" i="15"/>
  <c r="T227" i="15" s="1"/>
  <c r="M146" i="15"/>
  <c r="H182" i="15"/>
  <c r="T182" i="15" s="1"/>
  <c r="H214" i="15"/>
  <c r="T214" i="15" s="1"/>
  <c r="M296" i="15"/>
  <c r="H209" i="15"/>
  <c r="T209" i="15" s="1"/>
  <c r="M239" i="15"/>
  <c r="M197" i="15"/>
  <c r="M229" i="15"/>
  <c r="M200" i="15"/>
  <c r="M232" i="15"/>
  <c r="M195" i="15"/>
  <c r="M227" i="15"/>
  <c r="M198" i="15"/>
  <c r="M230" i="15"/>
  <c r="M185" i="15"/>
  <c r="M217" i="15"/>
  <c r="H248" i="15"/>
  <c r="T248" i="15" s="1"/>
  <c r="H283" i="15"/>
  <c r="T283" i="15" s="1"/>
  <c r="H324" i="15"/>
  <c r="T324" i="15" s="1"/>
  <c r="M260" i="15"/>
  <c r="M293" i="15"/>
  <c r="M242" i="15"/>
  <c r="M274" i="15"/>
  <c r="H314" i="15"/>
  <c r="T314" i="15" s="1"/>
  <c r="M253" i="15"/>
  <c r="H293" i="15"/>
  <c r="T293" i="15" s="1"/>
  <c r="H239" i="15"/>
  <c r="T239" i="15" s="1"/>
  <c r="H271" i="15"/>
  <c r="T271" i="15" s="1"/>
  <c r="H312" i="15"/>
  <c r="T312" i="15" s="1"/>
  <c r="M251" i="15"/>
  <c r="H291" i="15"/>
  <c r="T291" i="15" s="1"/>
  <c r="H237" i="15"/>
  <c r="T237" i="15" s="1"/>
  <c r="H269" i="15"/>
  <c r="T269" i="15" s="1"/>
  <c r="H310" i="15"/>
  <c r="T310" i="15" s="1"/>
  <c r="M71" i="15"/>
  <c r="M45" i="15"/>
  <c r="M50" i="15"/>
  <c r="M65" i="15"/>
  <c r="H38" i="15"/>
  <c r="T38" i="15" s="1"/>
  <c r="M75" i="15"/>
  <c r="H51" i="15"/>
  <c r="T51" i="15" s="1"/>
  <c r="M36" i="15"/>
  <c r="M81" i="15"/>
  <c r="M49" i="15"/>
  <c r="M33" i="15"/>
  <c r="M120" i="15"/>
  <c r="M108" i="15"/>
  <c r="M89" i="15"/>
  <c r="H124" i="15"/>
  <c r="T124" i="15" s="1"/>
  <c r="M127" i="15"/>
  <c r="H94" i="15"/>
  <c r="T94" i="15" s="1"/>
  <c r="M64" i="15"/>
  <c r="M98" i="15"/>
  <c r="H203" i="15"/>
  <c r="T203" i="15" s="1"/>
  <c r="H100" i="15"/>
  <c r="T100" i="15" s="1"/>
  <c r="H69" i="15"/>
  <c r="T69" i="15" s="1"/>
  <c r="M104" i="15"/>
  <c r="M132" i="15"/>
  <c r="M168" i="15"/>
  <c r="M155" i="15"/>
  <c r="M228" i="15"/>
  <c r="M158" i="15"/>
  <c r="H144" i="15"/>
  <c r="T144" i="15" s="1"/>
  <c r="H176" i="15"/>
  <c r="T176" i="15" s="1"/>
  <c r="H147" i="15"/>
  <c r="T147" i="15" s="1"/>
  <c r="H130" i="15"/>
  <c r="T130" i="15" s="1"/>
  <c r="H166" i="15"/>
  <c r="T166" i="15" s="1"/>
  <c r="H117" i="15"/>
  <c r="T117" i="15" s="1"/>
  <c r="H153" i="15"/>
  <c r="T153" i="15" s="1"/>
  <c r="M183" i="15"/>
  <c r="M215" i="15"/>
  <c r="M178" i="15"/>
  <c r="M210" i="15"/>
  <c r="H254" i="15"/>
  <c r="T254" i="15" s="1"/>
  <c r="H204" i="15"/>
  <c r="T204" i="15" s="1"/>
  <c r="H303" i="15"/>
  <c r="T303" i="15" s="1"/>
  <c r="H207" i="15"/>
  <c r="T207" i="15" s="1"/>
  <c r="M247" i="15"/>
  <c r="H202" i="15"/>
  <c r="T202" i="15" s="1"/>
  <c r="H234" i="15"/>
  <c r="T234" i="15" s="1"/>
  <c r="H205" i="15"/>
  <c r="T205" i="15" s="1"/>
  <c r="H238" i="15"/>
  <c r="T238" i="15" s="1"/>
  <c r="H192" i="15"/>
  <c r="T192" i="15" s="1"/>
  <c r="H224" i="15"/>
  <c r="T224" i="15" s="1"/>
  <c r="M249" i="15"/>
  <c r="M284" i="15"/>
  <c r="M325" i="15"/>
  <c r="H267" i="15"/>
  <c r="T267" i="15" s="1"/>
  <c r="H300" i="15"/>
  <c r="T300" i="15" s="1"/>
  <c r="H249" i="15"/>
  <c r="T249" i="15" s="1"/>
  <c r="H284" i="15"/>
  <c r="T284" i="15" s="1"/>
  <c r="M315" i="15"/>
  <c r="H260" i="15"/>
  <c r="T260" i="15" s="1"/>
  <c r="M294" i="15"/>
  <c r="M240" i="15"/>
  <c r="M272" i="15"/>
  <c r="M313" i="15"/>
  <c r="H258" i="15"/>
  <c r="T258" i="15" s="1"/>
  <c r="M292" i="15"/>
  <c r="M238" i="15"/>
  <c r="M270" i="15"/>
  <c r="M311" i="15"/>
  <c r="H65" i="15"/>
  <c r="H13" i="15"/>
  <c r="M51" i="15"/>
  <c r="H56" i="15"/>
  <c r="T56" i="15" s="1"/>
  <c r="M60" i="15"/>
  <c r="M24" i="15"/>
  <c r="H49" i="15"/>
  <c r="T49" i="15" s="1"/>
  <c r="M34" i="15"/>
  <c r="M16" i="15"/>
  <c r="H73" i="15"/>
  <c r="T73" i="15" s="1"/>
  <c r="H35" i="15"/>
  <c r="T35" i="15" s="1"/>
  <c r="H48" i="15"/>
  <c r="T48" i="15" s="1"/>
  <c r="H32" i="15"/>
  <c r="T32" i="15" s="1"/>
  <c r="H123" i="15"/>
  <c r="T123" i="15" s="1"/>
  <c r="H115" i="15"/>
  <c r="T115" i="15" s="1"/>
  <c r="H96" i="15"/>
  <c r="T96" i="15" s="1"/>
  <c r="M220" i="15"/>
  <c r="H148" i="15"/>
  <c r="T148" i="15" s="1"/>
  <c r="M95" i="15"/>
  <c r="H71" i="15"/>
  <c r="T71" i="15" s="1"/>
  <c r="H105" i="15"/>
  <c r="T105" i="15" s="1"/>
  <c r="M67" i="15"/>
  <c r="M101" i="15"/>
  <c r="M70" i="15"/>
  <c r="M107" i="15"/>
  <c r="H143" i="15"/>
  <c r="T143" i="15" s="1"/>
  <c r="H175" i="15"/>
  <c r="T175" i="15" s="1"/>
  <c r="H162" i="15"/>
  <c r="T162" i="15" s="1"/>
  <c r="H129" i="15"/>
  <c r="T129" i="15" s="1"/>
  <c r="H165" i="15"/>
  <c r="T165" i="15" s="1"/>
  <c r="M145" i="15"/>
  <c r="H187" i="15"/>
  <c r="T187" i="15" s="1"/>
  <c r="M148" i="15"/>
  <c r="M131" i="15"/>
  <c r="M167" i="15"/>
  <c r="M118" i="15"/>
  <c r="M154" i="15"/>
  <c r="H190" i="15"/>
  <c r="T190" i="15" s="1"/>
  <c r="H222" i="15"/>
  <c r="T222" i="15" s="1"/>
  <c r="H185" i="15"/>
  <c r="T185" i="15" s="1"/>
  <c r="H217" i="15"/>
  <c r="T217" i="15" s="1"/>
  <c r="H322" i="15"/>
  <c r="T322" i="15" s="1"/>
  <c r="M205" i="15"/>
  <c r="M312" i="15"/>
  <c r="M208" i="15"/>
  <c r="H262" i="15"/>
  <c r="T262" i="15" s="1"/>
  <c r="M203" i="15"/>
  <c r="H270" i="15"/>
  <c r="T270" i="15" s="1"/>
  <c r="M206" i="15"/>
  <c r="M255" i="15"/>
  <c r="M193" i="15"/>
  <c r="M225" i="15"/>
  <c r="H256" i="15"/>
  <c r="T256" i="15" s="1"/>
  <c r="H297" i="15"/>
  <c r="T297" i="15" s="1"/>
  <c r="H235" i="15"/>
  <c r="T235" i="15" s="1"/>
  <c r="M268" i="15"/>
  <c r="M301" i="15"/>
  <c r="M250" i="15"/>
  <c r="M285" i="15"/>
  <c r="H325" i="15"/>
  <c r="T325" i="15" s="1"/>
  <c r="M261" i="15"/>
  <c r="H301" i="15"/>
  <c r="T301" i="15" s="1"/>
  <c r="H247" i="15"/>
  <c r="T247" i="15" s="1"/>
  <c r="H282" i="15"/>
  <c r="T282" i="15" s="1"/>
  <c r="H323" i="15"/>
  <c r="T323" i="15" s="1"/>
  <c r="H266" i="15"/>
  <c r="T266" i="15" s="1"/>
  <c r="H299" i="15"/>
  <c r="T299" i="15" s="1"/>
  <c r="H245" i="15"/>
  <c r="T245" i="15" s="1"/>
  <c r="H280" i="15"/>
  <c r="T280" i="15" s="1"/>
  <c r="H321" i="15"/>
  <c r="T321" i="15" s="1"/>
  <c r="M46" i="15"/>
  <c r="I262" i="14"/>
  <c r="I286" i="14"/>
  <c r="N244" i="14"/>
  <c r="N273" i="14"/>
  <c r="N241" i="14"/>
  <c r="N262" i="14"/>
  <c r="I284" i="14"/>
  <c r="N248" i="14"/>
  <c r="I214" i="14"/>
  <c r="I182" i="14"/>
  <c r="I227" i="14"/>
  <c r="I195" i="14"/>
  <c r="I224" i="14"/>
  <c r="I192" i="14"/>
  <c r="N222" i="14"/>
  <c r="N190" i="14"/>
  <c r="I226" i="14"/>
  <c r="N208" i="14"/>
  <c r="N229" i="14"/>
  <c r="I178" i="14"/>
  <c r="I144" i="14"/>
  <c r="I173" i="14"/>
  <c r="I137" i="14"/>
  <c r="I186" i="14"/>
  <c r="N187" i="14"/>
  <c r="I151" i="14"/>
  <c r="I185" i="14"/>
  <c r="N149" i="14"/>
  <c r="N173" i="14"/>
  <c r="I145" i="14"/>
  <c r="N176" i="14"/>
  <c r="N164" i="14"/>
  <c r="I138" i="14"/>
  <c r="N108" i="14"/>
  <c r="I107" i="14"/>
  <c r="N100" i="14"/>
  <c r="N159" i="14"/>
  <c r="N148" i="14"/>
  <c r="I147" i="14"/>
  <c r="N117" i="14"/>
  <c r="I116" i="14"/>
  <c r="N105" i="14"/>
  <c r="N81" i="14"/>
  <c r="N205" i="14"/>
  <c r="I129" i="14"/>
  <c r="N122" i="14"/>
  <c r="I121" i="14"/>
  <c r="I93" i="14"/>
  <c r="N86" i="14"/>
  <c r="I85" i="14"/>
  <c r="I148" i="14"/>
  <c r="I134" i="14"/>
  <c r="N127" i="14"/>
  <c r="I98" i="14"/>
  <c r="N91" i="14"/>
  <c r="I90" i="14"/>
  <c r="N132" i="14"/>
  <c r="I131" i="14"/>
  <c r="N124" i="14"/>
  <c r="N96" i="14"/>
  <c r="I95" i="14"/>
  <c r="I175" i="14"/>
  <c r="I120" i="14"/>
  <c r="N109" i="14"/>
  <c r="N85" i="14"/>
  <c r="I84" i="14"/>
  <c r="N77" i="14"/>
  <c r="N65" i="14"/>
  <c r="I64" i="14"/>
  <c r="N57" i="14"/>
  <c r="I32" i="14"/>
  <c r="N22" i="14"/>
  <c r="N15" i="14"/>
  <c r="N88" i="14"/>
  <c r="N80" i="14"/>
  <c r="N70" i="14"/>
  <c r="I69" i="14"/>
  <c r="N38" i="14"/>
  <c r="I37" i="14"/>
  <c r="I24" i="14"/>
  <c r="I13" i="14"/>
  <c r="N59" i="14"/>
  <c r="I58" i="14"/>
  <c r="N51" i="14"/>
  <c r="I34" i="14"/>
  <c r="N21" i="14"/>
  <c r="N115" i="14"/>
  <c r="N73" i="14"/>
  <c r="I55" i="14"/>
  <c r="N48" i="14"/>
  <c r="I47" i="14"/>
  <c r="I39" i="14"/>
  <c r="N134" i="14"/>
  <c r="I122" i="14"/>
  <c r="N106" i="14"/>
  <c r="I94" i="14"/>
  <c r="N53" i="14"/>
  <c r="I52" i="14"/>
  <c r="N45" i="14"/>
  <c r="N37" i="14"/>
  <c r="F3" i="14"/>
  <c r="N323" i="14" s="1"/>
  <c r="I102" i="14"/>
  <c r="N75" i="14"/>
  <c r="I74" i="14"/>
  <c r="I65" i="14"/>
  <c r="I49" i="14"/>
  <c r="N42" i="14"/>
  <c r="I41" i="14"/>
  <c r="N34" i="14"/>
  <c r="I33" i="14"/>
  <c r="I130" i="14"/>
  <c r="N123" i="14"/>
  <c r="I117" i="14"/>
  <c r="N95" i="14"/>
  <c r="N87" i="14"/>
  <c r="I70" i="14"/>
  <c r="I158" i="14"/>
  <c r="N103" i="14"/>
  <c r="N63" i="14"/>
  <c r="N52" i="14"/>
  <c r="I43" i="14"/>
  <c r="N36" i="14"/>
  <c r="I21" i="14"/>
  <c r="I163" i="14"/>
  <c r="N82" i="14"/>
  <c r="I125" i="14"/>
  <c r="I35" i="14"/>
  <c r="N60" i="14"/>
  <c r="I38" i="14"/>
  <c r="N131" i="14"/>
  <c r="I62" i="14"/>
  <c r="I51" i="14"/>
  <c r="N39" i="14"/>
  <c r="M32" i="14"/>
  <c r="H31" i="14"/>
  <c r="T31" i="14" s="1"/>
  <c r="H23" i="14"/>
  <c r="H16" i="14"/>
  <c r="H12" i="14"/>
  <c r="M101" i="14"/>
  <c r="M77" i="14"/>
  <c r="M75" i="14"/>
  <c r="H74" i="14"/>
  <c r="T74" i="14" s="1"/>
  <c r="M50" i="14"/>
  <c r="H41" i="14"/>
  <c r="T41" i="14" s="1"/>
  <c r="M34" i="14"/>
  <c r="H15" i="14"/>
  <c r="H26" i="14"/>
  <c r="M16" i="14"/>
  <c r="M129" i="14"/>
  <c r="M63" i="14"/>
  <c r="H57" i="14"/>
  <c r="T57" i="14" s="1"/>
  <c r="H46" i="14"/>
  <c r="T46" i="14" s="1"/>
  <c r="M71" i="14"/>
  <c r="M42" i="14"/>
  <c r="M12" i="14"/>
  <c r="H62" i="14"/>
  <c r="T62" i="14" s="1"/>
  <c r="H70" i="14"/>
  <c r="T70" i="14" s="1"/>
  <c r="M58" i="14"/>
  <c r="M47" i="14"/>
  <c r="M31" i="14"/>
  <c r="H22" i="14"/>
  <c r="M39" i="14"/>
  <c r="H65" i="14"/>
  <c r="H136" i="14"/>
  <c r="T136" i="14" s="1"/>
  <c r="H117" i="14"/>
  <c r="H81" i="14"/>
  <c r="T81" i="14" s="1"/>
  <c r="H38" i="14"/>
  <c r="T38" i="14" s="1"/>
  <c r="M55" i="14"/>
  <c r="H49" i="14"/>
  <c r="T49" i="14" s="1"/>
  <c r="H33" i="14"/>
  <c r="T33" i="14" s="1"/>
  <c r="M23" i="14"/>
  <c r="J177" i="16" l="1"/>
  <c r="J49" i="16"/>
  <c r="J12" i="16"/>
  <c r="J195" i="16"/>
  <c r="J64" i="16"/>
  <c r="O191" i="16"/>
  <c r="O127" i="16"/>
  <c r="J101" i="16"/>
  <c r="J63" i="16"/>
  <c r="O153" i="16"/>
  <c r="O125" i="16"/>
  <c r="O82" i="16"/>
  <c r="O74" i="16"/>
  <c r="O188" i="16"/>
  <c r="O87" i="16"/>
  <c r="O182" i="16"/>
  <c r="J223" i="16"/>
  <c r="O205" i="16"/>
  <c r="O264" i="16"/>
  <c r="J151" i="16"/>
  <c r="J214" i="16"/>
  <c r="O58" i="16"/>
  <c r="O56" i="16"/>
  <c r="J70" i="16"/>
  <c r="J89" i="16"/>
  <c r="J124" i="16"/>
  <c r="O227" i="16"/>
  <c r="O167" i="16"/>
  <c r="J181" i="16"/>
  <c r="O143" i="16"/>
  <c r="O24" i="16"/>
  <c r="O173" i="16"/>
  <c r="J46" i="16"/>
  <c r="J244" i="16"/>
  <c r="J158" i="16"/>
  <c r="J260" i="16"/>
  <c r="J284" i="16"/>
  <c r="J322" i="16"/>
  <c r="J256" i="16"/>
  <c r="J211" i="16"/>
  <c r="J153" i="16"/>
  <c r="O151" i="16"/>
  <c r="O254" i="16"/>
  <c r="J321" i="16"/>
  <c r="O115" i="16"/>
  <c r="O77" i="16"/>
  <c r="O64" i="16"/>
  <c r="J117" i="16"/>
  <c r="O85" i="16"/>
  <c r="J45" i="16"/>
  <c r="J132" i="16"/>
  <c r="J238" i="16"/>
  <c r="J199" i="16"/>
  <c r="O193" i="16"/>
  <c r="O26" i="16"/>
  <c r="O34" i="16"/>
  <c r="J176" i="16"/>
  <c r="J48" i="16"/>
  <c r="O249" i="16"/>
  <c r="J160" i="16"/>
  <c r="O180" i="16"/>
  <c r="O250" i="16"/>
  <c r="O174" i="16"/>
  <c r="O261" i="16"/>
  <c r="J231" i="16"/>
  <c r="O185" i="16"/>
  <c r="O104" i="16"/>
  <c r="O120" i="16"/>
  <c r="J283" i="16"/>
  <c r="J32" i="16"/>
  <c r="J68" i="16"/>
  <c r="J167" i="16"/>
  <c r="O267" i="16"/>
  <c r="O217" i="16"/>
  <c r="J215" i="16"/>
  <c r="O51" i="16"/>
  <c r="O63" i="16"/>
  <c r="O41" i="16"/>
  <c r="J106" i="16"/>
  <c r="J262" i="16"/>
  <c r="J170" i="16"/>
  <c r="J197" i="16"/>
  <c r="O257" i="16"/>
  <c r="O265" i="16"/>
  <c r="J276" i="16"/>
  <c r="O138" i="16"/>
  <c r="O42" i="16"/>
  <c r="J62" i="16"/>
  <c r="O282" i="16"/>
  <c r="O224" i="16"/>
  <c r="O273" i="16"/>
  <c r="O53" i="16"/>
  <c r="O84" i="16"/>
  <c r="O15" i="16"/>
  <c r="J138" i="16"/>
  <c r="O186" i="16"/>
  <c r="J172" i="16"/>
  <c r="J257" i="16"/>
  <c r="O271" i="16"/>
  <c r="J270" i="16"/>
  <c r="O284" i="16"/>
  <c r="J147" i="16"/>
  <c r="J60" i="16"/>
  <c r="O121" i="16"/>
  <c r="J88" i="16"/>
  <c r="J228" i="16"/>
  <c r="J34" i="16"/>
  <c r="O65" i="16"/>
  <c r="O123" i="16"/>
  <c r="O36" i="16"/>
  <c r="O144" i="16"/>
  <c r="J208" i="16"/>
  <c r="O215" i="16"/>
  <c r="O266" i="16"/>
  <c r="O281" i="16"/>
  <c r="J184" i="16"/>
  <c r="O321" i="16"/>
  <c r="O171" i="16"/>
  <c r="J129" i="16"/>
  <c r="J152" i="16"/>
  <c r="O147" i="16"/>
  <c r="J202" i="16"/>
  <c r="J105" i="16"/>
  <c r="J22" i="16"/>
  <c r="J178" i="16"/>
  <c r="O69" i="16"/>
  <c r="O128" i="16"/>
  <c r="J75" i="16"/>
  <c r="J154" i="16"/>
  <c r="J232" i="16"/>
  <c r="J230" i="16"/>
  <c r="O269" i="16"/>
  <c r="O242" i="16"/>
  <c r="J218" i="16"/>
  <c r="O212" i="16"/>
  <c r="O214" i="16"/>
  <c r="J17" i="16"/>
  <c r="O38" i="16"/>
  <c r="J249" i="16"/>
  <c r="O209" i="16"/>
  <c r="J183" i="16"/>
  <c r="O219" i="16"/>
  <c r="O102" i="16"/>
  <c r="J134" i="16"/>
  <c r="O161" i="16"/>
  <c r="O12" i="16"/>
  <c r="J207" i="16"/>
  <c r="O155" i="16"/>
  <c r="O248" i="16"/>
  <c r="J189" i="16"/>
  <c r="O207" i="16"/>
  <c r="J118" i="16"/>
  <c r="J55" i="16"/>
  <c r="J246" i="16"/>
  <c r="O86" i="16"/>
  <c r="O158" i="16"/>
  <c r="J91" i="16"/>
  <c r="O194" i="16"/>
  <c r="O239" i="16"/>
  <c r="O237" i="16"/>
  <c r="J273" i="16"/>
  <c r="O253" i="16"/>
  <c r="J220" i="16"/>
  <c r="O232" i="16"/>
  <c r="J156" i="16"/>
  <c r="O196" i="16"/>
  <c r="O134" i="16"/>
  <c r="J83" i="16"/>
  <c r="J39" i="16"/>
  <c r="O195" i="16"/>
  <c r="J235" i="16"/>
  <c r="O169" i="16"/>
  <c r="J37" i="16"/>
  <c r="O152" i="16"/>
  <c r="O159" i="16"/>
  <c r="J213" i="16"/>
  <c r="O60" i="16"/>
  <c r="J241" i="16"/>
  <c r="O145" i="16"/>
  <c r="J59" i="16"/>
  <c r="J13" i="16"/>
  <c r="O97" i="16"/>
  <c r="J209" i="16"/>
  <c r="O93" i="16"/>
  <c r="J219" i="16"/>
  <c r="J286" i="16"/>
  <c r="J324" i="16"/>
  <c r="O32" i="16"/>
  <c r="J93" i="16"/>
  <c r="O251" i="16"/>
  <c r="J247" i="16"/>
  <c r="I48" i="15"/>
  <c r="N13" i="15"/>
  <c r="I104" i="15"/>
  <c r="N67" i="15"/>
  <c r="I116" i="15"/>
  <c r="N160" i="15"/>
  <c r="N104" i="15"/>
  <c r="I46" i="15"/>
  <c r="I47" i="15"/>
  <c r="I120" i="15"/>
  <c r="I232" i="15"/>
  <c r="N253" i="14"/>
  <c r="N67" i="14"/>
  <c r="N121" i="14"/>
  <c r="I80" i="14"/>
  <c r="I154" i="14"/>
  <c r="N321" i="14"/>
  <c r="J126" i="16"/>
  <c r="O243" i="16"/>
  <c r="O206" i="16"/>
  <c r="O255" i="16"/>
  <c r="J97" i="16"/>
  <c r="O91" i="16"/>
  <c r="O320" i="16"/>
  <c r="J253" i="16"/>
  <c r="J226" i="16"/>
  <c r="J194" i="16"/>
  <c r="J227" i="16"/>
  <c r="J191" i="16"/>
  <c r="O322" i="16"/>
  <c r="O252" i="16"/>
  <c r="O216" i="16"/>
  <c r="O272" i="16"/>
  <c r="O236" i="16"/>
  <c r="O181" i="16"/>
  <c r="O107" i="16"/>
  <c r="J239" i="16"/>
  <c r="O262" i="16"/>
  <c r="J162" i="16"/>
  <c r="O189" i="16"/>
  <c r="J84" i="16"/>
  <c r="O260" i="16"/>
  <c r="J182" i="16"/>
  <c r="J282" i="16"/>
  <c r="J258" i="16"/>
  <c r="J251" i="16"/>
  <c r="O184" i="16"/>
  <c r="J123" i="16"/>
  <c r="J268" i="16"/>
  <c r="O268" i="16"/>
  <c r="J164" i="16"/>
  <c r="J204" i="16"/>
  <c r="O95" i="16"/>
  <c r="J272" i="16"/>
  <c r="J222" i="16"/>
  <c r="O324" i="16"/>
  <c r="O263" i="16"/>
  <c r="O256" i="16"/>
  <c r="O162" i="16"/>
  <c r="J221" i="16"/>
  <c r="O96" i="16"/>
  <c r="J35" i="16"/>
  <c r="O270" i="16"/>
  <c r="O198" i="16"/>
  <c r="O150" i="16"/>
  <c r="J86" i="16"/>
  <c r="J15" i="16"/>
  <c r="O71" i="16"/>
  <c r="O103" i="16"/>
  <c r="J163" i="16"/>
  <c r="J203" i="16"/>
  <c r="O175" i="16"/>
  <c r="J274" i="16"/>
  <c r="J323" i="16"/>
  <c r="J166" i="16"/>
  <c r="O208" i="16"/>
  <c r="O130" i="16"/>
  <c r="J71" i="16"/>
  <c r="O258" i="16"/>
  <c r="J196" i="16"/>
  <c r="J281" i="16"/>
  <c r="J271" i="16"/>
  <c r="O73" i="16"/>
  <c r="J248" i="16"/>
  <c r="J237" i="16"/>
  <c r="O117" i="16"/>
  <c r="O37" i="16"/>
  <c r="O31" i="16"/>
  <c r="O203" i="16"/>
  <c r="J155" i="16"/>
  <c r="O92" i="16"/>
  <c r="J36" i="16"/>
  <c r="O88" i="16"/>
  <c r="O146" i="16"/>
  <c r="O187" i="16"/>
  <c r="J206" i="16"/>
  <c r="O231" i="16"/>
  <c r="O129" i="16"/>
  <c r="J266" i="16"/>
  <c r="J168" i="16"/>
  <c r="O220" i="16"/>
  <c r="O136" i="16"/>
  <c r="O78" i="16"/>
  <c r="J263" i="16"/>
  <c r="O201" i="16"/>
  <c r="O286" i="16"/>
  <c r="I159" i="15"/>
  <c r="N217" i="15"/>
  <c r="N163" i="15"/>
  <c r="I157" i="15"/>
  <c r="I208" i="15"/>
  <c r="N153" i="15"/>
  <c r="N148" i="15"/>
  <c r="N201" i="15"/>
  <c r="I130" i="15"/>
  <c r="I166" i="15"/>
  <c r="I195" i="15"/>
  <c r="I227" i="15"/>
  <c r="I198" i="15"/>
  <c r="I230" i="15"/>
  <c r="I193" i="15"/>
  <c r="I225" i="15"/>
  <c r="N189" i="15"/>
  <c r="N221" i="15"/>
  <c r="N192" i="15"/>
  <c r="N224" i="15"/>
  <c r="I194" i="15"/>
  <c r="I226" i="15"/>
  <c r="I197" i="15"/>
  <c r="I229" i="15"/>
  <c r="I253" i="15"/>
  <c r="I321" i="15"/>
  <c r="I264" i="15"/>
  <c r="I238" i="15"/>
  <c r="I270" i="15"/>
  <c r="I249" i="15"/>
  <c r="I284" i="15"/>
  <c r="N253" i="15"/>
  <c r="N321" i="15"/>
  <c r="N264" i="15"/>
  <c r="N243" i="15"/>
  <c r="I285" i="15"/>
  <c r="J83" i="15"/>
  <c r="O151" i="15"/>
  <c r="J96" i="15"/>
  <c r="O89" i="15"/>
  <c r="O121" i="15"/>
  <c r="J115" i="15"/>
  <c r="O143" i="15"/>
  <c r="J123" i="15"/>
  <c r="J130" i="15"/>
  <c r="J95" i="15"/>
  <c r="O88" i="15"/>
  <c r="J85" i="15"/>
  <c r="J77" i="15"/>
  <c r="O37" i="15"/>
  <c r="J36" i="15"/>
  <c r="J100" i="15"/>
  <c r="O59" i="15"/>
  <c r="O80" i="15"/>
  <c r="J73" i="15"/>
  <c r="J21" i="15"/>
  <c r="O70" i="15"/>
  <c r="J32" i="15"/>
  <c r="O26" i="15"/>
  <c r="O22" i="15"/>
  <c r="O38" i="15"/>
  <c r="J37" i="15"/>
  <c r="O85" i="15"/>
  <c r="O78" i="15"/>
  <c r="O77" i="15"/>
  <c r="O43" i="15"/>
  <c r="O48" i="15"/>
  <c r="J47" i="15"/>
  <c r="G3" i="15"/>
  <c r="O272" i="15" s="1"/>
  <c r="I170" i="15"/>
  <c r="N158" i="15"/>
  <c r="N225" i="15"/>
  <c r="I160" i="15"/>
  <c r="I155" i="15"/>
  <c r="I216" i="15"/>
  <c r="N131" i="15"/>
  <c r="N167" i="15"/>
  <c r="N196" i="15"/>
  <c r="N228" i="15"/>
  <c r="N199" i="15"/>
  <c r="N231" i="15"/>
  <c r="N194" i="15"/>
  <c r="N226" i="15"/>
  <c r="I196" i="15"/>
  <c r="I228" i="15"/>
  <c r="I199" i="15"/>
  <c r="I231" i="15"/>
  <c r="N195" i="15"/>
  <c r="N227" i="15"/>
  <c r="N198" i="15"/>
  <c r="N230" i="15"/>
  <c r="N254" i="15"/>
  <c r="N322" i="15"/>
  <c r="N265" i="15"/>
  <c r="N239" i="15"/>
  <c r="N271" i="15"/>
  <c r="N250" i="15"/>
  <c r="N285" i="15"/>
  <c r="I260" i="15"/>
  <c r="I239" i="15"/>
  <c r="I271" i="15"/>
  <c r="I250" i="15"/>
  <c r="N286" i="15"/>
  <c r="N73" i="15"/>
  <c r="N106" i="15"/>
  <c r="I75" i="15"/>
  <c r="I109" i="15"/>
  <c r="I148" i="15"/>
  <c r="I131" i="15"/>
  <c r="I167" i="15"/>
  <c r="I134" i="15"/>
  <c r="N171" i="15"/>
  <c r="I165" i="15"/>
  <c r="N252" i="15"/>
  <c r="N161" i="15"/>
  <c r="N156" i="15"/>
  <c r="N233" i="15"/>
  <c r="I138" i="15"/>
  <c r="I174" i="15"/>
  <c r="I203" i="15"/>
  <c r="N235" i="15"/>
  <c r="I206" i="15"/>
  <c r="I243" i="15"/>
  <c r="I201" i="15"/>
  <c r="I233" i="15"/>
  <c r="N197" i="15"/>
  <c r="N229" i="15"/>
  <c r="N200" i="15"/>
  <c r="N232" i="15"/>
  <c r="I202" i="15"/>
  <c r="I234" i="15"/>
  <c r="I205" i="15"/>
  <c r="I235" i="15"/>
  <c r="I261" i="15"/>
  <c r="I240" i="15"/>
  <c r="I272" i="15"/>
  <c r="I246" i="15"/>
  <c r="I281" i="15"/>
  <c r="I257" i="15"/>
  <c r="I325" i="15"/>
  <c r="N261" i="15"/>
  <c r="N240" i="15"/>
  <c r="N272" i="15"/>
  <c r="N251" i="15"/>
  <c r="I62" i="15"/>
  <c r="I98" i="15"/>
  <c r="I161" i="15"/>
  <c r="I115" i="15"/>
  <c r="N117" i="15"/>
  <c r="I83" i="15"/>
  <c r="N122" i="15"/>
  <c r="N87" i="15"/>
  <c r="I125" i="15"/>
  <c r="I81" i="15"/>
  <c r="I117" i="15"/>
  <c r="N77" i="15"/>
  <c r="N119" i="15"/>
  <c r="N149" i="15"/>
  <c r="N132" i="15"/>
  <c r="N168" i="15"/>
  <c r="I146" i="15"/>
  <c r="N130" i="15"/>
  <c r="N166" i="15"/>
  <c r="I132" i="15"/>
  <c r="I168" i="15"/>
  <c r="I163" i="15"/>
  <c r="N320" i="15"/>
  <c r="N143" i="15"/>
  <c r="N175" i="15"/>
  <c r="N204" i="15"/>
  <c r="I275" i="15"/>
  <c r="N207" i="15"/>
  <c r="N260" i="15"/>
  <c r="N202" i="15"/>
  <c r="N234" i="15"/>
  <c r="I204" i="15"/>
  <c r="N236" i="15"/>
  <c r="I207" i="15"/>
  <c r="N276" i="15"/>
  <c r="N203" i="15"/>
  <c r="N244" i="15"/>
  <c r="N206" i="15"/>
  <c r="I267" i="15"/>
  <c r="N262" i="15"/>
  <c r="N241" i="15"/>
  <c r="N273" i="15"/>
  <c r="N247" i="15"/>
  <c r="N282" i="15"/>
  <c r="N258" i="15"/>
  <c r="I236" i="15"/>
  <c r="I268" i="15"/>
  <c r="I247" i="15"/>
  <c r="I282" i="15"/>
  <c r="I258" i="15"/>
  <c r="N36" i="15"/>
  <c r="N12" i="15"/>
  <c r="N63" i="15"/>
  <c r="I22" i="15"/>
  <c r="N58" i="15"/>
  <c r="N45" i="15"/>
  <c r="I12" i="15"/>
  <c r="I87" i="15"/>
  <c r="I106" i="15"/>
  <c r="I85" i="15"/>
  <c r="N121" i="15"/>
  <c r="I119" i="15"/>
  <c r="N84" i="15"/>
  <c r="N127" i="15"/>
  <c r="I94" i="15"/>
  <c r="N134" i="15"/>
  <c r="N82" i="15"/>
  <c r="I121" i="15"/>
  <c r="I84" i="15"/>
  <c r="I126" i="15"/>
  <c r="I156" i="15"/>
  <c r="I143" i="15"/>
  <c r="I175" i="15"/>
  <c r="N147" i="15"/>
  <c r="I137" i="15"/>
  <c r="I173" i="15"/>
  <c r="N133" i="15"/>
  <c r="N169" i="15"/>
  <c r="N164" i="15"/>
  <c r="I110" i="15"/>
  <c r="I150" i="15"/>
  <c r="I179" i="15"/>
  <c r="I211" i="15"/>
  <c r="I182" i="15"/>
  <c r="I214" i="15"/>
  <c r="I286" i="15"/>
  <c r="I209" i="15"/>
  <c r="N268" i="15"/>
  <c r="N205" i="15"/>
  <c r="I251" i="15"/>
  <c r="N208" i="15"/>
  <c r="I178" i="15"/>
  <c r="I210" i="15"/>
  <c r="I181" i="15"/>
  <c r="I213" i="15"/>
  <c r="I237" i="15"/>
  <c r="I269" i="15"/>
  <c r="I248" i="15"/>
  <c r="I283" i="15"/>
  <c r="I254" i="15"/>
  <c r="I322" i="15"/>
  <c r="I265" i="15"/>
  <c r="N237" i="15"/>
  <c r="N269" i="15"/>
  <c r="N248" i="15"/>
  <c r="N283" i="15"/>
  <c r="I266" i="15"/>
  <c r="I34" i="15"/>
  <c r="I64" i="15"/>
  <c r="I37" i="15"/>
  <c r="N71" i="15"/>
  <c r="N49" i="15"/>
  <c r="I43" i="15"/>
  <c r="N31" i="15"/>
  <c r="N64" i="15"/>
  <c r="I33" i="15"/>
  <c r="N83" i="15"/>
  <c r="I52" i="15"/>
  <c r="I31" i="15"/>
  <c r="N124" i="15"/>
  <c r="N116" i="15"/>
  <c r="N86" i="15"/>
  <c r="N125" i="15"/>
  <c r="I124" i="15"/>
  <c r="I91" i="15"/>
  <c r="N128" i="15"/>
  <c r="N95" i="15"/>
  <c r="I145" i="15"/>
  <c r="I89" i="15"/>
  <c r="I129" i="15"/>
  <c r="N85" i="15"/>
  <c r="I153" i="15"/>
  <c r="N157" i="15"/>
  <c r="N144" i="15"/>
  <c r="N176" i="15"/>
  <c r="I154" i="15"/>
  <c r="N138" i="15"/>
  <c r="N174" i="15"/>
  <c r="I144" i="15"/>
  <c r="I176" i="15"/>
  <c r="I171" i="15"/>
  <c r="N115" i="15"/>
  <c r="N151" i="15"/>
  <c r="N180" i="15"/>
  <c r="N212" i="15"/>
  <c r="N183" i="15"/>
  <c r="N215" i="15"/>
  <c r="N178" i="15"/>
  <c r="N210" i="15"/>
  <c r="I180" i="15"/>
  <c r="I212" i="15"/>
  <c r="I183" i="15"/>
  <c r="I215" i="15"/>
  <c r="N179" i="15"/>
  <c r="N211" i="15"/>
  <c r="N182" i="15"/>
  <c r="N214" i="15"/>
  <c r="N238" i="15"/>
  <c r="N270" i="15"/>
  <c r="N249" i="15"/>
  <c r="N284" i="15"/>
  <c r="N255" i="15"/>
  <c r="N323" i="15"/>
  <c r="N266" i="15"/>
  <c r="I244" i="15"/>
  <c r="I276" i="15"/>
  <c r="I255" i="15"/>
  <c r="I323" i="15"/>
  <c r="N267" i="15"/>
  <c r="N35" i="15"/>
  <c r="I70" i="15"/>
  <c r="N38" i="15"/>
  <c r="I80" i="15"/>
  <c r="N55" i="15"/>
  <c r="I51" i="15"/>
  <c r="I38" i="15"/>
  <c r="N65" i="15"/>
  <c r="N34" i="15"/>
  <c r="N88" i="15"/>
  <c r="I55" i="15"/>
  <c r="N32" i="15"/>
  <c r="I127" i="15"/>
  <c r="I118" i="15"/>
  <c r="I93" i="15"/>
  <c r="I96" i="15"/>
  <c r="N126" i="15"/>
  <c r="N92" i="15"/>
  <c r="I60" i="15"/>
  <c r="I102" i="15"/>
  <c r="N162" i="15"/>
  <c r="N90" i="15"/>
  <c r="I224" i="15"/>
  <c r="I92" i="15"/>
  <c r="N170" i="15"/>
  <c r="I164" i="15"/>
  <c r="I151" i="15"/>
  <c r="N185" i="15"/>
  <c r="N155" i="15"/>
  <c r="I149" i="15"/>
  <c r="N177" i="15"/>
  <c r="N145" i="15"/>
  <c r="N136" i="15"/>
  <c r="N172" i="15"/>
  <c r="I122" i="15"/>
  <c r="I158" i="15"/>
  <c r="I187" i="15"/>
  <c r="I219" i="15"/>
  <c r="I190" i="15"/>
  <c r="I222" i="15"/>
  <c r="I185" i="15"/>
  <c r="I217" i="15"/>
  <c r="N181" i="15"/>
  <c r="N213" i="15"/>
  <c r="N184" i="15"/>
  <c r="N216" i="15"/>
  <c r="I186" i="15"/>
  <c r="I218" i="15"/>
  <c r="I189" i="15"/>
  <c r="I221" i="15"/>
  <c r="I245" i="15"/>
  <c r="I280" i="15"/>
  <c r="I256" i="15"/>
  <c r="I324" i="15"/>
  <c r="I262" i="15"/>
  <c r="I241" i="15"/>
  <c r="I273" i="15"/>
  <c r="N245" i="15"/>
  <c r="N280" i="15"/>
  <c r="N256" i="15"/>
  <c r="N324" i="15"/>
  <c r="I274" i="15"/>
  <c r="I42" i="15"/>
  <c r="N78" i="15"/>
  <c r="I45" i="15"/>
  <c r="N15" i="15"/>
  <c r="N70" i="15"/>
  <c r="N52" i="15"/>
  <c r="N39" i="15"/>
  <c r="I67" i="15"/>
  <c r="I41" i="15"/>
  <c r="N96" i="15"/>
  <c r="N60" i="15"/>
  <c r="I39" i="15"/>
  <c r="I128" i="15"/>
  <c r="N120" i="15"/>
  <c r="N94" i="15"/>
  <c r="N97" i="15"/>
  <c r="N154" i="15"/>
  <c r="N100" i="15"/>
  <c r="I68" i="15"/>
  <c r="N103" i="15"/>
  <c r="I177" i="15"/>
  <c r="I97" i="15"/>
  <c r="I58" i="15"/>
  <c r="N93" i="15"/>
  <c r="N129" i="15"/>
  <c r="N165" i="15"/>
  <c r="N152" i="15"/>
  <c r="I200" i="15"/>
  <c r="I162" i="15"/>
  <c r="N150" i="15"/>
  <c r="N193" i="15"/>
  <c r="I152" i="15"/>
  <c r="I147" i="15"/>
  <c r="I184" i="15"/>
  <c r="N123" i="15"/>
  <c r="N159" i="15"/>
  <c r="N188" i="15"/>
  <c r="N220" i="15"/>
  <c r="N191" i="15"/>
  <c r="N223" i="15"/>
  <c r="N186" i="15"/>
  <c r="N218" i="15"/>
  <c r="I188" i="15"/>
  <c r="I220" i="15"/>
  <c r="I191" i="15"/>
  <c r="I223" i="15"/>
  <c r="N187" i="15"/>
  <c r="N219" i="15"/>
  <c r="N190" i="15"/>
  <c r="N222" i="15"/>
  <c r="N246" i="15"/>
  <c r="N281" i="15"/>
  <c r="N257" i="15"/>
  <c r="N325" i="15"/>
  <c r="N263" i="15"/>
  <c r="N242" i="15"/>
  <c r="N274" i="15"/>
  <c r="I252" i="15"/>
  <c r="I320" i="15"/>
  <c r="I263" i="15"/>
  <c r="I242" i="15"/>
  <c r="N146" i="14"/>
  <c r="N177" i="14"/>
  <c r="I156" i="14"/>
  <c r="I194" i="14"/>
  <c r="N152" i="14"/>
  <c r="I196" i="14"/>
  <c r="N155" i="14"/>
  <c r="N189" i="14"/>
  <c r="N138" i="14"/>
  <c r="N184" i="14"/>
  <c r="N145" i="14"/>
  <c r="N180" i="14"/>
  <c r="N250" i="14"/>
  <c r="I215" i="14"/>
  <c r="N227" i="14"/>
  <c r="I197" i="14"/>
  <c r="I229" i="14"/>
  <c r="N193" i="14"/>
  <c r="N225" i="14"/>
  <c r="N196" i="14"/>
  <c r="N228" i="14"/>
  <c r="N183" i="14"/>
  <c r="N215" i="14"/>
  <c r="N275" i="14"/>
  <c r="N285" i="14"/>
  <c r="I260" i="14"/>
  <c r="I237" i="14"/>
  <c r="I269" i="14"/>
  <c r="I248" i="14"/>
  <c r="I283" i="14"/>
  <c r="I251" i="14"/>
  <c r="N320" i="14"/>
  <c r="N263" i="14"/>
  <c r="I153" i="14"/>
  <c r="I180" i="14"/>
  <c r="N157" i="14"/>
  <c r="N197" i="14"/>
  <c r="I159" i="14"/>
  <c r="N219" i="14"/>
  <c r="I162" i="14"/>
  <c r="I193" i="14"/>
  <c r="I149" i="14"/>
  <c r="I188" i="14"/>
  <c r="I152" i="14"/>
  <c r="I183" i="14"/>
  <c r="I255" i="14"/>
  <c r="N216" i="14"/>
  <c r="I241" i="14"/>
  <c r="N198" i="14"/>
  <c r="N230" i="14"/>
  <c r="I200" i="14"/>
  <c r="I232" i="14"/>
  <c r="I203" i="14"/>
  <c r="I250" i="14"/>
  <c r="I190" i="14"/>
  <c r="I222" i="14"/>
  <c r="I257" i="14"/>
  <c r="I325" i="14"/>
  <c r="N261" i="14"/>
  <c r="N238" i="14"/>
  <c r="N270" i="14"/>
  <c r="N249" i="14"/>
  <c r="N284" i="14"/>
  <c r="N252" i="14"/>
  <c r="I238" i="14"/>
  <c r="I270" i="14"/>
  <c r="N33" i="14"/>
  <c r="I73" i="14"/>
  <c r="I92" i="14"/>
  <c r="I128" i="14"/>
  <c r="I103" i="14"/>
  <c r="N156" i="14"/>
  <c r="I106" i="14"/>
  <c r="I150" i="14"/>
  <c r="N94" i="14"/>
  <c r="N130" i="14"/>
  <c r="I88" i="14"/>
  <c r="I124" i="14"/>
  <c r="N210" i="14"/>
  <c r="I119" i="14"/>
  <c r="I179" i="14"/>
  <c r="N154" i="14"/>
  <c r="N182" i="14"/>
  <c r="I164" i="14"/>
  <c r="I201" i="14"/>
  <c r="N160" i="14"/>
  <c r="N226" i="14"/>
  <c r="N163" i="14"/>
  <c r="N194" i="14"/>
  <c r="N150" i="14"/>
  <c r="N211" i="14"/>
  <c r="N153" i="14"/>
  <c r="N186" i="14"/>
  <c r="I191" i="14"/>
  <c r="I223" i="14"/>
  <c r="I258" i="14"/>
  <c r="I205" i="14"/>
  <c r="N233" i="14"/>
  <c r="N201" i="14"/>
  <c r="N251" i="14"/>
  <c r="N204" i="14"/>
  <c r="N256" i="14"/>
  <c r="N191" i="14"/>
  <c r="N223" i="14"/>
  <c r="N258" i="14"/>
  <c r="I236" i="14"/>
  <c r="I268" i="14"/>
  <c r="I245" i="14"/>
  <c r="I280" i="14"/>
  <c r="I256" i="14"/>
  <c r="I324" i="14"/>
  <c r="N260" i="14"/>
  <c r="N239" i="14"/>
  <c r="N271" i="14"/>
  <c r="I60" i="14"/>
  <c r="I212" i="14"/>
  <c r="N56" i="14"/>
  <c r="N35" i="14"/>
  <c r="I75" i="14"/>
  <c r="I45" i="14"/>
  <c r="N90" i="14"/>
  <c r="N41" i="14"/>
  <c r="N74" i="14"/>
  <c r="N93" i="14"/>
  <c r="N129" i="14"/>
  <c r="N104" i="14"/>
  <c r="N172" i="14"/>
  <c r="N107" i="14"/>
  <c r="I166" i="14"/>
  <c r="I101" i="14"/>
  <c r="N137" i="14"/>
  <c r="N89" i="14"/>
  <c r="N125" i="14"/>
  <c r="I83" i="14"/>
  <c r="N120" i="14"/>
  <c r="N181" i="14"/>
  <c r="I161" i="14"/>
  <c r="N195" i="14"/>
  <c r="N165" i="14"/>
  <c r="N202" i="14"/>
  <c r="I167" i="14"/>
  <c r="N240" i="14"/>
  <c r="I170" i="14"/>
  <c r="I218" i="14"/>
  <c r="I157" i="14"/>
  <c r="I220" i="14"/>
  <c r="I160" i="14"/>
  <c r="I210" i="14"/>
  <c r="N192" i="14"/>
  <c r="N224" i="14"/>
  <c r="I263" i="14"/>
  <c r="N206" i="14"/>
  <c r="N234" i="14"/>
  <c r="I208" i="14"/>
  <c r="I266" i="14"/>
  <c r="I211" i="14"/>
  <c r="I271" i="14"/>
  <c r="I198" i="14"/>
  <c r="I230" i="14"/>
  <c r="I265" i="14"/>
  <c r="N237" i="14"/>
  <c r="N269" i="14"/>
  <c r="N246" i="14"/>
  <c r="N281" i="14"/>
  <c r="N257" i="14"/>
  <c r="N325" i="14"/>
  <c r="I267" i="14"/>
  <c r="I246" i="14"/>
  <c r="I281" i="14"/>
  <c r="N68" i="14"/>
  <c r="N31" i="14"/>
  <c r="I89" i="14"/>
  <c r="N71" i="14"/>
  <c r="N203" i="14"/>
  <c r="N50" i="14"/>
  <c r="N13" i="14"/>
  <c r="I68" i="14"/>
  <c r="I12" i="14"/>
  <c r="I63" i="14"/>
  <c r="I42" i="14"/>
  <c r="N98" i="14"/>
  <c r="N46" i="14"/>
  <c r="I110" i="14"/>
  <c r="I48" i="14"/>
  <c r="I87" i="14"/>
  <c r="I100" i="14"/>
  <c r="I136" i="14"/>
  <c r="I115" i="14"/>
  <c r="I209" i="14"/>
  <c r="I118" i="14"/>
  <c r="N185" i="14"/>
  <c r="N102" i="14"/>
  <c r="I155" i="14"/>
  <c r="I96" i="14"/>
  <c r="I132" i="14"/>
  <c r="N84" i="14"/>
  <c r="I127" i="14"/>
  <c r="I184" i="14"/>
  <c r="N162" i="14"/>
  <c r="I204" i="14"/>
  <c r="I172" i="14"/>
  <c r="N286" i="14"/>
  <c r="N168" i="14"/>
  <c r="I249" i="14"/>
  <c r="N171" i="14"/>
  <c r="N221" i="14"/>
  <c r="N158" i="14"/>
  <c r="I234" i="14"/>
  <c r="N161" i="14"/>
  <c r="N213" i="14"/>
  <c r="I199" i="14"/>
  <c r="I231" i="14"/>
  <c r="N267" i="14"/>
  <c r="I213" i="14"/>
  <c r="N272" i="14"/>
  <c r="N209" i="14"/>
  <c r="I282" i="14"/>
  <c r="N212" i="14"/>
  <c r="I323" i="14"/>
  <c r="N199" i="14"/>
  <c r="N231" i="14"/>
  <c r="N266" i="14"/>
  <c r="I244" i="14"/>
  <c r="I276" i="14"/>
  <c r="I253" i="14"/>
  <c r="I321" i="14"/>
  <c r="I264" i="14"/>
  <c r="I235" i="14"/>
  <c r="N268" i="14"/>
  <c r="N247" i="14"/>
  <c r="N282" i="14"/>
  <c r="N55" i="14"/>
  <c r="N47" i="14"/>
  <c r="N12" i="14"/>
  <c r="I81" i="14"/>
  <c r="I15" i="14"/>
  <c r="I57" i="14"/>
  <c r="N24" i="14"/>
  <c r="N69" i="14"/>
  <c r="I31" i="14"/>
  <c r="N64" i="14"/>
  <c r="N43" i="14"/>
  <c r="I105" i="14"/>
  <c r="I53" i="14"/>
  <c r="N126" i="14"/>
  <c r="N49" i="14"/>
  <c r="I97" i="14"/>
  <c r="N101" i="14"/>
  <c r="N151" i="14"/>
  <c r="N116" i="14"/>
  <c r="I82" i="14"/>
  <c r="N119" i="14"/>
  <c r="I77" i="14"/>
  <c r="I109" i="14"/>
  <c r="I171" i="14"/>
  <c r="N97" i="14"/>
  <c r="N133" i="14"/>
  <c r="I91" i="14"/>
  <c r="N128" i="14"/>
  <c r="I228" i="14"/>
  <c r="I169" i="14"/>
  <c r="I233" i="14"/>
  <c r="I176" i="14"/>
  <c r="I143" i="14"/>
  <c r="N174" i="14"/>
  <c r="I146" i="14"/>
  <c r="I177" i="14"/>
  <c r="I225" i="14"/>
  <c r="I165" i="14"/>
  <c r="I242" i="14"/>
  <c r="I168" i="14"/>
  <c r="I217" i="14"/>
  <c r="N200" i="14"/>
  <c r="N232" i="14"/>
  <c r="I285" i="14"/>
  <c r="N214" i="14"/>
  <c r="N283" i="14"/>
  <c r="I216" i="14"/>
  <c r="I187" i="14"/>
  <c r="I219" i="14"/>
  <c r="I174" i="14"/>
  <c r="I206" i="14"/>
  <c r="N243" i="14"/>
  <c r="I273" i="14"/>
  <c r="N245" i="14"/>
  <c r="N280" i="14"/>
  <c r="N254" i="14"/>
  <c r="N322" i="14"/>
  <c r="N265" i="14"/>
  <c r="N236" i="14"/>
  <c r="I275" i="14"/>
  <c r="I254" i="14"/>
  <c r="I322" i="14"/>
  <c r="I67" i="14"/>
  <c r="I59" i="14"/>
  <c r="I46" i="14"/>
  <c r="I86" i="14"/>
  <c r="I22" i="14"/>
  <c r="N58" i="14"/>
  <c r="I36" i="14"/>
  <c r="I78" i="14"/>
  <c r="N32" i="14"/>
  <c r="I71" i="14"/>
  <c r="I50" i="14"/>
  <c r="I133" i="14"/>
  <c r="N62" i="14"/>
  <c r="J267" i="14"/>
  <c r="O325" i="14"/>
  <c r="O257" i="14"/>
  <c r="O281" i="14"/>
  <c r="O246" i="14"/>
  <c r="O267" i="14"/>
  <c r="J234" i="14"/>
  <c r="O258" i="14"/>
  <c r="J322" i="14"/>
  <c r="J254" i="14"/>
  <c r="O212" i="14"/>
  <c r="O180" i="14"/>
  <c r="J221" i="14"/>
  <c r="J189" i="14"/>
  <c r="O219" i="14"/>
  <c r="O187" i="14"/>
  <c r="O240" i="14"/>
  <c r="J212" i="14"/>
  <c r="J222" i="14"/>
  <c r="O150" i="14"/>
  <c r="J215" i="14"/>
  <c r="O171" i="14"/>
  <c r="O245" i="14"/>
  <c r="O160" i="14"/>
  <c r="O202" i="14"/>
  <c r="J176" i="14"/>
  <c r="O137" i="14"/>
  <c r="O170" i="14"/>
  <c r="O210" i="14"/>
  <c r="J166" i="14"/>
  <c r="J96" i="14"/>
  <c r="J129" i="14"/>
  <c r="J93" i="14"/>
  <c r="J134" i="14"/>
  <c r="O91" i="14"/>
  <c r="O161" i="14"/>
  <c r="O104" i="14"/>
  <c r="J260" i="14"/>
  <c r="J120" i="14"/>
  <c r="J217" i="14"/>
  <c r="J117" i="14"/>
  <c r="J81" i="14"/>
  <c r="J53" i="14"/>
  <c r="O176" i="14"/>
  <c r="O51" i="14"/>
  <c r="O115" i="14"/>
  <c r="O48" i="14"/>
  <c r="J107" i="14"/>
  <c r="G3" i="14"/>
  <c r="O260" i="14" s="1"/>
  <c r="J102" i="14"/>
  <c r="O50" i="14"/>
  <c r="O42" i="14"/>
  <c r="J15" i="14"/>
  <c r="O136" i="14"/>
  <c r="J83" i="14"/>
  <c r="O71" i="14"/>
  <c r="J46" i="14"/>
  <c r="J38" i="14"/>
  <c r="O103" i="14"/>
  <c r="O68" i="14"/>
  <c r="J119" i="14"/>
  <c r="J48" i="14"/>
  <c r="O22" i="14"/>
  <c r="J64" i="14"/>
  <c r="O52" i="14"/>
  <c r="J67" i="14"/>
  <c r="J56" i="14"/>
  <c r="J91" i="14"/>
  <c r="J73" i="14"/>
  <c r="J35" i="14"/>
  <c r="O26" i="14"/>
  <c r="I56" i="14"/>
  <c r="N118" i="14"/>
  <c r="I108" i="14"/>
  <c r="N167" i="14"/>
  <c r="I123" i="14"/>
  <c r="N83" i="14"/>
  <c r="I126" i="14"/>
  <c r="N78" i="14"/>
  <c r="N110" i="14"/>
  <c r="I202" i="14"/>
  <c r="I104" i="14"/>
  <c r="N143" i="14"/>
  <c r="N92" i="14"/>
  <c r="N136" i="14"/>
  <c r="I239" i="14"/>
  <c r="N170" i="14"/>
  <c r="N235" i="14"/>
  <c r="N178" i="14"/>
  <c r="N144" i="14"/>
  <c r="I181" i="14"/>
  <c r="N147" i="14"/>
  <c r="N179" i="14"/>
  <c r="I274" i="14"/>
  <c r="N166" i="14"/>
  <c r="N264" i="14"/>
  <c r="N169" i="14"/>
  <c r="N218" i="14"/>
  <c r="I207" i="14"/>
  <c r="N242" i="14"/>
  <c r="I189" i="14"/>
  <c r="I221" i="14"/>
  <c r="N324" i="14"/>
  <c r="N217" i="14"/>
  <c r="N188" i="14"/>
  <c r="N220" i="14"/>
  <c r="N175" i="14"/>
  <c r="N207" i="14"/>
  <c r="I247" i="14"/>
  <c r="N274" i="14"/>
  <c r="I252" i="14"/>
  <c r="I320" i="14"/>
  <c r="I261" i="14"/>
  <c r="I240" i="14"/>
  <c r="I272" i="14"/>
  <c r="I243" i="14"/>
  <c r="N276" i="14"/>
  <c r="N255" i="14"/>
  <c r="D3" i="5"/>
  <c r="F291" i="5"/>
  <c r="I291" i="5"/>
  <c r="J291" i="5"/>
  <c r="K291" i="5"/>
  <c r="N291" i="5"/>
  <c r="O291" i="5"/>
  <c r="F292" i="5"/>
  <c r="I292" i="5"/>
  <c r="J292" i="5"/>
  <c r="K292" i="5"/>
  <c r="N292" i="5"/>
  <c r="O292" i="5"/>
  <c r="F293" i="5"/>
  <c r="I293" i="5"/>
  <c r="J293" i="5"/>
  <c r="K293" i="5"/>
  <c r="N293" i="5"/>
  <c r="O293" i="5"/>
  <c r="F294" i="5"/>
  <c r="I294" i="5"/>
  <c r="J294" i="5"/>
  <c r="K294" i="5"/>
  <c r="N294" i="5"/>
  <c r="O294" i="5"/>
  <c r="F295" i="5"/>
  <c r="I295" i="5"/>
  <c r="J295" i="5"/>
  <c r="K295" i="5"/>
  <c r="N295" i="5"/>
  <c r="O295" i="5"/>
  <c r="F296" i="5"/>
  <c r="I296" i="5"/>
  <c r="J296" i="5"/>
  <c r="K296" i="5"/>
  <c r="N296" i="5"/>
  <c r="O296" i="5"/>
  <c r="F297" i="5"/>
  <c r="I297" i="5"/>
  <c r="J297" i="5"/>
  <c r="K297" i="5"/>
  <c r="N297" i="5"/>
  <c r="O297" i="5"/>
  <c r="F298" i="5"/>
  <c r="I298" i="5"/>
  <c r="J298" i="5"/>
  <c r="K298" i="5"/>
  <c r="N298" i="5"/>
  <c r="O298" i="5"/>
  <c r="F299" i="5"/>
  <c r="I299" i="5"/>
  <c r="J299" i="5"/>
  <c r="K299" i="5"/>
  <c r="N299" i="5"/>
  <c r="O299" i="5"/>
  <c r="F300" i="5"/>
  <c r="I300" i="5"/>
  <c r="J300" i="5"/>
  <c r="K300" i="5"/>
  <c r="N300" i="5"/>
  <c r="O300" i="5"/>
  <c r="F302" i="5"/>
  <c r="I302" i="5"/>
  <c r="J302" i="5"/>
  <c r="K302" i="5"/>
  <c r="N302" i="5"/>
  <c r="O302" i="5"/>
  <c r="F303" i="5"/>
  <c r="I303" i="5"/>
  <c r="J303" i="5"/>
  <c r="K303" i="5"/>
  <c r="N303" i="5"/>
  <c r="O303" i="5"/>
  <c r="F304" i="5"/>
  <c r="I304" i="5"/>
  <c r="J304" i="5"/>
  <c r="K304" i="5"/>
  <c r="N304" i="5"/>
  <c r="O304" i="5"/>
  <c r="F305" i="5"/>
  <c r="I305" i="5"/>
  <c r="J305" i="5"/>
  <c r="K305" i="5"/>
  <c r="N305" i="5"/>
  <c r="O305" i="5"/>
  <c r="F307" i="5"/>
  <c r="I307" i="5"/>
  <c r="J307" i="5"/>
  <c r="K307" i="5"/>
  <c r="N307" i="5"/>
  <c r="O307" i="5"/>
  <c r="F308" i="5"/>
  <c r="I308" i="5"/>
  <c r="J308" i="5"/>
  <c r="K308" i="5"/>
  <c r="N308" i="5"/>
  <c r="O308" i="5"/>
  <c r="F309" i="5"/>
  <c r="I309" i="5"/>
  <c r="J309" i="5"/>
  <c r="K309" i="5"/>
  <c r="N309" i="5"/>
  <c r="O309" i="5"/>
  <c r="F310" i="5"/>
  <c r="I310" i="5"/>
  <c r="J310" i="5"/>
  <c r="K310" i="5"/>
  <c r="N310" i="5"/>
  <c r="O310" i="5"/>
  <c r="F311" i="5"/>
  <c r="I311" i="5"/>
  <c r="J311" i="5"/>
  <c r="K311" i="5"/>
  <c r="N311" i="5"/>
  <c r="O311" i="5"/>
  <c r="F312" i="5"/>
  <c r="I312" i="5"/>
  <c r="J312" i="5"/>
  <c r="K312" i="5"/>
  <c r="N312" i="5"/>
  <c r="O312" i="5"/>
  <c r="F313" i="5"/>
  <c r="I313" i="5"/>
  <c r="J313" i="5"/>
  <c r="K313" i="5"/>
  <c r="N313" i="5"/>
  <c r="O313" i="5"/>
  <c r="F314" i="5"/>
  <c r="G314" i="5"/>
  <c r="I314" i="5"/>
  <c r="J314" i="5"/>
  <c r="K314" i="5"/>
  <c r="L314" i="5"/>
  <c r="N314" i="5"/>
  <c r="O314" i="5"/>
  <c r="F315" i="5"/>
  <c r="G315" i="5"/>
  <c r="I315" i="5"/>
  <c r="J315" i="5"/>
  <c r="K315" i="5"/>
  <c r="L315" i="5"/>
  <c r="N315" i="5"/>
  <c r="O315" i="5"/>
  <c r="F316" i="5"/>
  <c r="G316" i="5"/>
  <c r="I316" i="5"/>
  <c r="J316" i="5"/>
  <c r="K316" i="5"/>
  <c r="L316" i="5"/>
  <c r="N316" i="5"/>
  <c r="O316" i="5"/>
  <c r="O290" i="5"/>
  <c r="N290" i="5"/>
  <c r="K290" i="5"/>
  <c r="J290" i="5"/>
  <c r="I290" i="5"/>
  <c r="F290" i="5"/>
  <c r="F282" i="5"/>
  <c r="K282" i="5"/>
  <c r="L282" i="5"/>
  <c r="F283" i="5"/>
  <c r="K283" i="5"/>
  <c r="F284" i="5"/>
  <c r="K284" i="5"/>
  <c r="F285" i="5"/>
  <c r="K285" i="5"/>
  <c r="L285" i="5"/>
  <c r="F286" i="5"/>
  <c r="K286" i="5"/>
  <c r="K280" i="5"/>
  <c r="F280" i="5"/>
  <c r="K276" i="5"/>
  <c r="K275" i="5"/>
  <c r="K274" i="5"/>
  <c r="O259" i="5"/>
  <c r="N259" i="5"/>
  <c r="M259" i="5"/>
  <c r="L259" i="5"/>
  <c r="K259" i="5"/>
  <c r="J259" i="5"/>
  <c r="I259" i="5"/>
  <c r="H259" i="5"/>
  <c r="F259" i="5"/>
  <c r="K258" i="5"/>
  <c r="K256" i="5"/>
  <c r="K255" i="5"/>
  <c r="K254" i="5"/>
  <c r="K195" i="5"/>
  <c r="K178" i="5"/>
  <c r="K177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49" i="5"/>
  <c r="K14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F135" i="5"/>
  <c r="G135" i="5"/>
  <c r="H135" i="5"/>
  <c r="I135" i="5"/>
  <c r="J135" i="5"/>
  <c r="K135" i="5"/>
  <c r="L135" i="5"/>
  <c r="M135" i="5"/>
  <c r="N135" i="5"/>
  <c r="O135" i="5"/>
  <c r="K136" i="5"/>
  <c r="K138" i="5"/>
  <c r="K115" i="5"/>
  <c r="K32" i="5"/>
  <c r="K33" i="5"/>
  <c r="K34" i="5"/>
  <c r="K35" i="5"/>
  <c r="K36" i="5"/>
  <c r="K37" i="5"/>
  <c r="K38" i="5"/>
  <c r="F40" i="5"/>
  <c r="G40" i="5"/>
  <c r="H40" i="5"/>
  <c r="I40" i="5"/>
  <c r="J40" i="5"/>
  <c r="K40" i="5"/>
  <c r="L40" i="5"/>
  <c r="M40" i="5"/>
  <c r="N40" i="5"/>
  <c r="O40" i="5"/>
  <c r="K41" i="5"/>
  <c r="K42" i="5"/>
  <c r="F44" i="5"/>
  <c r="G44" i="5"/>
  <c r="H44" i="5"/>
  <c r="I44" i="5"/>
  <c r="J44" i="5"/>
  <c r="K44" i="5"/>
  <c r="L44" i="5"/>
  <c r="M44" i="5"/>
  <c r="N44" i="5"/>
  <c r="O44" i="5"/>
  <c r="K45" i="5"/>
  <c r="K46" i="5"/>
  <c r="K48" i="5"/>
  <c r="K49" i="5"/>
  <c r="K51" i="5"/>
  <c r="K52" i="5"/>
  <c r="F54" i="5"/>
  <c r="G54" i="5"/>
  <c r="H54" i="5"/>
  <c r="I54" i="5"/>
  <c r="J54" i="5"/>
  <c r="K54" i="5"/>
  <c r="L54" i="5"/>
  <c r="M54" i="5"/>
  <c r="N54" i="5"/>
  <c r="O54" i="5"/>
  <c r="K55" i="5"/>
  <c r="K56" i="5"/>
  <c r="K58" i="5"/>
  <c r="K59" i="5"/>
  <c r="F61" i="5"/>
  <c r="G61" i="5"/>
  <c r="H61" i="5"/>
  <c r="I61" i="5"/>
  <c r="J61" i="5"/>
  <c r="K61" i="5"/>
  <c r="L61" i="5"/>
  <c r="M61" i="5"/>
  <c r="N61" i="5"/>
  <c r="O61" i="5"/>
  <c r="K62" i="5"/>
  <c r="K64" i="5"/>
  <c r="K65" i="5"/>
  <c r="F79" i="5"/>
  <c r="G79" i="5"/>
  <c r="H79" i="5"/>
  <c r="I79" i="5"/>
  <c r="J79" i="5"/>
  <c r="K79" i="5"/>
  <c r="L79" i="5"/>
  <c r="M79" i="5"/>
  <c r="N79" i="5"/>
  <c r="O79" i="5"/>
  <c r="K80" i="5"/>
  <c r="K84" i="5"/>
  <c r="K85" i="5"/>
  <c r="K86" i="5"/>
  <c r="K87" i="5"/>
  <c r="K88" i="5"/>
  <c r="K89" i="5"/>
  <c r="K91" i="5"/>
  <c r="K92" i="5"/>
  <c r="K93" i="5"/>
  <c r="K94" i="5"/>
  <c r="K95" i="5"/>
  <c r="K96" i="5"/>
  <c r="K97" i="5"/>
  <c r="K98" i="5"/>
  <c r="F99" i="5"/>
  <c r="G99" i="5"/>
  <c r="H99" i="5"/>
  <c r="I99" i="5"/>
  <c r="J99" i="5"/>
  <c r="K99" i="5"/>
  <c r="L99" i="5"/>
  <c r="M99" i="5"/>
  <c r="N99" i="5"/>
  <c r="O99" i="5"/>
  <c r="K100" i="5"/>
  <c r="K101" i="5"/>
  <c r="K102" i="5"/>
  <c r="K103" i="5"/>
  <c r="K109" i="5"/>
  <c r="K110" i="5"/>
  <c r="K31" i="5"/>
  <c r="K16" i="5"/>
  <c r="K13" i="5"/>
  <c r="K12" i="5"/>
  <c r="J45" i="15" l="1"/>
  <c r="J128" i="15"/>
  <c r="O57" i="15"/>
  <c r="O126" i="15"/>
  <c r="J56" i="15"/>
  <c r="J15" i="15"/>
  <c r="O127" i="15"/>
  <c r="O35" i="15"/>
  <c r="J49" i="15"/>
  <c r="J42" i="15"/>
  <c r="O50" i="15"/>
  <c r="J132" i="14"/>
  <c r="J192" i="14"/>
  <c r="O153" i="14"/>
  <c r="O45" i="14"/>
  <c r="J207" i="14"/>
  <c r="J224" i="14"/>
  <c r="G323" i="5"/>
  <c r="L323" i="5"/>
  <c r="J102" i="15"/>
  <c r="J138" i="15"/>
  <c r="O73" i="15"/>
  <c r="O106" i="15"/>
  <c r="O146" i="15"/>
  <c r="O206" i="15"/>
  <c r="O157" i="15"/>
  <c r="O144" i="15"/>
  <c r="O176" i="15"/>
  <c r="J154" i="15"/>
  <c r="J137" i="15"/>
  <c r="J173" i="15"/>
  <c r="O133" i="15"/>
  <c r="O169" i="15"/>
  <c r="O136" i="15"/>
  <c r="O172" i="15"/>
  <c r="J192" i="15"/>
  <c r="J224" i="15"/>
  <c r="O188" i="15"/>
  <c r="O220" i="15"/>
  <c r="J198" i="15"/>
  <c r="J230" i="15"/>
  <c r="O186" i="15"/>
  <c r="O218" i="15"/>
  <c r="J188" i="15"/>
  <c r="J220" i="15"/>
  <c r="J191" i="15"/>
  <c r="J223" i="15"/>
  <c r="J194" i="15"/>
  <c r="J226" i="15"/>
  <c r="O243" i="15"/>
  <c r="J285" i="15"/>
  <c r="J261" i="15"/>
  <c r="J235" i="15"/>
  <c r="O268" i="15"/>
  <c r="O247" i="15"/>
  <c r="O282" i="15"/>
  <c r="O258" i="15"/>
  <c r="J236" i="15"/>
  <c r="J268" i="15"/>
  <c r="J247" i="15"/>
  <c r="J282" i="15"/>
  <c r="O84" i="15"/>
  <c r="J68" i="15"/>
  <c r="O103" i="15"/>
  <c r="O159" i="15"/>
  <c r="J81" i="15"/>
  <c r="O115" i="15"/>
  <c r="J153" i="15"/>
  <c r="J221" i="15"/>
  <c r="J164" i="15"/>
  <c r="J151" i="15"/>
  <c r="O182" i="15"/>
  <c r="O155" i="15"/>
  <c r="O138" i="15"/>
  <c r="O174" i="15"/>
  <c r="J144" i="15"/>
  <c r="J176" i="15"/>
  <c r="J147" i="15"/>
  <c r="J181" i="15"/>
  <c r="O193" i="15"/>
  <c r="O225" i="15"/>
  <c r="J195" i="15"/>
  <c r="J227" i="15"/>
  <c r="O199" i="15"/>
  <c r="O231" i="15"/>
  <c r="J193" i="15"/>
  <c r="J225" i="15"/>
  <c r="O189" i="15"/>
  <c r="O221" i="15"/>
  <c r="O192" i="15"/>
  <c r="O224" i="15"/>
  <c r="O195" i="15"/>
  <c r="O227" i="15"/>
  <c r="J250" i="15"/>
  <c r="O286" i="15"/>
  <c r="O262" i="15"/>
  <c r="O236" i="15"/>
  <c r="J275" i="15"/>
  <c r="J254" i="15"/>
  <c r="J322" i="15"/>
  <c r="J265" i="15"/>
  <c r="O237" i="15"/>
  <c r="O269" i="15"/>
  <c r="O248" i="15"/>
  <c r="O283" i="15"/>
  <c r="J35" i="15"/>
  <c r="O12" i="15"/>
  <c r="O63" i="15"/>
  <c r="J22" i="15"/>
  <c r="O53" i="15"/>
  <c r="O45" i="15"/>
  <c r="O119" i="15"/>
  <c r="O96" i="15"/>
  <c r="J90" i="15"/>
  <c r="J158" i="15"/>
  <c r="O125" i="15"/>
  <c r="O97" i="15"/>
  <c r="J166" i="15"/>
  <c r="J91" i="15"/>
  <c r="O69" i="15"/>
  <c r="J108" i="15"/>
  <c r="J174" i="15"/>
  <c r="O82" i="15"/>
  <c r="J117" i="15"/>
  <c r="O154" i="15"/>
  <c r="O129" i="15"/>
  <c r="O165" i="15"/>
  <c r="O152" i="15"/>
  <c r="J197" i="15"/>
  <c r="J162" i="15"/>
  <c r="J149" i="15"/>
  <c r="O177" i="15"/>
  <c r="O145" i="15"/>
  <c r="J107" i="15"/>
  <c r="O148" i="15"/>
  <c r="O198" i="15"/>
  <c r="J200" i="15"/>
  <c r="J232" i="15"/>
  <c r="O196" i="15"/>
  <c r="O228" i="15"/>
  <c r="J206" i="15"/>
  <c r="J240" i="15"/>
  <c r="O194" i="15"/>
  <c r="O226" i="15"/>
  <c r="J196" i="15"/>
  <c r="J228" i="15"/>
  <c r="J199" i="15"/>
  <c r="J231" i="15"/>
  <c r="J202" i="15"/>
  <c r="J234" i="15"/>
  <c r="O251" i="15"/>
  <c r="J237" i="15"/>
  <c r="J269" i="15"/>
  <c r="J243" i="15"/>
  <c r="O276" i="15"/>
  <c r="O255" i="15"/>
  <c r="O323" i="15"/>
  <c r="O266" i="15"/>
  <c r="J244" i="15"/>
  <c r="J276" i="15"/>
  <c r="J255" i="15"/>
  <c r="J323" i="15"/>
  <c r="J62" i="15"/>
  <c r="J50" i="15"/>
  <c r="O101" i="15"/>
  <c r="O46" i="15"/>
  <c r="O33" i="15"/>
  <c r="O36" i="15"/>
  <c r="O31" i="15"/>
  <c r="O65" i="15"/>
  <c r="J26" i="15"/>
  <c r="O83" i="15"/>
  <c r="J52" i="15"/>
  <c r="J122" i="15"/>
  <c r="J103" i="15"/>
  <c r="O91" i="15"/>
  <c r="O175" i="15"/>
  <c r="J70" i="15"/>
  <c r="J104" i="15"/>
  <c r="J57" i="15"/>
  <c r="O92" i="15"/>
  <c r="J78" i="15"/>
  <c r="O110" i="15"/>
  <c r="J55" i="15"/>
  <c r="J89" i="15"/>
  <c r="J121" i="15"/>
  <c r="J161" i="15"/>
  <c r="J136" i="15"/>
  <c r="J172" i="15"/>
  <c r="J159" i="15"/>
  <c r="O214" i="15"/>
  <c r="O163" i="15"/>
  <c r="O150" i="15"/>
  <c r="O190" i="15"/>
  <c r="J152" i="15"/>
  <c r="O108" i="15"/>
  <c r="J155" i="15"/>
  <c r="J213" i="15"/>
  <c r="O201" i="15"/>
  <c r="O233" i="15"/>
  <c r="J203" i="15"/>
  <c r="J272" i="15"/>
  <c r="O207" i="15"/>
  <c r="O257" i="15"/>
  <c r="J201" i="15"/>
  <c r="J233" i="15"/>
  <c r="O197" i="15"/>
  <c r="O229" i="15"/>
  <c r="O200" i="15"/>
  <c r="O232" i="15"/>
  <c r="O203" i="15"/>
  <c r="O241" i="15"/>
  <c r="J258" i="15"/>
  <c r="O238" i="15"/>
  <c r="O270" i="15"/>
  <c r="O244" i="15"/>
  <c r="J286" i="15"/>
  <c r="J262" i="15"/>
  <c r="J241" i="15"/>
  <c r="J273" i="15"/>
  <c r="O245" i="15"/>
  <c r="O280" i="15"/>
  <c r="O256" i="15"/>
  <c r="O324" i="15"/>
  <c r="J12" i="15"/>
  <c r="J84" i="15"/>
  <c r="O51" i="15"/>
  <c r="J109" i="15"/>
  <c r="J59" i="15"/>
  <c r="O41" i="15"/>
  <c r="J43" i="15"/>
  <c r="J38" i="15"/>
  <c r="J67" i="15"/>
  <c r="J33" i="15"/>
  <c r="O86" i="15"/>
  <c r="O60" i="15"/>
  <c r="J126" i="15"/>
  <c r="O104" i="15"/>
  <c r="J98" i="15"/>
  <c r="J93" i="15"/>
  <c r="O71" i="15"/>
  <c r="O105" i="15"/>
  <c r="O58" i="15"/>
  <c r="O100" i="15"/>
  <c r="J86" i="15"/>
  <c r="O118" i="15"/>
  <c r="O56" i="15"/>
  <c r="O90" i="15"/>
  <c r="J178" i="15"/>
  <c r="O162" i="15"/>
  <c r="O137" i="15"/>
  <c r="O173" i="15"/>
  <c r="O160" i="15"/>
  <c r="J229" i="15"/>
  <c r="J170" i="15"/>
  <c r="J157" i="15"/>
  <c r="J205" i="15"/>
  <c r="O153" i="15"/>
  <c r="J119" i="15"/>
  <c r="O156" i="15"/>
  <c r="O230" i="15"/>
  <c r="J208" i="15"/>
  <c r="O249" i="15"/>
  <c r="O204" i="15"/>
  <c r="J182" i="15"/>
  <c r="J214" i="15"/>
  <c r="O325" i="15"/>
  <c r="O202" i="15"/>
  <c r="O234" i="15"/>
  <c r="J204" i="15"/>
  <c r="J248" i="15"/>
  <c r="J207" i="15"/>
  <c r="O273" i="15"/>
  <c r="J210" i="15"/>
  <c r="J256" i="15"/>
  <c r="J266" i="15"/>
  <c r="J245" i="15"/>
  <c r="J280" i="15"/>
  <c r="J251" i="15"/>
  <c r="O320" i="15"/>
  <c r="O263" i="15"/>
  <c r="O242" i="15"/>
  <c r="O274" i="15"/>
  <c r="J252" i="15"/>
  <c r="J320" i="15"/>
  <c r="J263" i="15"/>
  <c r="J31" i="15"/>
  <c r="J92" i="15"/>
  <c r="J53" i="15"/>
  <c r="J13" i="15"/>
  <c r="J60" i="15"/>
  <c r="J48" i="15"/>
  <c r="J51" i="15"/>
  <c r="O39" i="15"/>
  <c r="O74" i="15"/>
  <c r="O34" i="15"/>
  <c r="O13" i="15"/>
  <c r="O67" i="15"/>
  <c r="J150" i="15"/>
  <c r="O107" i="15"/>
  <c r="J106" i="15"/>
  <c r="O94" i="15"/>
  <c r="J80" i="15"/>
  <c r="O109" i="15"/>
  <c r="J65" i="15"/>
  <c r="J116" i="15"/>
  <c r="O87" i="15"/>
  <c r="O123" i="15"/>
  <c r="J63" i="15"/>
  <c r="J97" i="15"/>
  <c r="J133" i="15"/>
  <c r="J169" i="15"/>
  <c r="J148" i="15"/>
  <c r="J131" i="15"/>
  <c r="J167" i="15"/>
  <c r="J134" i="15"/>
  <c r="O171" i="15"/>
  <c r="O158" i="15"/>
  <c r="O222" i="15"/>
  <c r="J160" i="15"/>
  <c r="O120" i="15"/>
  <c r="J163" i="15"/>
  <c r="J264" i="15"/>
  <c r="O209" i="15"/>
  <c r="J179" i="15"/>
  <c r="J211" i="15"/>
  <c r="O183" i="15"/>
  <c r="O215" i="15"/>
  <c r="J177" i="15"/>
  <c r="J209" i="15"/>
  <c r="O265" i="15"/>
  <c r="O205" i="15"/>
  <c r="O284" i="15"/>
  <c r="O208" i="15"/>
  <c r="O179" i="15"/>
  <c r="O211" i="15"/>
  <c r="J324" i="15"/>
  <c r="O267" i="15"/>
  <c r="O246" i="15"/>
  <c r="O281" i="15"/>
  <c r="O252" i="15"/>
  <c r="J238" i="15"/>
  <c r="J270" i="15"/>
  <c r="J249" i="15"/>
  <c r="J284" i="15"/>
  <c r="O253" i="15"/>
  <c r="O321" i="15"/>
  <c r="O264" i="15"/>
  <c r="O32" i="15"/>
  <c r="O21" i="15"/>
  <c r="J58" i="15"/>
  <c r="J17" i="15"/>
  <c r="J69" i="15"/>
  <c r="O49" i="15"/>
  <c r="O52" i="15"/>
  <c r="J46" i="15"/>
  <c r="J82" i="15"/>
  <c r="J41" i="15"/>
  <c r="O17" i="15"/>
  <c r="O68" i="15"/>
  <c r="O167" i="15"/>
  <c r="J110" i="15"/>
  <c r="O116" i="15"/>
  <c r="J101" i="15"/>
  <c r="O81" i="15"/>
  <c r="O117" i="15"/>
  <c r="J74" i="15"/>
  <c r="J120" i="15"/>
  <c r="J94" i="15"/>
  <c r="J125" i="15"/>
  <c r="O64" i="15"/>
  <c r="O98" i="15"/>
  <c r="O134" i="15"/>
  <c r="O170" i="15"/>
  <c r="O149" i="15"/>
  <c r="O132" i="15"/>
  <c r="O168" i="15"/>
  <c r="J146" i="15"/>
  <c r="J129" i="15"/>
  <c r="J165" i="15"/>
  <c r="J283" i="15"/>
  <c r="O161" i="15"/>
  <c r="J127" i="15"/>
  <c r="O164" i="15"/>
  <c r="J184" i="15"/>
  <c r="J216" i="15"/>
  <c r="O180" i="15"/>
  <c r="O212" i="15"/>
  <c r="J190" i="15"/>
  <c r="J222" i="15"/>
  <c r="O178" i="15"/>
  <c r="O210" i="15"/>
  <c r="J180" i="15"/>
  <c r="J212" i="15"/>
  <c r="J183" i="15"/>
  <c r="J215" i="15"/>
  <c r="J186" i="15"/>
  <c r="J218" i="15"/>
  <c r="O235" i="15"/>
  <c r="J274" i="15"/>
  <c r="J253" i="15"/>
  <c r="J321" i="15"/>
  <c r="O260" i="15"/>
  <c r="O239" i="15"/>
  <c r="O271" i="15"/>
  <c r="O250" i="15"/>
  <c r="O285" i="15"/>
  <c r="J260" i="15"/>
  <c r="J239" i="15"/>
  <c r="J271" i="15"/>
  <c r="J39" i="15"/>
  <c r="J34" i="15"/>
  <c r="J64" i="15"/>
  <c r="J24" i="15"/>
  <c r="O15" i="15"/>
  <c r="O55" i="15"/>
  <c r="O62" i="15"/>
  <c r="O47" i="15"/>
  <c r="O93" i="15"/>
  <c r="O42" i="15"/>
  <c r="O24" i="15"/>
  <c r="J75" i="15"/>
  <c r="J87" i="15"/>
  <c r="O124" i="15"/>
  <c r="J118" i="15"/>
  <c r="O102" i="15"/>
  <c r="J88" i="15"/>
  <c r="J124" i="15"/>
  <c r="O75" i="15"/>
  <c r="O122" i="15"/>
  <c r="O95" i="15"/>
  <c r="O131" i="15"/>
  <c r="J71" i="15"/>
  <c r="J105" i="15"/>
  <c r="J145" i="15"/>
  <c r="J189" i="15"/>
  <c r="J156" i="15"/>
  <c r="J143" i="15"/>
  <c r="J175" i="15"/>
  <c r="O147" i="15"/>
  <c r="O130" i="15"/>
  <c r="O166" i="15"/>
  <c r="J132" i="15"/>
  <c r="J168" i="15"/>
  <c r="O128" i="15"/>
  <c r="J171" i="15"/>
  <c r="O185" i="15"/>
  <c r="O217" i="15"/>
  <c r="J187" i="15"/>
  <c r="J219" i="15"/>
  <c r="O191" i="15"/>
  <c r="O223" i="15"/>
  <c r="J185" i="15"/>
  <c r="J217" i="15"/>
  <c r="O181" i="15"/>
  <c r="O213" i="15"/>
  <c r="O184" i="15"/>
  <c r="O216" i="15"/>
  <c r="O187" i="15"/>
  <c r="O219" i="15"/>
  <c r="J242" i="15"/>
  <c r="O275" i="15"/>
  <c r="O254" i="15"/>
  <c r="O322" i="15"/>
  <c r="J267" i="15"/>
  <c r="J246" i="15"/>
  <c r="J281" i="15"/>
  <c r="J257" i="15"/>
  <c r="J325" i="15"/>
  <c r="O261" i="15"/>
  <c r="O240" i="15"/>
  <c r="J59" i="14"/>
  <c r="O84" i="14"/>
  <c r="O39" i="14"/>
  <c r="O77" i="14"/>
  <c r="O169" i="14"/>
  <c r="J49" i="14"/>
  <c r="O164" i="14"/>
  <c r="J52" i="14"/>
  <c r="J122" i="14"/>
  <c r="J55" i="14"/>
  <c r="O181" i="14"/>
  <c r="J58" i="14"/>
  <c r="J13" i="14"/>
  <c r="O62" i="14"/>
  <c r="O82" i="14"/>
  <c r="O118" i="14"/>
  <c r="J230" i="14"/>
  <c r="O121" i="14"/>
  <c r="J276" i="14"/>
  <c r="J115" i="14"/>
  <c r="O172" i="14"/>
  <c r="J98" i="14"/>
  <c r="J145" i="14"/>
  <c r="O94" i="14"/>
  <c r="O130" i="14"/>
  <c r="O97" i="14"/>
  <c r="O133" i="14"/>
  <c r="O215" i="14"/>
  <c r="O167" i="14"/>
  <c r="J244" i="14"/>
  <c r="O173" i="14"/>
  <c r="J148" i="14"/>
  <c r="O178" i="14"/>
  <c r="J223" i="14"/>
  <c r="J167" i="14"/>
  <c r="J146" i="14"/>
  <c r="O175" i="14"/>
  <c r="O216" i="14"/>
  <c r="J157" i="14"/>
  <c r="O264" i="14"/>
  <c r="O213" i="14"/>
  <c r="J246" i="14"/>
  <c r="J194" i="14"/>
  <c r="J226" i="14"/>
  <c r="O190" i="14"/>
  <c r="O222" i="14"/>
  <c r="O193" i="14"/>
  <c r="O225" i="14"/>
  <c r="J187" i="14"/>
  <c r="J219" i="14"/>
  <c r="O255" i="14"/>
  <c r="O323" i="14"/>
  <c r="J265" i="14"/>
  <c r="O235" i="14"/>
  <c r="J274" i="14"/>
  <c r="J253" i="14"/>
  <c r="J321" i="14"/>
  <c r="J264" i="14"/>
  <c r="J235" i="14"/>
  <c r="O268" i="14"/>
  <c r="O53" i="14"/>
  <c r="O128" i="14"/>
  <c r="O56" i="14"/>
  <c r="O21" i="14"/>
  <c r="O59" i="14"/>
  <c r="J17" i="14"/>
  <c r="J69" i="14"/>
  <c r="J89" i="14"/>
  <c r="J125" i="14"/>
  <c r="J92" i="14"/>
  <c r="J128" i="14"/>
  <c r="O80" i="14"/>
  <c r="O116" i="14"/>
  <c r="J178" i="14"/>
  <c r="J106" i="14"/>
  <c r="O146" i="14"/>
  <c r="J101" i="14"/>
  <c r="J155" i="14"/>
  <c r="J104" i="14"/>
  <c r="O145" i="14"/>
  <c r="J138" i="14"/>
  <c r="J175" i="14"/>
  <c r="O321" i="14"/>
  <c r="O177" i="14"/>
  <c r="O149" i="14"/>
  <c r="O183" i="14"/>
  <c r="O224" i="14"/>
  <c r="O168" i="14"/>
  <c r="O147" i="14"/>
  <c r="J177" i="14"/>
  <c r="O223" i="14"/>
  <c r="O158" i="14"/>
  <c r="J188" i="14"/>
  <c r="J220" i="14"/>
  <c r="O247" i="14"/>
  <c r="O195" i="14"/>
  <c r="O227" i="14"/>
  <c r="J197" i="14"/>
  <c r="J229" i="14"/>
  <c r="J200" i="14"/>
  <c r="J232" i="14"/>
  <c r="O188" i="14"/>
  <c r="O220" i="14"/>
  <c r="J262" i="14"/>
  <c r="O234" i="14"/>
  <c r="O266" i="14"/>
  <c r="J242" i="14"/>
  <c r="O275" i="14"/>
  <c r="O254" i="14"/>
  <c r="O322" i="14"/>
  <c r="O265" i="14"/>
  <c r="O236" i="14"/>
  <c r="J275" i="14"/>
  <c r="O33" i="14"/>
  <c r="O60" i="14"/>
  <c r="O57" i="14"/>
  <c r="O108" i="14"/>
  <c r="O47" i="14"/>
  <c r="J86" i="14"/>
  <c r="J22" i="14"/>
  <c r="J57" i="14"/>
  <c r="O13" i="14"/>
  <c r="J60" i="14"/>
  <c r="J12" i="14"/>
  <c r="J63" i="14"/>
  <c r="J34" i="14"/>
  <c r="O67" i="14"/>
  <c r="J24" i="14"/>
  <c r="O70" i="14"/>
  <c r="O90" i="14"/>
  <c r="O126" i="14"/>
  <c r="O93" i="14"/>
  <c r="O129" i="14"/>
  <c r="J87" i="14"/>
  <c r="J123" i="14"/>
  <c r="J183" i="14"/>
  <c r="O107" i="14"/>
  <c r="O185" i="14"/>
  <c r="O102" i="14"/>
  <c r="J171" i="14"/>
  <c r="O105" i="14"/>
  <c r="J147" i="14"/>
  <c r="O143" i="14"/>
  <c r="J184" i="14"/>
  <c r="J153" i="14"/>
  <c r="J180" i="14"/>
  <c r="J156" i="14"/>
  <c r="J185" i="14"/>
  <c r="J143" i="14"/>
  <c r="O174" i="14"/>
  <c r="J154" i="14"/>
  <c r="O179" i="14"/>
  <c r="J225" i="14"/>
  <c r="J165" i="14"/>
  <c r="O189" i="14"/>
  <c r="O221" i="14"/>
  <c r="J231" i="14"/>
  <c r="J202" i="14"/>
  <c r="J238" i="14"/>
  <c r="O198" i="14"/>
  <c r="O230" i="14"/>
  <c r="O201" i="14"/>
  <c r="J252" i="14"/>
  <c r="J195" i="14"/>
  <c r="J227" i="14"/>
  <c r="O263" i="14"/>
  <c r="J241" i="14"/>
  <c r="J273" i="14"/>
  <c r="O243" i="14"/>
  <c r="J285" i="14"/>
  <c r="J261" i="14"/>
  <c r="J240" i="14"/>
  <c r="J272" i="14"/>
  <c r="J243" i="14"/>
  <c r="O276" i="14"/>
  <c r="O49" i="14"/>
  <c r="O65" i="14"/>
  <c r="J21" i="14"/>
  <c r="O131" i="14"/>
  <c r="O55" i="14"/>
  <c r="O87" i="14"/>
  <c r="J26" i="14"/>
  <c r="O58" i="14"/>
  <c r="O17" i="14"/>
  <c r="J68" i="14"/>
  <c r="J31" i="14"/>
  <c r="O64" i="14"/>
  <c r="O35" i="14"/>
  <c r="J75" i="14"/>
  <c r="J37" i="14"/>
  <c r="J84" i="14"/>
  <c r="J97" i="14"/>
  <c r="J133" i="14"/>
  <c r="J100" i="14"/>
  <c r="J136" i="14"/>
  <c r="O88" i="14"/>
  <c r="O124" i="14"/>
  <c r="J214" i="14"/>
  <c r="J118" i="14"/>
  <c r="O218" i="14"/>
  <c r="J109" i="14"/>
  <c r="J80" i="14"/>
  <c r="J116" i="14"/>
  <c r="O148" i="14"/>
  <c r="J150" i="14"/>
  <c r="J199" i="14"/>
  <c r="O154" i="14"/>
  <c r="O182" i="14"/>
  <c r="O157" i="14"/>
  <c r="J191" i="14"/>
  <c r="O144" i="14"/>
  <c r="J181" i="14"/>
  <c r="O155" i="14"/>
  <c r="J182" i="14"/>
  <c r="O269" i="14"/>
  <c r="O166" i="14"/>
  <c r="J196" i="14"/>
  <c r="J228" i="14"/>
  <c r="O232" i="14"/>
  <c r="O203" i="14"/>
  <c r="O239" i="14"/>
  <c r="J205" i="14"/>
  <c r="O233" i="14"/>
  <c r="J208" i="14"/>
  <c r="O261" i="14"/>
  <c r="O196" i="14"/>
  <c r="O228" i="14"/>
  <c r="J270" i="14"/>
  <c r="O242" i="14"/>
  <c r="O274" i="14"/>
  <c r="J250" i="14"/>
  <c r="O286" i="14"/>
  <c r="O262" i="14"/>
  <c r="O241" i="14"/>
  <c r="O273" i="14"/>
  <c r="O244" i="14"/>
  <c r="J286" i="14"/>
  <c r="O74" i="14"/>
  <c r="O36" i="14"/>
  <c r="J247" i="14"/>
  <c r="J62" i="14"/>
  <c r="O95" i="14"/>
  <c r="J33" i="14"/>
  <c r="J65" i="14"/>
  <c r="O24" i="14"/>
  <c r="O69" i="14"/>
  <c r="O32" i="14"/>
  <c r="J71" i="14"/>
  <c r="J42" i="14"/>
  <c r="J77" i="14"/>
  <c r="O38" i="14"/>
  <c r="O85" i="14"/>
  <c r="O98" i="14"/>
  <c r="O134" i="14"/>
  <c r="O101" i="14"/>
  <c r="J152" i="14"/>
  <c r="J95" i="14"/>
  <c r="J131" i="14"/>
  <c r="J82" i="14"/>
  <c r="O119" i="14"/>
  <c r="O78" i="14"/>
  <c r="O110" i="14"/>
  <c r="O81" i="14"/>
  <c r="O117" i="14"/>
  <c r="J160" i="14"/>
  <c r="O151" i="14"/>
  <c r="O200" i="14"/>
  <c r="J161" i="14"/>
  <c r="J206" i="14"/>
  <c r="J164" i="14"/>
  <c r="O192" i="14"/>
  <c r="J151" i="14"/>
  <c r="J198" i="14"/>
  <c r="J162" i="14"/>
  <c r="O191" i="14"/>
  <c r="J137" i="14"/>
  <c r="J173" i="14"/>
  <c r="O197" i="14"/>
  <c r="O229" i="14"/>
  <c r="J236" i="14"/>
  <c r="J210" i="14"/>
  <c r="J263" i="14"/>
  <c r="O206" i="14"/>
  <c r="O272" i="14"/>
  <c r="O209" i="14"/>
  <c r="O280" i="14"/>
  <c r="J203" i="14"/>
  <c r="O256" i="14"/>
  <c r="O271" i="14"/>
  <c r="J249" i="14"/>
  <c r="J284" i="14"/>
  <c r="O251" i="14"/>
  <c r="J237" i="14"/>
  <c r="J269" i="14"/>
  <c r="J248" i="14"/>
  <c r="J283" i="14"/>
  <c r="J251" i="14"/>
  <c r="O320" i="14"/>
  <c r="J51" i="14"/>
  <c r="J43" i="14"/>
  <c r="O12" i="14"/>
  <c r="O63" i="14"/>
  <c r="O123" i="14"/>
  <c r="O34" i="14"/>
  <c r="J74" i="14"/>
  <c r="J36" i="14"/>
  <c r="J78" i="14"/>
  <c r="J39" i="14"/>
  <c r="O73" i="14"/>
  <c r="O43" i="14"/>
  <c r="O92" i="14"/>
  <c r="J45" i="14"/>
  <c r="J110" i="14"/>
  <c r="J105" i="14"/>
  <c r="J163" i="14"/>
  <c r="J108" i="14"/>
  <c r="J168" i="14"/>
  <c r="O96" i="14"/>
  <c r="O132" i="14"/>
  <c r="O83" i="14"/>
  <c r="J126" i="14"/>
  <c r="J85" i="14"/>
  <c r="J121" i="14"/>
  <c r="J88" i="14"/>
  <c r="J124" i="14"/>
  <c r="J174" i="14"/>
  <c r="J158" i="14"/>
  <c r="O207" i="14"/>
  <c r="O162" i="14"/>
  <c r="J233" i="14"/>
  <c r="O165" i="14"/>
  <c r="O199" i="14"/>
  <c r="O152" i="14"/>
  <c r="O226" i="14"/>
  <c r="O163" i="14"/>
  <c r="J193" i="14"/>
  <c r="O138" i="14"/>
  <c r="O184" i="14"/>
  <c r="J204" i="14"/>
  <c r="O237" i="14"/>
  <c r="O253" i="14"/>
  <c r="O211" i="14"/>
  <c r="J268" i="14"/>
  <c r="J213" i="14"/>
  <c r="O283" i="14"/>
  <c r="J216" i="14"/>
  <c r="J282" i="14"/>
  <c r="O204" i="14"/>
  <c r="J271" i="14"/>
  <c r="J281" i="14"/>
  <c r="O250" i="14"/>
  <c r="O285" i="14"/>
  <c r="J258" i="14"/>
  <c r="O238" i="14"/>
  <c r="O270" i="14"/>
  <c r="O249" i="14"/>
  <c r="O284" i="14"/>
  <c r="O252" i="14"/>
  <c r="O41" i="14"/>
  <c r="O15" i="14"/>
  <c r="J32" i="14"/>
  <c r="J144" i="14"/>
  <c r="O31" i="14"/>
  <c r="J70" i="14"/>
  <c r="J130" i="14"/>
  <c r="J41" i="14"/>
  <c r="O75" i="14"/>
  <c r="O37" i="14"/>
  <c r="J94" i="14"/>
  <c r="J47" i="14"/>
  <c r="O100" i="14"/>
  <c r="J50" i="14"/>
  <c r="O120" i="14"/>
  <c r="O46" i="14"/>
  <c r="J127" i="14"/>
  <c r="O106" i="14"/>
  <c r="O208" i="14"/>
  <c r="O109" i="14"/>
  <c r="J255" i="14"/>
  <c r="J103" i="14"/>
  <c r="O156" i="14"/>
  <c r="J90" i="14"/>
  <c r="O127" i="14"/>
  <c r="O86" i="14"/>
  <c r="O122" i="14"/>
  <c r="O89" i="14"/>
  <c r="O125" i="14"/>
  <c r="O186" i="14"/>
  <c r="O159" i="14"/>
  <c r="J209" i="14"/>
  <c r="J169" i="14"/>
  <c r="O248" i="14"/>
  <c r="J172" i="14"/>
  <c r="J201" i="14"/>
  <c r="J159" i="14"/>
  <c r="O231" i="14"/>
  <c r="J170" i="14"/>
  <c r="O194" i="14"/>
  <c r="J149" i="14"/>
  <c r="J190" i="14"/>
  <c r="O205" i="14"/>
  <c r="J239" i="14"/>
  <c r="J186" i="14"/>
  <c r="J218" i="14"/>
  <c r="J320" i="14"/>
  <c r="O214" i="14"/>
  <c r="O324" i="14"/>
  <c r="O217" i="14"/>
  <c r="J179" i="14"/>
  <c r="J211" i="14"/>
  <c r="J323" i="14"/>
  <c r="O282" i="14"/>
  <c r="J257" i="14"/>
  <c r="J325" i="14"/>
  <c r="J266" i="14"/>
  <c r="J245" i="14"/>
  <c r="J280" i="14"/>
  <c r="J256" i="14"/>
  <c r="J324" i="14"/>
  <c r="L321" i="5"/>
  <c r="G320" i="5"/>
  <c r="G325" i="5"/>
  <c r="L301" i="5"/>
  <c r="L322" i="5"/>
  <c r="G321" i="5"/>
  <c r="G324" i="5"/>
  <c r="L324" i="5"/>
  <c r="G301" i="5"/>
  <c r="G322" i="5"/>
  <c r="L320" i="5"/>
  <c r="L325" i="5"/>
  <c r="M221" i="5"/>
  <c r="M229" i="5"/>
  <c r="M206" i="5"/>
  <c r="M230" i="5"/>
  <c r="M243" i="5"/>
  <c r="M247" i="5"/>
  <c r="H242" i="5"/>
  <c r="T242" i="5" s="1"/>
  <c r="M220" i="5"/>
  <c r="M224" i="5"/>
  <c r="H249" i="5"/>
  <c r="T249" i="5" s="1"/>
  <c r="H205" i="5"/>
  <c r="T205" i="5" s="1"/>
  <c r="M249" i="5"/>
  <c r="L268" i="5"/>
  <c r="L272" i="5"/>
  <c r="L205" i="5"/>
  <c r="L209" i="5"/>
  <c r="L213" i="5"/>
  <c r="L217" i="5"/>
  <c r="L221" i="5"/>
  <c r="L225" i="5"/>
  <c r="L229" i="5"/>
  <c r="L233" i="5"/>
  <c r="L237" i="5"/>
  <c r="L241" i="5"/>
  <c r="L245" i="5"/>
  <c r="L249" i="5"/>
  <c r="L253" i="5"/>
  <c r="G271" i="5"/>
  <c r="G204" i="5"/>
  <c r="G208" i="5"/>
  <c r="G212" i="5"/>
  <c r="G216" i="5"/>
  <c r="G220" i="5"/>
  <c r="G224" i="5"/>
  <c r="G228" i="5"/>
  <c r="G232" i="5"/>
  <c r="G240" i="5"/>
  <c r="L269" i="5"/>
  <c r="L273" i="5"/>
  <c r="L206" i="5"/>
  <c r="L210" i="5"/>
  <c r="L214" i="5"/>
  <c r="L218" i="5"/>
  <c r="L222" i="5"/>
  <c r="L226" i="5"/>
  <c r="L230" i="5"/>
  <c r="L234" i="5"/>
  <c r="L238" i="5"/>
  <c r="L242" i="5"/>
  <c r="L246" i="5"/>
  <c r="L250" i="5"/>
  <c r="G249" i="5"/>
  <c r="G268" i="5"/>
  <c r="G272" i="5"/>
  <c r="G205" i="5"/>
  <c r="G209" i="5"/>
  <c r="G213" i="5"/>
  <c r="G217" i="5"/>
  <c r="G221" i="5"/>
  <c r="G225" i="5"/>
  <c r="G229" i="5"/>
  <c r="G233" i="5"/>
  <c r="G237" i="5"/>
  <c r="G241" i="5"/>
  <c r="G245" i="5"/>
  <c r="G253" i="5"/>
  <c r="G269" i="5"/>
  <c r="G273" i="5"/>
  <c r="G206" i="5"/>
  <c r="G210" i="5"/>
  <c r="G214" i="5"/>
  <c r="G218" i="5"/>
  <c r="G222" i="5"/>
  <c r="G226" i="5"/>
  <c r="G230" i="5"/>
  <c r="G234" i="5"/>
  <c r="G238" i="5"/>
  <c r="G242" i="5"/>
  <c r="G246" i="5"/>
  <c r="G250" i="5"/>
  <c r="L248" i="5"/>
  <c r="G236" i="5"/>
  <c r="G244" i="5"/>
  <c r="L271" i="5"/>
  <c r="L204" i="5"/>
  <c r="L208" i="5"/>
  <c r="L212" i="5"/>
  <c r="L216" i="5"/>
  <c r="L220" i="5"/>
  <c r="L224" i="5"/>
  <c r="L228" i="5"/>
  <c r="L232" i="5"/>
  <c r="L236" i="5"/>
  <c r="L240" i="5"/>
  <c r="L244" i="5"/>
  <c r="L252" i="5"/>
  <c r="G270" i="5"/>
  <c r="G203" i="5"/>
  <c r="G207" i="5"/>
  <c r="G211" i="5"/>
  <c r="G215" i="5"/>
  <c r="G219" i="5"/>
  <c r="G223" i="5"/>
  <c r="G227" i="5"/>
  <c r="G231" i="5"/>
  <c r="G235" i="5"/>
  <c r="G239" i="5"/>
  <c r="G243" i="5"/>
  <c r="G247" i="5"/>
  <c r="G251" i="5"/>
  <c r="L207" i="5"/>
  <c r="L239" i="5"/>
  <c r="G252" i="5"/>
  <c r="L211" i="5"/>
  <c r="L243" i="5"/>
  <c r="L251" i="5"/>
  <c r="L270" i="5"/>
  <c r="L215" i="5"/>
  <c r="L231" i="5"/>
  <c r="L219" i="5"/>
  <c r="L223" i="5"/>
  <c r="L247" i="5"/>
  <c r="L203" i="5"/>
  <c r="L227" i="5"/>
  <c r="G248" i="5"/>
  <c r="L235" i="5"/>
  <c r="M105" i="5"/>
  <c r="H105" i="5"/>
  <c r="T105" i="5" s="1"/>
  <c r="M104" i="5"/>
  <c r="G105" i="5"/>
  <c r="G104" i="5"/>
  <c r="L105" i="5"/>
  <c r="G107" i="5"/>
  <c r="L108" i="5"/>
  <c r="L106" i="5"/>
  <c r="L104" i="5"/>
  <c r="G106" i="5"/>
  <c r="L107" i="5"/>
  <c r="G108" i="5"/>
  <c r="E3" i="5"/>
  <c r="H71" i="5"/>
  <c r="T71" i="5" s="1"/>
  <c r="H75" i="5"/>
  <c r="M77" i="5"/>
  <c r="H78" i="5"/>
  <c r="H73" i="5"/>
  <c r="T73" i="5" s="1"/>
  <c r="M74" i="5"/>
  <c r="H77" i="5"/>
  <c r="T77" i="5" s="1"/>
  <c r="M78" i="5"/>
  <c r="L78" i="5"/>
  <c r="L73" i="5"/>
  <c r="G71" i="5"/>
  <c r="G75" i="5"/>
  <c r="L77" i="5"/>
  <c r="G74" i="5"/>
  <c r="L71" i="5"/>
  <c r="L75" i="5"/>
  <c r="G78" i="5"/>
  <c r="G73" i="5"/>
  <c r="L74" i="5"/>
  <c r="G77" i="5"/>
  <c r="L23" i="5"/>
  <c r="G22" i="5"/>
  <c r="G185" i="5"/>
  <c r="L70" i="5"/>
  <c r="G197" i="5"/>
  <c r="L189" i="5"/>
  <c r="L201" i="5"/>
  <c r="G183" i="5"/>
  <c r="G176" i="5"/>
  <c r="L281" i="5"/>
  <c r="L187" i="5"/>
  <c r="G194" i="5"/>
  <c r="L199" i="5"/>
  <c r="L24" i="5"/>
  <c r="G181" i="5"/>
  <c r="L185" i="5"/>
  <c r="G192" i="5"/>
  <c r="G70" i="5"/>
  <c r="L197" i="5"/>
  <c r="G179" i="5"/>
  <c r="G68" i="5"/>
  <c r="L21" i="5"/>
  <c r="L26" i="5"/>
  <c r="L194" i="5"/>
  <c r="L196" i="5"/>
  <c r="G24" i="5"/>
  <c r="L181" i="5"/>
  <c r="G188" i="5"/>
  <c r="L67" i="5"/>
  <c r="G200" i="5"/>
  <c r="G21" i="5"/>
  <c r="L192" i="5"/>
  <c r="L179" i="5"/>
  <c r="G186" i="5"/>
  <c r="L69" i="5"/>
  <c r="G198" i="5"/>
  <c r="L306" i="5"/>
  <c r="L182" i="5"/>
  <c r="G201" i="5"/>
  <c r="G264" i="5"/>
  <c r="L190" i="5"/>
  <c r="L202" i="5"/>
  <c r="G184" i="5"/>
  <c r="G196" i="5"/>
  <c r="G67" i="5"/>
  <c r="G257" i="5"/>
  <c r="L198" i="5"/>
  <c r="G180" i="5"/>
  <c r="L184" i="5"/>
  <c r="G191" i="5"/>
  <c r="L22" i="5"/>
  <c r="G26" i="5"/>
  <c r="G23" i="5"/>
  <c r="L188" i="5"/>
  <c r="L200" i="5"/>
  <c r="G182" i="5"/>
  <c r="L186" i="5"/>
  <c r="G193" i="5"/>
  <c r="G69" i="5"/>
  <c r="L264" i="5"/>
  <c r="G189" i="5"/>
  <c r="L257" i="5"/>
  <c r="L25" i="5"/>
  <c r="G25" i="5"/>
  <c r="G187" i="5"/>
  <c r="G281" i="5"/>
  <c r="L176" i="5"/>
  <c r="G306" i="5"/>
  <c r="L180" i="5"/>
  <c r="L68" i="5"/>
  <c r="G199" i="5"/>
  <c r="G190" i="5"/>
  <c r="L191" i="5"/>
  <c r="L183" i="5"/>
  <c r="L193" i="5"/>
  <c r="G202" i="5"/>
  <c r="G146" i="5"/>
  <c r="L146" i="5"/>
  <c r="G147" i="5"/>
  <c r="L147" i="5"/>
  <c r="M191" i="5"/>
  <c r="H192" i="5"/>
  <c r="T192" i="5" s="1"/>
  <c r="H185" i="5"/>
  <c r="T185" i="5" s="1"/>
  <c r="H197" i="5"/>
  <c r="T197" i="5" s="1"/>
  <c r="M189" i="5"/>
  <c r="H68" i="5"/>
  <c r="M201" i="5"/>
  <c r="M24" i="5"/>
  <c r="H176" i="5"/>
  <c r="T176" i="5" s="1"/>
  <c r="M281" i="5"/>
  <c r="M187" i="5"/>
  <c r="M185" i="5"/>
  <c r="H183" i="5"/>
  <c r="T183" i="5" s="1"/>
  <c r="M21" i="5"/>
  <c r="H194" i="5"/>
  <c r="T194" i="5" s="1"/>
  <c r="H23" i="5"/>
  <c r="M26" i="5"/>
  <c r="H24" i="5"/>
  <c r="M183" i="5"/>
  <c r="H190" i="5"/>
  <c r="T190" i="5" s="1"/>
  <c r="M67" i="5"/>
  <c r="M176" i="5"/>
  <c r="H202" i="5"/>
  <c r="T202" i="5" s="1"/>
  <c r="M196" i="5"/>
  <c r="H21" i="5"/>
  <c r="M194" i="5"/>
  <c r="M181" i="5"/>
  <c r="H188" i="5"/>
  <c r="T188" i="5" s="1"/>
  <c r="M186" i="5"/>
  <c r="H193" i="5"/>
  <c r="T193" i="5" s="1"/>
  <c r="M198" i="5"/>
  <c r="H180" i="5"/>
  <c r="T180" i="5" s="1"/>
  <c r="H191" i="5"/>
  <c r="T191" i="5" s="1"/>
  <c r="H26" i="5"/>
  <c r="M179" i="5"/>
  <c r="H186" i="5"/>
  <c r="T186" i="5" s="1"/>
  <c r="H198" i="5"/>
  <c r="T198" i="5" s="1"/>
  <c r="M306" i="5"/>
  <c r="M23" i="5"/>
  <c r="H264" i="5"/>
  <c r="T264" i="5" s="1"/>
  <c r="M190" i="5"/>
  <c r="H67" i="5"/>
  <c r="M202" i="5"/>
  <c r="H196" i="5"/>
  <c r="T196" i="5" s="1"/>
  <c r="M22" i="5"/>
  <c r="M184" i="5"/>
  <c r="M188" i="5"/>
  <c r="H69" i="5"/>
  <c r="T69" i="5" s="1"/>
  <c r="H182" i="5"/>
  <c r="T182" i="5" s="1"/>
  <c r="H257" i="5"/>
  <c r="T257" i="5" s="1"/>
  <c r="M264" i="5"/>
  <c r="M25" i="5"/>
  <c r="H25" i="5"/>
  <c r="H187" i="5"/>
  <c r="T187" i="5" s="1"/>
  <c r="H281" i="5"/>
  <c r="T281" i="5" s="1"/>
  <c r="H179" i="5"/>
  <c r="T179" i="5" s="1"/>
  <c r="M197" i="5"/>
  <c r="H189" i="5"/>
  <c r="T189" i="5" s="1"/>
  <c r="M70" i="5"/>
  <c r="H306" i="5"/>
  <c r="T306" i="5" s="1"/>
  <c r="M180" i="5"/>
  <c r="H199" i="5"/>
  <c r="T199" i="5" s="1"/>
  <c r="M68" i="5"/>
  <c r="M182" i="5"/>
  <c r="M257" i="5"/>
  <c r="M193" i="5"/>
  <c r="H146" i="5"/>
  <c r="T146" i="5" s="1"/>
  <c r="M146" i="5"/>
  <c r="M147" i="5"/>
  <c r="H147" i="5"/>
  <c r="T147" i="5" s="1"/>
  <c r="L84" i="5"/>
  <c r="L103" i="5"/>
  <c r="G109" i="5"/>
  <c r="G100" i="5"/>
  <c r="G81" i="5"/>
  <c r="G195" i="5"/>
  <c r="G311" i="5"/>
  <c r="G303" i="5"/>
  <c r="G294" i="5"/>
  <c r="L93" i="5"/>
  <c r="L312" i="5"/>
  <c r="L304" i="5"/>
  <c r="L295" i="5"/>
  <c r="L290" i="5"/>
  <c r="G307" i="5"/>
  <c r="G297" i="5"/>
  <c r="L308" i="5"/>
  <c r="G115" i="5"/>
  <c r="L298" i="5"/>
  <c r="L15" i="5"/>
  <c r="G300" i="5"/>
  <c r="G292" i="5"/>
  <c r="L310" i="5"/>
  <c r="L302" i="5"/>
  <c r="L293" i="5"/>
  <c r="L16" i="5"/>
  <c r="G171" i="5"/>
  <c r="G312" i="5"/>
  <c r="G304" i="5"/>
  <c r="G295" i="5"/>
  <c r="L159" i="5"/>
  <c r="L313" i="5"/>
  <c r="L305" i="5"/>
  <c r="L296" i="5"/>
  <c r="M309" i="5"/>
  <c r="G308" i="5"/>
  <c r="G298" i="5"/>
  <c r="L172" i="5"/>
  <c r="L309" i="5"/>
  <c r="L299" i="5"/>
  <c r="L291" i="5"/>
  <c r="G310" i="5"/>
  <c r="G302" i="5"/>
  <c r="G293" i="5"/>
  <c r="L311" i="5"/>
  <c r="L303" i="5"/>
  <c r="L294" i="5"/>
  <c r="G313" i="5"/>
  <c r="G305" i="5"/>
  <c r="G296" i="5"/>
  <c r="G125" i="5"/>
  <c r="G151" i="5"/>
  <c r="G290" i="5"/>
  <c r="L307" i="5"/>
  <c r="L297" i="5"/>
  <c r="G150" i="5"/>
  <c r="L96" i="5"/>
  <c r="G64" i="5"/>
  <c r="G309" i="5"/>
  <c r="G299" i="5"/>
  <c r="G291" i="5"/>
  <c r="L300" i="5"/>
  <c r="L292" i="5"/>
  <c r="G267" i="5"/>
  <c r="L286" i="5"/>
  <c r="L151" i="5"/>
  <c r="L274" i="5"/>
  <c r="G110" i="5"/>
  <c r="G89" i="5"/>
  <c r="G285" i="5"/>
  <c r="G155" i="5"/>
  <c r="L164" i="5"/>
  <c r="G101" i="5"/>
  <c r="L53" i="5"/>
  <c r="L127" i="5"/>
  <c r="G145" i="5"/>
  <c r="G158" i="5"/>
  <c r="L260" i="5"/>
  <c r="L82" i="5"/>
  <c r="L58" i="5"/>
  <c r="L254" i="5"/>
  <c r="L52" i="5"/>
  <c r="L92" i="5"/>
  <c r="G85" i="5"/>
  <c r="L57" i="5"/>
  <c r="L115" i="5"/>
  <c r="L148" i="5"/>
  <c r="L156" i="5"/>
  <c r="L162" i="5"/>
  <c r="L169" i="5"/>
  <c r="L177" i="5"/>
  <c r="G168" i="5"/>
  <c r="G265" i="5"/>
  <c r="L143" i="5"/>
  <c r="L153" i="5"/>
  <c r="L166" i="5"/>
  <c r="L174" i="5"/>
  <c r="L256" i="5"/>
  <c r="L262" i="5"/>
  <c r="L276" i="5"/>
  <c r="G283" i="5"/>
  <c r="G133" i="5"/>
  <c r="L98" i="5"/>
  <c r="G56" i="5"/>
  <c r="L136" i="5"/>
  <c r="G160" i="5"/>
  <c r="G165" i="5"/>
  <c r="G173" i="5"/>
  <c r="G255" i="5"/>
  <c r="G261" i="5"/>
  <c r="G275" i="5"/>
  <c r="G280" i="5"/>
  <c r="L284" i="5"/>
  <c r="L150" i="5"/>
  <c r="L158" i="5"/>
  <c r="L171" i="5"/>
  <c r="L195" i="5"/>
  <c r="L267" i="5"/>
  <c r="G286" i="5"/>
  <c r="G92" i="5"/>
  <c r="G84" i="5"/>
  <c r="L120" i="5"/>
  <c r="G152" i="5"/>
  <c r="L101" i="5"/>
  <c r="G91" i="5"/>
  <c r="G51" i="5"/>
  <c r="L12" i="5"/>
  <c r="G98" i="5"/>
  <c r="L90" i="5"/>
  <c r="G83" i="5"/>
  <c r="L50" i="5"/>
  <c r="G136" i="5"/>
  <c r="L119" i="5"/>
  <c r="G149" i="5"/>
  <c r="G157" i="5"/>
  <c r="G163" i="5"/>
  <c r="G170" i="5"/>
  <c r="G178" i="5"/>
  <c r="G266" i="5"/>
  <c r="L145" i="5"/>
  <c r="L155" i="5"/>
  <c r="L168" i="5"/>
  <c r="L265" i="5"/>
  <c r="G97" i="5"/>
  <c r="G90" i="5"/>
  <c r="L64" i="5"/>
  <c r="G38" i="5"/>
  <c r="L128" i="5"/>
  <c r="G119" i="5"/>
  <c r="G144" i="5"/>
  <c r="G154" i="5"/>
  <c r="G161" i="5"/>
  <c r="G167" i="5"/>
  <c r="G175" i="5"/>
  <c r="G258" i="5"/>
  <c r="G263" i="5"/>
  <c r="L60" i="5"/>
  <c r="G43" i="5"/>
  <c r="L152" i="5"/>
  <c r="L160" i="5"/>
  <c r="L165" i="5"/>
  <c r="L173" i="5"/>
  <c r="L255" i="5"/>
  <c r="L261" i="5"/>
  <c r="L275" i="5"/>
  <c r="L280" i="5"/>
  <c r="G284" i="5"/>
  <c r="G164" i="5"/>
  <c r="G172" i="5"/>
  <c r="G254" i="5"/>
  <c r="G260" i="5"/>
  <c r="G274" i="5"/>
  <c r="G96" i="5"/>
  <c r="L88" i="5"/>
  <c r="L80" i="5"/>
  <c r="G60" i="5"/>
  <c r="G117" i="5"/>
  <c r="L149" i="5"/>
  <c r="L157" i="5"/>
  <c r="L163" i="5"/>
  <c r="L170" i="5"/>
  <c r="L178" i="5"/>
  <c r="L266" i="5"/>
  <c r="G177" i="5"/>
  <c r="L62" i="5"/>
  <c r="G156" i="5"/>
  <c r="G162" i="5"/>
  <c r="G169" i="5"/>
  <c r="L144" i="5"/>
  <c r="L154" i="5"/>
  <c r="L161" i="5"/>
  <c r="L167" i="5"/>
  <c r="L175" i="5"/>
  <c r="L258" i="5"/>
  <c r="L263" i="5"/>
  <c r="G282" i="5"/>
  <c r="G159" i="5"/>
  <c r="G31" i="5"/>
  <c r="L59" i="5"/>
  <c r="G46" i="5"/>
  <c r="G127" i="5"/>
  <c r="G148" i="5"/>
  <c r="L110" i="5"/>
  <c r="L94" i="5"/>
  <c r="L86" i="5"/>
  <c r="G62" i="5"/>
  <c r="G59" i="5"/>
  <c r="G143" i="5"/>
  <c r="G153" i="5"/>
  <c r="G166" i="5"/>
  <c r="G174" i="5"/>
  <c r="G256" i="5"/>
  <c r="G262" i="5"/>
  <c r="G276" i="5"/>
  <c r="L283" i="5"/>
  <c r="L13" i="5"/>
  <c r="L102" i="5"/>
  <c r="G88" i="5"/>
  <c r="L81" i="5"/>
  <c r="L65" i="5"/>
  <c r="L55" i="5"/>
  <c r="G52" i="5"/>
  <c r="G138" i="5"/>
  <c r="G130" i="5"/>
  <c r="G122" i="5"/>
  <c r="L14" i="5"/>
  <c r="G93" i="5"/>
  <c r="L87" i="5"/>
  <c r="L51" i="5"/>
  <c r="L131" i="5"/>
  <c r="L123" i="5"/>
  <c r="L134" i="5"/>
  <c r="L126" i="5"/>
  <c r="L118" i="5"/>
  <c r="G128" i="5"/>
  <c r="G120" i="5"/>
  <c r="L17" i="5"/>
  <c r="L100" i="5"/>
  <c r="L97" i="5"/>
  <c r="L91" i="5"/>
  <c r="L85" i="5"/>
  <c r="G80" i="5"/>
  <c r="L63" i="5"/>
  <c r="L137" i="5"/>
  <c r="L129" i="5"/>
  <c r="L121" i="5"/>
  <c r="G131" i="5"/>
  <c r="G123" i="5"/>
  <c r="L132" i="5"/>
  <c r="L124" i="5"/>
  <c r="L116" i="5"/>
  <c r="G134" i="5"/>
  <c r="G126" i="5"/>
  <c r="G118" i="5"/>
  <c r="G35" i="5"/>
  <c r="G137" i="5"/>
  <c r="G129" i="5"/>
  <c r="G121" i="5"/>
  <c r="L109" i="5"/>
  <c r="L95" i="5"/>
  <c r="L89" i="5"/>
  <c r="L83" i="5"/>
  <c r="L138" i="5"/>
  <c r="L130" i="5"/>
  <c r="L122" i="5"/>
  <c r="G132" i="5"/>
  <c r="G124" i="5"/>
  <c r="G116" i="5"/>
  <c r="L133" i="5"/>
  <c r="L125" i="5"/>
  <c r="L117" i="5"/>
  <c r="L36" i="5"/>
  <c r="L47" i="5"/>
  <c r="L39" i="5"/>
  <c r="G102" i="5"/>
  <c r="G94" i="5"/>
  <c r="G86" i="5"/>
  <c r="G65" i="5"/>
  <c r="G57" i="5"/>
  <c r="G49" i="5"/>
  <c r="G41" i="5"/>
  <c r="G33" i="5"/>
  <c r="L42" i="5"/>
  <c r="L34" i="5"/>
  <c r="G36" i="5"/>
  <c r="L45" i="5"/>
  <c r="L37" i="5"/>
  <c r="G63" i="5"/>
  <c r="G55" i="5"/>
  <c r="G47" i="5"/>
  <c r="G39" i="5"/>
  <c r="L56" i="5"/>
  <c r="L48" i="5"/>
  <c r="L32" i="5"/>
  <c r="L31" i="5"/>
  <c r="G103" i="5"/>
  <c r="G95" i="5"/>
  <c r="G87" i="5"/>
  <c r="G58" i="5"/>
  <c r="G50" i="5"/>
  <c r="G42" i="5"/>
  <c r="G34" i="5"/>
  <c r="L43" i="5"/>
  <c r="L35" i="5"/>
  <c r="G82" i="5"/>
  <c r="G53" i="5"/>
  <c r="G45" i="5"/>
  <c r="G37" i="5"/>
  <c r="L46" i="5"/>
  <c r="L38" i="5"/>
  <c r="G48" i="5"/>
  <c r="G32" i="5"/>
  <c r="L49" i="5"/>
  <c r="L41" i="5"/>
  <c r="L33" i="5"/>
  <c r="G13" i="5"/>
  <c r="G16" i="5"/>
  <c r="G15" i="5"/>
  <c r="G12" i="5"/>
  <c r="G17" i="5"/>
  <c r="G14" i="5"/>
  <c r="M316" i="5"/>
  <c r="T259" i="5"/>
  <c r="T117" i="5"/>
  <c r="T119" i="5"/>
  <c r="T123" i="5"/>
  <c r="T124" i="5"/>
  <c r="T130" i="5"/>
  <c r="T135" i="5"/>
  <c r="T39" i="5"/>
  <c r="T40" i="5"/>
  <c r="T44" i="5"/>
  <c r="T50" i="5"/>
  <c r="T53" i="5"/>
  <c r="T54" i="5"/>
  <c r="T61" i="5"/>
  <c r="T65" i="5"/>
  <c r="T79" i="5"/>
  <c r="T80" i="5"/>
  <c r="T84" i="5"/>
  <c r="T85" i="5"/>
  <c r="T90" i="5"/>
  <c r="T91" i="5"/>
  <c r="T92" i="5"/>
  <c r="T95" i="5"/>
  <c r="T98" i="5"/>
  <c r="T99" i="5"/>
  <c r="C3" i="5"/>
  <c r="H106" i="5" l="1"/>
  <c r="T106" i="5" s="1"/>
  <c r="M323" i="5"/>
  <c r="H323" i="5"/>
  <c r="T323" i="5" s="1"/>
  <c r="H322" i="5"/>
  <c r="T322" i="5" s="1"/>
  <c r="H301" i="5"/>
  <c r="T301" i="5" s="1"/>
  <c r="M320" i="5"/>
  <c r="H22" i="5"/>
  <c r="M200" i="5"/>
  <c r="M192" i="5"/>
  <c r="H181" i="5"/>
  <c r="T181" i="5" s="1"/>
  <c r="F323" i="5"/>
  <c r="K108" i="5"/>
  <c r="K272" i="5"/>
  <c r="K273" i="5"/>
  <c r="K264" i="5"/>
  <c r="K25" i="5"/>
  <c r="K22" i="5"/>
  <c r="K147" i="5"/>
  <c r="K150" i="5"/>
  <c r="K82" i="5"/>
  <c r="K148" i="5"/>
  <c r="K63" i="5"/>
  <c r="H201" i="5"/>
  <c r="T201" i="5" s="1"/>
  <c r="H184" i="5"/>
  <c r="T184" i="5" s="1"/>
  <c r="H200" i="5"/>
  <c r="T200" i="5" s="1"/>
  <c r="M199" i="5"/>
  <c r="M69" i="5"/>
  <c r="H70" i="5"/>
  <c r="T70" i="5" s="1"/>
  <c r="H320" i="5"/>
  <c r="T320" i="5" s="1"/>
  <c r="M239" i="5"/>
  <c r="M273" i="5"/>
  <c r="M233" i="5"/>
  <c r="M324" i="5"/>
  <c r="M321" i="5"/>
  <c r="H233" i="5"/>
  <c r="T233" i="5" s="1"/>
  <c r="H238" i="5"/>
  <c r="T238" i="5" s="1"/>
  <c r="M215" i="5"/>
  <c r="M269" i="5"/>
  <c r="M213" i="5"/>
  <c r="M325" i="5"/>
  <c r="H324" i="5"/>
  <c r="T324" i="5" s="1"/>
  <c r="F320" i="5"/>
  <c r="F325" i="5"/>
  <c r="F321" i="5"/>
  <c r="F322" i="5"/>
  <c r="F324" i="5"/>
  <c r="M237" i="5"/>
  <c r="H234" i="5"/>
  <c r="T234" i="5" s="1"/>
  <c r="M211" i="5"/>
  <c r="H232" i="5"/>
  <c r="T232" i="5" s="1"/>
  <c r="H251" i="5"/>
  <c r="T251" i="5" s="1"/>
  <c r="H321" i="5"/>
  <c r="T321" i="5" s="1"/>
  <c r="M225" i="5"/>
  <c r="H210" i="5"/>
  <c r="T210" i="5" s="1"/>
  <c r="M207" i="5"/>
  <c r="H228" i="5"/>
  <c r="T228" i="5" s="1"/>
  <c r="H227" i="5"/>
  <c r="T227" i="5" s="1"/>
  <c r="M322" i="5"/>
  <c r="H245" i="5"/>
  <c r="T245" i="5" s="1"/>
  <c r="M252" i="5"/>
  <c r="H206" i="5"/>
  <c r="T206" i="5" s="1"/>
  <c r="M238" i="5"/>
  <c r="H224" i="5"/>
  <c r="T224" i="5" s="1"/>
  <c r="H223" i="5"/>
  <c r="T223" i="5" s="1"/>
  <c r="M301" i="5"/>
  <c r="H213" i="5"/>
  <c r="T213" i="5" s="1"/>
  <c r="M228" i="5"/>
  <c r="H273" i="5"/>
  <c r="T273" i="5" s="1"/>
  <c r="M234" i="5"/>
  <c r="H271" i="5"/>
  <c r="T271" i="5" s="1"/>
  <c r="H219" i="5"/>
  <c r="T219" i="5" s="1"/>
  <c r="H325" i="5"/>
  <c r="T325" i="5" s="1"/>
  <c r="H241" i="5"/>
  <c r="T241" i="5" s="1"/>
  <c r="H272" i="5"/>
  <c r="T272" i="5" s="1"/>
  <c r="M248" i="5"/>
  <c r="M216" i="5"/>
  <c r="H230" i="5"/>
  <c r="T230" i="5" s="1"/>
  <c r="H269" i="5"/>
  <c r="T269" i="5" s="1"/>
  <c r="M235" i="5"/>
  <c r="M203" i="5"/>
  <c r="M226" i="5"/>
  <c r="H252" i="5"/>
  <c r="T252" i="5" s="1"/>
  <c r="H220" i="5"/>
  <c r="T220" i="5" s="1"/>
  <c r="M217" i="5"/>
  <c r="H247" i="5"/>
  <c r="T247" i="5" s="1"/>
  <c r="H215" i="5"/>
  <c r="T215" i="5" s="1"/>
  <c r="H209" i="5"/>
  <c r="T209" i="5" s="1"/>
  <c r="H221" i="5"/>
  <c r="T221" i="5" s="1"/>
  <c r="M244" i="5"/>
  <c r="M212" i="5"/>
  <c r="H226" i="5"/>
  <c r="T226" i="5" s="1"/>
  <c r="M241" i="5"/>
  <c r="M231" i="5"/>
  <c r="M270" i="5"/>
  <c r="M222" i="5"/>
  <c r="H248" i="5"/>
  <c r="T248" i="5" s="1"/>
  <c r="H216" i="5"/>
  <c r="T216" i="5" s="1"/>
  <c r="M209" i="5"/>
  <c r="H243" i="5"/>
  <c r="T243" i="5" s="1"/>
  <c r="H211" i="5"/>
  <c r="T211" i="5" s="1"/>
  <c r="F271" i="5"/>
  <c r="F204" i="5"/>
  <c r="F208" i="5"/>
  <c r="F212" i="5"/>
  <c r="F216" i="5"/>
  <c r="F220" i="5"/>
  <c r="F224" i="5"/>
  <c r="F228" i="5"/>
  <c r="F232" i="5"/>
  <c r="F236" i="5"/>
  <c r="F240" i="5"/>
  <c r="F244" i="5"/>
  <c r="F248" i="5"/>
  <c r="F252" i="5"/>
  <c r="F268" i="5"/>
  <c r="F272" i="5"/>
  <c r="F205" i="5"/>
  <c r="F209" i="5"/>
  <c r="F213" i="5"/>
  <c r="F217" i="5"/>
  <c r="F221" i="5"/>
  <c r="F225" i="5"/>
  <c r="F229" i="5"/>
  <c r="F233" i="5"/>
  <c r="F237" i="5"/>
  <c r="F241" i="5"/>
  <c r="F245" i="5"/>
  <c r="F249" i="5"/>
  <c r="F253" i="5"/>
  <c r="F247" i="5"/>
  <c r="F251" i="5"/>
  <c r="F270" i="5"/>
  <c r="F203" i="5"/>
  <c r="F207" i="5"/>
  <c r="F211" i="5"/>
  <c r="F215" i="5"/>
  <c r="F219" i="5"/>
  <c r="F223" i="5"/>
  <c r="F227" i="5"/>
  <c r="F231" i="5"/>
  <c r="F235" i="5"/>
  <c r="F239" i="5"/>
  <c r="F243" i="5"/>
  <c r="F222" i="5"/>
  <c r="F230" i="5"/>
  <c r="F226" i="5"/>
  <c r="F269" i="5"/>
  <c r="F246" i="5"/>
  <c r="F273" i="5"/>
  <c r="F234" i="5"/>
  <c r="F206" i="5"/>
  <c r="F238" i="5"/>
  <c r="F250" i="5"/>
  <c r="F214" i="5"/>
  <c r="F210" i="5"/>
  <c r="F242" i="5"/>
  <c r="F218" i="5"/>
  <c r="K263" i="5"/>
  <c r="H225" i="5"/>
  <c r="T225" i="5" s="1"/>
  <c r="M253" i="5"/>
  <c r="M240" i="5"/>
  <c r="M208" i="5"/>
  <c r="H222" i="5"/>
  <c r="T222" i="5" s="1"/>
  <c r="H250" i="5"/>
  <c r="T250" i="5" s="1"/>
  <c r="M227" i="5"/>
  <c r="M250" i="5"/>
  <c r="M218" i="5"/>
  <c r="H244" i="5"/>
  <c r="T244" i="5" s="1"/>
  <c r="H212" i="5"/>
  <c r="T212" i="5" s="1"/>
  <c r="M205" i="5"/>
  <c r="H239" i="5"/>
  <c r="T239" i="5" s="1"/>
  <c r="H207" i="5"/>
  <c r="T207" i="5" s="1"/>
  <c r="H217" i="5"/>
  <c r="T217" i="5" s="1"/>
  <c r="H253" i="5"/>
  <c r="T253" i="5" s="1"/>
  <c r="H229" i="5"/>
  <c r="T229" i="5" s="1"/>
  <c r="M236" i="5"/>
  <c r="M204" i="5"/>
  <c r="H218" i="5"/>
  <c r="T218" i="5" s="1"/>
  <c r="H246" i="5"/>
  <c r="T246" i="5" s="1"/>
  <c r="M223" i="5"/>
  <c r="M246" i="5"/>
  <c r="M214" i="5"/>
  <c r="H240" i="5"/>
  <c r="T240" i="5" s="1"/>
  <c r="H208" i="5"/>
  <c r="T208" i="5" s="1"/>
  <c r="M272" i="5"/>
  <c r="H235" i="5"/>
  <c r="T235" i="5" s="1"/>
  <c r="H203" i="5"/>
  <c r="T203" i="5" s="1"/>
  <c r="M245" i="5"/>
  <c r="H237" i="5"/>
  <c r="T237" i="5" s="1"/>
  <c r="H268" i="5"/>
  <c r="T268" i="5" s="1"/>
  <c r="M232" i="5"/>
  <c r="M271" i="5"/>
  <c r="H214" i="5"/>
  <c r="T214" i="5" s="1"/>
  <c r="M251" i="5"/>
  <c r="M219" i="5"/>
  <c r="M242" i="5"/>
  <c r="M210" i="5"/>
  <c r="H236" i="5"/>
  <c r="T236" i="5" s="1"/>
  <c r="H204" i="5"/>
  <c r="T204" i="5" s="1"/>
  <c r="M268" i="5"/>
  <c r="H231" i="5"/>
  <c r="T231" i="5" s="1"/>
  <c r="H270" i="5"/>
  <c r="T270" i="5" s="1"/>
  <c r="H108" i="5"/>
  <c r="T108" i="5" s="1"/>
  <c r="M106" i="5"/>
  <c r="F104" i="5"/>
  <c r="F107" i="5"/>
  <c r="F106" i="5"/>
  <c r="F105" i="5"/>
  <c r="F108" i="5"/>
  <c r="M75" i="5"/>
  <c r="H104" i="5"/>
  <c r="T104" i="5" s="1"/>
  <c r="M71" i="5"/>
  <c r="M108" i="5"/>
  <c r="M107" i="5"/>
  <c r="M73" i="5"/>
  <c r="H74" i="5"/>
  <c r="T74" i="5" s="1"/>
  <c r="H107" i="5"/>
  <c r="T107" i="5" s="1"/>
  <c r="K143" i="5"/>
  <c r="F77" i="5"/>
  <c r="F71" i="5"/>
  <c r="F75" i="5"/>
  <c r="F74" i="5"/>
  <c r="F78" i="5"/>
  <c r="F73" i="5"/>
  <c r="F25" i="5"/>
  <c r="K23" i="5"/>
  <c r="F22" i="5"/>
  <c r="F183" i="5"/>
  <c r="F176" i="5"/>
  <c r="F194" i="5"/>
  <c r="F181" i="5"/>
  <c r="F192" i="5"/>
  <c r="F68" i="5"/>
  <c r="K24" i="5"/>
  <c r="F179" i="5"/>
  <c r="F190" i="5"/>
  <c r="F70" i="5"/>
  <c r="F188" i="5"/>
  <c r="F200" i="5"/>
  <c r="F24" i="5"/>
  <c r="F186" i="5"/>
  <c r="F198" i="5"/>
  <c r="F264" i="5"/>
  <c r="F184" i="5"/>
  <c r="F196" i="5"/>
  <c r="F191" i="5"/>
  <c r="F69" i="5"/>
  <c r="F201" i="5"/>
  <c r="F182" i="5"/>
  <c r="F257" i="5"/>
  <c r="F67" i="5"/>
  <c r="F189" i="5"/>
  <c r="F23" i="5"/>
  <c r="F193" i="5"/>
  <c r="F180" i="5"/>
  <c r="F187" i="5"/>
  <c r="F197" i="5"/>
  <c r="F202" i="5"/>
  <c r="F199" i="5"/>
  <c r="F185" i="5"/>
  <c r="F146" i="5"/>
  <c r="K146" i="5"/>
  <c r="F147" i="5"/>
  <c r="K39" i="5"/>
  <c r="K60" i="5"/>
  <c r="K267" i="5"/>
  <c r="K151" i="5"/>
  <c r="K266" i="5"/>
  <c r="K47" i="5"/>
  <c r="K81" i="5"/>
  <c r="K262" i="5"/>
  <c r="K83" i="5"/>
  <c r="K50" i="5"/>
  <c r="K57" i="5"/>
  <c r="K144" i="5"/>
  <c r="K53" i="5"/>
  <c r="K43" i="5"/>
  <c r="K90" i="5"/>
  <c r="K137" i="5"/>
  <c r="F3" i="5"/>
  <c r="M166" i="5"/>
  <c r="M314" i="5"/>
  <c r="M297" i="5"/>
  <c r="M307" i="5"/>
  <c r="H296" i="5"/>
  <c r="T296" i="5" s="1"/>
  <c r="H305" i="5"/>
  <c r="T305" i="5" s="1"/>
  <c r="H313" i="5"/>
  <c r="T313" i="5" s="1"/>
  <c r="M294" i="5"/>
  <c r="M303" i="5"/>
  <c r="M311" i="5"/>
  <c r="H304" i="5"/>
  <c r="T304" i="5" s="1"/>
  <c r="H312" i="5"/>
  <c r="T312" i="5" s="1"/>
  <c r="H295" i="5"/>
  <c r="T295" i="5" s="1"/>
  <c r="M290" i="5"/>
  <c r="H300" i="5"/>
  <c r="T300" i="5" s="1"/>
  <c r="M298" i="5"/>
  <c r="M308" i="5"/>
  <c r="M315" i="5"/>
  <c r="M295" i="5"/>
  <c r="M304" i="5"/>
  <c r="M312" i="5"/>
  <c r="H291" i="5"/>
  <c r="T291" i="5" s="1"/>
  <c r="H298" i="5"/>
  <c r="T298" i="5" s="1"/>
  <c r="H297" i="5"/>
  <c r="T297" i="5" s="1"/>
  <c r="H299" i="5"/>
  <c r="T299" i="5" s="1"/>
  <c r="H308" i="5"/>
  <c r="T308" i="5" s="1"/>
  <c r="M293" i="5"/>
  <c r="H307" i="5"/>
  <c r="T307" i="5" s="1"/>
  <c r="H303" i="5"/>
  <c r="T303" i="5" s="1"/>
  <c r="H293" i="5"/>
  <c r="T293" i="5" s="1"/>
  <c r="H309" i="5"/>
  <c r="T309" i="5" s="1"/>
  <c r="H315" i="5"/>
  <c r="T315" i="5" s="1"/>
  <c r="M302" i="5"/>
  <c r="H314" i="5"/>
  <c r="T314" i="5" s="1"/>
  <c r="H311" i="5"/>
  <c r="T311" i="5" s="1"/>
  <c r="H316" i="5"/>
  <c r="T316" i="5" s="1"/>
  <c r="H302" i="5"/>
  <c r="T302" i="5" s="1"/>
  <c r="M310" i="5"/>
  <c r="M292" i="5"/>
  <c r="H310" i="5"/>
  <c r="T310" i="5" s="1"/>
  <c r="M296" i="5"/>
  <c r="M300" i="5"/>
  <c r="M291" i="5"/>
  <c r="M305" i="5"/>
  <c r="H292" i="5"/>
  <c r="T292" i="5" s="1"/>
  <c r="M299" i="5"/>
  <c r="M313" i="5"/>
  <c r="H290" i="5"/>
  <c r="H294" i="5"/>
  <c r="T294" i="5" s="1"/>
  <c r="H159" i="5"/>
  <c r="T159" i="5" s="1"/>
  <c r="M267" i="5"/>
  <c r="H286" i="5"/>
  <c r="T286" i="5" s="1"/>
  <c r="M167" i="5"/>
  <c r="H275" i="5"/>
  <c r="T275" i="5" s="1"/>
  <c r="H169" i="5"/>
  <c r="T169" i="5" s="1"/>
  <c r="M168" i="5"/>
  <c r="M173" i="5"/>
  <c r="H161" i="5"/>
  <c r="T161" i="5" s="1"/>
  <c r="H266" i="5"/>
  <c r="T266" i="5" s="1"/>
  <c r="H283" i="5"/>
  <c r="T283" i="5" s="1"/>
  <c r="H195" i="5"/>
  <c r="T195" i="5" s="1"/>
  <c r="M161" i="5"/>
  <c r="H162" i="5"/>
  <c r="T162" i="5" s="1"/>
  <c r="M178" i="5"/>
  <c r="H151" i="5"/>
  <c r="T151" i="5" s="1"/>
  <c r="H261" i="5"/>
  <c r="T261" i="5" s="1"/>
  <c r="M276" i="5"/>
  <c r="H154" i="5"/>
  <c r="T154" i="5" s="1"/>
  <c r="H171" i="5"/>
  <c r="T171" i="5" s="1"/>
  <c r="H64" i="5"/>
  <c r="T64" i="5" s="1"/>
  <c r="H128" i="5"/>
  <c r="T128" i="5" s="1"/>
  <c r="M154" i="5"/>
  <c r="H156" i="5"/>
  <c r="T156" i="5" s="1"/>
  <c r="M155" i="5"/>
  <c r="H178" i="5"/>
  <c r="T178" i="5" s="1"/>
  <c r="M195" i="5"/>
  <c r="H255" i="5"/>
  <c r="T255" i="5" s="1"/>
  <c r="M262" i="5"/>
  <c r="M285" i="5"/>
  <c r="H144" i="5"/>
  <c r="T144" i="5" s="1"/>
  <c r="M284" i="5"/>
  <c r="M144" i="5"/>
  <c r="H148" i="5"/>
  <c r="T148" i="5" s="1"/>
  <c r="H274" i="5"/>
  <c r="T274" i="5" s="1"/>
  <c r="M145" i="5"/>
  <c r="H170" i="5"/>
  <c r="T170" i="5" s="1"/>
  <c r="M171" i="5"/>
  <c r="H173" i="5"/>
  <c r="T173" i="5" s="1"/>
  <c r="M256" i="5"/>
  <c r="M283" i="5"/>
  <c r="M177" i="5"/>
  <c r="H158" i="5"/>
  <c r="T158" i="5" s="1"/>
  <c r="K260" i="5"/>
  <c r="F158" i="5"/>
  <c r="F150" i="5"/>
  <c r="F276" i="5"/>
  <c r="F262" i="5"/>
  <c r="F256" i="5"/>
  <c r="F174" i="5"/>
  <c r="F166" i="5"/>
  <c r="F153" i="5"/>
  <c r="F143" i="5"/>
  <c r="F177" i="5"/>
  <c r="F169" i="5"/>
  <c r="F162" i="5"/>
  <c r="F156" i="5"/>
  <c r="F148" i="5"/>
  <c r="F267" i="5"/>
  <c r="F274" i="5"/>
  <c r="F260" i="5"/>
  <c r="F254" i="5"/>
  <c r="F172" i="5"/>
  <c r="F164" i="5"/>
  <c r="F159" i="5"/>
  <c r="F151" i="5"/>
  <c r="K261" i="5"/>
  <c r="F263" i="5"/>
  <c r="F258" i="5"/>
  <c r="F175" i="5"/>
  <c r="F167" i="5"/>
  <c r="F161" i="5"/>
  <c r="F154" i="5"/>
  <c r="F144" i="5"/>
  <c r="K265" i="5"/>
  <c r="F152" i="5"/>
  <c r="F171" i="5"/>
  <c r="F266" i="5"/>
  <c r="F178" i="5"/>
  <c r="F170" i="5"/>
  <c r="F163" i="5"/>
  <c r="F157" i="5"/>
  <c r="F149" i="5"/>
  <c r="F195" i="5"/>
  <c r="F160" i="5"/>
  <c r="F275" i="5"/>
  <c r="F261" i="5"/>
  <c r="F255" i="5"/>
  <c r="F173" i="5"/>
  <c r="F165" i="5"/>
  <c r="F265" i="5"/>
  <c r="F168" i="5"/>
  <c r="F155" i="5"/>
  <c r="F145" i="5"/>
  <c r="M115" i="5"/>
  <c r="H260" i="5"/>
  <c r="T260" i="5" s="1"/>
  <c r="H284" i="5"/>
  <c r="T284" i="5" s="1"/>
  <c r="H163" i="5"/>
  <c r="T163" i="5" s="1"/>
  <c r="H165" i="5"/>
  <c r="T165" i="5" s="1"/>
  <c r="M174" i="5"/>
  <c r="H265" i="5"/>
  <c r="T265" i="5" s="1"/>
  <c r="M280" i="5"/>
  <c r="H263" i="5"/>
  <c r="T263" i="5" s="1"/>
  <c r="H150" i="5"/>
  <c r="T150" i="5" s="1"/>
  <c r="H37" i="5"/>
  <c r="T37" i="5" s="1"/>
  <c r="M263" i="5"/>
  <c r="H254" i="5"/>
  <c r="T254" i="5" s="1"/>
  <c r="H157" i="5"/>
  <c r="T157" i="5" s="1"/>
  <c r="M158" i="5"/>
  <c r="H160" i="5"/>
  <c r="T160" i="5" s="1"/>
  <c r="H133" i="5"/>
  <c r="T133" i="5" s="1"/>
  <c r="M157" i="5"/>
  <c r="H276" i="5"/>
  <c r="T276" i="5" s="1"/>
  <c r="M149" i="5"/>
  <c r="M286" i="5"/>
  <c r="H166" i="5"/>
  <c r="T166" i="5" s="1"/>
  <c r="H153" i="5"/>
  <c r="T153" i="5" s="1"/>
  <c r="M152" i="5"/>
  <c r="M165" i="5"/>
  <c r="M160" i="5"/>
  <c r="H174" i="5"/>
  <c r="T174" i="5" s="1"/>
  <c r="H145" i="5"/>
  <c r="T145" i="5" s="1"/>
  <c r="M274" i="5"/>
  <c r="M172" i="5"/>
  <c r="M164" i="5"/>
  <c r="M151" i="5"/>
  <c r="H262" i="5"/>
  <c r="T262" i="5" s="1"/>
  <c r="H256" i="5"/>
  <c r="T256" i="5" s="1"/>
  <c r="H143" i="5"/>
  <c r="T143" i="5" s="1"/>
  <c r="M254" i="5"/>
  <c r="M159" i="5"/>
  <c r="M148" i="5"/>
  <c r="H155" i="5"/>
  <c r="T155" i="5" s="1"/>
  <c r="M260" i="5"/>
  <c r="M169" i="5"/>
  <c r="M162" i="5"/>
  <c r="M156" i="5"/>
  <c r="M275" i="5"/>
  <c r="H258" i="5"/>
  <c r="T258" i="5" s="1"/>
  <c r="M265" i="5"/>
  <c r="H138" i="5"/>
  <c r="T138" i="5" s="1"/>
  <c r="M258" i="5"/>
  <c r="H282" i="5"/>
  <c r="T282" i="5" s="1"/>
  <c r="H172" i="5"/>
  <c r="T172" i="5" s="1"/>
  <c r="H149" i="5"/>
  <c r="T149" i="5" s="1"/>
  <c r="M150" i="5"/>
  <c r="H152" i="5"/>
  <c r="T152" i="5" s="1"/>
  <c r="H127" i="5"/>
  <c r="T127" i="5" s="1"/>
  <c r="M261" i="5"/>
  <c r="H175" i="5"/>
  <c r="T175" i="5" s="1"/>
  <c r="H168" i="5"/>
  <c r="T168" i="5" s="1"/>
  <c r="H267" i="5"/>
  <c r="T267" i="5" s="1"/>
  <c r="H88" i="5"/>
  <c r="T88" i="5" s="1"/>
  <c r="M175" i="5"/>
  <c r="M170" i="5"/>
  <c r="H177" i="5"/>
  <c r="T177" i="5" s="1"/>
  <c r="H164" i="5"/>
  <c r="T164" i="5" s="1"/>
  <c r="M282" i="5"/>
  <c r="H280" i="5"/>
  <c r="T280" i="5" s="1"/>
  <c r="M153" i="5"/>
  <c r="H96" i="5"/>
  <c r="T96" i="5" s="1"/>
  <c r="M163" i="5"/>
  <c r="M266" i="5"/>
  <c r="M255" i="5"/>
  <c r="H167" i="5"/>
  <c r="T167" i="5" s="1"/>
  <c r="M143" i="5"/>
  <c r="H285" i="5"/>
  <c r="T285" i="5" s="1"/>
  <c r="M58" i="5"/>
  <c r="H118" i="5"/>
  <c r="T118" i="5" s="1"/>
  <c r="M123" i="5"/>
  <c r="F116" i="5"/>
  <c r="F124" i="5"/>
  <c r="F132" i="5"/>
  <c r="F121" i="5"/>
  <c r="F129" i="5"/>
  <c r="F137" i="5"/>
  <c r="F118" i="5"/>
  <c r="F126" i="5"/>
  <c r="F134" i="5"/>
  <c r="F123" i="5"/>
  <c r="F131" i="5"/>
  <c r="F120" i="5"/>
  <c r="F128" i="5"/>
  <c r="F136" i="5"/>
  <c r="F117" i="5"/>
  <c r="F125" i="5"/>
  <c r="F133" i="5"/>
  <c r="F122" i="5"/>
  <c r="F130" i="5"/>
  <c r="F138" i="5"/>
  <c r="F119" i="5"/>
  <c r="F115" i="5"/>
  <c r="F127" i="5"/>
  <c r="M41" i="5"/>
  <c r="M117" i="5"/>
  <c r="M122" i="5"/>
  <c r="H136" i="5"/>
  <c r="T136" i="5" s="1"/>
  <c r="M93" i="5"/>
  <c r="H126" i="5"/>
  <c r="T126" i="5" s="1"/>
  <c r="M118" i="5"/>
  <c r="M131" i="5"/>
  <c r="M12" i="5"/>
  <c r="M87" i="5"/>
  <c r="M125" i="5"/>
  <c r="M130" i="5"/>
  <c r="M126" i="5"/>
  <c r="N138" i="5"/>
  <c r="N131" i="5"/>
  <c r="M59" i="5"/>
  <c r="H100" i="5"/>
  <c r="T100" i="5" s="1"/>
  <c r="H134" i="5"/>
  <c r="T134" i="5" s="1"/>
  <c r="H117" i="5"/>
  <c r="H115" i="5"/>
  <c r="T115" i="5" s="1"/>
  <c r="H48" i="5"/>
  <c r="T48" i="5" s="1"/>
  <c r="M133" i="5"/>
  <c r="M138" i="5"/>
  <c r="M116" i="5"/>
  <c r="M88" i="5"/>
  <c r="H116" i="5"/>
  <c r="T116" i="5" s="1"/>
  <c r="H125" i="5"/>
  <c r="T125" i="5" s="1"/>
  <c r="H85" i="5"/>
  <c r="H121" i="5"/>
  <c r="T121" i="5" s="1"/>
  <c r="M124" i="5"/>
  <c r="M98" i="5"/>
  <c r="H49" i="5"/>
  <c r="T49" i="5" s="1"/>
  <c r="H124" i="5"/>
  <c r="H129" i="5"/>
  <c r="T129" i="5" s="1"/>
  <c r="M121" i="5"/>
  <c r="H46" i="5"/>
  <c r="T46" i="5" s="1"/>
  <c r="M134" i="5"/>
  <c r="M128" i="5"/>
  <c r="M136" i="5"/>
  <c r="M120" i="5"/>
  <c r="H65" i="5"/>
  <c r="H137" i="5"/>
  <c r="T137" i="5" s="1"/>
  <c r="M132" i="5"/>
  <c r="H36" i="5"/>
  <c r="T36" i="5" s="1"/>
  <c r="H86" i="5"/>
  <c r="T86" i="5" s="1"/>
  <c r="H132" i="5"/>
  <c r="T132" i="5" s="1"/>
  <c r="M129" i="5"/>
  <c r="M119" i="5"/>
  <c r="H123" i="5"/>
  <c r="M137" i="5"/>
  <c r="H59" i="5"/>
  <c r="T59" i="5" s="1"/>
  <c r="M31" i="5"/>
  <c r="H122" i="5"/>
  <c r="T122" i="5" s="1"/>
  <c r="H80" i="5"/>
  <c r="H58" i="5"/>
  <c r="T58" i="5" s="1"/>
  <c r="M127" i="5"/>
  <c r="H131" i="5"/>
  <c r="T131" i="5" s="1"/>
  <c r="H120" i="5"/>
  <c r="T120" i="5" s="1"/>
  <c r="H130" i="5"/>
  <c r="H119" i="5"/>
  <c r="H56" i="5"/>
  <c r="T56" i="5" s="1"/>
  <c r="H97" i="5"/>
  <c r="T97" i="5" s="1"/>
  <c r="M80" i="5"/>
  <c r="H50" i="5"/>
  <c r="M101" i="5"/>
  <c r="H31" i="5"/>
  <c r="T31" i="5" s="1"/>
  <c r="H57" i="5"/>
  <c r="T57" i="5" s="1"/>
  <c r="H93" i="5"/>
  <c r="T93" i="5" s="1"/>
  <c r="H95" i="5"/>
  <c r="H94" i="5"/>
  <c r="T94" i="5" s="1"/>
  <c r="M33" i="5"/>
  <c r="H45" i="5"/>
  <c r="T45" i="5" s="1"/>
  <c r="M96" i="5"/>
  <c r="H84" i="5"/>
  <c r="H39" i="5"/>
  <c r="H52" i="5"/>
  <c r="T52" i="5" s="1"/>
  <c r="M95" i="5"/>
  <c r="H102" i="5"/>
  <c r="T102" i="5" s="1"/>
  <c r="N16" i="5"/>
  <c r="N17" i="5"/>
  <c r="N14" i="5"/>
  <c r="I91" i="5"/>
  <c r="M38" i="5"/>
  <c r="H53" i="5"/>
  <c r="H110" i="5"/>
  <c r="T110" i="5" s="1"/>
  <c r="H60" i="5"/>
  <c r="T60" i="5" s="1"/>
  <c r="M63" i="5"/>
  <c r="H82" i="5"/>
  <c r="T82" i="5" s="1"/>
  <c r="M109" i="5"/>
  <c r="M32" i="5"/>
  <c r="H47" i="5"/>
  <c r="T47" i="5" s="1"/>
  <c r="H81" i="5"/>
  <c r="T81" i="5" s="1"/>
  <c r="M103" i="5"/>
  <c r="M92" i="5"/>
  <c r="M49" i="5"/>
  <c r="M46" i="5"/>
  <c r="H90" i="5"/>
  <c r="H55" i="5"/>
  <c r="T55" i="5" s="1"/>
  <c r="H89" i="5"/>
  <c r="T89" i="5" s="1"/>
  <c r="M39" i="5"/>
  <c r="F32" i="5"/>
  <c r="F48" i="5"/>
  <c r="F56" i="5"/>
  <c r="F64" i="5"/>
  <c r="F85" i="5"/>
  <c r="F93" i="5"/>
  <c r="F101" i="5"/>
  <c r="K17" i="5"/>
  <c r="F37" i="5"/>
  <c r="F45" i="5"/>
  <c r="F53" i="5"/>
  <c r="F82" i="5"/>
  <c r="F90" i="5"/>
  <c r="F98" i="5"/>
  <c r="F87" i="5"/>
  <c r="F103" i="5"/>
  <c r="K14" i="5"/>
  <c r="F34" i="5"/>
  <c r="F42" i="5"/>
  <c r="F50" i="5"/>
  <c r="F58" i="5"/>
  <c r="F95" i="5"/>
  <c r="F84" i="5"/>
  <c r="F92" i="5"/>
  <c r="F100" i="5"/>
  <c r="F89" i="5"/>
  <c r="F97" i="5"/>
  <c r="F39" i="5"/>
  <c r="F47" i="5"/>
  <c r="F55" i="5"/>
  <c r="F63" i="5"/>
  <c r="F110" i="5"/>
  <c r="K15" i="5"/>
  <c r="F36" i="5"/>
  <c r="F52" i="5"/>
  <c r="F60" i="5"/>
  <c r="F81" i="5"/>
  <c r="F33" i="5"/>
  <c r="F41" i="5"/>
  <c r="F49" i="5"/>
  <c r="F57" i="5"/>
  <c r="F65" i="5"/>
  <c r="F86" i="5"/>
  <c r="F94" i="5"/>
  <c r="F102" i="5"/>
  <c r="F31" i="5"/>
  <c r="F62" i="5"/>
  <c r="F38" i="5"/>
  <c r="F46" i="5"/>
  <c r="F83" i="5"/>
  <c r="F91" i="5"/>
  <c r="F35" i="5"/>
  <c r="F43" i="5"/>
  <c r="F51" i="5"/>
  <c r="F59" i="5"/>
  <c r="F80" i="5"/>
  <c r="F88" i="5"/>
  <c r="F96" i="5"/>
  <c r="F109" i="5"/>
  <c r="M57" i="5"/>
  <c r="H87" i="5"/>
  <c r="T87" i="5" s="1"/>
  <c r="H63" i="5"/>
  <c r="T63" i="5" s="1"/>
  <c r="M47" i="5"/>
  <c r="H38" i="5"/>
  <c r="T38" i="5" s="1"/>
  <c r="M65" i="5"/>
  <c r="M62" i="5"/>
  <c r="M35" i="5"/>
  <c r="H103" i="5"/>
  <c r="T103" i="5" s="1"/>
  <c r="M48" i="5"/>
  <c r="M15" i="5"/>
  <c r="M34" i="5"/>
  <c r="M55" i="5"/>
  <c r="H17" i="5"/>
  <c r="H109" i="5"/>
  <c r="T109" i="5" s="1"/>
  <c r="M102" i="5"/>
  <c r="H101" i="5"/>
  <c r="T101" i="5" s="1"/>
  <c r="M13" i="5"/>
  <c r="M81" i="5"/>
  <c r="M89" i="5"/>
  <c r="M97" i="5"/>
  <c r="M36" i="5"/>
  <c r="M52" i="5"/>
  <c r="M100" i="5"/>
  <c r="M14" i="5"/>
  <c r="M60" i="5"/>
  <c r="M110" i="5"/>
  <c r="M86" i="5"/>
  <c r="H92" i="5"/>
  <c r="M84" i="5"/>
  <c r="H62" i="5"/>
  <c r="T62" i="5" s="1"/>
  <c r="M94" i="5"/>
  <c r="M83" i="5"/>
  <c r="M43" i="5"/>
  <c r="M90" i="5"/>
  <c r="M56" i="5"/>
  <c r="M37" i="5"/>
  <c r="M42" i="5"/>
  <c r="H33" i="5"/>
  <c r="T33" i="5" s="1"/>
  <c r="H83" i="5"/>
  <c r="T83" i="5" s="1"/>
  <c r="H43" i="5"/>
  <c r="T43" i="5" s="1"/>
  <c r="H32" i="5"/>
  <c r="T32" i="5" s="1"/>
  <c r="M91" i="5"/>
  <c r="M45" i="5"/>
  <c r="H91" i="5"/>
  <c r="M16" i="5"/>
  <c r="M51" i="5"/>
  <c r="H34" i="5"/>
  <c r="T34" i="5" s="1"/>
  <c r="M64" i="5"/>
  <c r="M53" i="5"/>
  <c r="M50" i="5"/>
  <c r="H41" i="5"/>
  <c r="T41" i="5" s="1"/>
  <c r="M17" i="5"/>
  <c r="H51" i="5"/>
  <c r="T51" i="5" s="1"/>
  <c r="H98" i="5"/>
  <c r="H42" i="5"/>
  <c r="T42" i="5" s="1"/>
  <c r="M85" i="5"/>
  <c r="M82" i="5"/>
  <c r="H35" i="5"/>
  <c r="T35" i="5" s="1"/>
  <c r="H12" i="5"/>
  <c r="H13" i="5"/>
  <c r="H16" i="5"/>
  <c r="H15" i="5"/>
  <c r="F14" i="5"/>
  <c r="F17" i="5"/>
  <c r="F16" i="5"/>
  <c r="F13" i="5"/>
  <c r="F12" i="5"/>
  <c r="F15" i="5"/>
  <c r="I14" i="5"/>
  <c r="I17" i="5"/>
  <c r="I16" i="5"/>
  <c r="H14" i="5"/>
  <c r="I70" i="5" l="1"/>
  <c r="I323" i="5"/>
  <c r="N323" i="5"/>
  <c r="N137" i="5"/>
  <c r="N39" i="5"/>
  <c r="I134" i="5"/>
  <c r="N53" i="5"/>
  <c r="N48" i="5"/>
  <c r="N109" i="5"/>
  <c r="I93" i="5"/>
  <c r="I97" i="5"/>
  <c r="I80" i="5"/>
  <c r="I58" i="5"/>
  <c r="N46" i="5"/>
  <c r="N59" i="5"/>
  <c r="I265" i="5"/>
  <c r="N57" i="5"/>
  <c r="I214" i="5"/>
  <c r="I209" i="5"/>
  <c r="N268" i="5"/>
  <c r="N322" i="5"/>
  <c r="N206" i="5"/>
  <c r="N235" i="5"/>
  <c r="I240" i="5"/>
  <c r="I235" i="5"/>
  <c r="I325" i="5"/>
  <c r="N234" i="5"/>
  <c r="N231" i="5"/>
  <c r="I236" i="5"/>
  <c r="I231" i="5"/>
  <c r="I320" i="5"/>
  <c r="N210" i="5"/>
  <c r="N203" i="5"/>
  <c r="I208" i="5"/>
  <c r="N236" i="5"/>
  <c r="N321" i="5"/>
  <c r="N250" i="5"/>
  <c r="N270" i="5"/>
  <c r="I204" i="5"/>
  <c r="N232" i="5"/>
  <c r="I324" i="5"/>
  <c r="I250" i="5"/>
  <c r="I245" i="5"/>
  <c r="N233" i="5"/>
  <c r="N204" i="5"/>
  <c r="N324" i="5"/>
  <c r="N325" i="5"/>
  <c r="I246" i="5"/>
  <c r="I241" i="5"/>
  <c r="N229" i="5"/>
  <c r="N271" i="5"/>
  <c r="I322" i="5"/>
  <c r="N320" i="5"/>
  <c r="I218" i="5"/>
  <c r="I213" i="5"/>
  <c r="N272" i="5"/>
  <c r="I321" i="5"/>
  <c r="N242" i="5"/>
  <c r="N218" i="5"/>
  <c r="I230" i="5"/>
  <c r="I269" i="5"/>
  <c r="N215" i="5"/>
  <c r="N247" i="5"/>
  <c r="I225" i="5"/>
  <c r="I252" i="5"/>
  <c r="I220" i="5"/>
  <c r="N245" i="5"/>
  <c r="N213" i="5"/>
  <c r="I211" i="5"/>
  <c r="N248" i="5"/>
  <c r="N216" i="5"/>
  <c r="N226" i="5"/>
  <c r="N238" i="5"/>
  <c r="I226" i="5"/>
  <c r="N243" i="5"/>
  <c r="N211" i="5"/>
  <c r="I253" i="5"/>
  <c r="I221" i="5"/>
  <c r="I248" i="5"/>
  <c r="I216" i="5"/>
  <c r="N241" i="5"/>
  <c r="N209" i="5"/>
  <c r="I207" i="5"/>
  <c r="N244" i="5"/>
  <c r="N212" i="5"/>
  <c r="I251" i="5"/>
  <c r="N214" i="5"/>
  <c r="I222" i="5"/>
  <c r="N239" i="5"/>
  <c r="N207" i="5"/>
  <c r="I249" i="5"/>
  <c r="I217" i="5"/>
  <c r="I244" i="5"/>
  <c r="I212" i="5"/>
  <c r="N237" i="5"/>
  <c r="N205" i="5"/>
  <c r="I270" i="5"/>
  <c r="N240" i="5"/>
  <c r="N208" i="5"/>
  <c r="I77" i="5"/>
  <c r="N273" i="5"/>
  <c r="I247" i="5"/>
  <c r="I242" i="5"/>
  <c r="I210" i="5"/>
  <c r="N227" i="5"/>
  <c r="I243" i="5"/>
  <c r="I237" i="5"/>
  <c r="I205" i="5"/>
  <c r="I232" i="5"/>
  <c r="I271" i="5"/>
  <c r="N225" i="5"/>
  <c r="I223" i="5"/>
  <c r="I227" i="5"/>
  <c r="N228" i="5"/>
  <c r="N230" i="5"/>
  <c r="N222" i="5"/>
  <c r="I238" i="5"/>
  <c r="I206" i="5"/>
  <c r="N223" i="5"/>
  <c r="I239" i="5"/>
  <c r="I233" i="5"/>
  <c r="I272" i="5"/>
  <c r="I228" i="5"/>
  <c r="N253" i="5"/>
  <c r="N221" i="5"/>
  <c r="I219" i="5"/>
  <c r="I203" i="5"/>
  <c r="N224" i="5"/>
  <c r="N269" i="5"/>
  <c r="N246" i="5"/>
  <c r="I234" i="5"/>
  <c r="I273" i="5"/>
  <c r="N219" i="5"/>
  <c r="N251" i="5"/>
  <c r="I229" i="5"/>
  <c r="I268" i="5"/>
  <c r="I224" i="5"/>
  <c r="N249" i="5"/>
  <c r="N217" i="5"/>
  <c r="I215" i="5"/>
  <c r="N252" i="5"/>
  <c r="N220" i="5"/>
  <c r="N171" i="5"/>
  <c r="I73" i="5"/>
  <c r="I104" i="5"/>
  <c r="N74" i="5"/>
  <c r="N126" i="5"/>
  <c r="I131" i="5"/>
  <c r="N130" i="5"/>
  <c r="N117" i="5"/>
  <c r="N195" i="5"/>
  <c r="I78" i="5"/>
  <c r="N107" i="5"/>
  <c r="I86" i="5"/>
  <c r="N51" i="5"/>
  <c r="N129" i="5"/>
  <c r="I94" i="5"/>
  <c r="N43" i="5"/>
  <c r="I13" i="5"/>
  <c r="I41" i="5"/>
  <c r="N35" i="5"/>
  <c r="N33" i="5"/>
  <c r="N58" i="5"/>
  <c r="I82" i="5"/>
  <c r="N13" i="5"/>
  <c r="N118" i="5"/>
  <c r="I123" i="5"/>
  <c r="N122" i="5"/>
  <c r="I127" i="5"/>
  <c r="I274" i="5"/>
  <c r="I75" i="5"/>
  <c r="N75" i="5"/>
  <c r="I108" i="5"/>
  <c r="I106" i="5"/>
  <c r="N45" i="5"/>
  <c r="N96" i="5"/>
  <c r="N49" i="5"/>
  <c r="N133" i="5"/>
  <c r="N105" i="5"/>
  <c r="N95" i="5"/>
  <c r="I81" i="5"/>
  <c r="I42" i="5"/>
  <c r="I98" i="5"/>
  <c r="N41" i="5"/>
  <c r="N121" i="5"/>
  <c r="N87" i="5"/>
  <c r="I15" i="5"/>
  <c r="I33" i="5"/>
  <c r="I84" i="5"/>
  <c r="I102" i="5"/>
  <c r="N102" i="5"/>
  <c r="N50" i="5"/>
  <c r="I103" i="5"/>
  <c r="N62" i="5"/>
  <c r="I109" i="5"/>
  <c r="I136" i="5"/>
  <c r="N132" i="5"/>
  <c r="I132" i="5"/>
  <c r="I119" i="5"/>
  <c r="N283" i="5"/>
  <c r="I71" i="5"/>
  <c r="N71" i="5"/>
  <c r="N106" i="5"/>
  <c r="N104" i="5"/>
  <c r="I62" i="5"/>
  <c r="I50" i="5"/>
  <c r="I85" i="5"/>
  <c r="I115" i="5"/>
  <c r="N158" i="5"/>
  <c r="N100" i="5"/>
  <c r="N37" i="5"/>
  <c r="I38" i="5"/>
  <c r="N134" i="5"/>
  <c r="N125" i="5"/>
  <c r="I92" i="5"/>
  <c r="I100" i="5"/>
  <c r="I90" i="5"/>
  <c r="I43" i="5"/>
  <c r="I52" i="5"/>
  <c r="I83" i="5"/>
  <c r="N83" i="5"/>
  <c r="I36" i="5"/>
  <c r="I63" i="5"/>
  <c r="I46" i="5"/>
  <c r="N93" i="5"/>
  <c r="I53" i="5"/>
  <c r="N94" i="5"/>
  <c r="N52" i="5"/>
  <c r="N55" i="5"/>
  <c r="N42" i="5"/>
  <c r="N103" i="5"/>
  <c r="N90" i="5"/>
  <c r="I55" i="5"/>
  <c r="I95" i="5"/>
  <c r="N88" i="5"/>
  <c r="N85" i="5"/>
  <c r="I45" i="5"/>
  <c r="N31" i="5"/>
  <c r="N86" i="5"/>
  <c r="I96" i="5"/>
  <c r="N36" i="5"/>
  <c r="I138" i="5"/>
  <c r="I128" i="5"/>
  <c r="N116" i="5"/>
  <c r="I124" i="5"/>
  <c r="N136" i="5"/>
  <c r="I286" i="5"/>
  <c r="I153" i="5"/>
  <c r="N73" i="5"/>
  <c r="I74" i="5"/>
  <c r="I105" i="5"/>
  <c r="I107" i="5"/>
  <c r="I89" i="5"/>
  <c r="N32" i="5"/>
  <c r="N38" i="5"/>
  <c r="I59" i="5"/>
  <c r="I126" i="5"/>
  <c r="I32" i="5"/>
  <c r="I51" i="5"/>
  <c r="I118" i="5"/>
  <c r="N92" i="5"/>
  <c r="I60" i="5"/>
  <c r="I34" i="5"/>
  <c r="N91" i="5"/>
  <c r="N84" i="5"/>
  <c r="N15" i="5"/>
  <c r="I35" i="5"/>
  <c r="N63" i="5"/>
  <c r="N47" i="5"/>
  <c r="N34" i="5"/>
  <c r="I110" i="5"/>
  <c r="N82" i="5"/>
  <c r="I47" i="5"/>
  <c r="I87" i="5"/>
  <c r="N80" i="5"/>
  <c r="N12" i="5"/>
  <c r="I37" i="5"/>
  <c r="I101" i="5"/>
  <c r="N65" i="5"/>
  <c r="I88" i="5"/>
  <c r="I130" i="5"/>
  <c r="I120" i="5"/>
  <c r="N115" i="5"/>
  <c r="I116" i="5"/>
  <c r="N128" i="5"/>
  <c r="I155" i="5"/>
  <c r="N78" i="5"/>
  <c r="N77" i="5"/>
  <c r="N108" i="5"/>
  <c r="N21" i="5"/>
  <c r="N159" i="5"/>
  <c r="I145" i="5"/>
  <c r="N267" i="5"/>
  <c r="I159" i="5"/>
  <c r="I197" i="5"/>
  <c r="N284" i="5"/>
  <c r="N174" i="5"/>
  <c r="I266" i="5"/>
  <c r="N149" i="5"/>
  <c r="I68" i="5"/>
  <c r="N162" i="5"/>
  <c r="I280" i="5"/>
  <c r="N168" i="5"/>
  <c r="N178" i="5"/>
  <c r="N169" i="5"/>
  <c r="N282" i="5"/>
  <c r="N258" i="5"/>
  <c r="I148" i="5"/>
  <c r="N177" i="5"/>
  <c r="N150" i="5"/>
  <c r="I260" i="5"/>
  <c r="I169" i="5"/>
  <c r="N191" i="5"/>
  <c r="I146" i="5"/>
  <c r="I168" i="5"/>
  <c r="I170" i="5"/>
  <c r="I172" i="5"/>
  <c r="N193" i="5"/>
  <c r="I201" i="5"/>
  <c r="N154" i="5"/>
  <c r="N145" i="5"/>
  <c r="I156" i="5"/>
  <c r="I22" i="5"/>
  <c r="N148" i="5"/>
  <c r="N155" i="5"/>
  <c r="I162" i="5"/>
  <c r="N67" i="5"/>
  <c r="I189" i="5"/>
  <c r="N151" i="5"/>
  <c r="N153" i="5"/>
  <c r="N265" i="5"/>
  <c r="I177" i="5"/>
  <c r="N70" i="5"/>
  <c r="N200" i="5"/>
  <c r="N110" i="5"/>
  <c r="N123" i="5"/>
  <c r="N127" i="5"/>
  <c r="N164" i="5"/>
  <c r="N175" i="5"/>
  <c r="I154" i="5"/>
  <c r="N286" i="5"/>
  <c r="I69" i="5"/>
  <c r="N97" i="5"/>
  <c r="I133" i="5"/>
  <c r="N119" i="5"/>
  <c r="N172" i="5"/>
  <c r="I152" i="5"/>
  <c r="I161" i="5"/>
  <c r="N190" i="5"/>
  <c r="I65" i="5"/>
  <c r="I39" i="5"/>
  <c r="N98" i="5"/>
  <c r="I64" i="5"/>
  <c r="N89" i="5"/>
  <c r="I125" i="5"/>
  <c r="I137" i="5"/>
  <c r="N260" i="5"/>
  <c r="I160" i="5"/>
  <c r="I175" i="5"/>
  <c r="I12" i="5"/>
  <c r="I57" i="5"/>
  <c r="N64" i="5"/>
  <c r="I31" i="5"/>
  <c r="I56" i="5"/>
  <c r="N81" i="5"/>
  <c r="I117" i="5"/>
  <c r="I129" i="5"/>
  <c r="I283" i="5"/>
  <c r="I165" i="5"/>
  <c r="I258" i="5"/>
  <c r="I264" i="5"/>
  <c r="I49" i="5"/>
  <c r="N56" i="5"/>
  <c r="N101" i="5"/>
  <c r="I48" i="5"/>
  <c r="N60" i="5"/>
  <c r="I122" i="5"/>
  <c r="I121" i="5"/>
  <c r="I262" i="5"/>
  <c r="I173" i="5"/>
  <c r="I174" i="5"/>
  <c r="N68" i="5"/>
  <c r="I158" i="5"/>
  <c r="I255" i="5"/>
  <c r="N261" i="5"/>
  <c r="I191" i="5"/>
  <c r="I261" i="5"/>
  <c r="N280" i="5"/>
  <c r="I67" i="5"/>
  <c r="I171" i="5"/>
  <c r="I275" i="5"/>
  <c r="I282" i="5"/>
  <c r="N181" i="5"/>
  <c r="N254" i="5"/>
  <c r="N143" i="5"/>
  <c r="I254" i="5"/>
  <c r="N194" i="5"/>
  <c r="I202" i="5"/>
  <c r="N274" i="5"/>
  <c r="N285" i="5"/>
  <c r="N157" i="5"/>
  <c r="N176" i="5"/>
  <c r="N166" i="5"/>
  <c r="N161" i="5"/>
  <c r="N163" i="5"/>
  <c r="N69" i="5"/>
  <c r="I190" i="5"/>
  <c r="N187" i="5"/>
  <c r="I150" i="5"/>
  <c r="I256" i="5"/>
  <c r="I151" i="5"/>
  <c r="I147" i="5"/>
  <c r="N189" i="5"/>
  <c r="N146" i="5"/>
  <c r="N183" i="5"/>
  <c r="I192" i="5"/>
  <c r="N184" i="5"/>
  <c r="I199" i="5"/>
  <c r="N257" i="5"/>
  <c r="I180" i="5"/>
  <c r="N264" i="5"/>
  <c r="I187" i="5"/>
  <c r="G3" i="5"/>
  <c r="N182" i="5"/>
  <c r="N202" i="5"/>
  <c r="N180" i="5"/>
  <c r="I198" i="5"/>
  <c r="I179" i="5"/>
  <c r="I24" i="5"/>
  <c r="I186" i="5"/>
  <c r="I21" i="5"/>
  <c r="I167" i="5"/>
  <c r="N170" i="5"/>
  <c r="N185" i="5"/>
  <c r="N179" i="5"/>
  <c r="N199" i="5"/>
  <c r="N192" i="5"/>
  <c r="N201" i="5"/>
  <c r="I263" i="5"/>
  <c r="N266" i="5"/>
  <c r="N197" i="5"/>
  <c r="I185" i="5"/>
  <c r="I285" i="5"/>
  <c r="I281" i="5"/>
  <c r="N24" i="5"/>
  <c r="N152" i="5"/>
  <c r="N144" i="5"/>
  <c r="N198" i="5"/>
  <c r="I181" i="5"/>
  <c r="I195" i="5"/>
  <c r="N256" i="5"/>
  <c r="I284" i="5"/>
  <c r="N160" i="5"/>
  <c r="N263" i="5"/>
  <c r="N196" i="5"/>
  <c r="I193" i="5"/>
  <c r="I194" i="5"/>
  <c r="N262" i="5"/>
  <c r="I149" i="5"/>
  <c r="N165" i="5"/>
  <c r="I166" i="5"/>
  <c r="I257" i="5"/>
  <c r="N186" i="5"/>
  <c r="I267" i="5"/>
  <c r="N276" i="5"/>
  <c r="I157" i="5"/>
  <c r="N173" i="5"/>
  <c r="I276" i="5"/>
  <c r="N188" i="5"/>
  <c r="I182" i="5"/>
  <c r="N281" i="5"/>
  <c r="N167" i="5"/>
  <c r="I163" i="5"/>
  <c r="N255" i="5"/>
  <c r="I144" i="5"/>
  <c r="N22" i="5"/>
  <c r="I176" i="5"/>
  <c r="I196" i="5"/>
  <c r="I200" i="5"/>
  <c r="I183" i="5"/>
  <c r="N124" i="5"/>
  <c r="N120" i="5"/>
  <c r="N156" i="5"/>
  <c r="I143" i="5"/>
  <c r="I178" i="5"/>
  <c r="N275" i="5"/>
  <c r="I164" i="5"/>
  <c r="N147" i="5"/>
  <c r="I184" i="5"/>
  <c r="I188" i="5"/>
  <c r="J173" i="5"/>
  <c r="J166" i="5"/>
  <c r="J121" i="5"/>
  <c r="O36" i="5"/>
  <c r="O16" i="5"/>
  <c r="J47" i="5"/>
  <c r="O14" i="5"/>
  <c r="O47" i="5"/>
  <c r="J33" i="5"/>
  <c r="J16" i="5"/>
  <c r="J14" i="5"/>
  <c r="J324" i="5" l="1"/>
  <c r="J323" i="5"/>
  <c r="O323" i="5"/>
  <c r="O214" i="5"/>
  <c r="O325" i="5"/>
  <c r="J248" i="5"/>
  <c r="O237" i="5"/>
  <c r="O320" i="5"/>
  <c r="J212" i="5"/>
  <c r="O205" i="5"/>
  <c r="J321" i="5"/>
  <c r="O324" i="5"/>
  <c r="O106" i="5"/>
  <c r="O251" i="5"/>
  <c r="J235" i="5"/>
  <c r="O322" i="5"/>
  <c r="J322" i="5"/>
  <c r="J39" i="5"/>
  <c r="J275" i="5"/>
  <c r="O219" i="5"/>
  <c r="J203" i="5"/>
  <c r="J325" i="5"/>
  <c r="O71" i="5"/>
  <c r="J237" i="5"/>
  <c r="O204" i="5"/>
  <c r="J320" i="5"/>
  <c r="J98" i="5"/>
  <c r="J205" i="5"/>
  <c r="J234" i="5"/>
  <c r="O321" i="5"/>
  <c r="J53" i="5"/>
  <c r="O246" i="5"/>
  <c r="J273" i="5"/>
  <c r="J74" i="5"/>
  <c r="O252" i="5"/>
  <c r="O215" i="5"/>
  <c r="J272" i="5"/>
  <c r="O233" i="5"/>
  <c r="J231" i="5"/>
  <c r="O34" i="5"/>
  <c r="O39" i="5"/>
  <c r="J48" i="5"/>
  <c r="J46" i="5"/>
  <c r="J276" i="5"/>
  <c r="J280" i="5"/>
  <c r="J185" i="5"/>
  <c r="J75" i="5"/>
  <c r="J108" i="5"/>
  <c r="J224" i="5"/>
  <c r="J208" i="5"/>
  <c r="O243" i="5"/>
  <c r="O211" i="5"/>
  <c r="J229" i="5"/>
  <c r="J268" i="5"/>
  <c r="O238" i="5"/>
  <c r="O206" i="5"/>
  <c r="O229" i="5"/>
  <c r="O268" i="5"/>
  <c r="J227" i="5"/>
  <c r="O244" i="5"/>
  <c r="O240" i="5"/>
  <c r="J226" i="5"/>
  <c r="J240" i="5"/>
  <c r="J233" i="5"/>
  <c r="O210" i="5"/>
  <c r="O272" i="5"/>
  <c r="J230" i="5"/>
  <c r="J32" i="5"/>
  <c r="O263" i="5"/>
  <c r="J71" i="5"/>
  <c r="J220" i="5"/>
  <c r="J232" i="5"/>
  <c r="O239" i="5"/>
  <c r="O207" i="5"/>
  <c r="J225" i="5"/>
  <c r="O232" i="5"/>
  <c r="O234" i="5"/>
  <c r="O273" i="5"/>
  <c r="O225" i="5"/>
  <c r="O253" i="5"/>
  <c r="J223" i="5"/>
  <c r="O236" i="5"/>
  <c r="O228" i="5"/>
  <c r="J222" i="5"/>
  <c r="O247" i="5"/>
  <c r="O242" i="5"/>
  <c r="J269" i="5"/>
  <c r="J52" i="5"/>
  <c r="O85" i="5"/>
  <c r="J38" i="5"/>
  <c r="O159" i="5"/>
  <c r="J36" i="5"/>
  <c r="O51" i="5"/>
  <c r="J101" i="5"/>
  <c r="O131" i="5"/>
  <c r="O162" i="5"/>
  <c r="J161" i="5"/>
  <c r="O73" i="5"/>
  <c r="J271" i="5"/>
  <c r="J244" i="5"/>
  <c r="O235" i="5"/>
  <c r="O203" i="5"/>
  <c r="J221" i="5"/>
  <c r="J253" i="5"/>
  <c r="O230" i="5"/>
  <c r="O269" i="5"/>
  <c r="O221" i="5"/>
  <c r="J251" i="5"/>
  <c r="J219" i="5"/>
  <c r="O220" i="5"/>
  <c r="J250" i="5"/>
  <c r="J218" i="5"/>
  <c r="J228" i="5"/>
  <c r="O248" i="5"/>
  <c r="O231" i="5"/>
  <c r="O270" i="5"/>
  <c r="J217" i="5"/>
  <c r="J249" i="5"/>
  <c r="O226" i="5"/>
  <c r="O249" i="5"/>
  <c r="O217" i="5"/>
  <c r="J247" i="5"/>
  <c r="J215" i="5"/>
  <c r="O216" i="5"/>
  <c r="J246" i="5"/>
  <c r="J214" i="5"/>
  <c r="O108" i="5"/>
  <c r="J270" i="5"/>
  <c r="O101" i="5"/>
  <c r="O132" i="5"/>
  <c r="J167" i="5"/>
  <c r="J49" i="5"/>
  <c r="O93" i="5"/>
  <c r="O127" i="5"/>
  <c r="J283" i="5"/>
  <c r="J77" i="5"/>
  <c r="J252" i="5"/>
  <c r="J236" i="5"/>
  <c r="O227" i="5"/>
  <c r="O224" i="5"/>
  <c r="J213" i="5"/>
  <c r="J245" i="5"/>
  <c r="O222" i="5"/>
  <c r="O245" i="5"/>
  <c r="O213" i="5"/>
  <c r="J243" i="5"/>
  <c r="J211" i="5"/>
  <c r="O212" i="5"/>
  <c r="J242" i="5"/>
  <c r="J210" i="5"/>
  <c r="O271" i="5"/>
  <c r="O94" i="5"/>
  <c r="J145" i="5"/>
  <c r="O78" i="5"/>
  <c r="O37" i="5"/>
  <c r="O41" i="5"/>
  <c r="J168" i="5"/>
  <c r="J41" i="5"/>
  <c r="J84" i="5"/>
  <c r="O15" i="5"/>
  <c r="O33" i="5"/>
  <c r="O119" i="5"/>
  <c r="J265" i="5"/>
  <c r="O75" i="5"/>
  <c r="O105" i="5"/>
  <c r="J216" i="5"/>
  <c r="J204" i="5"/>
  <c r="O223" i="5"/>
  <c r="J241" i="5"/>
  <c r="J209" i="5"/>
  <c r="O250" i="5"/>
  <c r="O218" i="5"/>
  <c r="O241" i="5"/>
  <c r="O209" i="5"/>
  <c r="J239" i="5"/>
  <c r="J207" i="5"/>
  <c r="O208" i="5"/>
  <c r="J238" i="5"/>
  <c r="J206" i="5"/>
  <c r="J105" i="5"/>
  <c r="J107" i="5"/>
  <c r="J104" i="5"/>
  <c r="O74" i="5"/>
  <c r="O107" i="5"/>
  <c r="J73" i="5"/>
  <c r="J106" i="5"/>
  <c r="O77" i="5"/>
  <c r="J78" i="5"/>
  <c r="O104" i="5"/>
  <c r="J197" i="5"/>
  <c r="O115" i="5"/>
  <c r="J174" i="5"/>
  <c r="O169" i="5"/>
  <c r="O282" i="5"/>
  <c r="O285" i="5"/>
  <c r="J175" i="5"/>
  <c r="J70" i="5"/>
  <c r="O60" i="5"/>
  <c r="O177" i="5"/>
  <c r="O150" i="5"/>
  <c r="J258" i="5"/>
  <c r="O191" i="5"/>
  <c r="J93" i="5"/>
  <c r="O123" i="5"/>
  <c r="J137" i="5"/>
  <c r="J256" i="5"/>
  <c r="J160" i="5"/>
  <c r="O95" i="5"/>
  <c r="J92" i="5"/>
  <c r="O64" i="5"/>
  <c r="J82" i="5"/>
  <c r="O102" i="5"/>
  <c r="O52" i="5"/>
  <c r="J133" i="5"/>
  <c r="J129" i="5"/>
  <c r="J262" i="5"/>
  <c r="J165" i="5"/>
  <c r="O158" i="5"/>
  <c r="O283" i="5"/>
  <c r="J110" i="5"/>
  <c r="J63" i="5"/>
  <c r="O43" i="5"/>
  <c r="O92" i="5"/>
  <c r="O86" i="5"/>
  <c r="O13" i="5"/>
  <c r="O116" i="5"/>
  <c r="O138" i="5"/>
  <c r="O284" i="5"/>
  <c r="J155" i="5"/>
  <c r="J255" i="5"/>
  <c r="J144" i="5"/>
  <c r="O155" i="5"/>
  <c r="O196" i="5"/>
  <c r="J60" i="5"/>
  <c r="J55" i="5"/>
  <c r="O35" i="5"/>
  <c r="O84" i="5"/>
  <c r="O49" i="5"/>
  <c r="J91" i="5"/>
  <c r="J118" i="5"/>
  <c r="J153" i="5"/>
  <c r="O151" i="5"/>
  <c r="J261" i="5"/>
  <c r="J154" i="5"/>
  <c r="J257" i="5"/>
  <c r="O147" i="5"/>
  <c r="J199" i="5"/>
  <c r="J21" i="5"/>
  <c r="J148" i="5"/>
  <c r="O100" i="5"/>
  <c r="O56" i="5"/>
  <c r="O31" i="5"/>
  <c r="J117" i="5"/>
  <c r="O130" i="5"/>
  <c r="O164" i="5"/>
  <c r="J151" i="5"/>
  <c r="J196" i="5"/>
  <c r="O103" i="5"/>
  <c r="J95" i="5"/>
  <c r="O63" i="5"/>
  <c r="J109" i="5"/>
  <c r="O134" i="5"/>
  <c r="O122" i="5"/>
  <c r="O172" i="5"/>
  <c r="J162" i="5"/>
  <c r="O171" i="5"/>
  <c r="J159" i="5"/>
  <c r="J184" i="5"/>
  <c r="O87" i="5"/>
  <c r="J87" i="5"/>
  <c r="O55" i="5"/>
  <c r="J96" i="5"/>
  <c r="O126" i="5"/>
  <c r="J124" i="5"/>
  <c r="O254" i="5"/>
  <c r="J169" i="5"/>
  <c r="O195" i="5"/>
  <c r="J164" i="5"/>
  <c r="O186" i="5"/>
  <c r="O118" i="5"/>
  <c r="J172" i="5"/>
  <c r="O190" i="5"/>
  <c r="J116" i="5"/>
  <c r="O17" i="5"/>
  <c r="J50" i="5"/>
  <c r="J90" i="5"/>
  <c r="J80" i="5"/>
  <c r="J125" i="5"/>
  <c r="J132" i="5"/>
  <c r="O274" i="5"/>
  <c r="O167" i="5"/>
  <c r="J163" i="5"/>
  <c r="J254" i="5"/>
  <c r="J180" i="5"/>
  <c r="J42" i="5"/>
  <c r="J158" i="5"/>
  <c r="J157" i="5"/>
  <c r="O12" i="5"/>
  <c r="J136" i="5"/>
  <c r="J170" i="5"/>
  <c r="J260" i="5"/>
  <c r="J12" i="5"/>
  <c r="J89" i="5"/>
  <c r="J34" i="5"/>
  <c r="O91" i="5"/>
  <c r="J51" i="5"/>
  <c r="J128" i="5"/>
  <c r="O125" i="5"/>
  <c r="J286" i="5"/>
  <c r="O143" i="5"/>
  <c r="J178" i="5"/>
  <c r="J274" i="5"/>
  <c r="O188" i="5"/>
  <c r="O42" i="5"/>
  <c r="J15" i="5"/>
  <c r="J59" i="5"/>
  <c r="J81" i="5"/>
  <c r="O83" i="5"/>
  <c r="J120" i="5"/>
  <c r="O117" i="5"/>
  <c r="O166" i="5"/>
  <c r="J67" i="5"/>
  <c r="J103" i="5"/>
  <c r="J97" i="5"/>
  <c r="O133" i="5"/>
  <c r="J13" i="5"/>
  <c r="J100" i="5"/>
  <c r="J43" i="5"/>
  <c r="J17" i="5"/>
  <c r="J31" i="5"/>
  <c r="O62" i="5"/>
  <c r="J35" i="5"/>
  <c r="J115" i="5"/>
  <c r="J127" i="5"/>
  <c r="O144" i="5"/>
  <c r="O174" i="5"/>
  <c r="J266" i="5"/>
  <c r="O286" i="5"/>
  <c r="J202" i="5"/>
  <c r="O46" i="5"/>
  <c r="J119" i="5"/>
  <c r="O154" i="5"/>
  <c r="O176" i="5"/>
  <c r="J58" i="5"/>
  <c r="O109" i="5"/>
  <c r="O129" i="5"/>
  <c r="O256" i="5"/>
  <c r="J177" i="5"/>
  <c r="J94" i="5"/>
  <c r="O90" i="5"/>
  <c r="O96" i="5"/>
  <c r="O38" i="5"/>
  <c r="O110" i="5"/>
  <c r="O121" i="5"/>
  <c r="O136" i="5"/>
  <c r="O262" i="5"/>
  <c r="O258" i="5"/>
  <c r="J190" i="5"/>
  <c r="J88" i="5"/>
  <c r="O88" i="5"/>
  <c r="O97" i="5"/>
  <c r="J131" i="5"/>
  <c r="O128" i="5"/>
  <c r="J267" i="5"/>
  <c r="O276" i="5"/>
  <c r="O168" i="5"/>
  <c r="O152" i="5"/>
  <c r="O260" i="5"/>
  <c r="J102" i="5"/>
  <c r="J86" i="5"/>
  <c r="J65" i="5"/>
  <c r="O80" i="5"/>
  <c r="J64" i="5"/>
  <c r="O89" i="5"/>
  <c r="J123" i="5"/>
  <c r="J138" i="5"/>
  <c r="J284" i="5"/>
  <c r="O265" i="5"/>
  <c r="O69" i="5"/>
  <c r="O161" i="5"/>
  <c r="O98" i="5"/>
  <c r="O82" i="5"/>
  <c r="J85" i="5"/>
  <c r="O53" i="5"/>
  <c r="J57" i="5"/>
  <c r="O45" i="5"/>
  <c r="O59" i="5"/>
  <c r="J56" i="5"/>
  <c r="O81" i="5"/>
  <c r="O137" i="5"/>
  <c r="J143" i="5"/>
  <c r="O156" i="5"/>
  <c r="J152" i="5"/>
  <c r="J282" i="5"/>
  <c r="O201" i="5"/>
  <c r="O202" i="5"/>
  <c r="O183" i="5"/>
  <c r="O21" i="5"/>
  <c r="J147" i="5"/>
  <c r="J179" i="5"/>
  <c r="J187" i="5"/>
  <c r="O146" i="5"/>
  <c r="J264" i="5"/>
  <c r="J182" i="5"/>
  <c r="O180" i="5"/>
  <c r="J146" i="5"/>
  <c r="J186" i="5"/>
  <c r="O200" i="5"/>
  <c r="O24" i="5"/>
  <c r="O257" i="5"/>
  <c r="O179" i="5"/>
  <c r="O197" i="5"/>
  <c r="J281" i="5"/>
  <c r="J68" i="5"/>
  <c r="O184" i="5"/>
  <c r="J193" i="5"/>
  <c r="J192" i="5"/>
  <c r="O193" i="5"/>
  <c r="J263" i="5"/>
  <c r="O160" i="5"/>
  <c r="O67" i="5"/>
  <c r="J198" i="5"/>
  <c r="O185" i="5"/>
  <c r="O165" i="5"/>
  <c r="J22" i="5"/>
  <c r="J69" i="5"/>
  <c r="O124" i="5"/>
  <c r="O120" i="5"/>
  <c r="J150" i="5"/>
  <c r="O148" i="5"/>
  <c r="O145" i="5"/>
  <c r="O173" i="5"/>
  <c r="O182" i="5"/>
  <c r="O192" i="5"/>
  <c r="O26" i="5"/>
  <c r="O149" i="5"/>
  <c r="O199" i="5"/>
  <c r="O187" i="5"/>
  <c r="O255" i="5"/>
  <c r="O58" i="5"/>
  <c r="O48" i="5"/>
  <c r="J45" i="5"/>
  <c r="O65" i="5"/>
  <c r="J83" i="5"/>
  <c r="J134" i="5"/>
  <c r="J130" i="5"/>
  <c r="J171" i="5"/>
  <c r="O153" i="5"/>
  <c r="O261" i="5"/>
  <c r="O157" i="5"/>
  <c r="J201" i="5"/>
  <c r="J200" i="5"/>
  <c r="J194" i="5"/>
  <c r="O267" i="5"/>
  <c r="O50" i="5"/>
  <c r="O32" i="5"/>
  <c r="J37" i="5"/>
  <c r="O57" i="5"/>
  <c r="J62" i="5"/>
  <c r="J126" i="5"/>
  <c r="J122" i="5"/>
  <c r="J195" i="5"/>
  <c r="J149" i="5"/>
  <c r="O275" i="5"/>
  <c r="O163" i="5"/>
  <c r="J191" i="5"/>
  <c r="J188" i="5"/>
  <c r="O280" i="5"/>
  <c r="O170" i="5"/>
  <c r="J181" i="5"/>
  <c r="O181" i="5"/>
  <c r="J24" i="5"/>
  <c r="J285" i="5"/>
  <c r="O178" i="5"/>
  <c r="J189" i="5"/>
  <c r="J26" i="5"/>
  <c r="O281" i="5"/>
  <c r="J156" i="5"/>
  <c r="O70" i="5"/>
  <c r="O198" i="5"/>
  <c r="J176" i="5"/>
  <c r="O175" i="5"/>
  <c r="O266" i="5"/>
  <c r="O68" i="5"/>
  <c r="J183" i="5"/>
  <c r="O22" i="5"/>
  <c r="O194" i="5"/>
  <c r="O189" i="5"/>
  <c r="O264" i="5"/>
</calcChain>
</file>

<file path=xl/sharedStrings.xml><?xml version="1.0" encoding="utf-8"?>
<sst xmlns="http://schemas.openxmlformats.org/spreadsheetml/2006/main" count="21013" uniqueCount="663">
  <si>
    <t>3mE +X, floored to 0, 30/360</t>
  </si>
  <si>
    <t>Fixed</t>
  </si>
  <si>
    <t>Floating</t>
  </si>
  <si>
    <t>DM Indices</t>
  </si>
  <si>
    <t>DV01's - EUR</t>
  </si>
  <si>
    <t>Legal Entity / Index</t>
  </si>
  <si>
    <t>Rank</t>
  </si>
  <si>
    <t>Country of Risk</t>
  </si>
  <si>
    <t>Rating (S/M/F)</t>
  </si>
  <si>
    <t>1Y</t>
  </si>
  <si>
    <t>3Y</t>
  </si>
  <si>
    <t>5Y</t>
  </si>
  <si>
    <t>7Y</t>
  </si>
  <si>
    <t>10Y</t>
  </si>
  <si>
    <t>ISIN</t>
  </si>
  <si>
    <t>Benchmark Bond</t>
  </si>
  <si>
    <t>Next Call Date</t>
  </si>
  <si>
    <t>EUR Yield</t>
  </si>
  <si>
    <t>5Y CLN vs benchmark</t>
  </si>
  <si>
    <t>CDX.NA.IG</t>
  </si>
  <si>
    <t>US</t>
  </si>
  <si>
    <t/>
  </si>
  <si>
    <t>iTraxx Europe</t>
  </si>
  <si>
    <t>Europe</t>
  </si>
  <si>
    <t>CDX.NA.HY</t>
  </si>
  <si>
    <t>iTraxx Europe Crossover</t>
  </si>
  <si>
    <t>iTraxx Europe Senior Financials</t>
  </si>
  <si>
    <t>iTraxx Europe Sub Financials</t>
  </si>
  <si>
    <t>DM Financials</t>
  </si>
  <si>
    <t>CREDIT AGRICOLE SA</t>
  </si>
  <si>
    <t>Sr Preferred</t>
  </si>
  <si>
    <t>France</t>
  </si>
  <si>
    <t xml:space="preserve"> </t>
  </si>
  <si>
    <t>Sr Non Preferred</t>
  </si>
  <si>
    <t>A- / A3 / A+</t>
  </si>
  <si>
    <t>Subordinated</t>
  </si>
  <si>
    <t>BBB+ / Baa1 / A-</t>
  </si>
  <si>
    <t>BNP PARIBAS</t>
  </si>
  <si>
    <t>A- / Baa1 / A+</t>
  </si>
  <si>
    <t>BBB+ / Baa2 / A-</t>
  </si>
  <si>
    <t>SOCIETE GENERALE</t>
  </si>
  <si>
    <t>BBB / Baa2 / A-</t>
  </si>
  <si>
    <t>COMMERZBANK Aktiengesellschaft</t>
  </si>
  <si>
    <t>Germany</t>
  </si>
  <si>
    <t>BBB- / Baa2 / WD</t>
  </si>
  <si>
    <t xml:space="preserve">                                          ITALY</t>
  </si>
  <si>
    <t>MEDIOBANCA BANCA DI CREDITO FINANZIARIO SOCIETA PER AZIONI</t>
  </si>
  <si>
    <t>Italy</t>
  </si>
  <si>
    <t>BBB- / Baa3 / BBB-</t>
  </si>
  <si>
    <t>INTESA SANPAOLO SPA</t>
  </si>
  <si>
    <t>UNICREDIT, SOCIETA PER AZIONI</t>
  </si>
  <si>
    <t xml:space="preserve">                                          SPAIN</t>
  </si>
  <si>
    <t>BANCO BILBAO VIZCAYA ARGENTARIA, SOCIEDAD ANONIMA</t>
  </si>
  <si>
    <t>Spain</t>
  </si>
  <si>
    <t>BBB+ / Baa2 / BBB+</t>
  </si>
  <si>
    <t>BBB / Baa2 / BBB-</t>
  </si>
  <si>
    <t>BANCO SANTANDER, S.A.</t>
  </si>
  <si>
    <t>A+ / A2 / A</t>
  </si>
  <si>
    <t>A- / Baa1 / A-</t>
  </si>
  <si>
    <t xml:space="preserve">                                          SWITZERLAND </t>
  </si>
  <si>
    <t>UBS AG</t>
  </si>
  <si>
    <t>Opco Senior</t>
  </si>
  <si>
    <t>Switzerland</t>
  </si>
  <si>
    <t>Opco Subord.</t>
  </si>
  <si>
    <t>UBS Group AG</t>
  </si>
  <si>
    <t>Holdco Senior</t>
  </si>
  <si>
    <t>Holdco Subord.</t>
  </si>
  <si>
    <t xml:space="preserve">                                          UK</t>
  </si>
  <si>
    <t>BARCLAYS BANK PLC</t>
  </si>
  <si>
    <t>UK</t>
  </si>
  <si>
    <t>Barclays PLC</t>
  </si>
  <si>
    <t>HSBC BANK PLC</t>
  </si>
  <si>
    <t>HSBC HOLDINGS plc</t>
  </si>
  <si>
    <t>BBB / Baa1 / A-</t>
  </si>
  <si>
    <t>NATWEST MARKETS PLC</t>
  </si>
  <si>
    <t>A- / A1 / A+</t>
  </si>
  <si>
    <t>NatWest Group plc</t>
  </si>
  <si>
    <t>STANDARD CHARTERED BANK</t>
  </si>
  <si>
    <t>STANDARD CHARTERED PLC</t>
  </si>
  <si>
    <t>BBB+ / A3 / A</t>
  </si>
  <si>
    <t>LLOYDS BANK PLC</t>
  </si>
  <si>
    <t>BBB / Baa1 / BBB+</t>
  </si>
  <si>
    <t>LLOYDS BANKING GROUP PLC</t>
  </si>
  <si>
    <t xml:space="preserve">                                          US</t>
  </si>
  <si>
    <t>Bank of America Corporation</t>
  </si>
  <si>
    <t>Sr Unsecured</t>
  </si>
  <si>
    <t>Citigroup Inc.</t>
  </si>
  <si>
    <t>The Goldman Sachs Group, Inc.</t>
  </si>
  <si>
    <t>BBB+ / A2 / A</t>
  </si>
  <si>
    <t>JPMorgan Chase &amp; Co.</t>
  </si>
  <si>
    <t>Morgan Stanley</t>
  </si>
  <si>
    <t>Wells Fargo &amp; Company</t>
  </si>
  <si>
    <t>BBB+ / A1 / A+</t>
  </si>
  <si>
    <t>DM Insurance</t>
  </si>
  <si>
    <t xml:space="preserve">                                          EUROPE</t>
  </si>
  <si>
    <t>Allianz SE</t>
  </si>
  <si>
    <t>Aegon N.V.</t>
  </si>
  <si>
    <t>Netherlands</t>
  </si>
  <si>
    <t>ASSICURAZIONI GENERALI - SOCIETA PER AZIONI</t>
  </si>
  <si>
    <t>AVIVA PLC</t>
  </si>
  <si>
    <t xml:space="preserve"> / A2 / A</t>
  </si>
  <si>
    <t>AXA</t>
  </si>
  <si>
    <t>PRUDENTIAL PUBLIC LIMITED COMPANY</t>
  </si>
  <si>
    <t xml:space="preserve">A- / A3 / </t>
  </si>
  <si>
    <t>Hannover Rueck SE</t>
  </si>
  <si>
    <t>Muenchener Rueckversicherungs-Gesellschaft Aktiengesellschaft in Muenchen</t>
  </si>
  <si>
    <t>Swiss Reinsurance Company Ltd</t>
  </si>
  <si>
    <t>Zurich Insurance Company Ltd</t>
  </si>
  <si>
    <t>American International Group, Inc.</t>
  </si>
  <si>
    <t>Lincoln National Corporation</t>
  </si>
  <si>
    <t>BBB+ / Baa1 / BBB+</t>
  </si>
  <si>
    <t>MetLife, Inc.</t>
  </si>
  <si>
    <t>A- / A3 / A-</t>
  </si>
  <si>
    <t>DM Corps</t>
  </si>
  <si>
    <t xml:space="preserve">                                          IG</t>
  </si>
  <si>
    <t>UNIBAIL-RODAMCO-WESTFIELD SE</t>
  </si>
  <si>
    <t xml:space="preserve">BBB- /  / </t>
  </si>
  <si>
    <t>ELO</t>
  </si>
  <si>
    <t>General Motors Company</t>
  </si>
  <si>
    <t>ArcelorMittal</t>
  </si>
  <si>
    <t>Luxembourg</t>
  </si>
  <si>
    <t>ITV PLC</t>
  </si>
  <si>
    <t>Stellantis N.V.</t>
  </si>
  <si>
    <t>BBB / Baa2 / BBB</t>
  </si>
  <si>
    <t>NEXT PLC</t>
  </si>
  <si>
    <t xml:space="preserve">BBB / Baa2 / </t>
  </si>
  <si>
    <t>Anglo American plc</t>
  </si>
  <si>
    <t>Glencore International AG</t>
  </si>
  <si>
    <t xml:space="preserve">BBB+ / Baa1 / </t>
  </si>
  <si>
    <t>Syngenta AG</t>
  </si>
  <si>
    <t>Aktiebolaget Electrolux</t>
  </si>
  <si>
    <t>Sweden</t>
  </si>
  <si>
    <t>HP Inc.</t>
  </si>
  <si>
    <t>BBB / Baa2 / BBB+</t>
  </si>
  <si>
    <t>VOLKSWAGEN AKTIENGESELLSCHAFT</t>
  </si>
  <si>
    <t xml:space="preserve">BBB+ / A3 / </t>
  </si>
  <si>
    <t>ENEL S.P.A.</t>
  </si>
  <si>
    <t>Electricite de France</t>
  </si>
  <si>
    <t>THE BOEING COMPANY</t>
  </si>
  <si>
    <t>EDP - Energias de Portugal, S.A.</t>
  </si>
  <si>
    <t>Portugal</t>
  </si>
  <si>
    <t>BBB / Baa3 / BBB</t>
  </si>
  <si>
    <t>TELEFONICA, S.A.</t>
  </si>
  <si>
    <t>BBB- / Baa3 / BBB</t>
  </si>
  <si>
    <t>T-Mobile USA, Inc.</t>
  </si>
  <si>
    <t>AT&amp;T Inc.</t>
  </si>
  <si>
    <t>BP P.L.C.</t>
  </si>
  <si>
    <t>VODAFONE GROUP PUBLIC LIMITED COMPANY</t>
  </si>
  <si>
    <t>General Electric Company</t>
  </si>
  <si>
    <t>Koninklijke KPN N.V.</t>
  </si>
  <si>
    <t>REPSOL, S.A.</t>
  </si>
  <si>
    <t>Bayer Aktiengesellschaft</t>
  </si>
  <si>
    <t>ENI S.P.A.</t>
  </si>
  <si>
    <t>Oracle Corporation</t>
  </si>
  <si>
    <t>MARRIOTT INTERNATIONAL, INC.</t>
  </si>
  <si>
    <t>BASF SE</t>
  </si>
  <si>
    <t>Aktiebolaget Volvo</t>
  </si>
  <si>
    <t>Orange</t>
  </si>
  <si>
    <t>TotalEnergies SE</t>
  </si>
  <si>
    <t>Omnicom Group Inc.</t>
  </si>
  <si>
    <t>MERCK Kommanditgesellschaft auf Aktien</t>
  </si>
  <si>
    <t xml:space="preserve">A / A3 / </t>
  </si>
  <si>
    <t xml:space="preserve">                                          HY</t>
  </si>
  <si>
    <t>Saipem Finance International B.V.</t>
  </si>
  <si>
    <t>The Goodyear Tire &amp; Rubber Company</t>
  </si>
  <si>
    <t>TELECOM ITALIA SPA</t>
  </si>
  <si>
    <t>thyssenkrupp AG</t>
  </si>
  <si>
    <t>DUFRY ONE B.V.</t>
  </si>
  <si>
    <t>NOVA Chemicals Corporation</t>
  </si>
  <si>
    <t>Canada</t>
  </si>
  <si>
    <t>Ford Motor Company</t>
  </si>
  <si>
    <t>ROLLS-ROYCE PLC</t>
  </si>
  <si>
    <t>RENAULT</t>
  </si>
  <si>
    <t>Delta Air Lines, Inc.</t>
  </si>
  <si>
    <t>Deutsche Lufthansa Aktiengesellschaft</t>
  </si>
  <si>
    <t>K+S Aktiengesellschaft</t>
  </si>
  <si>
    <t>ATLANTIA S.P.A.</t>
  </si>
  <si>
    <t>Schaeffler AG</t>
  </si>
  <si>
    <t>LEONARDO SOCIETA' PER AZIONI</t>
  </si>
  <si>
    <t>DM Sovereign</t>
  </si>
  <si>
    <t>Republic of Italy</t>
  </si>
  <si>
    <t xml:space="preserve"> /  / </t>
  </si>
  <si>
    <t>United Kingdom of Great Britain and Northern Ireland</t>
  </si>
  <si>
    <t>Hellenic Republic</t>
  </si>
  <si>
    <t>Greece</t>
  </si>
  <si>
    <t>Kingdom of Spain</t>
  </si>
  <si>
    <t>French Republic</t>
  </si>
  <si>
    <t>Portuguese Republic</t>
  </si>
  <si>
    <t>EM</t>
  </si>
  <si>
    <t>Abu Dhabi</t>
  </si>
  <si>
    <t>UAE</t>
  </si>
  <si>
    <t>Kingdom of Saudi Arabia</t>
  </si>
  <si>
    <t>Saudi Arabia</t>
  </si>
  <si>
    <t>A / A2 / A-</t>
  </si>
  <si>
    <t>State of Qatar</t>
  </si>
  <si>
    <t>Qatar</t>
  </si>
  <si>
    <t>Republic of South Africa</t>
  </si>
  <si>
    <t>South Africa</t>
  </si>
  <si>
    <t>United Mexican States</t>
  </si>
  <si>
    <t>Mexico</t>
  </si>
  <si>
    <t>Federative Republic of Brazil</t>
  </si>
  <si>
    <t>Brazil</t>
  </si>
  <si>
    <t>Republic of Peru</t>
  </si>
  <si>
    <t>Peru</t>
  </si>
  <si>
    <t>Republic of Colombia</t>
  </si>
  <si>
    <t>Colombia</t>
  </si>
  <si>
    <t>Republic of Chile</t>
  </si>
  <si>
    <t>Chile</t>
  </si>
  <si>
    <t>Republic of Panama</t>
  </si>
  <si>
    <t>Panama</t>
  </si>
  <si>
    <t>State of Israel</t>
  </si>
  <si>
    <t>Kingdom of Bahrain</t>
  </si>
  <si>
    <t>Republic of Cote d'Ivoire</t>
  </si>
  <si>
    <t>Republic of Turkey</t>
  </si>
  <si>
    <t>PETROLEO BRASILEIRO S/A PETROBRAS</t>
  </si>
  <si>
    <t>Petroleos Mexicanos</t>
  </si>
  <si>
    <t>SOFR+X, q, floored to 0, 30/360</t>
  </si>
  <si>
    <t>DV01's - USD</t>
  </si>
  <si>
    <t>USD Yield</t>
  </si>
  <si>
    <t>Original pxing at</t>
  </si>
  <si>
    <r>
      <t>Change reoffer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u/>
        <sz val="13"/>
        <color theme="1"/>
        <rFont val="Calibri"/>
        <family val="2"/>
        <scheme val="minor"/>
      </rPr>
      <t xml:space="preserve">  &gt;&gt;</t>
    </r>
  </si>
  <si>
    <t>SOFR +X, q, floored to 0, 30/360</t>
  </si>
  <si>
    <t>Annually, 30/360</t>
  </si>
  <si>
    <t>3m SOFR +X, floored to 0, 30/360</t>
  </si>
  <si>
    <t>DM Indices - Floating Recovery</t>
  </si>
  <si>
    <t>DM Indices - Zero Recovery</t>
  </si>
  <si>
    <t xml:space="preserve"> / A3 / BBB+</t>
  </si>
  <si>
    <t>A- / A3 / A</t>
  </si>
  <si>
    <t xml:space="preserve">                                          NETHERLANDS </t>
  </si>
  <si>
    <t>ING Bank N.V.</t>
  </si>
  <si>
    <t>ING Groep N.V.</t>
  </si>
  <si>
    <t>BBB+ / Baa1 / A</t>
  </si>
  <si>
    <t>AA / Aa2 / AA-u</t>
  </si>
  <si>
    <t xml:space="preserve">A+ / A1 / </t>
  </si>
  <si>
    <t>Senior</t>
  </si>
  <si>
    <t>LANXESS Aktiengesellschaft</t>
  </si>
  <si>
    <t xml:space="preserve">NR / Baa3 / </t>
  </si>
  <si>
    <t>ALSTOM</t>
  </si>
  <si>
    <t xml:space="preserve"> / Baa3 / </t>
  </si>
  <si>
    <t>Continental Aktiengesellschaft</t>
  </si>
  <si>
    <t>HCA Inc.</t>
  </si>
  <si>
    <t>BRITISH TELECOMMUNICATIONS public limited company</t>
  </si>
  <si>
    <t>Expedia Group, Inc.</t>
  </si>
  <si>
    <t>Mercedes-Benz Group AG</t>
  </si>
  <si>
    <t>Bayerische Motoren Werke Aktiengesellschaft</t>
  </si>
  <si>
    <t xml:space="preserve">A / A2 / </t>
  </si>
  <si>
    <t>COMPAGNIE DE SAINT-GOBAIN</t>
  </si>
  <si>
    <t>ADVANCED MICRO DEVICES, INC.</t>
  </si>
  <si>
    <t>US983919AK78</t>
  </si>
  <si>
    <t>AMD 2 3/8 06/01/30</t>
  </si>
  <si>
    <t>Airbus SE</t>
  </si>
  <si>
    <t>A / A2 / WD</t>
  </si>
  <si>
    <t>E.ON SE</t>
  </si>
  <si>
    <t>Iberdrola, S.A.</t>
  </si>
  <si>
    <t>Amazon.com, Inc.</t>
  </si>
  <si>
    <t>AA / A1 / AA-</t>
  </si>
  <si>
    <t>Anheuser-Busch InBev</t>
  </si>
  <si>
    <t>Belgium</t>
  </si>
  <si>
    <t>A- / A3 / WD</t>
  </si>
  <si>
    <t>ROYAL DUTCH SHELL PLC</t>
  </si>
  <si>
    <t>Deutsche Telekom AG</t>
  </si>
  <si>
    <t>DANONE</t>
  </si>
  <si>
    <t>VINCI</t>
  </si>
  <si>
    <t>Nestle S.A.</t>
  </si>
  <si>
    <t>Unilever Finance Netherlands B.V.</t>
  </si>
  <si>
    <t>LVMH MOET HENNESSY LOUIS VUITTON</t>
  </si>
  <si>
    <t xml:space="preserve">AA- / Aa3 / </t>
  </si>
  <si>
    <t>SODEXO</t>
  </si>
  <si>
    <t>The Procter &amp; Gamble Company</t>
  </si>
  <si>
    <t>BBB- / Ba1 / BBB-</t>
  </si>
  <si>
    <t xml:space="preserve">BB+ / Ba1 / </t>
  </si>
  <si>
    <t>United States of America</t>
  </si>
  <si>
    <t xml:space="preserve"> /  / AA-u</t>
  </si>
  <si>
    <t xml:space="preserve"> / Aa2 / AA-</t>
  </si>
  <si>
    <t>Sultanate of Oman</t>
  </si>
  <si>
    <t>Hungary</t>
  </si>
  <si>
    <t>BBB- / Baa2 / BBB</t>
  </si>
  <si>
    <t>Republic of Indonesia</t>
  </si>
  <si>
    <t>Indonesia</t>
  </si>
  <si>
    <t>Republic of Poland</t>
  </si>
  <si>
    <t>A- / A2 / A-</t>
  </si>
  <si>
    <t>Romania</t>
  </si>
  <si>
    <t>VALE SA</t>
  </si>
  <si>
    <t>Eskom Holdings SOC Limited</t>
  </si>
  <si>
    <t>Transnet SOC Ltd</t>
  </si>
  <si>
    <t>SASOL LTD</t>
  </si>
  <si>
    <t>APAC Corps</t>
  </si>
  <si>
    <t>India</t>
  </si>
  <si>
    <t xml:space="preserve"> / Baa3 / BBB-</t>
  </si>
  <si>
    <t>ICICI Bank Limited</t>
  </si>
  <si>
    <t>BBB / Baa2 / WD</t>
  </si>
  <si>
    <t>A+ / A1 / WD</t>
  </si>
  <si>
    <t>B+ / B2 / BB-</t>
  </si>
  <si>
    <t>BB / Ba3 / WD</t>
  </si>
  <si>
    <t>AA / Aa2 / AA</t>
  </si>
  <si>
    <t>BB / Ba1 / BB</t>
  </si>
  <si>
    <t>US91911TAQ67</t>
  </si>
  <si>
    <t>VALEBZ 3 3/4 07/08/30</t>
  </si>
  <si>
    <t>CDX.EM</t>
  </si>
  <si>
    <t>SONIA +X, q, floored to 0, 30/360</t>
  </si>
  <si>
    <t>SARON +X, q, floored to 0, 30/360</t>
  </si>
  <si>
    <t>3m SONIA +X, floored to 0, 30/360</t>
  </si>
  <si>
    <t>3m SARON +X, floored to 0, 30/360</t>
  </si>
  <si>
    <t xml:space="preserve">                                          DENMARK</t>
  </si>
  <si>
    <t xml:space="preserve">                                          SWEDEN</t>
  </si>
  <si>
    <t>DANSKE BANK A/S</t>
  </si>
  <si>
    <t>Denmark</t>
  </si>
  <si>
    <t>Swedbank AB</t>
  </si>
  <si>
    <t>Cooperatieve Rabobank UA</t>
  </si>
  <si>
    <t>American Express Company</t>
  </si>
  <si>
    <t>Capital One Financial Corporation</t>
  </si>
  <si>
    <t>Ally Financial Inc.</t>
  </si>
  <si>
    <t>Simon Property Group, L.P.</t>
  </si>
  <si>
    <t>Host Hotels &amp; Resorts, L.P.</t>
  </si>
  <si>
    <t>A / A1 / AA-</t>
  </si>
  <si>
    <t>A- / A2 / A</t>
  </si>
  <si>
    <t>US828807DM67</t>
  </si>
  <si>
    <t>SPG 2.2 02/01/31</t>
  </si>
  <si>
    <t>BBB- / Baa2 / BBB-</t>
  </si>
  <si>
    <t>DXC TECHNOLOGY COMPANY</t>
  </si>
  <si>
    <t>Southwest Airlines Co.</t>
  </si>
  <si>
    <t>CNH Industrial N.V.</t>
  </si>
  <si>
    <t>RENTOKIL INITIAL PLC</t>
  </si>
  <si>
    <t>BBB /  / BBB</t>
  </si>
  <si>
    <t>Vivendi SE</t>
  </si>
  <si>
    <t>WPP 2005 LIMITED</t>
  </si>
  <si>
    <t>Dell Inc.</t>
  </si>
  <si>
    <t>Teck Resources Limited</t>
  </si>
  <si>
    <t>Solvay</t>
  </si>
  <si>
    <t>Heidelberg Materials AG</t>
  </si>
  <si>
    <t>ACCOR</t>
  </si>
  <si>
    <t>Holcim AG</t>
  </si>
  <si>
    <t>Akzo Nobel N.V.</t>
  </si>
  <si>
    <t>The Dow Chemical Company</t>
  </si>
  <si>
    <t>Baxter International Inc.</t>
  </si>
  <si>
    <t>Conagra Brands, Inc.</t>
  </si>
  <si>
    <t>Verizon Communications Inc.</t>
  </si>
  <si>
    <t>CVS Health Corporation</t>
  </si>
  <si>
    <t>NATIONAL GRID PLC</t>
  </si>
  <si>
    <t xml:space="preserve">BBB+ /  / </t>
  </si>
  <si>
    <t>Comcast Corporation</t>
  </si>
  <si>
    <t>PEARSON plc</t>
  </si>
  <si>
    <t>NR / Baa2 / BBB</t>
  </si>
  <si>
    <t>Kraft Heinz Foods Company</t>
  </si>
  <si>
    <t>ENGIE</t>
  </si>
  <si>
    <t>Koninklijke Philips N.V.</t>
  </si>
  <si>
    <t>BBB / WR / BBB</t>
  </si>
  <si>
    <t>STMicroelectronics N.V.</t>
  </si>
  <si>
    <t>A+ / Aa2 / AA-</t>
  </si>
  <si>
    <t>The Sherwin-Williams Company</t>
  </si>
  <si>
    <t>Broadcom Inc.</t>
  </si>
  <si>
    <t>BBB+ / Baa1 / BBB</t>
  </si>
  <si>
    <t>Altria Group, Inc.</t>
  </si>
  <si>
    <t>VEOLIA ENVIRONNEMENT</t>
  </si>
  <si>
    <t>UnitedHealth Group Incorporated</t>
  </si>
  <si>
    <t>McKesson Corporation</t>
  </si>
  <si>
    <t>BBB+ / A3 / A-</t>
  </si>
  <si>
    <t>Mondelez International, Inc.</t>
  </si>
  <si>
    <t>Cardinal Health, Inc.</t>
  </si>
  <si>
    <t>General Mills, Inc.</t>
  </si>
  <si>
    <t>Darden Restaurants, Inc.</t>
  </si>
  <si>
    <t>CARLSBERG BREWERIES A/S</t>
  </si>
  <si>
    <t>RTX Corporation</t>
  </si>
  <si>
    <t>Amgen Inc.</t>
  </si>
  <si>
    <t>Bristol-Myers Squibb Company</t>
  </si>
  <si>
    <t>ASTRAZENECA PLC</t>
  </si>
  <si>
    <t>Motorola Solutions, Inc.</t>
  </si>
  <si>
    <t>The Walt Disney Company</t>
  </si>
  <si>
    <t>Quest Diagnostics Incorporated</t>
  </si>
  <si>
    <t>Danaher Corporation</t>
  </si>
  <si>
    <t>L'AIR LIQUIDE SOCIETE ANONYME POUR L'ETUDE ET L'EXPLOITATION DES PROCEDES GEORGES CLAUDE</t>
  </si>
  <si>
    <t>McDONALD'S CORPORATION</t>
  </si>
  <si>
    <t>COMPASS GROUP PLC</t>
  </si>
  <si>
    <t>WALMART INC.</t>
  </si>
  <si>
    <t>Northrop Grumman Corporation</t>
  </si>
  <si>
    <t>Boston Scientific Corporation</t>
  </si>
  <si>
    <t>XS1205548164</t>
  </si>
  <si>
    <t>WPPLN 1 5/8 03/23/30</t>
  </si>
  <si>
    <t>US878742BG94</t>
  </si>
  <si>
    <t>TCKBCN 3.9 07/15/30</t>
  </si>
  <si>
    <t>XS2156598281</t>
  </si>
  <si>
    <t>AKZANA 1 5/8 04/14/30</t>
  </si>
  <si>
    <t>US126650DN71</t>
  </si>
  <si>
    <t>CVS 1 3/4 08/21/30</t>
  </si>
  <si>
    <t>US824348BL99</t>
  </si>
  <si>
    <t>SHW 2.3 05/15/30</t>
  </si>
  <si>
    <t>US11135FBH38</t>
  </si>
  <si>
    <t>AVGO 2.45 02/15/31</t>
  </si>
  <si>
    <t>US91324PDX78</t>
  </si>
  <si>
    <t>UNH 2 05/15/30</t>
  </si>
  <si>
    <t>US110122DQ80</t>
  </si>
  <si>
    <t>BMY 1.45 11/13/30</t>
  </si>
  <si>
    <t>US620076BT59</t>
  </si>
  <si>
    <t>MSI 2.3 11/15/30</t>
  </si>
  <si>
    <t>US254687FL52</t>
  </si>
  <si>
    <t>DIS 2 09/01/29</t>
  </si>
  <si>
    <t>US666807BS00</t>
  </si>
  <si>
    <t>NOC 4.4 05/01/30</t>
  </si>
  <si>
    <t>XS2452434645</t>
  </si>
  <si>
    <t>BSX 1 5/8 03/08/31</t>
  </si>
  <si>
    <t>The AES Corporation</t>
  </si>
  <si>
    <t>Cellnex Telecom, S.A.</t>
  </si>
  <si>
    <t>NR /  / BBB-</t>
  </si>
  <si>
    <t>US00130HCG83</t>
  </si>
  <si>
    <t>AES 2.45 01/15/31</t>
  </si>
  <si>
    <t>Arab Republic of Egypt</t>
  </si>
  <si>
    <t>DV01's - GBP</t>
  </si>
  <si>
    <t>GBP Yield</t>
  </si>
  <si>
    <t>DV01's - CHF</t>
  </si>
  <si>
    <t>CHF Yield</t>
  </si>
  <si>
    <t xml:space="preserve">                                         FRANCE</t>
  </si>
  <si>
    <t>A+ / A1 / AA-</t>
  </si>
  <si>
    <t>FR001400ICZ5</t>
  </si>
  <si>
    <t>ACAFP 4.0465 01/04/30</t>
  </si>
  <si>
    <t>CH1474857138</t>
  </si>
  <si>
    <t>SOCGEN 1.145 09/03/31</t>
  </si>
  <si>
    <t xml:space="preserve">                                         GERMANY</t>
  </si>
  <si>
    <t xml:space="preserve">A /  / </t>
  </si>
  <si>
    <t>DE000CZ457F9</t>
  </si>
  <si>
    <t>CMZB 2.65 10/17/30</t>
  </si>
  <si>
    <t xml:space="preserve">BBB / Baa1 / </t>
  </si>
  <si>
    <t>DE000CZ43ZK4</t>
  </si>
  <si>
    <t>CMZB 4.49 12/05/30</t>
  </si>
  <si>
    <t xml:space="preserve">BBB- / Baa2 / </t>
  </si>
  <si>
    <t>BBB+ *- /  / BBB-</t>
  </si>
  <si>
    <t>XS2749779067</t>
  </si>
  <si>
    <t>BACRED 3.4 02/21/30</t>
  </si>
  <si>
    <t>BBB *- / Ba1 / BB+</t>
  </si>
  <si>
    <t xml:space="preserve"> XS2545759099</t>
  </si>
  <si>
    <t>ISPIM 5 1/4 01/13/30</t>
  </si>
  <si>
    <t>XS2185883100</t>
  </si>
  <si>
    <t>ISPIM 5.148 06/10/30</t>
  </si>
  <si>
    <t>IT0005643058</t>
  </si>
  <si>
    <t>UCGIM 3.2 04/02/30</t>
  </si>
  <si>
    <t>XS2104968404</t>
  </si>
  <si>
    <t>UCGIM 1.8 01/20/30</t>
  </si>
  <si>
    <t>XS2835902243</t>
  </si>
  <si>
    <t>BBVASM 3 5/8 06/07/30</t>
  </si>
  <si>
    <t>XS3121029436</t>
  </si>
  <si>
    <t>BBVASM 3 1/8 07/15/30</t>
  </si>
  <si>
    <t>A+ / A1 / A+</t>
  </si>
  <si>
    <t>XS2109807763</t>
  </si>
  <si>
    <t>SANTAN 0.73 01/28/30</t>
  </si>
  <si>
    <t>A- / Baa1 / A</t>
  </si>
  <si>
    <t>CH1412302908</t>
  </si>
  <si>
    <t>SANTAN 1.3825 01/28/30</t>
  </si>
  <si>
    <t>US05971KAG40</t>
  </si>
  <si>
    <t>SANTAN 2.749 12/03/30</t>
  </si>
  <si>
    <t>SE0023287511</t>
  </si>
  <si>
    <t>UBS 0 01/28/30</t>
  </si>
  <si>
    <t>US06738ECU73</t>
  </si>
  <si>
    <t>BACR 4.942 09/10/30</t>
  </si>
  <si>
    <t xml:space="preserve">                                         US</t>
  </si>
  <si>
    <t>A- / WR / WD</t>
  </si>
  <si>
    <t xml:space="preserve"> / Baa1 / A-</t>
  </si>
  <si>
    <t>XS2056491587</t>
  </si>
  <si>
    <t>ASSGEN 2.124 10/01/30</t>
  </si>
  <si>
    <t>CAG06871AA82</t>
  </si>
  <si>
    <t>AVLN 4 10/02/30</t>
  </si>
  <si>
    <t xml:space="preserve"> /  / A</t>
  </si>
  <si>
    <t>A / A2 / NR</t>
  </si>
  <si>
    <t>US36158FAD24</t>
  </si>
  <si>
    <t>SRENVX 7 3/4 06/15/30</t>
  </si>
  <si>
    <t>BBB+ /  / WD</t>
  </si>
  <si>
    <t>US026874DW49</t>
  </si>
  <si>
    <t>AIG 4.85 05/07/30</t>
  </si>
  <si>
    <t>US534187BM06</t>
  </si>
  <si>
    <t>LNC 2.33 08/15/30</t>
  </si>
  <si>
    <t>US345370CX67</t>
  </si>
  <si>
    <t>F 9 5/8 04/22/30</t>
  </si>
  <si>
    <t>US68389XBV64</t>
  </si>
  <si>
    <t>ORCL 2.95 04/01/30</t>
  </si>
  <si>
    <t>US247361A329</t>
  </si>
  <si>
    <t>DAL 5 1/4 07/10/30</t>
  </si>
  <si>
    <t>XS2475919663</t>
  </si>
  <si>
    <t>ELTLX 2 1/2 05/18/30</t>
  </si>
  <si>
    <t>US37045VBA70</t>
  </si>
  <si>
    <t>GM 5 5/8 04/15/30</t>
  </si>
  <si>
    <t>FR0013506821</t>
  </si>
  <si>
    <t>URWFP 2 5/8 04/09/30</t>
  </si>
  <si>
    <t>BBB+ / Baa2 / WD</t>
  </si>
  <si>
    <t>XS1910948329</t>
  </si>
  <si>
    <t>VW 3 1/4 11/18/30</t>
  </si>
  <si>
    <t>US40434LAR69</t>
  </si>
  <si>
    <t>HPQ 5.4 04/25/30</t>
  </si>
  <si>
    <t>USG0446NAR55</t>
  </si>
  <si>
    <t>AALLN 5 5/8 04/01/30</t>
  </si>
  <si>
    <t>BBB / Baa3 / WD</t>
  </si>
  <si>
    <t>USU37818AX65</t>
  </si>
  <si>
    <t>GLENLN 2 1/2 09/01/30</t>
  </si>
  <si>
    <t>FR0010891317</t>
  </si>
  <si>
    <t>EDF 4 5/8 04/26/30</t>
  </si>
  <si>
    <t>US879385AD49</t>
  </si>
  <si>
    <t>TELEFO 8 1/4 09/15/30</t>
  </si>
  <si>
    <t>XS2044910466</t>
  </si>
  <si>
    <t>PSON 3 3/4 06/04/30</t>
  </si>
  <si>
    <t>XS2156583259</t>
  </si>
  <si>
    <t>REPSM 2 5/8 04/15/30</t>
  </si>
  <si>
    <t>US097023CN34</t>
  </si>
  <si>
    <t>BA 2.95 02/01/30</t>
  </si>
  <si>
    <t>US681919BC93</t>
  </si>
  <si>
    <t>OMC 4.2 06/01/30</t>
  </si>
  <si>
    <t>XS1823502577</t>
  </si>
  <si>
    <t>BASGR 1 1/2 05/22/30</t>
  </si>
  <si>
    <t>XS2353182293</t>
  </si>
  <si>
    <t>ENELIM 0 1/2 06/17/30</t>
  </si>
  <si>
    <t>XS3074383996</t>
  </si>
  <si>
    <t>VLVY 3 05/20/30</t>
  </si>
  <si>
    <t>US833794AC42</t>
  </si>
  <si>
    <t>SWFP 5.15 08/15/30</t>
  </si>
  <si>
    <t>XS1550169574</t>
  </si>
  <si>
    <t>MBGGR 1 3/8 01/11/30</t>
  </si>
  <si>
    <t>USU09513HY80</t>
  </si>
  <si>
    <t>BMW 4.15 04/09/30</t>
  </si>
  <si>
    <t>XS2796609787</t>
  </si>
  <si>
    <t>SGOFP 3 3/8 04/08/30</t>
  </si>
  <si>
    <t>XS2900366316</t>
  </si>
  <si>
    <t>BPLN 1.1925 09/11/30</t>
  </si>
  <si>
    <t>US03938LBC72</t>
  </si>
  <si>
    <t>MTNA 4 1/4 07/16/29</t>
  </si>
  <si>
    <t>XS2107315470</t>
  </si>
  <si>
    <t>ENIIM 0 5/8 01/23/30</t>
  </si>
  <si>
    <t>US111021AE12</t>
  </si>
  <si>
    <t>BRITEL 9 5/8 12/15/30</t>
  </si>
  <si>
    <t>US404119CZ09</t>
  </si>
  <si>
    <t>HCA 5 1/4 03/01/30</t>
  </si>
  <si>
    <t>US92857TAH05</t>
  </si>
  <si>
    <t>VOD 7 7/8 02/15/30</t>
  </si>
  <si>
    <t>BBB- *+ / Baa3 / WD</t>
  </si>
  <si>
    <t>XS1610777556</t>
  </si>
  <si>
    <t>IBESM 1.782 10/30/30</t>
  </si>
  <si>
    <t>US87264ABF12</t>
  </si>
  <si>
    <t>TMUS 3 7/8 04/15/30</t>
  </si>
  <si>
    <t>US571903BR30</t>
  </si>
  <si>
    <t>MAR 4.8 03/15/30</t>
  </si>
  <si>
    <t>A / A1 / WD</t>
  </si>
  <si>
    <t>XS2185867913</t>
  </si>
  <si>
    <t>AIRFP 1 5/8 06/09/30</t>
  </si>
  <si>
    <t>A- / A3 / BBB+</t>
  </si>
  <si>
    <t>FR001400PU35</t>
  </si>
  <si>
    <t>BNFP 3.481 05/03/30</t>
  </si>
  <si>
    <t>XS2228291279</t>
  </si>
  <si>
    <t>RDSALN 1 12/10/30</t>
  </si>
  <si>
    <t>FR0013367638</t>
  </si>
  <si>
    <t>DGFP 1 3/4 09/26/30</t>
  </si>
  <si>
    <t>US023135BS49</t>
  </si>
  <si>
    <t>AMZN 1 1/2 06/03/30</t>
  </si>
  <si>
    <t>BE6276040431</t>
  </si>
  <si>
    <t>ABIBB 1 1/2 04/18/30</t>
  </si>
  <si>
    <t>A / A1 / Au</t>
  </si>
  <si>
    <t>US780641AH94</t>
  </si>
  <si>
    <t>KPN 8 3/8 10/01/30</t>
  </si>
  <si>
    <t>US25156PAC77</t>
  </si>
  <si>
    <t>DT 8 1/4 06/15/30</t>
  </si>
  <si>
    <t>BBB+ / A3 / BBB+</t>
  </si>
  <si>
    <t>USU74078CH46</t>
  </si>
  <si>
    <t>NESNVX 1 1/4 09/15/30</t>
  </si>
  <si>
    <t>XS2491029380</t>
  </si>
  <si>
    <t>MRKGR 2 3/8 06/15/30</t>
  </si>
  <si>
    <t>US904764BK20</t>
  </si>
  <si>
    <t>UNANA 1 3/8 09/14/30</t>
  </si>
  <si>
    <t>US369604BW26</t>
  </si>
  <si>
    <t>GE 3 5/8 05/01/30</t>
  </si>
  <si>
    <t>US742718FM66</t>
  </si>
  <si>
    <t>PG 1.2 10/29/30</t>
  </si>
  <si>
    <t xml:space="preserve"> / Ba2 / </t>
  </si>
  <si>
    <t>XS2826718087</t>
  </si>
  <si>
    <t>SPMIM 4 7/8 05/30/30</t>
  </si>
  <si>
    <t xml:space="preserve">BB+ *+ / Ba1 / </t>
  </si>
  <si>
    <t>XS2815984732</t>
  </si>
  <si>
    <t>LHAGR 4 05/21/30</t>
  </si>
  <si>
    <t xml:space="preserve">BBB- / Baa1 / </t>
  </si>
  <si>
    <t>FR001400SSO4</t>
  </si>
  <si>
    <t>RENAUL 3 7/8 09/30/30</t>
  </si>
  <si>
    <t>BB / Ba2 / BB</t>
  </si>
  <si>
    <t xml:space="preserve">NR / Ba1 / </t>
  </si>
  <si>
    <t>BB- *+ / Ba3 / BB- *+</t>
  </si>
  <si>
    <t xml:space="preserve"> / Baa2u / BBB+u</t>
  </si>
  <si>
    <t>IT0005024234</t>
  </si>
  <si>
    <t>BTPS 3 1/2 03/01/30</t>
  </si>
  <si>
    <t xml:space="preserve"> / Aa1 / AA+u</t>
  </si>
  <si>
    <t>US91282CHJ36</t>
  </si>
  <si>
    <t>T 3 3/4 06/30/30</t>
  </si>
  <si>
    <t>GB00BSQNRD01</t>
  </si>
  <si>
    <t>UKT 4 3/8 03/07/30</t>
  </si>
  <si>
    <t>GR0133008210</t>
  </si>
  <si>
    <t>GGB 4.3 02/24/30</t>
  </si>
  <si>
    <t>ES0000012O00</t>
  </si>
  <si>
    <t>SPGB 2.7 01/31/30</t>
  </si>
  <si>
    <t xml:space="preserve"> / Aa3u / A+u</t>
  </si>
  <si>
    <t>FR001400PM68</t>
  </si>
  <si>
    <t>FRTR 2 3/4 02/25/30</t>
  </si>
  <si>
    <t xml:space="preserve"> / A3u / Au</t>
  </si>
  <si>
    <t>PTOTEROE0014</t>
  </si>
  <si>
    <t>PGB 3 7/8 02/15/30</t>
  </si>
  <si>
    <t xml:space="preserve"> / Aa3 / A+</t>
  </si>
  <si>
    <t>XS2747598444</t>
  </si>
  <si>
    <t>KSA 4 3/4 01/16/30</t>
  </si>
  <si>
    <t>XS2155352664</t>
  </si>
  <si>
    <t>QATAR 3 3/4 04/16/30</t>
  </si>
  <si>
    <t>BB / Ba2 / BB-</t>
  </si>
  <si>
    <t>US836205AY00</t>
  </si>
  <si>
    <t>SOAF 5 7/8 06/22/30</t>
  </si>
  <si>
    <t>US91087BBB53</t>
  </si>
  <si>
    <t>MEX 6 05/13/30</t>
  </si>
  <si>
    <t>US105756CM05</t>
  </si>
  <si>
    <t>BRAZIL 5 1/2 11/06/30</t>
  </si>
  <si>
    <t>US715638DG44</t>
  </si>
  <si>
    <t>PERU 2.8893 02/12/30</t>
  </si>
  <si>
    <t>BB / Baa3 / BB+</t>
  </si>
  <si>
    <t>XS1236685613</t>
  </si>
  <si>
    <t>CHILE 1 7/8 05/27/30</t>
  </si>
  <si>
    <t>B /  / B</t>
  </si>
  <si>
    <t>XS2989586941</t>
  </si>
  <si>
    <t>EGYPT 8 5/8 02/04/30</t>
  </si>
  <si>
    <t>A / Baa1 / A</t>
  </si>
  <si>
    <t>US46513JXM88</t>
  </si>
  <si>
    <t>ISRAEL 2 1/2 01/15/30</t>
  </si>
  <si>
    <t>B / B2u / B+</t>
  </si>
  <si>
    <t>XS2172965282</t>
  </si>
  <si>
    <t>BHRAIN 7 3/8 05/14/30</t>
  </si>
  <si>
    <t>XS1793329225</t>
  </si>
  <si>
    <t>IVYCST 5 1/4 03/22/30</t>
  </si>
  <si>
    <t>NR / Ba3 / BB-</t>
  </si>
  <si>
    <t>US900123AL40</t>
  </si>
  <si>
    <t>TURKEY 11 7/8 01/15/30</t>
  </si>
  <si>
    <t>XS3101499187</t>
  </si>
  <si>
    <t>REPHUN 5 3/8 09/26/30</t>
  </si>
  <si>
    <t>US857524AF94</t>
  </si>
  <si>
    <t>POLAND 4 7/8 02/12/30</t>
  </si>
  <si>
    <t>XS1768067297</t>
  </si>
  <si>
    <t>ROMANI 2 1/2 02/08/30</t>
  </si>
  <si>
    <t>US455780CQ75</t>
  </si>
  <si>
    <t>INDON 2.85 02/14/30</t>
  </si>
  <si>
    <t>US71647NBE85</t>
  </si>
  <si>
    <t>PETBRA 5.093 01/15/30</t>
  </si>
  <si>
    <t>BBB / B1 / BB+</t>
  </si>
  <si>
    <t xml:space="preserve">BB / Ba2 / </t>
  </si>
  <si>
    <t xml:space="preserve">B+ / Ba3 / </t>
  </si>
  <si>
    <t>US80386WAD74</t>
  </si>
  <si>
    <t>SASOL 5 1/2 03/18/31</t>
  </si>
  <si>
    <t>Tencent Holdings Limited</t>
  </si>
  <si>
    <t>China</t>
  </si>
  <si>
    <t>A+ / A1 / A</t>
  </si>
  <si>
    <t>US88032XAU81</t>
  </si>
  <si>
    <t>TENCNT 2.39 06/03/30</t>
  </si>
  <si>
    <t>Taiwan Semiconductor Manufacturing Company Limited</t>
  </si>
  <si>
    <t>Taiwan</t>
  </si>
  <si>
    <t>INE071G08AG2</t>
  </si>
  <si>
    <t>ICICI 8 05/24/30</t>
  </si>
  <si>
    <t>BOC Aviation Limited</t>
  </si>
  <si>
    <t>A- /  / A-</t>
  </si>
  <si>
    <t>US09681MAS70</t>
  </si>
  <si>
    <t>BOCAVI 2 5/8 09/17/30</t>
  </si>
  <si>
    <t>Alibaba Group Holding Limited</t>
  </si>
  <si>
    <t>USG01719AK24</t>
  </si>
  <si>
    <t>BABA 4 7/8 05/26/30</t>
  </si>
  <si>
    <t>Baidu, Inc.</t>
  </si>
  <si>
    <t xml:space="preserve"> / A3 / A</t>
  </si>
  <si>
    <t>US056752AR92</t>
  </si>
  <si>
    <t>BIDU 3.425 04/07/30</t>
  </si>
  <si>
    <t>SONIA+X, q, floored to 0, 30/360</t>
  </si>
  <si>
    <t>SARON+X, q, floored to 0, 30/360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</si>
</sst>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d\-mmm\-yy;@"/>
    <numFmt numFmtId="166" formatCode="#,##0.00##_);[Red]\(#,##0.00##\)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10"/>
      <name val="Courier"/>
      <family val="3"/>
    </font>
    <font>
      <b/>
      <u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9" fontId="11" fillId="0" borderId="0" applyFont="0" applyFill="0" applyBorder="0" applyAlignment="0" applyProtection="0"/>
    <xf numFmtId="166" fontId="13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5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/>
    <xf numFmtId="0" fontId="12" fillId="0" borderId="0">
      <alignment vertical="top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6" fillId="0" borderId="0">
      <alignment vertical="center"/>
    </xf>
  </cellStyleXfs>
  <cellXfs count="162">
    <xf numFmtId="0" fontId="0" fillId="0" borderId="0" xfId="0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5" xfId="0" applyFont="1" applyBorder="1" applyAlignment="1">
      <alignment horizontal="left"/>
    </xf>
    <xf numFmtId="10" fontId="0" fillId="0" borderId="4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10" fontId="0" fillId="0" borderId="7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8" xfId="0" applyNumberFormat="1" applyFon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4" fontId="5" fillId="0" borderId="9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6" fillId="3" borderId="1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165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0" fontId="9" fillId="4" borderId="12" xfId="0" applyNumberFormat="1" applyFont="1" applyFill="1" applyBorder="1" applyAlignment="1" applyProtection="1">
      <alignment horizontal="center"/>
      <protection locked="0"/>
    </xf>
    <xf numFmtId="10" fontId="9" fillId="4" borderId="13" xfId="0" applyNumberFormat="1" applyFont="1" applyFill="1" applyBorder="1" applyAlignment="1" applyProtection="1">
      <alignment horizontal="center"/>
      <protection locked="0"/>
    </xf>
    <xf numFmtId="10" fontId="10" fillId="0" borderId="0" xfId="0" applyNumberFormat="1" applyFont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7" fillId="0" borderId="0" xfId="0" applyFont="1"/>
    <xf numFmtId="0" fontId="0" fillId="0" borderId="0" xfId="0"/>
    <xf numFmtId="0" fontId="0" fillId="0" borderId="11" xfId="0" applyBorder="1"/>
    <xf numFmtId="0" fontId="0" fillId="0" borderId="7" xfId="0" applyBorder="1"/>
    <xf numFmtId="0" fontId="0" fillId="0" borderId="4" xfId="0" applyBorder="1"/>
    <xf numFmtId="0" fontId="0" fillId="0" borderId="9" xfId="0" applyBorder="1"/>
    <xf numFmtId="0" fontId="1" fillId="2" borderId="0" xfId="0" applyFont="1" applyFill="1" applyAlignment="1">
      <alignment horizontal="center"/>
    </xf>
    <xf numFmtId="0" fontId="0" fillId="0" borderId="8" xfId="0" applyBorder="1"/>
    <xf numFmtId="10" fontId="0" fillId="0" borderId="0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10" xfId="0" applyBorder="1"/>
    <xf numFmtId="10" fontId="0" fillId="0" borderId="0" xfId="0" applyNumberFormat="1" applyFill="1" applyBorder="1" applyAlignment="1">
      <alignment horizontal="center"/>
    </xf>
    <xf numFmtId="0" fontId="0" fillId="0" borderId="2" xfId="0" applyBorder="1"/>
    <xf numFmtId="0" fontId="1" fillId="2" borderId="7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6" fillId="3" borderId="3" xfId="0" applyFont="1" applyFill="1" applyBorder="1"/>
    <xf numFmtId="0" fontId="6" fillId="3" borderId="2" xfId="0" applyFont="1" applyFill="1" applyBorder="1"/>
    <xf numFmtId="0" fontId="6" fillId="3" borderId="1" xfId="0" applyFont="1" applyFill="1" applyBorder="1"/>
    <xf numFmtId="10" fontId="0" fillId="0" borderId="5" xfId="0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0" fontId="0" fillId="0" borderId="7" xfId="0" applyNumberFormat="1" applyFill="1" applyBorder="1" applyAlignment="1">
      <alignment horizontal="center"/>
    </xf>
    <xf numFmtId="10" fontId="0" fillId="0" borderId="5" xfId="0" applyNumberFormat="1" applyFill="1" applyBorder="1" applyAlignment="1">
      <alignment horizontal="center"/>
    </xf>
    <xf numFmtId="10" fontId="0" fillId="0" borderId="10" xfId="0" applyNumberFormat="1" applyFill="1" applyBorder="1" applyAlignment="1">
      <alignment horizontal="center"/>
    </xf>
    <xf numFmtId="10" fontId="0" fillId="0" borderId="4" xfId="0" applyNumberFormat="1" applyFill="1" applyBorder="1" applyAlignment="1">
      <alignment horizontal="center"/>
    </xf>
    <xf numFmtId="10" fontId="0" fillId="0" borderId="6" xfId="0" applyNumberFormat="1" applyFill="1" applyBorder="1" applyAlignment="1">
      <alignment horizontal="center"/>
    </xf>
    <xf numFmtId="10" fontId="0" fillId="0" borderId="8" xfId="0" applyNumberFormat="1" applyFill="1" applyBorder="1" applyAlignment="1">
      <alignment horizontal="center"/>
    </xf>
    <xf numFmtId="10" fontId="0" fillId="0" borderId="9" xfId="0" applyNumberFormat="1" applyFill="1" applyBorder="1" applyAlignment="1">
      <alignment horizontal="center"/>
    </xf>
    <xf numFmtId="10" fontId="0" fillId="0" borderId="1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6" fillId="3" borderId="4" xfId="0" applyFont="1" applyFill="1" applyBorder="1"/>
    <xf numFmtId="0" fontId="6" fillId="3" borderId="5" xfId="0" applyFont="1" applyFill="1" applyBorder="1"/>
    <xf numFmtId="0" fontId="6" fillId="3" borderId="6" xfId="0" applyFont="1" applyFill="1" applyBorder="1"/>
    <xf numFmtId="165" fontId="0" fillId="0" borderId="5" xfId="0" applyNumberFormat="1" applyBorder="1" applyAlignment="1">
      <alignment horizontal="center"/>
    </xf>
    <xf numFmtId="165" fontId="6" fillId="3" borderId="5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4" fontId="1" fillId="2" borderId="5" xfId="0" applyNumberFormat="1" applyFont="1" applyFill="1" applyBorder="1" applyAlignment="1">
      <alignment horizontal="center"/>
    </xf>
    <xf numFmtId="4" fontId="6" fillId="3" borderId="2" xfId="0" applyNumberFormat="1" applyFont="1" applyFill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6" fillId="3" borderId="5" xfId="0" applyNumberFormat="1" applyFont="1" applyFill="1" applyBorder="1" applyAlignment="1">
      <alignment horizontal="center"/>
    </xf>
    <xf numFmtId="4" fontId="1" fillId="2" borderId="4" xfId="0" applyNumberFormat="1" applyFont="1" applyFill="1" applyBorder="1" applyAlignment="1">
      <alignment horizontal="center"/>
    </xf>
    <xf numFmtId="4" fontId="1" fillId="2" borderId="6" xfId="0" applyNumberFormat="1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4" fontId="6" fillId="3" borderId="3" xfId="0" applyNumberFormat="1" applyFont="1" applyFill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3" borderId="4" xfId="0" applyNumberFormat="1" applyFont="1" applyFill="1" applyBorder="1" applyAlignment="1">
      <alignment horizontal="center"/>
    </xf>
    <xf numFmtId="4" fontId="6" fillId="3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10" fontId="9" fillId="4" borderId="12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10" fontId="9" fillId="4" borderId="13" xfId="0" applyNumberFormat="1" applyFont="1" applyFill="1" applyBorder="1" applyAlignment="1" applyProtection="1">
      <alignment horizontal="center"/>
      <protection locked="0"/>
    </xf>
    <xf numFmtId="10" fontId="10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3" borderId="10" xfId="0" applyFont="1" applyFill="1" applyBorder="1"/>
    <xf numFmtId="0" fontId="0" fillId="0" borderId="0" xfId="0" applyBorder="1"/>
    <xf numFmtId="0" fontId="0" fillId="5" borderId="7" xfId="0" applyFill="1" applyBorder="1"/>
    <xf numFmtId="0" fontId="0" fillId="5" borderId="0" xfId="0" applyFill="1"/>
    <xf numFmtId="10" fontId="0" fillId="5" borderId="7" xfId="0" applyNumberFormat="1" applyFill="1" applyBorder="1" applyAlignment="1">
      <alignment horizontal="center"/>
    </xf>
    <xf numFmtId="10" fontId="0" fillId="5" borderId="0" xfId="0" applyNumberFormat="1" applyFill="1" applyAlignment="1">
      <alignment horizontal="center"/>
    </xf>
    <xf numFmtId="10" fontId="0" fillId="5" borderId="8" xfId="0" applyNumberForma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4" fontId="0" fillId="5" borderId="7" xfId="0" applyNumberFormat="1" applyFill="1" applyBorder="1" applyAlignment="1">
      <alignment horizontal="center"/>
    </xf>
    <xf numFmtId="4" fontId="0" fillId="5" borderId="0" xfId="0" applyNumberFormat="1" applyFill="1" applyAlignment="1">
      <alignment horizontal="center"/>
    </xf>
    <xf numFmtId="4" fontId="0" fillId="5" borderId="8" xfId="0" applyNumberFormat="1" applyFill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10" fontId="0" fillId="5" borderId="9" xfId="0" applyNumberFormat="1" applyFill="1" applyBorder="1" applyAlignment="1">
      <alignment horizontal="center"/>
    </xf>
    <xf numFmtId="10" fontId="0" fillId="5" borderId="10" xfId="0" applyNumberFormat="1" applyFill="1" applyBorder="1" applyAlignment="1">
      <alignment horizontal="center"/>
    </xf>
    <xf numFmtId="10" fontId="0" fillId="5" borderId="11" xfId="0" applyNumberFormat="1" applyFill="1" applyBorder="1" applyAlignment="1">
      <alignment horizontal="center"/>
    </xf>
    <xf numFmtId="165" fontId="0" fillId="5" borderId="10" xfId="0" applyNumberFormat="1" applyFill="1" applyBorder="1" applyAlignment="1">
      <alignment horizontal="center"/>
    </xf>
    <xf numFmtId="4" fontId="0" fillId="5" borderId="9" xfId="0" applyNumberFormat="1" applyFill="1" applyBorder="1" applyAlignment="1">
      <alignment horizontal="center"/>
    </xf>
    <xf numFmtId="4" fontId="0" fillId="5" borderId="10" xfId="0" applyNumberFormat="1" applyFill="1" applyBorder="1" applyAlignment="1">
      <alignment horizontal="center"/>
    </xf>
    <xf numFmtId="4" fontId="0" fillId="5" borderId="1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40">
    <cellStyle name="_2009-11-16-AIG_Dec11_USD" xfId="39" xr:uid="{345F5CF2-9B44-4713-A018-CD19DA7CCC12}"/>
    <cellStyle name="blp_amount" xfId="7" xr:uid="{38F116B0-A3C0-4DE7-A954-975A05C30C91}"/>
    <cellStyle name="Comma 2 2" xfId="10" xr:uid="{467D896E-31D7-4737-BBD5-A790EB329909}"/>
    <cellStyle name="Comma 2 2 2" xfId="15" xr:uid="{71008B5D-DBB9-41FF-9E06-8439D4B3F2D6}"/>
    <cellStyle name="Comma 2 2 2 2" xfId="19" xr:uid="{80035559-DBF6-4EC4-8197-78093E425194}"/>
    <cellStyle name="Comma 2 2 2 2 2" xfId="34" xr:uid="{6B0FB970-6ED6-4175-9808-92A4A4ED6C02}"/>
    <cellStyle name="Comma 2 2 2 3" xfId="22" xr:uid="{630A1025-2DFD-47E2-999A-99E5D797C49B}"/>
    <cellStyle name="Comma 2 2 2 3 2" xfId="37" xr:uid="{A583B56E-F7F4-44A9-8708-A8E8050DCC05}"/>
    <cellStyle name="Comma 2 2 2 4" xfId="31" xr:uid="{8B9C940A-EF9A-4D30-A1DC-90026B4608BB}"/>
    <cellStyle name="Comma 2 2 3" xfId="18" xr:uid="{BB8C34BF-AC33-4C40-9B97-C10ECDF82117}"/>
    <cellStyle name="Comma 2 2 3 2" xfId="21" xr:uid="{D69D4325-1E55-47B0-855E-879FF7EA00CD}"/>
    <cellStyle name="Comma 2 2 3 2 2" xfId="36" xr:uid="{CCD3A733-1496-43B2-95FF-4777407C2878}"/>
    <cellStyle name="Comma 2 2 3 3" xfId="33" xr:uid="{6B426FC3-9FF5-4D46-A32B-1BE8745E5D5C}"/>
    <cellStyle name="Comma 2 2 4" xfId="17" xr:uid="{3CF34E61-19D8-4946-B3C2-F6C37C3EFF04}"/>
    <cellStyle name="Comma 2 2 4 2" xfId="32" xr:uid="{420D8E4E-29C2-4E94-9250-951EA71F6CAF}"/>
    <cellStyle name="Comma 2 2 5" xfId="20" xr:uid="{EA46A6B2-4761-49D1-B165-44757A0D7BD3}"/>
    <cellStyle name="Comma 2 2 5 2" xfId="35" xr:uid="{2FB4F295-9A5A-48AB-9BC3-C266588C07BF}"/>
    <cellStyle name="Comma 2 2 6" xfId="30" xr:uid="{D8EC7D53-E2CF-4131-9E5F-5497310B2109}"/>
    <cellStyle name="Comma 65" xfId="23" xr:uid="{988C86F7-A814-474A-8345-50F4A5FE93AE}"/>
    <cellStyle name="Comma 65 2" xfId="38" xr:uid="{7521AEAF-86AF-4800-9C0F-DFB85C1D74EB}"/>
    <cellStyle name="Hyperlink 2" xfId="16" xr:uid="{A5178F38-0158-42C6-A499-A41B6C30552B}"/>
    <cellStyle name="Normal" xfId="0" builtinId="0"/>
    <cellStyle name="Normal 10" xfId="1" xr:uid="{C247839F-6598-47F1-A1CD-95109036D2C0}"/>
    <cellStyle name="Normal 11" xfId="3" xr:uid="{83286615-0D22-4744-8974-9AC3F3F9B215}"/>
    <cellStyle name="Normal 13 2 2" xfId="13" xr:uid="{AEF0719A-67CB-458A-B5D3-456ABF4570D9}"/>
    <cellStyle name="Normal 183 2" xfId="24" xr:uid="{11E875BD-1FC5-428E-A787-0638D076766D}"/>
    <cellStyle name="Normal 2" xfId="2" xr:uid="{BD23F7AB-1B0F-4587-B020-6FC9883EE890}"/>
    <cellStyle name="Normal 2 2 2 3 2" xfId="14" xr:uid="{5EC2F166-4211-44E3-9E14-215FC0F3426B}"/>
    <cellStyle name="Normal 2 2 2 4" xfId="25" xr:uid="{F1D91CD1-5100-4962-8717-813BF2A03F16}"/>
    <cellStyle name="Normal 2 2 3 3" xfId="28" xr:uid="{90C15D40-EE78-4620-A954-0413864BB2E6}"/>
    <cellStyle name="Normal 2 3" xfId="9" xr:uid="{1BC374F5-BEA1-43FC-AA3B-ACA82070B3AC}"/>
    <cellStyle name="Normal 3 2" xfId="8" xr:uid="{AD8724A5-CAF6-4385-B3CD-0176020D48D2}"/>
    <cellStyle name="Normal 333 2" xfId="5" xr:uid="{BD868CE3-C5BE-491B-AEBE-325A0C1DB682}"/>
    <cellStyle name="Normal 4" xfId="4" xr:uid="{13CAC9E2-F1FF-4118-977D-23D16B59A886}"/>
    <cellStyle name="Normal 41" xfId="27" xr:uid="{4AC97246-E565-436B-AA0D-8A248DF9E2C3}"/>
    <cellStyle name="Normal 45" xfId="11" xr:uid="{1DCE8002-AC8E-4B89-8112-3F6086A8D63F}"/>
    <cellStyle name="Normal 5" xfId="26" xr:uid="{7D5FA690-AE5A-4340-90A7-2010B1818338}"/>
    <cellStyle name="Percent 12" xfId="6" xr:uid="{EA5F6DD5-8644-4517-855B-0AF52FD64973}"/>
    <cellStyle name="Percent 2" xfId="12" xr:uid="{9020EFA4-222A-4341-A44A-86FEABE7B498}"/>
    <cellStyle name="Style 1 3" xfId="29" xr:uid="{8FEFD79D-B46D-4122-91E0-21911560AA68}"/>
  </cellStyles>
  <dxfs count="68"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g.ads.db.com\ind-dboi-gmc-g\Venkatesh\X-Product%20Structuring\Runs\Vanilla%20CLN%20Run\CLN%20Run%2030-Jan-22%20Run%20-%20Ind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Static"/>
      <sheetName val="Notes"/>
      <sheetName val="BBG Data "/>
      <sheetName val="Load Curves"/>
      <sheetName val="List"/>
      <sheetName val="Security &amp; Dict setups"/>
      <sheetName val="Results viewer"/>
      <sheetName val="Pricing"/>
      <sheetName val="Final coupon"/>
      <sheetName val="Run Refs"/>
      <sheetName val="Run Main"/>
      <sheetName val="Best picks"/>
      <sheetName val="EUR Payoff"/>
      <sheetName val="Sheet6"/>
      <sheetName val="USD Payoff"/>
      <sheetName val="Ideas - pitch"/>
    </sheetNames>
    <sheetDataSet>
      <sheetData sheetId="0"/>
      <sheetData sheetId="1">
        <row r="7">
          <cell r="V7" t="str">
            <v>FDR book</v>
          </cell>
          <cell r="W7" t="str">
            <v>Location</v>
          </cell>
        </row>
        <row r="8">
          <cell r="V8" t="str">
            <v>Asia</v>
          </cell>
          <cell r="W8" t="str">
            <v>SGP</v>
          </cell>
        </row>
        <row r="9">
          <cell r="V9" t="str">
            <v>Asia_Correlation</v>
          </cell>
          <cell r="W9" t="str">
            <v>SGP</v>
          </cell>
        </row>
        <row r="10">
          <cell r="V10" t="str">
            <v>Asset_Swaps</v>
          </cell>
          <cell r="W10" t="str">
            <v>LDN</v>
          </cell>
        </row>
        <row r="11">
          <cell r="V11" t="str">
            <v>CBLondon</v>
          </cell>
          <cell r="W11" t="str">
            <v>LDN</v>
          </cell>
        </row>
        <row r="13">
          <cell r="V13" t="str">
            <v>Correlation_Flow</v>
          </cell>
          <cell r="W13" t="str">
            <v>LDN</v>
          </cell>
        </row>
        <row r="14">
          <cell r="V14" t="str">
            <v>CMBX</v>
          </cell>
          <cell r="W14" t="str">
            <v>NYC</v>
          </cell>
        </row>
        <row r="15">
          <cell r="V15" t="str">
            <v>Eemea</v>
          </cell>
          <cell r="W15" t="str">
            <v>LDN</v>
          </cell>
        </row>
        <row r="16">
          <cell r="V16" t="str">
            <v>Eemea_SNAC</v>
          </cell>
          <cell r="W16" t="str">
            <v>LDN</v>
          </cell>
        </row>
        <row r="17">
          <cell r="V17" t="str">
            <v>EPTNY</v>
          </cell>
          <cell r="W17" t="str">
            <v>NYC</v>
          </cell>
        </row>
        <row r="18">
          <cell r="V18" t="str">
            <v>FIPB</v>
          </cell>
          <cell r="W18" t="str">
            <v>NYC</v>
          </cell>
        </row>
        <row r="19">
          <cell r="V19" t="str">
            <v>GASART</v>
          </cell>
          <cell r="W19" t="str">
            <v>LDN</v>
          </cell>
        </row>
        <row r="20">
          <cell r="V20" t="str">
            <v>Global</v>
          </cell>
          <cell r="W20" t="str">
            <v>LDN</v>
          </cell>
        </row>
        <row r="21">
          <cell r="V21" t="str">
            <v>Highyield</v>
          </cell>
          <cell r="W21" t="str">
            <v>NYC</v>
          </cell>
        </row>
        <row r="22">
          <cell r="V22" t="str">
            <v>IndexTranches</v>
          </cell>
          <cell r="W22" t="str">
            <v>LDN</v>
          </cell>
        </row>
        <row r="23">
          <cell r="V23" t="str">
            <v>Invexo</v>
          </cell>
          <cell r="W23" t="str">
            <v>LDN</v>
          </cell>
        </row>
        <row r="24">
          <cell r="V24" t="str">
            <v>InvGrade</v>
          </cell>
          <cell r="W24" t="str">
            <v>LDN</v>
          </cell>
        </row>
        <row r="25">
          <cell r="V25" t="str">
            <v>Invgrd_Multicredit</v>
          </cell>
          <cell r="W25" t="str">
            <v>LDN</v>
          </cell>
        </row>
        <row r="26">
          <cell r="V26" t="str">
            <v>Latam</v>
          </cell>
          <cell r="W26" t="str">
            <v>NYC</v>
          </cell>
        </row>
        <row r="27">
          <cell r="V27" t="str">
            <v>Latam_SNAC</v>
          </cell>
          <cell r="W27" t="str">
            <v>NYC</v>
          </cell>
        </row>
        <row r="28">
          <cell r="V28" t="str">
            <v>LCDS</v>
          </cell>
          <cell r="W28" t="str">
            <v>LDN</v>
          </cell>
        </row>
        <row r="29">
          <cell r="V29" t="str">
            <v>Lemg</v>
          </cell>
          <cell r="W29" t="str">
            <v>LDN</v>
          </cell>
        </row>
        <row r="30">
          <cell r="V30" t="str">
            <v>LEMG_IG</v>
          </cell>
          <cell r="W30" t="str">
            <v>LDN</v>
          </cell>
        </row>
        <row r="31">
          <cell r="V31" t="str">
            <v>LEMG_EM</v>
          </cell>
          <cell r="W31" t="str">
            <v>LDN</v>
          </cell>
        </row>
        <row r="32">
          <cell r="V32" t="str">
            <v>Par_Loan_NY</v>
          </cell>
          <cell r="W32" t="str">
            <v>NYC</v>
          </cell>
        </row>
        <row r="33">
          <cell r="V33" t="str">
            <v>Other</v>
          </cell>
          <cell r="W33" t="str">
            <v>LDN</v>
          </cell>
        </row>
        <row r="34">
          <cell r="V34" t="str">
            <v>Porfolio</v>
          </cell>
          <cell r="W34" t="str">
            <v>LDN</v>
          </cell>
        </row>
        <row r="35">
          <cell r="V35" t="str">
            <v>PRIN_STRAT</v>
          </cell>
          <cell r="W35" t="str">
            <v>LDN</v>
          </cell>
        </row>
        <row r="36">
          <cell r="V36" t="str">
            <v>GM Rates OTC</v>
          </cell>
          <cell r="W36" t="str">
            <v>LDN</v>
          </cell>
        </row>
        <row r="37">
          <cell r="V37" t="str">
            <v>PROP_EU</v>
          </cell>
          <cell r="W37" t="str">
            <v>LDN</v>
          </cell>
        </row>
        <row r="38">
          <cell r="V38" t="str">
            <v>PROP_IG</v>
          </cell>
          <cell r="W38" t="str">
            <v>LDN</v>
          </cell>
        </row>
        <row r="39">
          <cell r="V39" t="str">
            <v>SPG_LDN</v>
          </cell>
          <cell r="W39" t="str">
            <v>LDN</v>
          </cell>
        </row>
        <row r="40">
          <cell r="V40" t="str">
            <v>SUMMIT</v>
          </cell>
          <cell r="W40" t="str">
            <v>LDN</v>
          </cell>
        </row>
        <row r="41">
          <cell r="V41" t="str">
            <v>Structured_Finance</v>
          </cell>
          <cell r="W41" t="str">
            <v>LDN</v>
          </cell>
        </row>
        <row r="42">
          <cell r="V42" t="str">
            <v>Sydney</v>
          </cell>
          <cell r="W42" t="str">
            <v>SYD</v>
          </cell>
        </row>
        <row r="43">
          <cell r="V43" t="str">
            <v>SydneySelect</v>
          </cell>
          <cell r="W43" t="str">
            <v>SYD</v>
          </cell>
        </row>
        <row r="44">
          <cell r="V44" t="str">
            <v>SSG</v>
          </cell>
          <cell r="W44" t="str">
            <v>LDN</v>
          </cell>
        </row>
        <row r="45">
          <cell r="V45" t="str">
            <v>Tokyo</v>
          </cell>
          <cell r="W45" t="str">
            <v>TOK</v>
          </cell>
        </row>
        <row r="46">
          <cell r="V46" t="str">
            <v>Utility</v>
          </cell>
          <cell r="W46" t="str">
            <v>LDN</v>
          </cell>
        </row>
        <row r="48">
          <cell r="V48" t="str">
            <v>Wincap</v>
          </cell>
          <cell r="W48" t="str">
            <v>LDN</v>
          </cell>
        </row>
        <row r="49">
          <cell r="V49" t="str">
            <v>Par_Loan_NY</v>
          </cell>
          <cell r="W49" t="str">
            <v>NYC</v>
          </cell>
        </row>
        <row r="50">
          <cell r="V50" t="str">
            <v>EEMEA_SNAC</v>
          </cell>
          <cell r="W50" t="str">
            <v>LDN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I5" t="str">
            <v>Quarterly, 30/360</v>
          </cell>
          <cell r="N5" t="str">
            <v>3mE +X, floored to 0, 30/360</v>
          </cell>
        </row>
        <row r="6">
          <cell r="I6" t="str">
            <v>Fixed</v>
          </cell>
          <cell r="N6" t="str">
            <v>Floating</v>
          </cell>
        </row>
        <row r="7">
          <cell r="E7" t="str">
            <v>DM Indices</v>
          </cell>
        </row>
        <row r="8">
          <cell r="E8" t="str">
            <v>Legal Entity / Index</v>
          </cell>
          <cell r="F8" t="str">
            <v>Rank</v>
          </cell>
          <cell r="G8" t="str">
            <v>Country of Risk</v>
          </cell>
          <cell r="H8" t="str">
            <v>Rating (S/M/F)</v>
          </cell>
          <cell r="I8" t="str">
            <v>1Y</v>
          </cell>
          <cell r="J8" t="str">
            <v>3Y</v>
          </cell>
          <cell r="K8" t="str">
            <v>5Y</v>
          </cell>
          <cell r="L8" t="str">
            <v>7Y</v>
          </cell>
          <cell r="M8" t="str">
            <v>10Y</v>
          </cell>
          <cell r="N8" t="str">
            <v>1Y</v>
          </cell>
          <cell r="O8" t="str">
            <v>3Y</v>
          </cell>
          <cell r="P8" t="str">
            <v>5Y</v>
          </cell>
          <cell r="Q8" t="str">
            <v>7Y</v>
          </cell>
          <cell r="R8" t="str">
            <v>10Y</v>
          </cell>
          <cell r="AC8" t="str">
            <v>ISIN</v>
          </cell>
          <cell r="AD8" t="str">
            <v>Benchmark Bond</v>
          </cell>
          <cell r="AE8" t="str">
            <v>Next Call Date</v>
          </cell>
          <cell r="AF8" t="str">
            <v>EUR Yield</v>
          </cell>
          <cell r="AG8" t="str">
            <v>5Y CLN vs benchmark</v>
          </cell>
          <cell r="AH8" t="str">
            <v>USD Yield</v>
          </cell>
          <cell r="AI8" t="str">
            <v>5Y CLN vs benchmark</v>
          </cell>
        </row>
        <row r="9">
          <cell r="E9" t="str">
            <v>CDX.NA.IG</v>
          </cell>
          <cell r="G9" t="str">
            <v>US</v>
          </cell>
          <cell r="I9">
            <v>2.5813187671249297E-2</v>
          </cell>
          <cell r="J9">
            <v>3.3955555529374834E-2</v>
          </cell>
          <cell r="K9">
            <v>3.8188588566680615E-2</v>
          </cell>
          <cell r="L9">
            <v>4.1039040715145775E-2</v>
          </cell>
          <cell r="M9">
            <v>4.4354209987789196E-2</v>
          </cell>
          <cell r="N9" t="str">
            <v/>
          </cell>
          <cell r="O9">
            <v>3.8850176855970593E-3</v>
          </cell>
          <cell r="P9">
            <v>9.8763390350547278E-3</v>
          </cell>
          <cell r="Q9">
            <v>1.3224854028874291E-2</v>
          </cell>
          <cell r="R9">
            <v>1.6335254966929606E-2</v>
          </cell>
        </row>
        <row r="10">
          <cell r="E10" t="str">
            <v>iTraxx Europe</v>
          </cell>
          <cell r="G10" t="str">
            <v>Europe</v>
          </cell>
          <cell r="I10">
            <v>2.3636424575065953E-2</v>
          </cell>
          <cell r="J10">
            <v>3.5299231174872395E-2</v>
          </cell>
          <cell r="K10">
            <v>3.9451375244488281E-2</v>
          </cell>
          <cell r="L10">
            <v>4.2027120570722706E-2</v>
          </cell>
          <cell r="M10">
            <v>4.533188747910058E-2</v>
          </cell>
          <cell r="N10" t="str">
            <v/>
          </cell>
          <cell r="O10">
            <v>5.2241933164380045E-3</v>
          </cell>
          <cell r="P10">
            <v>1.1133609437021137E-2</v>
          </cell>
          <cell r="Q10">
            <v>1.4207919944354674E-2</v>
          </cell>
          <cell r="R10">
            <v>1.7311550360925933E-2</v>
          </cell>
        </row>
        <row r="11">
          <cell r="E11" t="str">
            <v>CDX.NA.HY</v>
          </cell>
          <cell r="G11" t="str">
            <v>US</v>
          </cell>
          <cell r="I11">
            <v>6.2181527793182333E-2</v>
          </cell>
          <cell r="J11">
            <v>7.1189011294716789E-2</v>
          </cell>
          <cell r="K11">
            <v>7.6296883715686145E-2</v>
          </cell>
          <cell r="L11">
            <v>8.0806773944745502E-2</v>
          </cell>
          <cell r="M11">
            <v>8.3313247547004102E-2</v>
          </cell>
          <cell r="N11">
            <v>2.9831232341550856E-2</v>
          </cell>
          <cell r="O11">
            <v>4.1055962521922999E-2</v>
          </cell>
          <cell r="P11">
            <v>4.7872562652602806E-2</v>
          </cell>
          <cell r="Q11">
            <v>5.2887387521024717E-2</v>
          </cell>
          <cell r="R11">
            <v>5.5291164120596446E-2</v>
          </cell>
        </row>
        <row r="12">
          <cell r="E12" t="str">
            <v>iTraxx Europe Crossover</v>
          </cell>
          <cell r="G12" t="str">
            <v>Europe</v>
          </cell>
          <cell r="I12">
            <v>5.6170716446415407E-2</v>
          </cell>
          <cell r="J12">
            <v>6.6331406701873971E-2</v>
          </cell>
          <cell r="K12">
            <v>7.4915045307818104E-2</v>
          </cell>
          <cell r="L12">
            <v>7.8057125505099509E-2</v>
          </cell>
          <cell r="M12">
            <v>8.1835985712066545E-2</v>
          </cell>
          <cell r="N12">
            <v>2.3819887671918633E-2</v>
          </cell>
          <cell r="O12">
            <v>3.6195512425325177E-2</v>
          </cell>
          <cell r="P12">
            <v>4.6464621441391928E-2</v>
          </cell>
          <cell r="Q12">
            <v>5.0102542913195165E-2</v>
          </cell>
          <cell r="R12">
            <v>5.3792100930475539E-2</v>
          </cell>
        </row>
        <row r="13">
          <cell r="E13" t="str">
            <v>iTraxx Europe Senior Financials</v>
          </cell>
          <cell r="G13" t="str">
            <v>Europe</v>
          </cell>
          <cell r="I13">
            <v>3.0205607323101305E-2</v>
          </cell>
          <cell r="J13">
            <v>3.8479244077259854E-2</v>
          </cell>
          <cell r="K13">
            <v>4.0381006998232119E-2</v>
          </cell>
          <cell r="L13">
            <v>4.2761926380892476E-2</v>
          </cell>
          <cell r="M13">
            <v>4.568580955457744E-2</v>
          </cell>
          <cell r="N13" t="str">
            <v/>
          </cell>
          <cell r="O13">
            <v>8.4080764584575814E-3</v>
          </cell>
          <cell r="P13">
            <v>1.2067592179660244E-2</v>
          </cell>
          <cell r="Q13">
            <v>1.4950254957296044E-2</v>
          </cell>
          <cell r="R13">
            <v>1.7668616119349098E-2</v>
          </cell>
        </row>
        <row r="14">
          <cell r="E14" t="str">
            <v>iTraxx Europe Sub Financials</v>
          </cell>
          <cell r="G14" t="str">
            <v>Europe</v>
          </cell>
          <cell r="I14">
            <v>3.6952006755793632E-2</v>
          </cell>
          <cell r="J14">
            <v>4.5199274155263806E-2</v>
          </cell>
          <cell r="K14">
            <v>4.7145271528548242E-2</v>
          </cell>
          <cell r="L14">
            <v>5.0072520934606755E-2</v>
          </cell>
          <cell r="M14">
            <v>5.3367418820550447E-2</v>
          </cell>
          <cell r="N14">
            <v>4.5726527318330368E-3</v>
          </cell>
          <cell r="O14">
            <v>1.5130409365726512E-2</v>
          </cell>
          <cell r="P14">
            <v>1.8847344907003613E-2</v>
          </cell>
          <cell r="Q14">
            <v>2.2289992838025904E-2</v>
          </cell>
          <cell r="R14">
            <v>2.5397957016204443E-2</v>
          </cell>
        </row>
        <row r="16">
          <cell r="E16" t="str">
            <v>DM Financials</v>
          </cell>
        </row>
        <row r="17">
          <cell r="E17" t="str">
            <v>Legal Entity / Index</v>
          </cell>
          <cell r="F17" t="str">
            <v>Rank</v>
          </cell>
          <cell r="G17" t="str">
            <v>Country of Risk</v>
          </cell>
          <cell r="H17" t="str">
            <v>Rating (S/M/F)</v>
          </cell>
          <cell r="I17" t="str">
            <v>1Y</v>
          </cell>
          <cell r="J17" t="str">
            <v>3Y</v>
          </cell>
          <cell r="K17" t="str">
            <v>5Y</v>
          </cell>
          <cell r="L17" t="str">
            <v>7Y</v>
          </cell>
          <cell r="M17" t="str">
            <v>10Y</v>
          </cell>
          <cell r="N17" t="str">
            <v>1Y</v>
          </cell>
          <cell r="O17" t="str">
            <v>3Y</v>
          </cell>
          <cell r="P17" t="str">
            <v>5Y</v>
          </cell>
          <cell r="Q17" t="str">
            <v>7Y</v>
          </cell>
          <cell r="R17" t="str">
            <v>10Y</v>
          </cell>
          <cell r="AC17" t="str">
            <v>ISIN</v>
          </cell>
          <cell r="AD17" t="str">
            <v>Benchmark Bond</v>
          </cell>
          <cell r="AE17" t="str">
            <v>Next Call Date</v>
          </cell>
          <cell r="AF17" t="str">
            <v>EUR Yield</v>
          </cell>
          <cell r="AG17" t="str">
            <v>5Y CLN vs benchmark</v>
          </cell>
          <cell r="AH17" t="str">
            <v>USD Yield</v>
          </cell>
          <cell r="AI17" t="str">
            <v>5Y CLN vs benchmark</v>
          </cell>
        </row>
        <row r="18">
          <cell r="E18" t="str">
            <v xml:space="preserve">                                          FRANCE</v>
          </cell>
        </row>
        <row r="19">
          <cell r="E19" t="str">
            <v>CREDIT AGRICOLE SA</v>
          </cell>
          <cell r="F19" t="str">
            <v>Sr Preferred</v>
          </cell>
          <cell r="G19" t="str">
            <v>France</v>
          </cell>
          <cell r="H19" t="str">
            <v>A+ / Aa3 / AA-</v>
          </cell>
          <cell r="I19">
            <v>2.3161801423500418E-2</v>
          </cell>
          <cell r="J19">
            <v>3.2619611975568924E-2</v>
          </cell>
          <cell r="K19">
            <v>3.6372053875166212E-2</v>
          </cell>
          <cell r="L19">
            <v>3.7548701071781883E-2</v>
          </cell>
          <cell r="M19">
            <v>3.9392369960938839E-2</v>
          </cell>
          <cell r="N19" t="str">
            <v/>
          </cell>
          <cell r="O19">
            <v>2.5469241725322367E-3</v>
          </cell>
          <cell r="P19">
            <v>8.0494321879996805E-3</v>
          </cell>
          <cell r="Q19">
            <v>9.7067268206479877E-3</v>
          </cell>
          <cell r="R19">
            <v>1.1310528770203124E-2</v>
          </cell>
          <cell r="AC19" t="str">
            <v>FR0014001KY1</v>
          </cell>
          <cell r="AD19" t="str">
            <v>ACAFP 0.036 01/20/28</v>
          </cell>
          <cell r="AE19" t="str">
            <v xml:space="preserve"> </v>
          </cell>
          <cell r="AF19">
            <v>4.4144040000000002E-2</v>
          </cell>
          <cell r="AG19">
            <v>-7.7719861248337907E-3</v>
          </cell>
          <cell r="AH19">
            <v>5.2610806486251702E-2</v>
          </cell>
          <cell r="AI19">
            <v>-5.6327528733665158E-3</v>
          </cell>
        </row>
        <row r="20">
          <cell r="E20" t="str">
            <v>CREDIT AGRICOLE SA</v>
          </cell>
          <cell r="F20" t="str">
            <v>Sr Non Preferred</v>
          </cell>
          <cell r="G20" t="str">
            <v>France</v>
          </cell>
          <cell r="H20" t="str">
            <v>A- / A3 / A+</v>
          </cell>
          <cell r="I20">
            <v>2.3727739152521729E-2</v>
          </cell>
          <cell r="J20">
            <v>3.3898349435997628E-2</v>
          </cell>
          <cell r="K20">
            <v>3.8535128796842004E-2</v>
          </cell>
          <cell r="L20">
            <v>4.0544214678922962E-2</v>
          </cell>
          <cell r="M20">
            <v>4.3000165061261995E-2</v>
          </cell>
          <cell r="N20" t="str">
            <v/>
          </cell>
          <cell r="O20">
            <v>3.8257879590833386E-3</v>
          </cell>
          <cell r="P20">
            <v>1.0218940554378669E-2</v>
          </cell>
          <cell r="Q20">
            <v>1.2723905821813822E-2</v>
          </cell>
          <cell r="R20">
            <v>1.4969616675593338E-2</v>
          </cell>
          <cell r="AC20" t="str">
            <v>FR0014003182</v>
          </cell>
          <cell r="AD20" t="str">
            <v>ACAFP 0 3/8 04/20/28</v>
          </cell>
          <cell r="AE20" t="str">
            <v xml:space="preserve"> </v>
          </cell>
          <cell r="AF20">
            <v>3.7725639999999998E-2</v>
          </cell>
          <cell r="AG20">
            <v>8.0948879684200614E-4</v>
          </cell>
          <cell r="AH20">
            <v>4.6922265779952815E-2</v>
          </cell>
          <cell r="AI20">
            <v>2.2428003289350767E-3</v>
          </cell>
        </row>
        <row r="21">
          <cell r="E21" t="str">
            <v>CREDIT AGRICOLE SA</v>
          </cell>
          <cell r="F21" t="str">
            <v>Subordinated</v>
          </cell>
          <cell r="G21" t="str">
            <v>France</v>
          </cell>
          <cell r="H21" t="str">
            <v>BBB+ / Baa1 / A-</v>
          </cell>
          <cell r="I21">
            <v>2.4018011093144373E-2</v>
          </cell>
          <cell r="J21">
            <v>3.5934890293330281E-2</v>
          </cell>
          <cell r="K21">
            <v>4.2920094651897708E-2</v>
          </cell>
          <cell r="L21">
            <v>4.5843875883016388E-2</v>
          </cell>
          <cell r="M21">
            <v>4.8086027005768049E-2</v>
          </cell>
          <cell r="N21" t="str">
            <v/>
          </cell>
          <cell r="O21">
            <v>5.8672943383096888E-3</v>
          </cell>
          <cell r="P21">
            <v>1.4623016481060007E-2</v>
          </cell>
          <cell r="Q21">
            <v>1.8055809107352438E-2</v>
          </cell>
          <cell r="R21">
            <v>2.0097682212497723E-2</v>
          </cell>
          <cell r="AC21" t="str">
            <v>XS1204154410</v>
          </cell>
          <cell r="AD21" t="str">
            <v>ACAFP 2 5/8 03/17/27</v>
          </cell>
          <cell r="AE21" t="str">
            <v xml:space="preserve"> </v>
          </cell>
          <cell r="AF21">
            <v>3.9786760000000004E-2</v>
          </cell>
          <cell r="AG21">
            <v>3.133334651897704E-3</v>
          </cell>
          <cell r="AH21">
            <v>5.0152447235939715E-2</v>
          </cell>
          <cell r="AI21">
            <v>3.3351796991109295E-3</v>
          </cell>
        </row>
        <row r="22">
          <cell r="E22" t="str">
            <v>BNP PARIBAS</v>
          </cell>
          <cell r="F22" t="str">
            <v>Sr Preferred</v>
          </cell>
          <cell r="G22" t="str">
            <v>France</v>
          </cell>
          <cell r="H22" t="str">
            <v>A+ / Aa3 / AA-</v>
          </cell>
          <cell r="I22">
            <v>2.3637796234081729E-2</v>
          </cell>
          <cell r="J22">
            <v>3.3055203053396404E-2</v>
          </cell>
          <cell r="K22">
            <v>3.6530279418704077E-2</v>
          </cell>
          <cell r="L22">
            <v>3.7683987723187914E-2</v>
          </cell>
          <cell r="M22">
            <v>3.9576243966800331E-2</v>
          </cell>
          <cell r="N22" t="str">
            <v/>
          </cell>
          <cell r="O22">
            <v>2.9827906850716018E-3</v>
          </cell>
          <cell r="P22">
            <v>8.2077355652725205E-3</v>
          </cell>
          <cell r="Q22">
            <v>9.8430932069803814E-3</v>
          </cell>
          <cell r="R22">
            <v>1.1497030497315913E-2</v>
          </cell>
          <cell r="AC22" t="str">
            <v>XS1419646317</v>
          </cell>
          <cell r="AD22" t="str">
            <v>BNP 1 1/2 05/25/28</v>
          </cell>
          <cell r="AE22" t="str">
            <v xml:space="preserve"> </v>
          </cell>
          <cell r="AF22">
            <v>3.4208700000000002E-2</v>
          </cell>
          <cell r="AG22">
            <v>2.3215794187040756E-3</v>
          </cell>
          <cell r="AH22">
            <v>4.3897497042391063E-2</v>
          </cell>
          <cell r="AI22">
            <v>3.2526823369932387E-3</v>
          </cell>
        </row>
        <row r="23">
          <cell r="E23" t="str">
            <v>BNP PARIBAS</v>
          </cell>
          <cell r="F23" t="str">
            <v>Sr Non Preferred</v>
          </cell>
          <cell r="G23" t="str">
            <v>France</v>
          </cell>
          <cell r="H23" t="str">
            <v>A- / Baa1 / A+</v>
          </cell>
          <cell r="I23">
            <v>2.4581489913741032E-2</v>
          </cell>
          <cell r="J23">
            <v>3.4827104178084718E-2</v>
          </cell>
          <cell r="K23">
            <v>3.9665389294784831E-2</v>
          </cell>
          <cell r="L23">
            <v>4.172153802985612E-2</v>
          </cell>
          <cell r="M23">
            <v>4.4334270689990067E-2</v>
          </cell>
          <cell r="N23" t="str">
            <v/>
          </cell>
          <cell r="O23">
            <v>4.754880650625978E-3</v>
          </cell>
          <cell r="P23">
            <v>1.1350905166684902E-2</v>
          </cell>
          <cell r="Q23">
            <v>1.3905728997001357E-2</v>
          </cell>
          <cell r="R23">
            <v>1.631662656425777E-2</v>
          </cell>
          <cell r="AC23" t="str">
            <v>FR001400AKP6</v>
          </cell>
          <cell r="AD23" t="str">
            <v>BNP 2 3/4 07/25/28</v>
          </cell>
          <cell r="AE23">
            <v>46593</v>
          </cell>
          <cell r="AF23">
            <v>4.1047609999999998E-2</v>
          </cell>
          <cell r="AG23">
            <v>-1.3822207052151675E-3</v>
          </cell>
          <cell r="AH23">
            <v>5.1227719323735939E-2</v>
          </cell>
          <cell r="AI23">
            <v>-9.1060212915684835E-4</v>
          </cell>
        </row>
        <row r="24">
          <cell r="E24" t="str">
            <v>BNP PARIBAS</v>
          </cell>
          <cell r="F24" t="str">
            <v>Subordinated</v>
          </cell>
          <cell r="G24" t="str">
            <v>France</v>
          </cell>
          <cell r="H24" t="str">
            <v>BBB+ / Baa2 / A-</v>
          </cell>
          <cell r="I24">
            <v>2.49150918649985E-2</v>
          </cell>
          <cell r="J24">
            <v>3.6603448861328838E-2</v>
          </cell>
          <cell r="K24">
            <v>4.3218388427909926E-2</v>
          </cell>
          <cell r="L24">
            <v>4.6174738027416402E-2</v>
          </cell>
          <cell r="M24">
            <v>4.8686918883721723E-2</v>
          </cell>
          <cell r="N24" t="str">
            <v/>
          </cell>
          <cell r="O24">
            <v>6.5361596978818545E-3</v>
          </cell>
          <cell r="P24">
            <v>1.4921629915607484E-2</v>
          </cell>
          <cell r="Q24">
            <v>1.8387906947662801E-2</v>
          </cell>
          <cell r="R24">
            <v>2.070335959949806E-2</v>
          </cell>
          <cell r="AC24" t="str">
            <v>XS1470601656</v>
          </cell>
          <cell r="AD24" t="str">
            <v>BNP 2 1/4 01/11/27</v>
          </cell>
          <cell r="AE24" t="str">
            <v xml:space="preserve"> </v>
          </cell>
          <cell r="AF24">
            <v>3.6630549999999998E-2</v>
          </cell>
          <cell r="AG24">
            <v>6.5878384279099284E-3</v>
          </cell>
          <cell r="AH24">
            <v>4.7248220294814992E-2</v>
          </cell>
          <cell r="AI24">
            <v>6.5521703926583949E-3</v>
          </cell>
        </row>
        <row r="25">
          <cell r="E25" t="str">
            <v>SOCIETE GENERALE</v>
          </cell>
          <cell r="F25" t="str">
            <v>Sr Preferred</v>
          </cell>
          <cell r="G25" t="str">
            <v>France</v>
          </cell>
          <cell r="H25" t="str">
            <v>A / A1 / A</v>
          </cell>
          <cell r="I25">
            <v>2.4028083475878852E-2</v>
          </cell>
          <cell r="J25">
            <v>3.3574426887769154E-2</v>
          </cell>
          <cell r="K25">
            <v>3.7304012050716359E-2</v>
          </cell>
          <cell r="L25">
            <v>3.8637151824158111E-2</v>
          </cell>
          <cell r="M25">
            <v>4.0447115980779297E-2</v>
          </cell>
          <cell r="N25" t="str">
            <v/>
          </cell>
          <cell r="O25">
            <v>3.5022869470798159E-3</v>
          </cell>
          <cell r="P25">
            <v>8.9841349297393423E-3</v>
          </cell>
          <cell r="Q25">
            <v>1.0803953662208035E-2</v>
          </cell>
          <cell r="R25">
            <v>1.2380720737959974E-2</v>
          </cell>
          <cell r="AC25" t="str">
            <v>FR00140022B3</v>
          </cell>
          <cell r="AD25" t="str">
            <v>SOCGEN 0 1/8 02/18/28</v>
          </cell>
          <cell r="AE25" t="str">
            <v xml:space="preserve"> </v>
          </cell>
          <cell r="AF25">
            <v>3.5034679999999999E-2</v>
          </cell>
          <cell r="AG25">
            <v>2.2693320507163606E-3</v>
          </cell>
          <cell r="AH25">
            <v>4.4542198916978831E-2</v>
          </cell>
          <cell r="AI25">
            <v>3.3930698905862144E-3</v>
          </cell>
        </row>
        <row r="26">
          <cell r="E26" t="str">
            <v>SOCIETE GENERALE</v>
          </cell>
          <cell r="F26" t="str">
            <v>Sr Non Preferred</v>
          </cell>
          <cell r="G26" t="str">
            <v>France</v>
          </cell>
          <cell r="H26" t="str">
            <v>BBB / Baa2 / A-</v>
          </cell>
          <cell r="I26">
            <v>2.4880203449502446E-2</v>
          </cell>
          <cell r="J26">
            <v>3.6031567418771289E-2</v>
          </cell>
          <cell r="K26">
            <v>4.1210318814242086E-2</v>
          </cell>
          <cell r="L26">
            <v>4.3229802649293922E-2</v>
          </cell>
          <cell r="M26">
            <v>4.5859919332679182E-2</v>
          </cell>
          <cell r="N26" t="str">
            <v/>
          </cell>
          <cell r="O26">
            <v>5.9581216472739638E-3</v>
          </cell>
          <cell r="P26">
            <v>1.2895772846482679E-2</v>
          </cell>
          <cell r="Q26">
            <v>1.5416484890739266E-2</v>
          </cell>
          <cell r="R26">
            <v>1.7852458498300718E-2</v>
          </cell>
          <cell r="AC26" t="str">
            <v>FR0013368602</v>
          </cell>
          <cell r="AD26" t="str">
            <v>SOCGEN 2 1/8 09/27/28</v>
          </cell>
          <cell r="AE26" t="str">
            <v xml:space="preserve"> </v>
          </cell>
          <cell r="AF26">
            <v>3.9796329999999998E-2</v>
          </cell>
          <cell r="AG26">
            <v>1.4139888142420884E-3</v>
          </cell>
          <cell r="AH26">
            <v>4.9192308741580731E-2</v>
          </cell>
          <cell r="AI26">
            <v>2.6941197124871336E-3</v>
          </cell>
        </row>
        <row r="27">
          <cell r="E27" t="str">
            <v>SOCIETE GENERALE</v>
          </cell>
          <cell r="F27" t="str">
            <v>Subordinated</v>
          </cell>
          <cell r="G27" t="str">
            <v>France</v>
          </cell>
          <cell r="H27" t="str">
            <v/>
          </cell>
          <cell r="I27">
            <v>2.559368782334542E-2</v>
          </cell>
          <cell r="J27">
            <v>3.8321724354523565E-2</v>
          </cell>
          <cell r="K27">
            <v>4.5375926358484281E-2</v>
          </cell>
          <cell r="L27">
            <v>4.851205316846622E-2</v>
          </cell>
          <cell r="M27">
            <v>5.1075413271476099E-2</v>
          </cell>
          <cell r="N27" t="str">
            <v/>
          </cell>
          <cell r="O27">
            <v>8.2539263928049084E-3</v>
          </cell>
          <cell r="P27">
            <v>1.7078064609011182E-2</v>
          </cell>
          <cell r="Q27">
            <v>2.0726391920565412E-2</v>
          </cell>
          <cell r="R27">
            <v>2.3101999711981732E-2</v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</row>
        <row r="28">
          <cell r="E28" t="str">
            <v xml:space="preserve">                                          GERMANY</v>
          </cell>
        </row>
        <row r="29">
          <cell r="E29" t="str">
            <v>COMMERZBANK Aktiengesellschaft</v>
          </cell>
          <cell r="F29" t="str">
            <v>Sr Preferred</v>
          </cell>
          <cell r="G29" t="str">
            <v>Germany</v>
          </cell>
          <cell r="H29" t="str">
            <v>BBB+ / A2 / WD</v>
          </cell>
          <cell r="I29">
            <v>2.2886987018006347E-2</v>
          </cell>
          <cell r="J29">
            <v>3.2410409710064071E-2</v>
          </cell>
          <cell r="K29">
            <v>3.658185908233904E-2</v>
          </cell>
          <cell r="L29">
            <v>3.8809941045494074E-2</v>
          </cell>
          <cell r="M29">
            <v>4.0840124045201973E-2</v>
          </cell>
          <cell r="N29" t="str">
            <v/>
          </cell>
          <cell r="O29">
            <v>2.3373735922405212E-3</v>
          </cell>
          <cell r="P29">
            <v>8.2606448605216688E-3</v>
          </cell>
          <cell r="Q29">
            <v>1.0981931231664932E-2</v>
          </cell>
          <cell r="R29">
            <v>1.2784349699814943E-2</v>
          </cell>
          <cell r="AC29" t="str">
            <v>DE000CZ45V82</v>
          </cell>
          <cell r="AD29" t="str">
            <v>CMZB 0 3/8 09/01/27</v>
          </cell>
          <cell r="AE29" t="str">
            <v xml:space="preserve"> </v>
          </cell>
          <cell r="AF29">
            <v>3.2230430000000004E-2</v>
          </cell>
          <cell r="AG29">
            <v>4.3514290823390353E-3</v>
          </cell>
          <cell r="AH29">
            <v>4.2301686117966898E-2</v>
          </cell>
          <cell r="AI29">
            <v>4.8782825310816E-3</v>
          </cell>
        </row>
        <row r="30">
          <cell r="E30" t="str">
            <v>COMMERZBANK Aktiengesellschaft</v>
          </cell>
          <cell r="F30" t="str">
            <v>Sr Non Preferred</v>
          </cell>
          <cell r="G30" t="str">
            <v>Germany</v>
          </cell>
          <cell r="H30" t="str">
            <v>BBB- / Baa2 / WD</v>
          </cell>
          <cell r="I30">
            <v>2.5572849244136067E-2</v>
          </cell>
          <cell r="J30">
            <v>3.7110579889470495E-2</v>
          </cell>
          <cell r="K30">
            <v>4.2453923995696898E-2</v>
          </cell>
          <cell r="L30">
            <v>4.4955371887702988E-2</v>
          </cell>
          <cell r="M30">
            <v>4.7838772345549813E-2</v>
          </cell>
          <cell r="N30" t="str">
            <v/>
          </cell>
          <cell r="O30">
            <v>7.0364689732859698E-3</v>
          </cell>
          <cell r="P30">
            <v>1.4138633633259597E-2</v>
          </cell>
          <cell r="Q30">
            <v>1.7146002894802014E-2</v>
          </cell>
          <cell r="R30">
            <v>1.9845519145668369E-2</v>
          </cell>
          <cell r="AC30" t="str">
            <v>DE000CZ40MM4</v>
          </cell>
          <cell r="AD30" t="str">
            <v>CMZB 1 7/8 02/28/28</v>
          </cell>
          <cell r="AE30" t="str">
            <v xml:space="preserve"> </v>
          </cell>
          <cell r="AF30">
            <v>4.1792360000000001E-2</v>
          </cell>
          <cell r="AG30">
            <v>6.6156399569689689E-4</v>
          </cell>
          <cell r="AH30">
            <v>5.1220427865423135E-2</v>
          </cell>
          <cell r="AI30">
            <v>1.9378695152503858E-3</v>
          </cell>
        </row>
        <row r="31">
          <cell r="E31" t="str">
            <v>COMMERZBANK Aktiengesellschaft</v>
          </cell>
          <cell r="F31" t="str">
            <v>Subordinated</v>
          </cell>
          <cell r="G31" t="str">
            <v>Germany</v>
          </cell>
          <cell r="H31" t="str">
            <v>BB+ / Baa3 / WD</v>
          </cell>
          <cell r="I31">
            <v>2.7397326009563319E-2</v>
          </cell>
          <cell r="J31">
            <v>4.3674833798871597E-2</v>
          </cell>
          <cell r="K31">
            <v>5.2500987628084111E-2</v>
          </cell>
          <cell r="L31">
            <v>5.612363136990791E-2</v>
          </cell>
          <cell r="M31">
            <v>5.9112894953013362E-2</v>
          </cell>
          <cell r="N31" t="str">
            <v/>
          </cell>
          <cell r="O31">
            <v>1.3600069830504366E-2</v>
          </cell>
          <cell r="P31">
            <v>2.4188875944130109E-2</v>
          </cell>
          <cell r="Q31">
            <v>2.8325390637561114E-2</v>
          </cell>
          <cell r="R31">
            <v>3.1153641089321206E-2</v>
          </cell>
          <cell r="AC31" t="str">
            <v>DE000CZ40LW5</v>
          </cell>
          <cell r="AD31" t="str">
            <v>CMZB 4 03/30/27</v>
          </cell>
          <cell r="AE31" t="str">
            <v xml:space="preserve"> </v>
          </cell>
          <cell r="AF31">
            <v>4.1378749999999999E-2</v>
          </cell>
          <cell r="AG31">
            <v>1.1122237628084113E-2</v>
          </cell>
          <cell r="AH31">
            <v>5.2178078991945126E-2</v>
          </cell>
          <cell r="AI31">
            <v>1.0976101988232789E-2</v>
          </cell>
        </row>
        <row r="32">
          <cell r="E32" t="str">
            <v xml:space="preserve">                                          ITALY</v>
          </cell>
        </row>
        <row r="33">
          <cell r="E33" t="str">
            <v>MEDIOBANCA BANCA DI CREDITO FINANZIARIO SOCIETA PER AZIONI</v>
          </cell>
          <cell r="F33" t="str">
            <v>Sr Preferred</v>
          </cell>
          <cell r="G33" t="str">
            <v>Italy</v>
          </cell>
          <cell r="H33" t="str">
            <v>BBB / Baa1 / BBB</v>
          </cell>
          <cell r="I33">
            <v>2.5832268712679001E-2</v>
          </cell>
          <cell r="J33">
            <v>3.6905603212456145E-2</v>
          </cell>
          <cell r="K33">
            <v>4.1715638995842672E-2</v>
          </cell>
          <cell r="L33">
            <v>4.3690261785493886E-2</v>
          </cell>
          <cell r="M33">
            <v>4.6186008114061171E-2</v>
          </cell>
          <cell r="N33" t="str">
            <v/>
          </cell>
          <cell r="O33">
            <v>6.8321599789112845E-3</v>
          </cell>
          <cell r="P33">
            <v>1.3400683988762783E-2</v>
          </cell>
          <cell r="Q33">
            <v>1.587804188688291E-2</v>
          </cell>
          <cell r="R33">
            <v>1.8179613207448937E-2</v>
          </cell>
          <cell r="AC33" t="str">
            <v>XS2431320378</v>
          </cell>
          <cell r="AD33" t="str">
            <v>BACRED 1 07/17/29</v>
          </cell>
          <cell r="AE33">
            <v>46951</v>
          </cell>
          <cell r="AF33">
            <v>4.4464839999999999E-2</v>
          </cell>
          <cell r="AG33">
            <v>-2.749201004157327E-3</v>
          </cell>
          <cell r="AH33">
            <v>5.303773610797461E-2</v>
          </cell>
          <cell r="AI33">
            <v>-6.1671354142983636E-4</v>
          </cell>
        </row>
        <row r="34">
          <cell r="E34" t="str">
            <v>MEDIOBANCA BANCA DI CREDITO FINANZIARIO SOCIETA PER AZIONI</v>
          </cell>
          <cell r="F34" t="str">
            <v>Sr Non Preferred</v>
          </cell>
          <cell r="G34" t="str">
            <v>Italy</v>
          </cell>
          <cell r="H34" t="str">
            <v>BBB- / Baa3 / BBB-</v>
          </cell>
          <cell r="I34">
            <v>2.6706092910026943E-2</v>
          </cell>
          <cell r="J34">
            <v>3.9520463666107022E-2</v>
          </cell>
          <cell r="K34">
            <v>4.5678892205886119E-2</v>
          </cell>
          <cell r="L34">
            <v>4.8432094567694976E-2</v>
          </cell>
          <cell r="M34">
            <v>5.1207795093424109E-2</v>
          </cell>
          <cell r="N34" t="str">
            <v/>
          </cell>
          <cell r="O34">
            <v>9.4430070063949434E-3</v>
          </cell>
          <cell r="P34">
            <v>1.7358850358949095E-2</v>
          </cell>
          <cell r="Q34">
            <v>2.0620451069468679E-2</v>
          </cell>
          <cell r="R34">
            <v>2.3225454573417695E-2</v>
          </cell>
          <cell r="AC34" t="str">
            <v>XS2386287689</v>
          </cell>
          <cell r="AD34" t="str">
            <v>BACRED 0 3/4 11/02/28</v>
          </cell>
          <cell r="AE34">
            <v>46693</v>
          </cell>
          <cell r="AF34">
            <v>4.7309529999999995E-2</v>
          </cell>
          <cell r="AG34">
            <v>-1.6306377941138761E-3</v>
          </cell>
          <cell r="AH34">
            <v>5.5918769991195216E-2</v>
          </cell>
          <cell r="AI34">
            <v>5.1642350656590924E-4</v>
          </cell>
        </row>
        <row r="35">
          <cell r="E35" t="str">
            <v>MEDIOBANCA BANCA DI CREDITO FINANZIARIO SOCIETA PER AZIONI</v>
          </cell>
          <cell r="F35" t="str">
            <v>Subordinated</v>
          </cell>
          <cell r="G35" t="str">
            <v>Italy</v>
          </cell>
          <cell r="H35" t="str">
            <v>BB+ /  / BB+</v>
          </cell>
          <cell r="I35">
            <v>2.7756957227463037E-2</v>
          </cell>
          <cell r="J35">
            <v>4.3500542166285891E-2</v>
          </cell>
          <cell r="K35">
            <v>5.1818737403277866E-2</v>
          </cell>
          <cell r="L35">
            <v>5.534511894430362E-2</v>
          </cell>
          <cell r="M35">
            <v>5.852363039679688E-2</v>
          </cell>
          <cell r="N35" t="str">
            <v/>
          </cell>
          <cell r="O35">
            <v>1.3426691532759712E-2</v>
          </cell>
          <cell r="P35">
            <v>2.3508967568964582E-2</v>
          </cell>
          <cell r="Q35">
            <v>2.7549422495024636E-2</v>
          </cell>
          <cell r="R35">
            <v>3.0565509770724308E-2</v>
          </cell>
          <cell r="AC35" t="str">
            <v>IT0005188351</v>
          </cell>
          <cell r="AD35" t="str">
            <v>BACRED 3 3/4 06/16/26</v>
          </cell>
          <cell r="AE35" t="str">
            <v>..</v>
          </cell>
          <cell r="AF35">
            <v>4.0121079999999996E-2</v>
          </cell>
          <cell r="AG35">
            <v>1.169765740327787E-2</v>
          </cell>
          <cell r="AH35">
            <v>5.161760403621251E-2</v>
          </cell>
          <cell r="AI35">
            <v>1.0855441594098979E-2</v>
          </cell>
        </row>
        <row r="36">
          <cell r="E36" t="str">
            <v>INTESA SANPAOLO SPA</v>
          </cell>
          <cell r="F36" t="str">
            <v>Sr Preferred</v>
          </cell>
          <cell r="G36" t="str">
            <v>Italy</v>
          </cell>
          <cell r="H36" t="str">
            <v>BBB / Baa1 / BBB</v>
          </cell>
          <cell r="I36">
            <v>2.5799977244031064E-2</v>
          </cell>
          <cell r="J36">
            <v>3.6626597570984805E-2</v>
          </cell>
          <cell r="K36">
            <v>4.1113364127725184E-2</v>
          </cell>
          <cell r="L36">
            <v>4.3183654517696457E-2</v>
          </cell>
          <cell r="M36">
            <v>4.5720608677755604E-2</v>
          </cell>
          <cell r="N36" t="str">
            <v/>
          </cell>
          <cell r="O36">
            <v>6.5537022921982047E-3</v>
          </cell>
          <cell r="P36">
            <v>1.2798206251995821E-2</v>
          </cell>
          <cell r="Q36">
            <v>1.5371338278022428E-2</v>
          </cell>
          <cell r="R36">
            <v>1.7712121197686642E-2</v>
          </cell>
          <cell r="AC36" t="str">
            <v>XS2317069685</v>
          </cell>
          <cell r="AD36" t="str">
            <v>ISPIM 0 3/4 03/16/28</v>
          </cell>
          <cell r="AE36" t="str">
            <v xml:space="preserve"> </v>
          </cell>
          <cell r="AF36">
            <v>4.0820369999999995E-2</v>
          </cell>
          <cell r="AG36">
            <v>2.9299412772518935E-4</v>
          </cell>
          <cell r="AH36">
            <v>4.9861345073445994E-2</v>
          </cell>
          <cell r="AI36">
            <v>1.9532262460198666E-3</v>
          </cell>
        </row>
        <row r="37">
          <cell r="E37" t="str">
            <v>INTESA SANPAOLO SPA</v>
          </cell>
          <cell r="F37" t="str">
            <v>Sr Non Preferred</v>
          </cell>
          <cell r="G37" t="str">
            <v>Italy</v>
          </cell>
          <cell r="H37" t="str">
            <v>BBB- / Baa3 / BBB-</v>
          </cell>
          <cell r="I37">
            <v>2.6833087919398032E-2</v>
          </cell>
          <cell r="J37">
            <v>4.0271180879104286E-2</v>
          </cell>
          <cell r="K37">
            <v>4.6569984655530167E-2</v>
          </cell>
          <cell r="L37">
            <v>4.9283142184290411E-2</v>
          </cell>
          <cell r="M37">
            <v>5.2183756184802102E-2</v>
          </cell>
          <cell r="N37" t="str">
            <v/>
          </cell>
          <cell r="O37">
            <v>1.01919135859013E-2</v>
          </cell>
          <cell r="P37">
            <v>1.8247086040563489E-2</v>
          </cell>
          <cell r="Q37">
            <v>2.1468849737918259E-2</v>
          </cell>
          <cell r="R37">
            <v>2.4203255993620873E-2</v>
          </cell>
          <cell r="AC37" t="str">
            <v>XS2529233814</v>
          </cell>
          <cell r="AD37" t="str">
            <v>ISPIM 4 3/4 09/06/27</v>
          </cell>
          <cell r="AE37" t="str">
            <v xml:space="preserve"> </v>
          </cell>
          <cell r="AF37">
            <v>4.2851439999999998E-2</v>
          </cell>
          <cell r="AG37">
            <v>3.7185446555301691E-3</v>
          </cell>
          <cell r="AH37">
            <v>5.3654026615545997E-2</v>
          </cell>
          <cell r="AI37">
            <v>3.688642845082267E-3</v>
          </cell>
        </row>
        <row r="38">
          <cell r="E38" t="str">
            <v>INTESA SANPAOLO SPA</v>
          </cell>
          <cell r="F38" t="str">
            <v>Subordinated</v>
          </cell>
          <cell r="G38" t="str">
            <v>Italy</v>
          </cell>
          <cell r="H38" t="str">
            <v/>
          </cell>
          <cell r="I38">
            <v>2.8007787813747183E-2</v>
          </cell>
          <cell r="J38">
            <v>4.5160554573762259E-2</v>
          </cell>
          <cell r="K38">
            <v>5.4436773224306685E-2</v>
          </cell>
          <cell r="L38">
            <v>5.8334333362204754E-2</v>
          </cell>
          <cell r="M38">
            <v>6.1632526126197434E-2</v>
          </cell>
          <cell r="N38" t="str">
            <v/>
          </cell>
          <cell r="O38">
            <v>1.5083406744000008E-2</v>
          </cell>
          <cell r="P38">
            <v>2.6119038955728636E-2</v>
          </cell>
          <cell r="Q38">
            <v>3.0530019862828203E-2</v>
          </cell>
          <cell r="R38">
            <v>3.3674592728924188E-2</v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</row>
        <row r="39">
          <cell r="E39" t="str">
            <v>UNICREDIT, SOCIETA PER AZIONI</v>
          </cell>
          <cell r="F39" t="str">
            <v>Sr Preferred</v>
          </cell>
          <cell r="G39" t="str">
            <v>Italy</v>
          </cell>
          <cell r="H39" t="str">
            <v>BBB / Baa1 / BBB</v>
          </cell>
          <cell r="I39">
            <v>2.6273778888252393E-2</v>
          </cell>
          <cell r="J39">
            <v>3.7751781545843847E-2</v>
          </cell>
          <cell r="K39">
            <v>4.2562402037929215E-2</v>
          </cell>
          <cell r="L39">
            <v>4.4469609431754951E-2</v>
          </cell>
          <cell r="M39">
            <v>4.7044483977092266E-2</v>
          </cell>
          <cell r="N39" t="str">
            <v/>
          </cell>
          <cell r="O39">
            <v>7.6774773502249292E-3</v>
          </cell>
          <cell r="P39">
            <v>1.4246867457298879E-2</v>
          </cell>
          <cell r="Q39">
            <v>1.6657955721079257E-2</v>
          </cell>
          <cell r="R39">
            <v>1.9043144697229994E-2</v>
          </cell>
          <cell r="AC39" t="str">
            <v>XS2200176050</v>
          </cell>
          <cell r="AD39" t="str">
            <v>UCGIM 1.373 07/08/27</v>
          </cell>
          <cell r="AE39">
            <v>46211</v>
          </cell>
          <cell r="AF39">
            <v>4.1020329999999994E-2</v>
          </cell>
          <cell r="AG39">
            <v>1.5420720379292208E-3</v>
          </cell>
          <cell r="AH39">
            <v>5.1756678658660855E-2</v>
          </cell>
          <cell r="AI39">
            <v>1.5305293678834833E-3</v>
          </cell>
        </row>
        <row r="40">
          <cell r="E40" t="str">
            <v>UNICREDIT, SOCIETA PER AZIONI</v>
          </cell>
          <cell r="F40" t="str">
            <v>Sr Non Preferred</v>
          </cell>
          <cell r="G40" t="str">
            <v>Italy</v>
          </cell>
          <cell r="H40" t="str">
            <v>BBB- / Baa3 / BBB-</v>
          </cell>
          <cell r="I40">
            <v>2.7435510284004525E-2</v>
          </cell>
          <cell r="J40">
            <v>4.110610235065898E-2</v>
          </cell>
          <cell r="K40">
            <v>4.7653330589646423E-2</v>
          </cell>
          <cell r="L40">
            <v>5.0375268998111893E-2</v>
          </cell>
          <cell r="M40">
            <v>5.3114475824778892E-2</v>
          </cell>
          <cell r="N40" t="str">
            <v/>
          </cell>
          <cell r="O40">
            <v>1.1025611851073031E-2</v>
          </cell>
          <cell r="P40">
            <v>1.9327947511760011E-2</v>
          </cell>
          <cell r="Q40">
            <v>2.2558522680824727E-2</v>
          </cell>
          <cell r="R40">
            <v>2.5134223465075978E-2</v>
          </cell>
          <cell r="AC40" t="str">
            <v>XS2555420103</v>
          </cell>
          <cell r="AD40" t="str">
            <v>UCGIM 5.85 11/15/27</v>
          </cell>
          <cell r="AE40">
            <v>46341</v>
          </cell>
          <cell r="AF40">
            <v>4.7463249999999998E-2</v>
          </cell>
          <cell r="AG40">
            <v>1.9008058964642416E-4</v>
          </cell>
          <cell r="AH40">
            <v>5.9213252031621616E-2</v>
          </cell>
          <cell r="AI40">
            <v>-7.6696625899701915E-4</v>
          </cell>
        </row>
        <row r="41">
          <cell r="E41" t="str">
            <v>UNICREDIT, SOCIETA PER AZIONI</v>
          </cell>
          <cell r="F41" t="str">
            <v>Subordinated</v>
          </cell>
          <cell r="G41" t="str">
            <v>Italy</v>
          </cell>
          <cell r="H41" t="str">
            <v/>
          </cell>
          <cell r="I41">
            <v>2.829195443806555E-2</v>
          </cell>
          <cell r="J41">
            <v>4.6602909437506279E-2</v>
          </cell>
          <cell r="K41">
            <v>5.6002827794554975E-2</v>
          </cell>
          <cell r="L41">
            <v>5.9702255641528763E-2</v>
          </cell>
          <cell r="M41">
            <v>6.2665571284180599E-2</v>
          </cell>
          <cell r="N41" t="str">
            <v/>
          </cell>
          <cell r="O41">
            <v>1.6522856768567674E-2</v>
          </cell>
          <cell r="P41">
            <v>2.7678067565454642E-2</v>
          </cell>
          <cell r="Q41">
            <v>3.1891133198141401E-2</v>
          </cell>
          <cell r="R41">
            <v>3.4703226522684386E-2</v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</row>
        <row r="42">
          <cell r="E42" t="str">
            <v xml:space="preserve">                                          SPAIN</v>
          </cell>
        </row>
        <row r="43">
          <cell r="E43" t="str">
            <v>BANCO BILBAO VIZCAYA ARGENTARIA, SOCIEDAD ANONIMA</v>
          </cell>
          <cell r="F43" t="str">
            <v>Sr Preferred</v>
          </cell>
          <cell r="G43" t="str">
            <v>Spain</v>
          </cell>
          <cell r="H43" t="str">
            <v>A / A3 / A-</v>
          </cell>
          <cell r="I43">
            <v>2.3755883037481884E-2</v>
          </cell>
          <cell r="J43">
            <v>3.3496269875029711E-2</v>
          </cell>
          <cell r="K43">
            <v>3.7404934960156837E-2</v>
          </cell>
          <cell r="L43">
            <v>3.9052422619474947E-2</v>
          </cell>
          <cell r="M43">
            <v>4.1034495695554993E-2</v>
          </cell>
          <cell r="N43" t="str">
            <v/>
          </cell>
          <cell r="O43">
            <v>3.4239808021377513E-3</v>
          </cell>
          <cell r="P43">
            <v>9.0853099650904968E-3</v>
          </cell>
          <cell r="Q43">
            <v>1.1223063367590594E-2</v>
          </cell>
          <cell r="R43">
            <v>1.2977753132364808E-2</v>
          </cell>
          <cell r="AC43" t="str">
            <v>XS2534785865</v>
          </cell>
          <cell r="AD43" t="str">
            <v>BBVASM 3 3/8 09/20/27</v>
          </cell>
          <cell r="AE43" t="str">
            <v xml:space="preserve"> </v>
          </cell>
          <cell r="AF43">
            <v>3.6592739999999999E-2</v>
          </cell>
          <cell r="AG43">
            <v>8.1219496015683817E-4</v>
          </cell>
          <cell r="AH43">
            <v>4.6972000296314605E-2</v>
          </cell>
          <cell r="AI43">
            <v>1.0595695888028153E-3</v>
          </cell>
        </row>
        <row r="44">
          <cell r="E44" t="str">
            <v>BANCO BILBAO VIZCAYA ARGENTARIA, SOCIEDAD ANONIMA</v>
          </cell>
          <cell r="F44" t="str">
            <v>Sr Non Preferred</v>
          </cell>
          <cell r="G44" t="str">
            <v>Spain</v>
          </cell>
          <cell r="H44" t="str">
            <v>BBB+ / Baa2 / BBB+</v>
          </cell>
          <cell r="I44">
            <v>2.5143468488444367E-2</v>
          </cell>
          <cell r="J44">
            <v>3.555990194519635E-2</v>
          </cell>
          <cell r="K44">
            <v>4.0788227194096742E-2</v>
          </cell>
          <cell r="L44">
            <v>4.3353923456061816E-2</v>
          </cell>
          <cell r="M44">
            <v>4.5980872767537061E-2</v>
          </cell>
          <cell r="N44" t="str">
            <v/>
          </cell>
          <cell r="O44">
            <v>5.4876315985218551E-3</v>
          </cell>
          <cell r="P44">
            <v>1.2475107160860359E-2</v>
          </cell>
          <cell r="Q44">
            <v>1.5544773087238981E-2</v>
          </cell>
          <cell r="R44">
            <v>1.7977534803435162E-2</v>
          </cell>
          <cell r="AC44" t="str">
            <v>XS2101349723</v>
          </cell>
          <cell r="AD44" t="str">
            <v>BBVASM 0 1/2 01/14/27</v>
          </cell>
          <cell r="AE44" t="str">
            <v xml:space="preserve"> </v>
          </cell>
          <cell r="AF44">
            <v>3.6037979999999997E-2</v>
          </cell>
          <cell r="AG44">
            <v>4.7502471940967447E-3</v>
          </cell>
          <cell r="AH44">
            <v>4.6277363832725266E-2</v>
          </cell>
          <cell r="AI44">
            <v>5.1812051809618925E-3</v>
          </cell>
        </row>
        <row r="45">
          <cell r="E45" t="str">
            <v>BANCO BILBAO VIZCAYA ARGENTARIA, SOCIEDAD ANONIMA</v>
          </cell>
          <cell r="F45" t="str">
            <v>Subordinated</v>
          </cell>
          <cell r="G45" t="str">
            <v>Spain</v>
          </cell>
          <cell r="H45" t="str">
            <v>BBB / Baa2 / BBB-</v>
          </cell>
          <cell r="I45">
            <v>2.6865374881079013E-2</v>
          </cell>
          <cell r="J45">
            <v>4.0987288021675901E-2</v>
          </cell>
          <cell r="K45">
            <v>4.8409130500656615E-2</v>
          </cell>
          <cell r="L45">
            <v>5.1907733448232282E-2</v>
          </cell>
          <cell r="M45">
            <v>5.4982600017129596E-2</v>
          </cell>
          <cell r="N45" t="str">
            <v/>
          </cell>
          <cell r="O45">
            <v>1.0917330074369328E-2</v>
          </cell>
          <cell r="P45">
            <v>2.0107315586182395E-2</v>
          </cell>
          <cell r="Q45">
            <v>2.4120140102332946E-2</v>
          </cell>
          <cell r="R45">
            <v>2.7021913378875842E-2</v>
          </cell>
          <cell r="AC45" t="str">
            <v>XS1562614831</v>
          </cell>
          <cell r="AD45" t="str">
            <v>BBVASM 3 1/2 02/10/27</v>
          </cell>
          <cell r="AE45" t="str">
            <v xml:space="preserve"> </v>
          </cell>
          <cell r="AF45">
            <v>3.7771859999999997E-2</v>
          </cell>
          <cell r="AG45">
            <v>1.0637270500656618E-2</v>
          </cell>
          <cell r="AH45">
            <v>4.8545191726819752E-2</v>
          </cell>
          <cell r="AI45">
            <v>1.0494309325069985E-2</v>
          </cell>
        </row>
        <row r="46">
          <cell r="E46" t="str">
            <v>BANCO SANTANDER, S.A.</v>
          </cell>
          <cell r="F46" t="str">
            <v>Sr Preferred</v>
          </cell>
          <cell r="G46" t="str">
            <v>Spain</v>
          </cell>
          <cell r="H46" t="str">
            <v>A+ / A2 / A</v>
          </cell>
          <cell r="I46">
            <v>2.4099239734272047E-2</v>
          </cell>
          <cell r="J46">
            <v>3.3904989376879774E-2</v>
          </cell>
          <cell r="K46">
            <v>3.7767660105061059E-2</v>
          </cell>
          <cell r="L46">
            <v>3.9261525777674722E-2</v>
          </cell>
          <cell r="M46">
            <v>4.118838179105181E-2</v>
          </cell>
          <cell r="N46" t="str">
            <v/>
          </cell>
          <cell r="O46">
            <v>3.8329920700505217E-3</v>
          </cell>
          <cell r="P46">
            <v>9.4486716035036018E-3</v>
          </cell>
          <cell r="Q46">
            <v>1.143245437986117E-2</v>
          </cell>
          <cell r="R46">
            <v>1.3132484310713552E-2</v>
          </cell>
          <cell r="AC46" t="str">
            <v>XS2298304499</v>
          </cell>
          <cell r="AD46" t="str">
            <v>SANTAN 0.2 02/11/28</v>
          </cell>
          <cell r="AE46" t="str">
            <v xml:space="preserve"> </v>
          </cell>
          <cell r="AF46">
            <v>3.7600949999999994E-2</v>
          </cell>
          <cell r="AG46">
            <v>1.6671010506106448E-4</v>
          </cell>
          <cell r="AH46">
            <v>4.6887623645634792E-2</v>
          </cell>
          <cell r="AI46">
            <v>1.5159793221539708E-3</v>
          </cell>
        </row>
        <row r="47">
          <cell r="E47" t="str">
            <v>BANCO SANTANDER, S.A.</v>
          </cell>
          <cell r="F47" t="str">
            <v>Sr Non Preferred</v>
          </cell>
          <cell r="G47" t="str">
            <v>Spain</v>
          </cell>
          <cell r="H47" t="str">
            <v>A- / Baa1 / A-</v>
          </cell>
          <cell r="I47">
            <v>2.5216281526407602E-2</v>
          </cell>
          <cell r="J47">
            <v>3.5996525840079285E-2</v>
          </cell>
          <cell r="K47">
            <v>4.1301290240606595E-2</v>
          </cell>
          <cell r="L47">
            <v>4.3083880479856292E-2</v>
          </cell>
          <cell r="M47">
            <v>4.5352979749933901E-2</v>
          </cell>
          <cell r="N47" t="str">
            <v/>
          </cell>
          <cell r="O47">
            <v>5.9237248967195649E-3</v>
          </cell>
          <cell r="P47">
            <v>1.2987684260509093E-2</v>
          </cell>
          <cell r="Q47">
            <v>1.5270028129568021E-2</v>
          </cell>
          <cell r="R47">
            <v>1.7340129845393057E-2</v>
          </cell>
          <cell r="AC47" t="str">
            <v>US05964HAS40</v>
          </cell>
          <cell r="AD47" t="str">
            <v>SANTAN 5.294 08/18/27</v>
          </cell>
          <cell r="AE47" t="str">
            <v xml:space="preserve"> </v>
          </cell>
          <cell r="AF47">
            <v>4.1931598626669973E-2</v>
          </cell>
          <cell r="AG47">
            <v>-6.3030838606337874E-4</v>
          </cell>
          <cell r="AH47">
            <v>5.249268E-2</v>
          </cell>
          <cell r="AI47">
            <v>-5.1202051799981857E-4</v>
          </cell>
        </row>
        <row r="48">
          <cell r="E48" t="str">
            <v>BANCO SANTANDER, S.A.</v>
          </cell>
          <cell r="F48" t="str">
            <v>Subordinated</v>
          </cell>
          <cell r="G48" t="str">
            <v>Spain</v>
          </cell>
          <cell r="H48" t="str">
            <v>BBB+ / Baa2 / BBB</v>
          </cell>
          <cell r="I48">
            <v>2.6872381396496385E-2</v>
          </cell>
          <cell r="J48">
            <v>4.0487144819313571E-2</v>
          </cell>
          <cell r="K48">
            <v>4.7528869450176391E-2</v>
          </cell>
          <cell r="L48">
            <v>5.075406959453254E-2</v>
          </cell>
          <cell r="M48">
            <v>5.3569050317836195E-2</v>
          </cell>
          <cell r="N48" t="str">
            <v/>
          </cell>
          <cell r="O48">
            <v>1.0417895155669054E-2</v>
          </cell>
          <cell r="P48">
            <v>1.9228548688877606E-2</v>
          </cell>
          <cell r="Q48">
            <v>2.2967524674362597E-2</v>
          </cell>
          <cell r="R48">
            <v>2.5603904457898362E-2</v>
          </cell>
          <cell r="AC48" t="str">
            <v>XS1548444816</v>
          </cell>
          <cell r="AD48" t="str">
            <v>SANTAN 3 1/8 01/19/27</v>
          </cell>
          <cell r="AE48" t="str">
            <v xml:space="preserve"> </v>
          </cell>
          <cell r="AF48">
            <v>4.0092930000000006E-2</v>
          </cell>
          <cell r="AG48">
            <v>7.4359394501763848E-3</v>
          </cell>
          <cell r="AH48">
            <v>5.0784840456511618E-2</v>
          </cell>
          <cell r="AI48">
            <v>7.3745115992034302E-3</v>
          </cell>
        </row>
        <row r="49">
          <cell r="E49" t="str">
            <v xml:space="preserve">                                          SWITZERLAND </v>
          </cell>
        </row>
        <row r="50">
          <cell r="E50" t="str">
            <v>UBS AG</v>
          </cell>
          <cell r="F50" t="str">
            <v>Opco Senior</v>
          </cell>
          <cell r="G50" t="str">
            <v>Switzerland</v>
          </cell>
          <cell r="H50" t="str">
            <v>A+ / Aa3 / AA-</v>
          </cell>
          <cell r="I50">
            <v>2.4616895858661596E-2</v>
          </cell>
          <cell r="J50">
            <v>3.4086433430084412E-2</v>
          </cell>
          <cell r="K50">
            <v>3.7766495835927401E-2</v>
          </cell>
          <cell r="L50">
            <v>3.9065962836844527E-2</v>
          </cell>
          <cell r="M50">
            <v>4.1026849837432232E-2</v>
          </cell>
          <cell r="N50" t="str">
            <v/>
          </cell>
          <cell r="O50">
            <v>4.0147255198993738E-3</v>
          </cell>
          <cell r="P50">
            <v>9.4479970035640515E-3</v>
          </cell>
          <cell r="Q50">
            <v>1.123559927559244E-2</v>
          </cell>
          <cell r="R50">
            <v>1.2968786864261289E-2</v>
          </cell>
          <cell r="AC50" t="str">
            <v>XS2358287238</v>
          </cell>
          <cell r="AD50" t="str">
            <v>UBS 0.01 06/29/26</v>
          </cell>
          <cell r="AE50" t="str">
            <v xml:space="preserve"> </v>
          </cell>
          <cell r="AF50">
            <v>3.572169E-2</v>
          </cell>
          <cell r="AG50">
            <v>2.0448058359274005E-3</v>
          </cell>
          <cell r="AH50">
            <v>4.6602250139338566E-2</v>
          </cell>
          <cell r="AI50">
            <v>1.8084979310205307E-3</v>
          </cell>
        </row>
        <row r="51">
          <cell r="E51" t="str">
            <v>UBS AG</v>
          </cell>
          <cell r="F51" t="str">
            <v>Opco Subord.</v>
          </cell>
          <cell r="G51" t="str">
            <v>Switzerland</v>
          </cell>
          <cell r="H51" t="str">
            <v xml:space="preserve"> / A3 / A-</v>
          </cell>
          <cell r="I51">
            <v>2.60735779598536E-2</v>
          </cell>
          <cell r="J51">
            <v>3.8839356245818836E-2</v>
          </cell>
          <cell r="K51">
            <v>4.5474768018684844E-2</v>
          </cell>
          <cell r="L51">
            <v>4.7702747032113461E-2</v>
          </cell>
          <cell r="M51">
            <v>5.0183563634939136E-2</v>
          </cell>
          <cell r="N51" t="str">
            <v/>
          </cell>
          <cell r="O51">
            <v>8.7713526372077862E-3</v>
          </cell>
          <cell r="P51">
            <v>1.7177299411830514E-2</v>
          </cell>
          <cell r="Q51">
            <v>1.9914061084298711E-2</v>
          </cell>
          <cell r="R51">
            <v>2.2203565552402379E-2</v>
          </cell>
          <cell r="AC51" t="str">
            <v>XS0062270581</v>
          </cell>
          <cell r="AD51" t="str">
            <v>UBS 8 3/4 12/18/25</v>
          </cell>
          <cell r="AE51" t="str">
            <v xml:space="preserve"> </v>
          </cell>
          <cell r="AF51">
            <v>4.4544508576297021E-2</v>
          </cell>
          <cell r="AG51">
            <v>9.3025944238782354E-4</v>
          </cell>
          <cell r="AH51">
            <v>5.6790185234264844E-2</v>
          </cell>
          <cell r="AI51">
            <v>-7.0540709834053528E-4</v>
          </cell>
        </row>
        <row r="52">
          <cell r="E52" t="str">
            <v>UBS Group AG</v>
          </cell>
          <cell r="F52" t="str">
            <v>Holdco Senior</v>
          </cell>
          <cell r="G52" t="str">
            <v>Switzerland</v>
          </cell>
          <cell r="H52" t="str">
            <v>A- /  / A+</v>
          </cell>
          <cell r="I52">
            <v>2.4176739385252076E-2</v>
          </cell>
          <cell r="J52">
            <v>3.4184354745585711E-2</v>
          </cell>
          <cell r="K52">
            <v>3.8639505692991738E-2</v>
          </cell>
          <cell r="L52">
            <v>4.0574512570949413E-2</v>
          </cell>
          <cell r="M52">
            <v>4.317325404290135E-2</v>
          </cell>
          <cell r="N52" t="str">
            <v/>
          </cell>
          <cell r="O52">
            <v>4.1120973577425017E-3</v>
          </cell>
          <cell r="P52">
            <v>1.0323210334693748E-2</v>
          </cell>
          <cell r="Q52">
            <v>1.2754109341056948E-2</v>
          </cell>
          <cell r="R52">
            <v>1.5144954202384615E-2</v>
          </cell>
          <cell r="AC52" t="str">
            <v>US902613AH15</v>
          </cell>
          <cell r="AD52" t="str">
            <v>UBS 1.494 08/10/27</v>
          </cell>
          <cell r="AE52">
            <v>46244</v>
          </cell>
          <cell r="AF52">
            <v>4.0564719119086184E-2</v>
          </cell>
          <cell r="AG52">
            <v>-1.9252134260944465E-3</v>
          </cell>
          <cell r="AH52">
            <v>5.2565340000000002E-2</v>
          </cell>
          <cell r="AI52">
            <v>-3.2856300506716035E-3</v>
          </cell>
        </row>
        <row r="53">
          <cell r="E53" t="str">
            <v>UBS Group AG</v>
          </cell>
          <cell r="F53" t="str">
            <v>Holdco Subord.</v>
          </cell>
          <cell r="G53" t="str">
            <v>Switzerland</v>
          </cell>
          <cell r="H53" t="str">
            <v/>
          </cell>
          <cell r="I53">
            <v>2.6054682940689529E-2</v>
          </cell>
          <cell r="J53">
            <v>3.7977384602158187E-2</v>
          </cell>
          <cell r="K53">
            <v>4.4496157983263084E-2</v>
          </cell>
          <cell r="L53">
            <v>4.6373250574004724E-2</v>
          </cell>
          <cell r="M53">
            <v>4.8424486884010506E-2</v>
          </cell>
          <cell r="N53" t="str">
            <v/>
          </cell>
          <cell r="O53">
            <v>7.9102172093063246E-3</v>
          </cell>
          <cell r="P53">
            <v>1.6199213334151676E-2</v>
          </cell>
          <cell r="Q53">
            <v>1.8582627222914639E-2</v>
          </cell>
          <cell r="R53">
            <v>2.0433367992205121E-2</v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</row>
        <row r="54">
          <cell r="E54" t="str">
            <v xml:space="preserve">                                          UK</v>
          </cell>
        </row>
        <row r="55">
          <cell r="E55" t="str">
            <v>BARCLAYS BANK PLC</v>
          </cell>
          <cell r="F55" t="str">
            <v>Opco Senior</v>
          </cell>
          <cell r="G55" t="str">
            <v>UK</v>
          </cell>
          <cell r="H55" t="str">
            <v/>
          </cell>
          <cell r="I55">
            <v>2.6844168096761427E-2</v>
          </cell>
          <cell r="J55">
            <v>3.6975597234754451E-2</v>
          </cell>
          <cell r="K55">
            <v>4.0962574856016384E-2</v>
          </cell>
          <cell r="L55">
            <v>4.2509684565256937E-2</v>
          </cell>
          <cell r="M55">
            <v>4.4473879044581333E-2</v>
          </cell>
          <cell r="N55" t="str">
            <v/>
          </cell>
          <cell r="O55">
            <v>6.9034694798241108E-3</v>
          </cell>
          <cell r="P55">
            <v>1.2648956451521195E-2</v>
          </cell>
          <cell r="Q55">
            <v>1.4695593677478363E-2</v>
          </cell>
          <cell r="R55">
            <v>1.6451962674573845E-2</v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</row>
        <row r="56">
          <cell r="E56" t="str">
            <v>BARCLAYS BANK PLC</v>
          </cell>
          <cell r="F56" t="str">
            <v>Opco Subord.</v>
          </cell>
          <cell r="G56" t="str">
            <v>UK</v>
          </cell>
          <cell r="H56" t="str">
            <v>BBB- / Baa2 *+ / BBB+</v>
          </cell>
          <cell r="I56">
            <v>2.8722164389161607E-2</v>
          </cell>
          <cell r="J56">
            <v>4.0225728189457945E-2</v>
          </cell>
          <cell r="K56">
            <v>4.5397064232136554E-2</v>
          </cell>
          <cell r="L56">
            <v>4.7127631330122981E-2</v>
          </cell>
          <cell r="M56">
            <v>4.9698969030704573E-2</v>
          </cell>
          <cell r="N56" t="str">
            <v/>
          </cell>
          <cell r="O56">
            <v>1.0158853316235552E-2</v>
          </cell>
          <cell r="P56">
            <v>1.710015357242501E-2</v>
          </cell>
          <cell r="Q56">
            <v>1.9338446603882387E-2</v>
          </cell>
          <cell r="R56">
            <v>2.1716259048362992E-2</v>
          </cell>
          <cell r="AC56" t="str">
            <v>XS0134886067</v>
          </cell>
          <cell r="AD56" t="str">
            <v>BACR 5 3/4 09/14/26</v>
          </cell>
          <cell r="AE56" t="str">
            <v xml:space="preserve"> </v>
          </cell>
          <cell r="AF56">
            <v>3.5776080866463937E-2</v>
          </cell>
          <cell r="AG56">
            <v>9.6209833656726168E-3</v>
          </cell>
          <cell r="AH56">
            <v>4.6930413454848267E-2</v>
          </cell>
          <cell r="AI56">
            <v>9.1206739921414273E-3</v>
          </cell>
        </row>
        <row r="57">
          <cell r="E57" t="str">
            <v>Barclays PLC</v>
          </cell>
          <cell r="F57" t="str">
            <v>Holdco Senior</v>
          </cell>
          <cell r="G57" t="str">
            <v>UK</v>
          </cell>
          <cell r="H57" t="str">
            <v>BBB / Baa2 *+ / A</v>
          </cell>
          <cell r="I57">
            <v>2.6438846256671311E-2</v>
          </cell>
          <cell r="J57">
            <v>3.6773094747756536E-2</v>
          </cell>
          <cell r="K57">
            <v>4.1359362335613763E-2</v>
          </cell>
          <cell r="L57">
            <v>4.3334802904634137E-2</v>
          </cell>
          <cell r="M57">
            <v>4.6196723738618869E-2</v>
          </cell>
          <cell r="N57" t="str">
            <v/>
          </cell>
          <cell r="O57">
            <v>6.7007949462282272E-3</v>
          </cell>
          <cell r="P57">
            <v>1.30460571503393E-2</v>
          </cell>
          <cell r="Q57">
            <v>1.5523773299745384E-2</v>
          </cell>
          <cell r="R57">
            <v>1.8193819619657055E-2</v>
          </cell>
          <cell r="AC57" t="str">
            <v>US06738EBY05</v>
          </cell>
          <cell r="AD57" t="str">
            <v>BACR 5.501 08/09/28</v>
          </cell>
          <cell r="AE57">
            <v>46608</v>
          </cell>
          <cell r="AF57">
            <v>4.3817212564932408E-2</v>
          </cell>
          <cell r="AG57">
            <v>-2.4578502293186449E-3</v>
          </cell>
          <cell r="AH57">
            <v>5.44281E-2</v>
          </cell>
          <cell r="AI57">
            <v>-2.3591182754148302E-3</v>
          </cell>
        </row>
        <row r="58">
          <cell r="E58" t="str">
            <v>Barclays PLC</v>
          </cell>
          <cell r="F58" t="str">
            <v>Holdco Subord.</v>
          </cell>
          <cell r="G58" t="str">
            <v>UK</v>
          </cell>
          <cell r="H58" t="str">
            <v>BB+ / Baa2 *+ / BBB+</v>
          </cell>
          <cell r="I58">
            <v>2.7399781858542055E-2</v>
          </cell>
          <cell r="J58">
            <v>4.0610541884645891E-2</v>
          </cell>
          <cell r="K58">
            <v>4.744533700842965E-2</v>
          </cell>
          <cell r="L58">
            <v>5.048505055656613E-2</v>
          </cell>
          <cell r="M58">
            <v>5.3239317001864628E-2</v>
          </cell>
          <cell r="N58" t="str">
            <v/>
          </cell>
          <cell r="O58">
            <v>1.0541320687716306E-2</v>
          </cell>
          <cell r="P58">
            <v>1.9145670626000567E-2</v>
          </cell>
          <cell r="Q58">
            <v>2.2698731835842027E-2</v>
          </cell>
          <cell r="R58">
            <v>2.5273076787521838E-2</v>
          </cell>
          <cell r="AC58" t="str">
            <v>US06738EAW57</v>
          </cell>
          <cell r="AD58" t="str">
            <v>BACR 4.836 05/09/28</v>
          </cell>
          <cell r="AE58">
            <v>46514</v>
          </cell>
          <cell r="AF58">
            <v>4.6022710380785474E-2</v>
          </cell>
          <cell r="AG58">
            <v>1.422626627644176E-3</v>
          </cell>
          <cell r="AH58">
            <v>5.6781980000000003E-2</v>
          </cell>
          <cell r="AI58">
            <v>1.3012447075168229E-3</v>
          </cell>
        </row>
        <row r="59">
          <cell r="E59" t="str">
            <v>HSBC BANK PLC</v>
          </cell>
          <cell r="F59" t="str">
            <v>Opco Senior</v>
          </cell>
          <cell r="G59" t="str">
            <v>UK</v>
          </cell>
          <cell r="H59" t="str">
            <v/>
          </cell>
          <cell r="I59">
            <v>2.3185534327380963E-2</v>
          </cell>
          <cell r="J59">
            <v>3.2260655821208968E-2</v>
          </cell>
          <cell r="K59">
            <v>3.5699596960593688E-2</v>
          </cell>
          <cell r="L59">
            <v>3.7034240156819637E-2</v>
          </cell>
          <cell r="M59">
            <v>3.8883233813768903E-2</v>
          </cell>
          <cell r="N59" t="str">
            <v/>
          </cell>
          <cell r="O59">
            <v>2.1878240748173664E-3</v>
          </cell>
          <cell r="P59">
            <v>7.3744257167497242E-3</v>
          </cell>
          <cell r="Q59">
            <v>9.1891274074428191E-3</v>
          </cell>
          <cell r="R59">
            <v>1.0794341367800123E-2</v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</row>
        <row r="60">
          <cell r="E60" t="str">
            <v>HSBC BANK PLC</v>
          </cell>
          <cell r="F60" t="str">
            <v>Opco Subord.</v>
          </cell>
          <cell r="G60" t="str">
            <v>UK</v>
          </cell>
          <cell r="H60" t="str">
            <v/>
          </cell>
          <cell r="I60">
            <v>2.3886454448299607E-2</v>
          </cell>
          <cell r="J60">
            <v>3.3803288592452095E-2</v>
          </cell>
          <cell r="K60">
            <v>3.8225447189140033E-2</v>
          </cell>
          <cell r="L60">
            <v>3.9932136338059282E-2</v>
          </cell>
          <cell r="M60">
            <v>4.2106123120936853E-2</v>
          </cell>
          <cell r="N60" t="str">
            <v/>
          </cell>
          <cell r="O60">
            <v>3.7354280106694634E-3</v>
          </cell>
          <cell r="P60">
            <v>9.9183601887474111E-3</v>
          </cell>
          <cell r="Q60">
            <v>1.2118562038112074E-2</v>
          </cell>
          <cell r="R60">
            <v>1.4064129491956796E-2</v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</row>
        <row r="61">
          <cell r="E61" t="str">
            <v>HSBC HOLDINGS plc</v>
          </cell>
          <cell r="F61" t="str">
            <v>Holdco Senior</v>
          </cell>
          <cell r="G61" t="str">
            <v>UK</v>
          </cell>
          <cell r="H61" t="str">
            <v>A- / A3 / A+</v>
          </cell>
          <cell r="I61">
            <v>2.4223146101213421E-2</v>
          </cell>
          <cell r="J61">
            <v>3.4340994305172561E-2</v>
          </cell>
          <cell r="K61">
            <v>3.8946715114537421E-2</v>
          </cell>
          <cell r="L61">
            <v>4.0946744848112462E-2</v>
          </cell>
          <cell r="M61">
            <v>4.3641869742653036E-2</v>
          </cell>
          <cell r="N61" t="str">
            <v/>
          </cell>
          <cell r="O61">
            <v>4.2686879119194984E-3</v>
          </cell>
          <cell r="P61">
            <v>1.0631030958909368E-2</v>
          </cell>
          <cell r="Q61">
            <v>1.3128099641050979E-2</v>
          </cell>
          <cell r="R61">
            <v>1.5618555879084117E-2</v>
          </cell>
          <cell r="AC61" t="str">
            <v>US404280BT50</v>
          </cell>
          <cell r="AD61" t="str">
            <v>HSBC 4.583 06/19/29</v>
          </cell>
          <cell r="AE61">
            <v>46923</v>
          </cell>
          <cell r="AF61">
            <v>4.3282113651666523E-2</v>
          </cell>
          <cell r="AG61">
            <v>-4.3353985371291023E-3</v>
          </cell>
          <cell r="AH61">
            <v>5.3911939999999998E-2</v>
          </cell>
          <cell r="AI61">
            <v>-4.3225501708613126E-3</v>
          </cell>
        </row>
        <row r="62">
          <cell r="E62" t="str">
            <v>HSBC HOLDINGS plc</v>
          </cell>
          <cell r="F62" t="str">
            <v>Holdco Subord.</v>
          </cell>
          <cell r="G62" t="str">
            <v>UK</v>
          </cell>
          <cell r="H62" t="str">
            <v>BBB / Baa1 / A-</v>
          </cell>
          <cell r="I62">
            <v>2.5037460132623712E-2</v>
          </cell>
          <cell r="J62">
            <v>3.6853235676360042E-2</v>
          </cell>
          <cell r="K62">
            <v>4.2836677133926034E-2</v>
          </cell>
          <cell r="L62">
            <v>4.5535995432369962E-2</v>
          </cell>
          <cell r="M62">
            <v>4.8268602361044285E-2</v>
          </cell>
          <cell r="N62" t="str">
            <v/>
          </cell>
          <cell r="O62">
            <v>6.7857711878484949E-3</v>
          </cell>
          <cell r="P62">
            <v>1.4538627147722909E-2</v>
          </cell>
          <cell r="Q62">
            <v>1.7746950742676813E-2</v>
          </cell>
          <cell r="R62">
            <v>2.0282643338276035E-2</v>
          </cell>
          <cell r="AC62" t="str">
            <v>XS1428953407</v>
          </cell>
          <cell r="AD62" t="str">
            <v>HSBC 3 1/8 06/07/28</v>
          </cell>
          <cell r="AE62" t="str">
            <v xml:space="preserve"> </v>
          </cell>
          <cell r="AF62">
            <v>4.1622680000000002E-2</v>
          </cell>
          <cell r="AG62">
            <v>1.2139971339260314E-3</v>
          </cell>
          <cell r="AH62">
            <v>5.1454520387033326E-2</v>
          </cell>
          <cell r="AI62">
            <v>1.9734080731288045E-3</v>
          </cell>
        </row>
        <row r="63">
          <cell r="E63" t="str">
            <v>NATWEST MARKETS PLC</v>
          </cell>
          <cell r="F63" t="str">
            <v>Opco Senior</v>
          </cell>
          <cell r="G63" t="str">
            <v>UK</v>
          </cell>
          <cell r="H63" t="str">
            <v>A- / A1 / A+</v>
          </cell>
          <cell r="I63">
            <v>2.5001299289273273E-2</v>
          </cell>
          <cell r="J63">
            <v>3.5486742527843791E-2</v>
          </cell>
          <cell r="K63">
            <v>3.9878307449608942E-2</v>
          </cell>
          <cell r="L63">
            <v>4.1622799301597013E-2</v>
          </cell>
          <cell r="M63">
            <v>4.3641512514283443E-2</v>
          </cell>
          <cell r="N63" t="str">
            <v/>
          </cell>
          <cell r="O63">
            <v>5.4140179448372364E-3</v>
          </cell>
          <cell r="P63">
            <v>1.1562931569841926E-2</v>
          </cell>
          <cell r="Q63">
            <v>1.3805267280837171E-2</v>
          </cell>
          <cell r="R63">
            <v>1.5612749156420186E-2</v>
          </cell>
          <cell r="AC63" t="str">
            <v>XS2449911143</v>
          </cell>
          <cell r="AD63" t="str">
            <v>NWG 1 3/8 03/02/27</v>
          </cell>
          <cell r="AE63" t="str">
            <v xml:space="preserve"> </v>
          </cell>
          <cell r="AF63">
            <v>3.8833909999999999E-2</v>
          </cell>
          <cell r="AG63">
            <v>1.0443974496089428E-3</v>
          </cell>
          <cell r="AH63">
            <v>4.9010174182638554E-2</v>
          </cell>
          <cell r="AI63">
            <v>1.54115826479434E-3</v>
          </cell>
        </row>
        <row r="64">
          <cell r="E64" t="str">
            <v>NatWest Group plc</v>
          </cell>
          <cell r="F64" t="str">
            <v>Holdco Senior</v>
          </cell>
          <cell r="G64" t="str">
            <v>UK</v>
          </cell>
          <cell r="H64" t="str">
            <v>A- / A1 / A+</v>
          </cell>
          <cell r="I64">
            <v>2.4938973379711037E-2</v>
          </cell>
          <cell r="J64">
            <v>3.550273488521298E-2</v>
          </cell>
          <cell r="K64">
            <v>4.0386860796378057E-2</v>
          </cell>
          <cell r="L64">
            <v>4.23928062773887E-2</v>
          </cell>
          <cell r="M64">
            <v>4.5003516094993944E-2</v>
          </cell>
          <cell r="N64" t="str">
            <v/>
          </cell>
          <cell r="O64">
            <v>5.4300662500574113E-3</v>
          </cell>
          <cell r="P64">
            <v>1.2072679303431134E-2</v>
          </cell>
          <cell r="Q64">
            <v>1.4578716023032668E-2</v>
          </cell>
          <cell r="R64">
            <v>1.6990159191651834E-2</v>
          </cell>
          <cell r="AC64" t="str">
            <v>XS2449911143</v>
          </cell>
          <cell r="AD64" t="str">
            <v>NWG 1 3/8 03/02/27</v>
          </cell>
          <cell r="AE64" t="str">
            <v xml:space="preserve"> </v>
          </cell>
          <cell r="AF64">
            <v>3.8833909999999999E-2</v>
          </cell>
          <cell r="AG64">
            <v>1.5529507963780581E-3</v>
          </cell>
          <cell r="AH64">
            <v>4.9010174182638554E-2</v>
          </cell>
          <cell r="AI64">
            <v>2.0453010587575052E-3</v>
          </cell>
        </row>
        <row r="65">
          <cell r="E65" t="str">
            <v>NatWest Group plc</v>
          </cell>
          <cell r="F65" t="str">
            <v>Holdco Subord.</v>
          </cell>
          <cell r="G65" t="str">
            <v>UK</v>
          </cell>
          <cell r="H65" t="str">
            <v/>
          </cell>
          <cell r="I65">
            <v>2.6200618438738645E-2</v>
          </cell>
          <cell r="J65">
            <v>3.9476349804819469E-2</v>
          </cell>
          <cell r="K65">
            <v>4.6365257414295868E-2</v>
          </cell>
          <cell r="L65">
            <v>4.9373487625550633E-2</v>
          </cell>
          <cell r="M65">
            <v>5.1801142381355941E-2</v>
          </cell>
          <cell r="N65" t="str">
            <v/>
          </cell>
          <cell r="O65">
            <v>9.407867551260593E-3</v>
          </cell>
          <cell r="P65">
            <v>1.8065358508870085E-2</v>
          </cell>
          <cell r="Q65">
            <v>2.1586525698340145E-2</v>
          </cell>
          <cell r="R65">
            <v>2.3828330849205617E-2</v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</row>
        <row r="66">
          <cell r="E66" t="str">
            <v>STANDARD CHARTERED BANK</v>
          </cell>
          <cell r="F66" t="str">
            <v>Opco Senior</v>
          </cell>
          <cell r="G66" t="str">
            <v>UK</v>
          </cell>
          <cell r="H66" t="str">
            <v/>
          </cell>
          <cell r="I66">
            <v>2.2812254796679067E-2</v>
          </cell>
          <cell r="J66">
            <v>3.2001465206702578E-2</v>
          </cell>
          <cell r="K66">
            <v>3.5495201707949973E-2</v>
          </cell>
          <cell r="L66">
            <v>3.6820584980846352E-2</v>
          </cell>
          <cell r="M66">
            <v>3.8613688820748296E-2</v>
          </cell>
          <cell r="N66" t="str">
            <v/>
          </cell>
          <cell r="O66">
            <v>1.9282563152739113E-3</v>
          </cell>
          <cell r="P66">
            <v>7.1687775318860902E-3</v>
          </cell>
          <cell r="Q66">
            <v>8.9731019436731993E-3</v>
          </cell>
          <cell r="R66">
            <v>1.0519769827384756E-2</v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</row>
        <row r="67">
          <cell r="E67" t="str">
            <v>STANDARD CHARTERED BANK</v>
          </cell>
          <cell r="F67" t="str">
            <v>Opco Subord.</v>
          </cell>
          <cell r="G67" t="str">
            <v>UK</v>
          </cell>
          <cell r="H67" t="str">
            <v/>
          </cell>
          <cell r="I67">
            <v>2.4380738987162039E-2</v>
          </cell>
          <cell r="J67">
            <v>3.4325902132153377E-2</v>
          </cell>
          <cell r="K67">
            <v>3.8430775070709598E-2</v>
          </cell>
          <cell r="L67">
            <v>3.9985616912942036E-2</v>
          </cell>
          <cell r="M67">
            <v>4.1930679300340154E-2</v>
          </cell>
          <cell r="N67" t="str">
            <v/>
          </cell>
          <cell r="O67">
            <v>4.2584533533251128E-3</v>
          </cell>
          <cell r="P67">
            <v>1.012391483369353E-2</v>
          </cell>
          <cell r="Q67">
            <v>1.217184815902304E-2</v>
          </cell>
          <cell r="R67">
            <v>1.3884930366905641E-2</v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</row>
        <row r="68">
          <cell r="E68" t="str">
            <v>STANDARD CHARTERED PLC</v>
          </cell>
          <cell r="F68" t="str">
            <v>Holdco Senior</v>
          </cell>
          <cell r="G68" t="str">
            <v>UK</v>
          </cell>
          <cell r="H68" t="str">
            <v>BBB+ / A3 / A</v>
          </cell>
          <cell r="I68">
            <v>2.4178332991763779E-2</v>
          </cell>
          <cell r="J68">
            <v>3.4495054967671662E-2</v>
          </cell>
          <cell r="K68">
            <v>3.9152478693883087E-2</v>
          </cell>
          <cell r="L68">
            <v>4.1138678772982516E-2</v>
          </cell>
          <cell r="M68">
            <v>4.4100686063814454E-2</v>
          </cell>
          <cell r="N68" t="str">
            <v/>
          </cell>
          <cell r="O68">
            <v>4.4225298809003905E-3</v>
          </cell>
          <cell r="P68">
            <v>1.0836862656907221E-2</v>
          </cell>
          <cell r="Q68">
            <v>1.3320479055817959E-2</v>
          </cell>
          <cell r="R68">
            <v>1.6082690330922723E-2</v>
          </cell>
          <cell r="AC68" t="str">
            <v>XS2283175516</v>
          </cell>
          <cell r="AD68" t="str">
            <v>STANLN 1.456 01/14/27</v>
          </cell>
          <cell r="AE68">
            <v>46036</v>
          </cell>
          <cell r="AF68">
            <v>4.1931491612619422E-2</v>
          </cell>
          <cell r="AG68">
            <v>-2.7790129187363344E-3</v>
          </cell>
          <cell r="AH68">
            <v>5.4717140000000004E-2</v>
          </cell>
          <cell r="AI68">
            <v>-4.9193485630828135E-3</v>
          </cell>
        </row>
        <row r="69">
          <cell r="E69" t="str">
            <v>STANDARD CHARTERED PLC</v>
          </cell>
          <cell r="F69" t="str">
            <v>Holdco Subord.</v>
          </cell>
          <cell r="G69" t="str">
            <v>UK</v>
          </cell>
          <cell r="H69" t="str">
            <v>BBB- / Baa2 / BBB+</v>
          </cell>
          <cell r="I69">
            <v>2.5681297822314233E-2</v>
          </cell>
          <cell r="J69">
            <v>3.7872621998628911E-2</v>
          </cell>
          <cell r="K69">
            <v>4.4346460000413292E-2</v>
          </cell>
          <cell r="L69">
            <v>4.7022096008613887E-2</v>
          </cell>
          <cell r="M69">
            <v>4.9399712222999236E-2</v>
          </cell>
          <cell r="N69" t="str">
            <v/>
          </cell>
          <cell r="O69">
            <v>7.8052142984187459E-3</v>
          </cell>
          <cell r="P69">
            <v>1.6049516978385144E-2</v>
          </cell>
          <cell r="Q69">
            <v>1.9234892883988441E-2</v>
          </cell>
          <cell r="R69">
            <v>2.1417615918678919E-2</v>
          </cell>
          <cell r="AC69" t="str">
            <v>XS1480699641</v>
          </cell>
          <cell r="AD69" t="str">
            <v>STANLN 4.3 02/19/27</v>
          </cell>
          <cell r="AE69" t="str">
            <v xml:space="preserve"> </v>
          </cell>
          <cell r="AF69">
            <v>3.48362946167802E-2</v>
          </cell>
          <cell r="AG69">
            <v>9.5101653836330916E-3</v>
          </cell>
          <cell r="AH69">
            <v>4.5657379999999997E-2</v>
          </cell>
          <cell r="AI69">
            <v>9.2894877187345293E-3</v>
          </cell>
        </row>
        <row r="70">
          <cell r="E70" t="str">
            <v>LLOYDS BANK PLC</v>
          </cell>
          <cell r="F70" t="str">
            <v>Opco Senior</v>
          </cell>
          <cell r="G70" t="str">
            <v>UK</v>
          </cell>
          <cell r="H70" t="str">
            <v/>
          </cell>
          <cell r="I70">
            <v>2.3469696425836937E-2</v>
          </cell>
          <cell r="J70">
            <v>3.2694862653662615E-2</v>
          </cell>
          <cell r="K70">
            <v>3.6370162989135896E-2</v>
          </cell>
          <cell r="L70">
            <v>3.7773818701407329E-2</v>
          </cell>
          <cell r="M70">
            <v>3.9621709384145179E-2</v>
          </cell>
          <cell r="N70" t="str">
            <v/>
          </cell>
          <cell r="O70">
            <v>2.6224638787729041E-3</v>
          </cell>
          <cell r="P70">
            <v>8.0476320970575017E-3</v>
          </cell>
          <cell r="Q70">
            <v>9.9349399087154192E-3</v>
          </cell>
          <cell r="R70">
            <v>1.154445589904575E-2</v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</row>
        <row r="71">
          <cell r="E71" t="str">
            <v>LLOYDS BANK PLC</v>
          </cell>
          <cell r="F71" t="str">
            <v>Opco Subord.</v>
          </cell>
          <cell r="G71" t="str">
            <v>UK</v>
          </cell>
          <cell r="H71" t="str">
            <v>BBB / Baa1 / BBB+</v>
          </cell>
          <cell r="I71">
            <v>2.5178787387840969E-2</v>
          </cell>
          <cell r="J71">
            <v>3.5586346837112558E-2</v>
          </cell>
          <cell r="K71">
            <v>4.0254775449722807E-2</v>
          </cell>
          <cell r="L71">
            <v>4.2097675861902391E-2</v>
          </cell>
          <cell r="M71">
            <v>4.4393714113356561E-2</v>
          </cell>
          <cell r="N71" t="str">
            <v/>
          </cell>
          <cell r="O71">
            <v>5.5198034751380888E-3</v>
          </cell>
          <cell r="P71">
            <v>1.1953474247432443E-2</v>
          </cell>
          <cell r="Q71">
            <v>1.4296546527046268E-2</v>
          </cell>
          <cell r="R71">
            <v>1.6376222667736084E-2</v>
          </cell>
          <cell r="AC71" t="str">
            <v>XS0503834821</v>
          </cell>
          <cell r="AD71" t="str">
            <v>LLOYDS 7 5/8 04/22/25</v>
          </cell>
          <cell r="AE71" t="str">
            <v xml:space="preserve"> </v>
          </cell>
          <cell r="AF71">
            <v>3.2169166971311593E-2</v>
          </cell>
          <cell r="AG71">
            <v>8.0856084784112145E-3</v>
          </cell>
          <cell r="AH71">
            <v>4.578620995155562E-2</v>
          </cell>
          <cell r="AI71">
            <v>5.057712160656487E-3</v>
          </cell>
        </row>
        <row r="72">
          <cell r="E72" t="str">
            <v>LLOYDS BANKING GROUP PLC</v>
          </cell>
          <cell r="F72" t="str">
            <v>Holdco Senior</v>
          </cell>
          <cell r="G72" t="str">
            <v>UK</v>
          </cell>
          <cell r="H72" t="str">
            <v>BBB+ / A3 / A</v>
          </cell>
          <cell r="I72">
            <v>2.4628248655264931E-2</v>
          </cell>
          <cell r="J72">
            <v>3.4838243094044014E-2</v>
          </cell>
          <cell r="K72">
            <v>3.9358446672761178E-2</v>
          </cell>
          <cell r="L72">
            <v>4.1325131513023645E-2</v>
          </cell>
          <cell r="M72">
            <v>4.3933181894752336E-2</v>
          </cell>
          <cell r="N72" t="str">
            <v/>
          </cell>
          <cell r="O72">
            <v>4.7658575478573238E-3</v>
          </cell>
          <cell r="P72">
            <v>1.1043393542341405E-2</v>
          </cell>
          <cell r="Q72">
            <v>1.3507915451909295E-2</v>
          </cell>
          <cell r="R72">
            <v>1.5911952107350965E-2</v>
          </cell>
          <cell r="AC72" t="str">
            <v>US539439AQ24</v>
          </cell>
          <cell r="AD72" t="str">
            <v>LLOYDS 3.574 11/07/28</v>
          </cell>
          <cell r="AE72">
            <v>46698</v>
          </cell>
          <cell r="AF72">
            <v>4.12041349817171E-2</v>
          </cell>
          <cell r="AG72">
            <v>-1.8456883089559215E-3</v>
          </cell>
          <cell r="AH72">
            <v>5.209109E-2</v>
          </cell>
          <cell r="AI72">
            <v>-2.0783402555265909E-3</v>
          </cell>
        </row>
        <row r="73">
          <cell r="E73" t="str">
            <v>LLOYDS BANKING GROUP PLC</v>
          </cell>
          <cell r="F73" t="str">
            <v>Holdco Subord.</v>
          </cell>
          <cell r="G73" t="str">
            <v>UK</v>
          </cell>
          <cell r="H73" t="str">
            <v/>
          </cell>
          <cell r="I73">
            <v>2.5761917301814943E-2</v>
          </cell>
          <cell r="J73">
            <v>3.8583695392301054E-2</v>
          </cell>
          <cell r="K73">
            <v>4.5376945345379047E-2</v>
          </cell>
          <cell r="L73">
            <v>4.8136940375314005E-2</v>
          </cell>
          <cell r="M73">
            <v>5.0707931490293956E-2</v>
          </cell>
          <cell r="N73" t="str">
            <v/>
          </cell>
          <cell r="O73">
            <v>8.5158563431877304E-3</v>
          </cell>
          <cell r="P73">
            <v>1.7079029739915975E-2</v>
          </cell>
          <cell r="Q73">
            <v>2.0349892005610423E-2</v>
          </cell>
          <cell r="R73">
            <v>2.273193194493545E-2</v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</row>
        <row r="74">
          <cell r="E74" t="str">
            <v xml:space="preserve">                                          US</v>
          </cell>
        </row>
        <row r="75">
          <cell r="E75" t="str">
            <v>Bank of America Corporation</v>
          </cell>
          <cell r="F75" t="str">
            <v>Sr Unsecured</v>
          </cell>
          <cell r="G75" t="str">
            <v>US</v>
          </cell>
          <cell r="H75" t="str">
            <v>A- / A2 *+ / AA-</v>
          </cell>
          <cell r="I75">
            <v>2.2806655115087823E-2</v>
          </cell>
          <cell r="J75">
            <v>3.1752641710430712E-2</v>
          </cell>
          <cell r="K75">
            <v>3.5366331307484962E-2</v>
          </cell>
          <cell r="L75">
            <v>3.7195155724827622E-2</v>
          </cell>
          <cell r="M75">
            <v>3.9372673990751027E-2</v>
          </cell>
          <cell r="N75" t="str">
            <v/>
          </cell>
          <cell r="O75">
            <v>1.6801023941658963E-3</v>
          </cell>
          <cell r="P75">
            <v>7.0425667494201857E-3</v>
          </cell>
          <cell r="Q75">
            <v>9.357754157101203E-3</v>
          </cell>
          <cell r="R75">
            <v>1.1303073726488699E-2</v>
          </cell>
          <cell r="AC75" t="str">
            <v>US06051GHD43</v>
          </cell>
          <cell r="AD75" t="str">
            <v>BAC 3.419 12/20/28</v>
          </cell>
          <cell r="AE75">
            <v>46741</v>
          </cell>
          <cell r="AF75">
            <v>3.8657656469336769E-2</v>
          </cell>
          <cell r="AG75">
            <v>-3.2913251618518075E-3</v>
          </cell>
          <cell r="AH75">
            <v>4.9302469999999994E-2</v>
          </cell>
          <cell r="AI75">
            <v>-2.3366786799425623E-3</v>
          </cell>
        </row>
        <row r="76">
          <cell r="E76" t="str">
            <v>Citigroup Inc.</v>
          </cell>
          <cell r="F76" t="str">
            <v>Sr Unsecured</v>
          </cell>
          <cell r="G76" t="str">
            <v>US</v>
          </cell>
          <cell r="H76" t="str">
            <v>BBB+ / A3 / A</v>
          </cell>
          <cell r="I76">
            <v>2.2913834409154139E-2</v>
          </cell>
          <cell r="J76">
            <v>3.2190949442817876E-2</v>
          </cell>
          <cell r="K76">
            <v>3.5881448795909536E-2</v>
          </cell>
          <cell r="L76">
            <v>3.8272893383553087E-2</v>
          </cell>
          <cell r="M76">
            <v>4.0336998540793985E-2</v>
          </cell>
          <cell r="N76" t="str">
            <v/>
          </cell>
          <cell r="O76">
            <v>2.1184615072724648E-3</v>
          </cell>
          <cell r="P76">
            <v>7.559475382766332E-3</v>
          </cell>
          <cell r="Q76">
            <v>1.0445003741566788E-2</v>
          </cell>
          <cell r="R76">
            <v>1.228162892114789E-2</v>
          </cell>
          <cell r="AC76" t="str">
            <v>US172967NA50</v>
          </cell>
          <cell r="AD76" t="str">
            <v>C 1.462 06/09/27</v>
          </cell>
          <cell r="AE76">
            <v>46182</v>
          </cell>
          <cell r="AF76">
            <v>3.9003005930441141E-2</v>
          </cell>
          <cell r="AG76">
            <v>-3.1215571345316051E-3</v>
          </cell>
          <cell r="AH76">
            <v>5.1051200000000005E-2</v>
          </cell>
          <cell r="AI76">
            <v>-3.5612359045587155E-3</v>
          </cell>
        </row>
        <row r="77">
          <cell r="E77" t="str">
            <v>The Goldman Sachs Group, Inc.</v>
          </cell>
          <cell r="F77" t="str">
            <v>Sr Unsecured</v>
          </cell>
          <cell r="G77" t="str">
            <v>US</v>
          </cell>
          <cell r="H77" t="str">
            <v>BBB+ / A2 / A</v>
          </cell>
          <cell r="I77">
            <v>2.4467575998945619E-2</v>
          </cell>
          <cell r="J77">
            <v>3.4541031470961311E-2</v>
          </cell>
          <cell r="K77">
            <v>3.9238491013751757E-2</v>
          </cell>
          <cell r="L77">
            <v>4.0877670331443856E-2</v>
          </cell>
          <cell r="M77">
            <v>4.3028020637369331E-2</v>
          </cell>
          <cell r="N77" t="str">
            <v/>
          </cell>
          <cell r="O77">
            <v>4.4687939411217166E-3</v>
          </cell>
          <cell r="P77">
            <v>1.092400757557231E-2</v>
          </cell>
          <cell r="Q77">
            <v>1.305908772943897E-2</v>
          </cell>
          <cell r="R77">
            <v>1.4999006497879441E-2</v>
          </cell>
          <cell r="AC77" t="str">
            <v>US38141GYM04</v>
          </cell>
          <cell r="AD77" t="str">
            <v>GS 1.948 10/21/27</v>
          </cell>
          <cell r="AE77">
            <v>46316</v>
          </cell>
          <cell r="AF77">
            <v>4.0262668868547152E-2</v>
          </cell>
          <cell r="AG77">
            <v>-1.0241778547953953E-3</v>
          </cell>
          <cell r="AH77">
            <v>5.1986070000000002E-2</v>
          </cell>
          <cell r="AI77">
            <v>-1.0834137992632928E-3</v>
          </cell>
        </row>
        <row r="78">
          <cell r="E78" t="str">
            <v>JPMorgan Chase &amp; Co.</v>
          </cell>
          <cell r="F78" t="str">
            <v>Sr Unsecured</v>
          </cell>
          <cell r="G78" t="str">
            <v>US</v>
          </cell>
          <cell r="H78" t="str">
            <v>A- / A1 / AA-</v>
          </cell>
          <cell r="I78">
            <v>2.3108880477547371E-2</v>
          </cell>
          <cell r="J78">
            <v>3.2227943598186579E-2</v>
          </cell>
          <cell r="K78">
            <v>3.5257790325368285E-2</v>
          </cell>
          <cell r="L78">
            <v>3.7370854236734898E-2</v>
          </cell>
          <cell r="M78">
            <v>3.9177441330969807E-2</v>
          </cell>
          <cell r="N78" t="str">
            <v/>
          </cell>
          <cell r="O78">
            <v>2.155659880985272E-3</v>
          </cell>
          <cell r="P78">
            <v>6.9320535334796724E-3</v>
          </cell>
          <cell r="Q78">
            <v>9.5353159468735665E-3</v>
          </cell>
          <cell r="R78">
            <v>1.1103184433712327E-2</v>
          </cell>
          <cell r="AC78" t="str">
            <v>US46647PDG81</v>
          </cell>
          <cell r="AD78" t="str">
            <v>JPM 4.851 07/25/28</v>
          </cell>
          <cell r="AE78">
            <v>46593</v>
          </cell>
          <cell r="AF78">
            <v>3.8145176832118488E-2</v>
          </cell>
          <cell r="AG78">
            <v>-2.887386506750203E-3</v>
          </cell>
          <cell r="AH78">
            <v>4.8735809999999997E-2</v>
          </cell>
          <cell r="AI78">
            <v>-1.8636968905346787E-3</v>
          </cell>
        </row>
        <row r="79">
          <cell r="E79" t="str">
            <v>Morgan Stanley</v>
          </cell>
          <cell r="F79" t="str">
            <v>Sr Unsecured</v>
          </cell>
          <cell r="G79" t="str">
            <v>US</v>
          </cell>
          <cell r="H79" t="str">
            <v>A- / A1 / A+</v>
          </cell>
          <cell r="I79">
            <v>2.4137432416320149E-2</v>
          </cell>
          <cell r="J79">
            <v>3.4344736002279337E-2</v>
          </cell>
          <cell r="K79">
            <v>3.8790465543231088E-2</v>
          </cell>
          <cell r="L79">
            <v>4.0295954959245567E-2</v>
          </cell>
          <cell r="M79">
            <v>4.2583037069322462E-2</v>
          </cell>
          <cell r="N79" t="str">
            <v/>
          </cell>
          <cell r="O79">
            <v>4.2723550506956701E-3</v>
          </cell>
          <cell r="P79">
            <v>1.0474887614998618E-2</v>
          </cell>
          <cell r="Q79">
            <v>1.2474179253717899E-2</v>
          </cell>
          <cell r="R79">
            <v>1.4549870519822854E-2</v>
          </cell>
          <cell r="AC79" t="str">
            <v>US61747YER27</v>
          </cell>
          <cell r="AD79" t="str">
            <v>MS 4.21 04/20/28</v>
          </cell>
          <cell r="AE79">
            <v>46497</v>
          </cell>
          <cell r="AF79">
            <v>3.9199644710084018E-2</v>
          </cell>
          <cell r="AG79">
            <v>-4.0917916685292988E-4</v>
          </cell>
          <cell r="AH79">
            <v>5.0084980000000001E-2</v>
          </cell>
          <cell r="AI79">
            <v>3.6185637762500833E-4</v>
          </cell>
        </row>
        <row r="80">
          <cell r="E80" t="str">
            <v>Wells Fargo &amp; Company</v>
          </cell>
          <cell r="F80" t="str">
            <v>Sr Unsecured</v>
          </cell>
          <cell r="G80" t="str">
            <v>US</v>
          </cell>
          <cell r="H80" t="str">
            <v>BBB+ / A1 / A+</v>
          </cell>
          <cell r="I80">
            <v>2.3600583177164507E-2</v>
          </cell>
          <cell r="J80">
            <v>3.294743980929795E-2</v>
          </cell>
          <cell r="K80">
            <v>3.5779418898238616E-2</v>
          </cell>
          <cell r="L80">
            <v>3.8486461106137466E-2</v>
          </cell>
          <cell r="M80">
            <v>4.0351562648614551E-2</v>
          </cell>
          <cell r="N80" t="str">
            <v/>
          </cell>
          <cell r="O80">
            <v>2.8754579482057475E-3</v>
          </cell>
          <cell r="P80">
            <v>7.4548571240691686E-3</v>
          </cell>
          <cell r="Q80">
            <v>1.0660468613406068E-2</v>
          </cell>
          <cell r="R80">
            <v>1.2295453682143746E-2</v>
          </cell>
          <cell r="AC80" t="str">
            <v>US95000U2V48</v>
          </cell>
          <cell r="AD80" t="str">
            <v>WFC 3.526 03/24/28</v>
          </cell>
          <cell r="AE80">
            <v>46470</v>
          </cell>
          <cell r="AF80">
            <v>3.8412895784237969E-2</v>
          </cell>
          <cell r="AG80">
            <v>-2.6334768859993529E-3</v>
          </cell>
          <cell r="AH80">
            <v>4.9356570000000002E-2</v>
          </cell>
          <cell r="AI80">
            <v>-1.9447692225015856E-3</v>
          </cell>
        </row>
        <row r="81">
          <cell r="E81" t="str">
            <v/>
          </cell>
          <cell r="F81" t="str">
            <v/>
          </cell>
          <cell r="H81" t="str">
            <v/>
          </cell>
          <cell r="I81" t="str">
            <v/>
          </cell>
          <cell r="K81" t="str">
            <v/>
          </cell>
          <cell r="M81" t="str">
            <v/>
          </cell>
          <cell r="N81" t="str">
            <v/>
          </cell>
          <cell r="P81" t="str">
            <v/>
          </cell>
          <cell r="R81" t="str">
            <v/>
          </cell>
        </row>
        <row r="82">
          <cell r="E82" t="str">
            <v>DM Insurance</v>
          </cell>
          <cell r="F82" t="str">
            <v/>
          </cell>
          <cell r="H82" t="str">
            <v/>
          </cell>
          <cell r="I82" t="str">
            <v/>
          </cell>
          <cell r="K82" t="str">
            <v/>
          </cell>
          <cell r="M82" t="str">
            <v/>
          </cell>
          <cell r="N82" t="str">
            <v/>
          </cell>
          <cell r="P82" t="str">
            <v/>
          </cell>
          <cell r="R82" t="str">
            <v/>
          </cell>
        </row>
        <row r="83">
          <cell r="E83" t="str">
            <v>Legal Entity / Index</v>
          </cell>
          <cell r="F83" t="str">
            <v>Rank</v>
          </cell>
          <cell r="G83" t="str">
            <v>Country of Risk</v>
          </cell>
          <cell r="H83" t="str">
            <v>Rating (S/M/F)</v>
          </cell>
          <cell r="I83" t="str">
            <v>1Y</v>
          </cell>
          <cell r="J83" t="str">
            <v>3Y</v>
          </cell>
          <cell r="K83" t="str">
            <v>5Y</v>
          </cell>
          <cell r="L83" t="str">
            <v>7Y</v>
          </cell>
          <cell r="M83" t="str">
            <v>10Y</v>
          </cell>
          <cell r="N83" t="str">
            <v>1Y</v>
          </cell>
          <cell r="O83" t="str">
            <v>3Y</v>
          </cell>
          <cell r="P83" t="str">
            <v>5Y</v>
          </cell>
          <cell r="Q83" t="str">
            <v>7Y</v>
          </cell>
          <cell r="R83" t="str">
            <v>10Y</v>
          </cell>
          <cell r="AC83" t="str">
            <v>ISIN</v>
          </cell>
          <cell r="AD83" t="str">
            <v>Benchmark Bond</v>
          </cell>
          <cell r="AE83" t="str">
            <v>Next Call Date</v>
          </cell>
          <cell r="AF83" t="str">
            <v>EUR Yield</v>
          </cell>
          <cell r="AG83" t="str">
            <v>5Y CLN vs benchmark</v>
          </cell>
          <cell r="AH83" t="str">
            <v>USD Yield</v>
          </cell>
          <cell r="AI83" t="str">
            <v>5Y CLN vs benchmark</v>
          </cell>
        </row>
        <row r="84">
          <cell r="E84" t="str">
            <v xml:space="preserve">                                          EUROPE</v>
          </cell>
        </row>
        <row r="85">
          <cell r="E85" t="str">
            <v>Allianz SE</v>
          </cell>
          <cell r="F85" t="str">
            <v>Sr Unsecured</v>
          </cell>
          <cell r="G85" t="str">
            <v>Germany</v>
          </cell>
          <cell r="H85" t="str">
            <v>AA / Aa3 / AA-u</v>
          </cell>
          <cell r="I85">
            <v>2.196500931710238E-2</v>
          </cell>
          <cell r="J85">
            <v>3.0924487122567016E-2</v>
          </cell>
          <cell r="K85">
            <v>3.4306524528947904E-2</v>
          </cell>
          <cell r="L85">
            <v>3.5537846599254644E-2</v>
          </cell>
          <cell r="M85">
            <v>3.7472665171220373E-2</v>
          </cell>
          <cell r="N85" t="str">
            <v/>
          </cell>
          <cell r="O85">
            <v>8.4986007802540084E-4</v>
          </cell>
          <cell r="P85">
            <v>5.9741614277768959E-3</v>
          </cell>
          <cell r="Q85">
            <v>7.6765663465122123E-3</v>
          </cell>
          <cell r="R85">
            <v>9.3585776844667835E-3</v>
          </cell>
          <cell r="AC85" t="str">
            <v>DE000A1HG1K6</v>
          </cell>
          <cell r="AD85" t="str">
            <v>ALVGR 3 03/13/28</v>
          </cell>
          <cell r="AE85" t="str">
            <v xml:space="preserve"> </v>
          </cell>
          <cell r="AF85">
            <v>2.803715E-2</v>
          </cell>
          <cell r="AG85">
            <v>6.269374528947904E-3</v>
          </cell>
          <cell r="AH85">
            <v>3.8018726580866177E-2</v>
          </cell>
          <cell r="AI85">
            <v>6.8544173397380587E-3</v>
          </cell>
        </row>
        <row r="86">
          <cell r="E86" t="str">
            <v>Allianz SE</v>
          </cell>
          <cell r="F86" t="str">
            <v>Subordinated</v>
          </cell>
          <cell r="G86" t="str">
            <v>Germany</v>
          </cell>
          <cell r="H86" t="str">
            <v xml:space="preserve">A+ / A2 / </v>
          </cell>
          <cell r="I86">
            <v>2.3982173869801622E-2</v>
          </cell>
          <cell r="J86">
            <v>3.516883488271777E-2</v>
          </cell>
          <cell r="K86">
            <v>4.0866387663628025E-2</v>
          </cell>
          <cell r="L86">
            <v>4.2998975363929152E-2</v>
          </cell>
          <cell r="M86">
            <v>4.5822209823145096E-2</v>
          </cell>
          <cell r="N86" t="str">
            <v/>
          </cell>
          <cell r="O86">
            <v>5.1010656452852368E-3</v>
          </cell>
          <cell r="P86">
            <v>1.2566092437178124E-2</v>
          </cell>
          <cell r="Q86">
            <v>1.5201493308206466E-2</v>
          </cell>
          <cell r="R86">
            <v>1.7819398933423301E-2</v>
          </cell>
          <cell r="AC86" t="str">
            <v>DE000A30VTT8</v>
          </cell>
          <cell r="AD86" t="str">
            <v>ALVGR 4.597 09/07/38</v>
          </cell>
          <cell r="AE86">
            <v>46911</v>
          </cell>
          <cell r="AF86">
            <v>4.6187289999999999E-2</v>
          </cell>
          <cell r="AG86">
            <v>-5.3209023363719743E-3</v>
          </cell>
          <cell r="AH86">
            <v>5.6485612920591774E-2</v>
          </cell>
          <cell r="AI86">
            <v>-5.0469105106533199E-3</v>
          </cell>
        </row>
        <row r="87">
          <cell r="E87" t="str">
            <v>Aegon N.V.</v>
          </cell>
          <cell r="F87" t="str">
            <v>Sr Unsecured</v>
          </cell>
          <cell r="G87" t="str">
            <v>Netherlands</v>
          </cell>
          <cell r="H87" t="str">
            <v/>
          </cell>
          <cell r="I87">
            <v>2.3068882871734385E-2</v>
          </cell>
          <cell r="J87">
            <v>3.3176561316785737E-2</v>
          </cell>
          <cell r="K87">
            <v>3.7813290540488938E-2</v>
          </cell>
          <cell r="L87">
            <v>3.9863436480023551E-2</v>
          </cell>
          <cell r="M87">
            <v>4.2217063600206342E-2</v>
          </cell>
          <cell r="N87" t="str">
            <v/>
          </cell>
          <cell r="O87">
            <v>3.1036885362312099E-3</v>
          </cell>
          <cell r="P87">
            <v>9.4955979584692637E-3</v>
          </cell>
          <cell r="Q87">
            <v>1.203998457017217E-2</v>
          </cell>
          <cell r="R87">
            <v>1.4178160526221006E-2</v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</row>
        <row r="88">
          <cell r="E88" t="str">
            <v>Aegon N.V.</v>
          </cell>
          <cell r="F88" t="str">
            <v>Subordinated</v>
          </cell>
          <cell r="G88" t="str">
            <v>Netherlands</v>
          </cell>
          <cell r="H88" t="str">
            <v>BBB- / Baa1 *- / WD</v>
          </cell>
          <cell r="I88">
            <v>2.4929192919994351E-2</v>
          </cell>
          <cell r="J88">
            <v>3.7688541496824018E-2</v>
          </cell>
          <cell r="K88">
            <v>4.4588784563809401E-2</v>
          </cell>
          <cell r="L88">
            <v>4.7757457346186333E-2</v>
          </cell>
          <cell r="M88">
            <v>5.0381667547234756E-2</v>
          </cell>
          <cell r="N88" t="str">
            <v/>
          </cell>
          <cell r="O88">
            <v>7.6204612300503549E-3</v>
          </cell>
          <cell r="P88">
            <v>1.6291534158551408E-2</v>
          </cell>
          <cell r="Q88">
            <v>1.9971874451888808E-2</v>
          </cell>
          <cell r="R88">
            <v>2.2406291139407647E-2</v>
          </cell>
          <cell r="AC88" t="str">
            <v>XS1061711575</v>
          </cell>
          <cell r="AD88" t="str">
            <v>AEGON 4 04/25/44</v>
          </cell>
          <cell r="AE88">
            <v>45407</v>
          </cell>
          <cell r="AF88">
            <v>4.5193529999999996E-2</v>
          </cell>
          <cell r="AG88">
            <v>-6.0474543619059434E-4</v>
          </cell>
          <cell r="AH88">
            <v>6.4485942550532444E-2</v>
          </cell>
          <cell r="AI88">
            <v>-9.3083155970079406E-3</v>
          </cell>
        </row>
        <row r="89">
          <cell r="E89" t="str">
            <v>ASSICURAZIONI GENERALI - SOCIETA PER AZIONI</v>
          </cell>
          <cell r="F89" t="str">
            <v>Sr Unsecured</v>
          </cell>
          <cell r="G89" t="str">
            <v>Italy</v>
          </cell>
          <cell r="H89" t="str">
            <v/>
          </cell>
          <cell r="I89">
            <v>2.491627482098038E-2</v>
          </cell>
          <cell r="J89">
            <v>3.5165541024889641E-2</v>
          </cell>
          <cell r="K89">
            <v>3.9822100738030712E-2</v>
          </cell>
          <cell r="L89">
            <v>4.1682714161575776E-2</v>
          </cell>
          <cell r="M89">
            <v>4.4104925217055113E-2</v>
          </cell>
          <cell r="N89" t="str">
            <v/>
          </cell>
          <cell r="O89">
            <v>5.0933489452103789E-3</v>
          </cell>
          <cell r="P89">
            <v>1.1507359212290916E-2</v>
          </cell>
          <cell r="Q89">
            <v>1.3865948859115454E-2</v>
          </cell>
          <cell r="R89">
            <v>1.6083181497435269E-2</v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</row>
        <row r="90">
          <cell r="E90" t="str">
            <v>ASSICURAZIONI GENERALI - SOCIETA PER AZIONI</v>
          </cell>
          <cell r="F90" t="str">
            <v>Subordinated</v>
          </cell>
          <cell r="G90" t="str">
            <v>Italy</v>
          </cell>
          <cell r="H90" t="str">
            <v>NR / Baa2 / BBB+</v>
          </cell>
          <cell r="I90">
            <v>2.6038073226218508E-2</v>
          </cell>
          <cell r="J90">
            <v>3.8864341937428257E-2</v>
          </cell>
          <cell r="K90">
            <v>4.5623006277465662E-2</v>
          </cell>
          <cell r="L90">
            <v>4.8713602794528479E-2</v>
          </cell>
          <cell r="M90">
            <v>5.1588525716931857E-2</v>
          </cell>
          <cell r="N90" t="str">
            <v/>
          </cell>
          <cell r="O90">
            <v>8.7962843123233735E-3</v>
          </cell>
          <cell r="P90">
            <v>1.7325267982261791E-2</v>
          </cell>
          <cell r="Q90">
            <v>2.0928177225288721E-2</v>
          </cell>
          <cell r="R90">
            <v>2.3618384992857143E-2</v>
          </cell>
          <cell r="AC90" t="str">
            <v>XS1062900912</v>
          </cell>
          <cell r="AD90" t="str">
            <v>ASSGEN 4 1/8 05/04/26</v>
          </cell>
          <cell r="AE90" t="str">
            <v xml:space="preserve"> </v>
          </cell>
          <cell r="AF90">
            <v>3.4456340000000002E-2</v>
          </cell>
          <cell r="AG90">
            <v>1.116666627746566E-2</v>
          </cell>
          <cell r="AH90">
            <v>4.6106804996405425E-2</v>
          </cell>
          <cell r="AI90">
            <v>1.0125758107054676E-2</v>
          </cell>
        </row>
        <row r="91">
          <cell r="E91" t="str">
            <v>AVIVA PLC</v>
          </cell>
          <cell r="F91" t="str">
            <v>Sr Unsecured</v>
          </cell>
          <cell r="G91" t="str">
            <v>UK</v>
          </cell>
          <cell r="H91" t="str">
            <v xml:space="preserve"> / A2 / A</v>
          </cell>
          <cell r="I91">
            <v>2.3196582023990032E-2</v>
          </cell>
          <cell r="J91">
            <v>3.3156650405160575E-2</v>
          </cell>
          <cell r="K91">
            <v>3.7608026517747237E-2</v>
          </cell>
          <cell r="L91">
            <v>3.9581295254787874E-2</v>
          </cell>
          <cell r="M91">
            <v>4.1894063277954384E-2</v>
          </cell>
          <cell r="N91" t="str">
            <v/>
          </cell>
          <cell r="O91">
            <v>3.0838715933199888E-3</v>
          </cell>
          <cell r="P91">
            <v>9.289717973521773E-3</v>
          </cell>
          <cell r="Q91">
            <v>1.175617721431783E-2</v>
          </cell>
          <cell r="R91">
            <v>1.3851168470569343E-2</v>
          </cell>
          <cell r="AC91" t="str">
            <v>XS1908273219</v>
          </cell>
          <cell r="AD91" t="str">
            <v>AVLN 1 7/8 11/13/27</v>
          </cell>
          <cell r="AE91" t="str">
            <v xml:space="preserve"> </v>
          </cell>
          <cell r="AF91">
            <v>3.4751549999999999E-2</v>
          </cell>
          <cell r="AG91">
            <v>2.8564765177472376E-3</v>
          </cell>
          <cell r="AH91">
            <v>4.4763165406301375E-2</v>
          </cell>
          <cell r="AI91">
            <v>3.4584928455089065E-3</v>
          </cell>
        </row>
        <row r="92">
          <cell r="E92" t="str">
            <v>AVIVA PLC</v>
          </cell>
          <cell r="F92" t="str">
            <v>Subordinated</v>
          </cell>
          <cell r="G92" t="str">
            <v>UK</v>
          </cell>
          <cell r="H92" t="str">
            <v>BBB+ / A3 / BBB+u</v>
          </cell>
          <cell r="I92">
            <v>2.467100942495699E-2</v>
          </cell>
          <cell r="J92">
            <v>3.6726940034199122E-2</v>
          </cell>
          <cell r="K92">
            <v>4.3508847906507837E-2</v>
          </cell>
          <cell r="L92">
            <v>4.6277215276798386E-2</v>
          </cell>
          <cell r="M92">
            <v>4.9735968041643937E-2</v>
          </cell>
          <cell r="N92" t="str">
            <v/>
          </cell>
          <cell r="O92">
            <v>6.6593516354452398E-3</v>
          </cell>
          <cell r="P92">
            <v>1.5212072643617854E-2</v>
          </cell>
          <cell r="Q92">
            <v>1.8489412462897085E-2</v>
          </cell>
          <cell r="R92">
            <v>2.1761076127340975E-2</v>
          </cell>
          <cell r="AC92" t="str">
            <v>XS0138717441</v>
          </cell>
          <cell r="AD92" t="str">
            <v>AVLN 6 1/8 11/14/36</v>
          </cell>
          <cell r="AE92">
            <v>46342</v>
          </cell>
          <cell r="AF92">
            <v>4.413489386803586E-2</v>
          </cell>
          <cell r="AG92">
            <v>-6.2604596152802255E-4</v>
          </cell>
          <cell r="AH92">
            <v>5.5299996370670582E-2</v>
          </cell>
          <cell r="AI92">
            <v>-1.2118840827703217E-3</v>
          </cell>
        </row>
        <row r="93">
          <cell r="E93" t="str">
            <v>AXA</v>
          </cell>
          <cell r="F93" t="str">
            <v>Sr Unsecured</v>
          </cell>
          <cell r="G93" t="str">
            <v>France</v>
          </cell>
          <cell r="H93" t="str">
            <v/>
          </cell>
          <cell r="I93">
            <v>2.3694233741053269E-2</v>
          </cell>
          <cell r="J93">
            <v>3.3148117406442544E-2</v>
          </cell>
          <cell r="K93">
            <v>3.7043385719230319E-2</v>
          </cell>
          <cell r="L93">
            <v>3.8455736997135302E-2</v>
          </cell>
          <cell r="M93">
            <v>4.0575777075471692E-2</v>
          </cell>
          <cell r="N93" t="str">
            <v/>
          </cell>
          <cell r="O93">
            <v>3.0758133219000684E-3</v>
          </cell>
          <cell r="P93">
            <v>8.7234276088932645E-3</v>
          </cell>
          <cell r="Q93">
            <v>1.0621869378313812E-2</v>
          </cell>
          <cell r="R93">
            <v>1.2513475664903809E-2</v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</row>
        <row r="94">
          <cell r="E94" t="str">
            <v>AXA</v>
          </cell>
          <cell r="F94" t="str">
            <v>Subordinated</v>
          </cell>
          <cell r="G94" t="str">
            <v>France</v>
          </cell>
          <cell r="H94" t="str">
            <v/>
          </cell>
          <cell r="I94">
            <v>2.3764310887103245E-2</v>
          </cell>
          <cell r="J94">
            <v>3.4793191623264462E-2</v>
          </cell>
          <cell r="K94">
            <v>4.0511079279854569E-2</v>
          </cell>
          <cell r="L94">
            <v>4.2781441772359118E-2</v>
          </cell>
          <cell r="M94">
            <v>4.5283568096874199E-2</v>
          </cell>
          <cell r="N94" t="str">
            <v/>
          </cell>
          <cell r="O94">
            <v>4.725248939413472E-3</v>
          </cell>
          <cell r="P94">
            <v>1.2210658258903046E-2</v>
          </cell>
          <cell r="Q94">
            <v>1.4983870527410514E-2</v>
          </cell>
          <cell r="R94">
            <v>1.7275799295271663E-2</v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</row>
        <row r="95">
          <cell r="E95" t="str">
            <v>PRUDENTIAL PUBLIC LIMITED COMPANY</v>
          </cell>
          <cell r="F95" t="str">
            <v>Sr Unsecured</v>
          </cell>
          <cell r="G95" t="str">
            <v>UK</v>
          </cell>
          <cell r="H95" t="str">
            <v xml:space="preserve"> /  / A-</v>
          </cell>
          <cell r="I95">
            <v>2.2934353211969408E-2</v>
          </cell>
          <cell r="J95">
            <v>3.2833440097715667E-2</v>
          </cell>
          <cell r="K95">
            <v>3.7299619209344104E-2</v>
          </cell>
          <cell r="L95">
            <v>3.9337254987925493E-2</v>
          </cell>
          <cell r="M95">
            <v>4.2062832702781265E-2</v>
          </cell>
          <cell r="N95" t="str">
            <v/>
          </cell>
          <cell r="O95">
            <v>2.7604664219947985E-3</v>
          </cell>
          <cell r="P95">
            <v>8.9803079406196636E-3</v>
          </cell>
          <cell r="Q95">
            <v>1.151104312680035E-2</v>
          </cell>
          <cell r="R95">
            <v>1.4024410042657788E-2</v>
          </cell>
          <cell r="AC95" t="str">
            <v>XS0096874671</v>
          </cell>
          <cell r="AD95" t="str">
            <v>PRUFIN 5 7/8 05/11/29</v>
          </cell>
          <cell r="AE95" t="str">
            <v xml:space="preserve"> </v>
          </cell>
          <cell r="AF95">
            <v>3.8133372388001893E-2</v>
          </cell>
          <cell r="AG95">
            <v>-8.3375317865778953E-4</v>
          </cell>
          <cell r="AH95">
            <v>4.7932100025994108E-2</v>
          </cell>
          <cell r="AI95">
            <v>-2.5733252777659921E-5</v>
          </cell>
        </row>
        <row r="96">
          <cell r="E96" t="str">
            <v>PRUDENTIAL PUBLIC LIMITED COMPANY</v>
          </cell>
          <cell r="F96" t="str">
            <v>Subordinated</v>
          </cell>
          <cell r="G96" t="str">
            <v>UK</v>
          </cell>
          <cell r="H96" t="str">
            <v xml:space="preserve">A- / A3 / </v>
          </cell>
          <cell r="I96">
            <v>2.4902253104508245E-2</v>
          </cell>
          <cell r="J96">
            <v>3.6694816597348363E-2</v>
          </cell>
          <cell r="K96">
            <v>4.3698702765588994E-2</v>
          </cell>
          <cell r="L96">
            <v>4.5858559742678148E-2</v>
          </cell>
          <cell r="M96">
            <v>4.8547023854307071E-2</v>
          </cell>
          <cell r="N96" t="str">
            <v/>
          </cell>
          <cell r="O96">
            <v>6.6276903508732891E-3</v>
          </cell>
          <cell r="P96">
            <v>1.5402513136261845E-2</v>
          </cell>
          <cell r="Q96">
            <v>1.8068081062470241E-2</v>
          </cell>
          <cell r="R96">
            <v>2.0560717010375471E-2</v>
          </cell>
          <cell r="AC96" t="str">
            <v>XS2403426427</v>
          </cell>
          <cell r="AD96" t="str">
            <v>PRUFIN 2.95 11/03/33</v>
          </cell>
          <cell r="AE96">
            <v>46968</v>
          </cell>
          <cell r="AF96">
            <v>4.3713561743624105E-2</v>
          </cell>
          <cell r="AG96">
            <v>-1.485897803511077E-5</v>
          </cell>
          <cell r="AH96">
            <v>5.4987300000000003E-2</v>
          </cell>
          <cell r="AI96">
            <v>-7.0988826214311851E-4</v>
          </cell>
        </row>
        <row r="97">
          <cell r="E97" t="str">
            <v>Hannover Rueck SE</v>
          </cell>
          <cell r="F97" t="str">
            <v>Sr Unsecured</v>
          </cell>
          <cell r="G97" t="str">
            <v>Germany</v>
          </cell>
          <cell r="H97" t="str">
            <v>AA- /  / A+u</v>
          </cell>
          <cell r="I97">
            <v>2.1997591851063356E-2</v>
          </cell>
          <cell r="J97">
            <v>3.1056532572719828E-2</v>
          </cell>
          <cell r="K97">
            <v>3.4824099538845105E-2</v>
          </cell>
          <cell r="L97">
            <v>3.6163740203048751E-2</v>
          </cell>
          <cell r="M97">
            <v>3.8063154687619102E-2</v>
          </cell>
          <cell r="N97" t="str">
            <v/>
          </cell>
          <cell r="O97">
            <v>9.8229791575309188E-4</v>
          </cell>
          <cell r="P97">
            <v>6.4947579131158072E-3</v>
          </cell>
          <cell r="Q97">
            <v>8.3096544076106723E-3</v>
          </cell>
          <cell r="R97">
            <v>9.960418572429651E-3</v>
          </cell>
          <cell r="AC97" t="str">
            <v>XS1808482746</v>
          </cell>
          <cell r="AD97" t="str">
            <v>HANRUE 1 1/8 04/18/28</v>
          </cell>
          <cell r="AE97">
            <v>46770</v>
          </cell>
          <cell r="AF97">
            <v>3.3434199999999997E-2</v>
          </cell>
          <cell r="AG97">
            <v>1.3898995388451074E-3</v>
          </cell>
          <cell r="AH97">
            <v>4.3149461810627038E-2</v>
          </cell>
          <cell r="AI97">
            <v>2.2423854570550253E-3</v>
          </cell>
        </row>
        <row r="98">
          <cell r="E98" t="str">
            <v>Hannover Rueck SE</v>
          </cell>
          <cell r="F98" t="str">
            <v>Subordinated</v>
          </cell>
          <cell r="G98" t="str">
            <v>Germany</v>
          </cell>
          <cell r="H98" t="str">
            <v xml:space="preserve">A- /  / </v>
          </cell>
          <cell r="I98">
            <v>2.4471748780398594E-2</v>
          </cell>
          <cell r="J98">
            <v>3.5473286703920429E-2</v>
          </cell>
          <cell r="K98">
            <v>4.2131064053205512E-2</v>
          </cell>
          <cell r="L98">
            <v>4.4196678145671388E-2</v>
          </cell>
          <cell r="M98">
            <v>4.6746660344128416E-2</v>
          </cell>
          <cell r="N98" t="str">
            <v/>
          </cell>
          <cell r="O98">
            <v>5.4061098559772475E-3</v>
          </cell>
          <cell r="P98">
            <v>1.383447338051621E-2</v>
          </cell>
          <cell r="Q98">
            <v>1.6403191523438027E-2</v>
          </cell>
          <cell r="R98">
            <v>1.8749380908658929E-2</v>
          </cell>
          <cell r="AC98" t="str">
            <v>XS1729882024</v>
          </cell>
          <cell r="AD98" t="str">
            <v>TALANX 2 1/4 12/05/47</v>
          </cell>
          <cell r="AE98">
            <v>46726</v>
          </cell>
          <cell r="AF98">
            <v>5.0341110000000001E-2</v>
          </cell>
          <cell r="AG98">
            <v>-8.2100459467944892E-3</v>
          </cell>
          <cell r="AH98">
            <v>5.9337437487448887E-2</v>
          </cell>
          <cell r="AI98">
            <v>-6.6382800967046546E-3</v>
          </cell>
        </row>
        <row r="99">
          <cell r="E99" t="str">
            <v>Muenchener Rueckversicherungs-Gesellschaft Aktiengesellschaft in Muenchen</v>
          </cell>
          <cell r="F99" t="str">
            <v>Sr Unsecured</v>
          </cell>
          <cell r="G99" t="str">
            <v>Germany</v>
          </cell>
          <cell r="H99" t="str">
            <v>A- / A2 / AA-</v>
          </cell>
          <cell r="I99">
            <v>2.2104083104326121E-2</v>
          </cell>
          <cell r="J99">
            <v>3.1124607136852847E-2</v>
          </cell>
          <cell r="K99">
            <v>3.477105878410925E-2</v>
          </cell>
          <cell r="L99">
            <v>3.6010931891291134E-2</v>
          </cell>
          <cell r="M99">
            <v>3.8004189587038585E-2</v>
          </cell>
          <cell r="N99" t="str">
            <v/>
          </cell>
          <cell r="O99">
            <v>1.0502920733853859E-3</v>
          </cell>
          <cell r="P99">
            <v>6.4414792346854412E-3</v>
          </cell>
          <cell r="Q99">
            <v>8.1550262611795564E-3</v>
          </cell>
          <cell r="R99">
            <v>9.9005277499669316E-3</v>
          </cell>
          <cell r="AC99" t="str">
            <v>US029163AD49</v>
          </cell>
          <cell r="AD99" t="str">
            <v>MUNRE 7.45 12/15/26</v>
          </cell>
          <cell r="AE99" t="str">
            <v xml:space="preserve"> </v>
          </cell>
          <cell r="AF99">
            <v>3.8828219423736085E-2</v>
          </cell>
          <cell r="AG99">
            <v>-4.0571606396268348E-3</v>
          </cell>
          <cell r="AH99">
            <v>4.9424910000000002E-2</v>
          </cell>
          <cell r="AI99">
            <v>-4.0821982402269169E-3</v>
          </cell>
        </row>
        <row r="100">
          <cell r="E100" t="str">
            <v>Muenchener Rueckversicherungs-Gesellschaft Aktiengesellschaft in Muenchen</v>
          </cell>
          <cell r="F100" t="str">
            <v>Subordinated</v>
          </cell>
          <cell r="G100" t="str">
            <v>Germany</v>
          </cell>
          <cell r="H100" t="str">
            <v/>
          </cell>
          <cell r="I100">
            <v>2.4970338300604682E-2</v>
          </cell>
          <cell r="J100">
            <v>3.5747908722087225E-2</v>
          </cell>
          <cell r="K100">
            <v>4.2517079255885243E-2</v>
          </cell>
          <cell r="L100">
            <v>4.4703845378258375E-2</v>
          </cell>
          <cell r="M100">
            <v>4.7484521811856376E-2</v>
          </cell>
          <cell r="N100" t="str">
            <v/>
          </cell>
          <cell r="O100">
            <v>5.6814351572173072E-3</v>
          </cell>
          <cell r="P100">
            <v>1.42212891108499E-2</v>
          </cell>
          <cell r="Q100">
            <v>1.6912216614874419E-2</v>
          </cell>
          <cell r="R100">
            <v>1.9493555178534527E-2</v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</row>
        <row r="101">
          <cell r="E101" t="str">
            <v>Swiss Reinsurance Company Ltd</v>
          </cell>
          <cell r="F101" t="str">
            <v>Sr Unsecured</v>
          </cell>
          <cell r="G101" t="str">
            <v>Switzerland</v>
          </cell>
          <cell r="H101" t="str">
            <v>AA- / Aa3 / Au</v>
          </cell>
          <cell r="I101">
            <v>2.2856124830865646E-2</v>
          </cell>
          <cell r="J101">
            <v>3.2211268999712162E-2</v>
          </cell>
          <cell r="K101">
            <v>3.621800370525223E-2</v>
          </cell>
          <cell r="L101">
            <v>3.7770293378822727E-2</v>
          </cell>
          <cell r="M101">
            <v>3.9906358429188951E-2</v>
          </cell>
          <cell r="N101" t="str">
            <v/>
          </cell>
          <cell r="O101">
            <v>2.1381787570141433E-3</v>
          </cell>
          <cell r="P101">
            <v>7.8954338773753879E-3</v>
          </cell>
          <cell r="Q101">
            <v>9.9319787549323642E-3</v>
          </cell>
          <cell r="R101">
            <v>1.1835675815348917E-2</v>
          </cell>
          <cell r="AC101" t="str">
            <v>CH0262881441</v>
          </cell>
          <cell r="AD101" t="str">
            <v>SRENVX 0 3/4 01/21/27</v>
          </cell>
          <cell r="AE101" t="str">
            <v xml:space="preserve"> </v>
          </cell>
          <cell r="AF101">
            <v>3.0161267842846545E-2</v>
          </cell>
          <cell r="AG101">
            <v>6.0567358624056856E-3</v>
          </cell>
          <cell r="AH101">
            <v>4.0844479447471535E-2</v>
          </cell>
          <cell r="AI101">
            <v>5.9691175564466625E-3</v>
          </cell>
        </row>
        <row r="102">
          <cell r="E102" t="str">
            <v>Swiss Reinsurance Company Ltd</v>
          </cell>
          <cell r="F102" t="str">
            <v>Subordinated</v>
          </cell>
          <cell r="G102" t="str">
            <v>Switzerland</v>
          </cell>
          <cell r="H102" t="str">
            <v>BBB+ /  / BBB-u</v>
          </cell>
          <cell r="I102">
            <v>2.4275631332907284E-2</v>
          </cell>
          <cell r="J102">
            <v>3.5462910683437557E-2</v>
          </cell>
          <cell r="K102">
            <v>4.2273660214120212E-2</v>
          </cell>
          <cell r="L102">
            <v>4.4575622805964971E-2</v>
          </cell>
          <cell r="M102">
            <v>4.7401288484790645E-2</v>
          </cell>
          <cell r="N102" t="str">
            <v/>
          </cell>
          <cell r="O102">
            <v>5.3956807796180792E-3</v>
          </cell>
          <cell r="P102">
            <v>1.397692601394445E-2</v>
          </cell>
          <cell r="Q102">
            <v>1.6783691775984134E-2</v>
          </cell>
          <cell r="R102">
            <v>1.9410126155736035E-2</v>
          </cell>
          <cell r="AC102" t="str">
            <v>XS1423777215</v>
          </cell>
          <cell r="AD102" t="str">
            <v>SRENVX 5 5/8 08/15/52</v>
          </cell>
          <cell r="AE102">
            <v>46614</v>
          </cell>
          <cell r="AF102">
            <v>5.1343683600925276E-2</v>
          </cell>
          <cell r="AG102">
            <v>-9.0700233868050636E-3</v>
          </cell>
          <cell r="AH102">
            <v>6.2094079999999996E-2</v>
          </cell>
          <cell r="AI102">
            <v>-9.2538017431800443E-3</v>
          </cell>
        </row>
        <row r="103">
          <cell r="E103" t="str">
            <v>Zurich Insurance Company Ltd</v>
          </cell>
          <cell r="F103" t="str">
            <v>Sr Unsecured</v>
          </cell>
          <cell r="G103" t="str">
            <v>Switzerland</v>
          </cell>
          <cell r="H103" t="str">
            <v>AA- / A1 / AA-u</v>
          </cell>
          <cell r="I103">
            <v>2.3010823175561308E-2</v>
          </cell>
          <cell r="J103">
            <v>3.2615493886233415E-2</v>
          </cell>
          <cell r="K103">
            <v>3.6782622397491319E-2</v>
          </cell>
          <cell r="L103">
            <v>3.8102449496527566E-2</v>
          </cell>
          <cell r="M103">
            <v>4.0049225608537527E-2</v>
          </cell>
          <cell r="N103" t="str">
            <v/>
          </cell>
          <cell r="O103">
            <v>2.542622970856636E-3</v>
          </cell>
          <cell r="P103">
            <v>8.4619705201237072E-3</v>
          </cell>
          <cell r="Q103">
            <v>1.0265312700531545E-2</v>
          </cell>
          <cell r="R103">
            <v>1.1978251531921108E-2</v>
          </cell>
          <cell r="AC103" t="str">
            <v>CH0419040792</v>
          </cell>
          <cell r="AD103" t="str">
            <v>ZURNVX 0 3/4 10/22/27</v>
          </cell>
          <cell r="AE103">
            <v>46590</v>
          </cell>
          <cell r="AF103">
            <v>3.0806367640913011E-2</v>
          </cell>
          <cell r="AG103">
            <v>5.9762547565783072E-3</v>
          </cell>
          <cell r="AH103">
            <v>4.1014586000352675E-2</v>
          </cell>
          <cell r="AI103">
            <v>6.3715465320295511E-3</v>
          </cell>
        </row>
        <row r="104">
          <cell r="E104" t="str">
            <v>Zurich Insurance Company Ltd</v>
          </cell>
          <cell r="F104" t="str">
            <v>Subordinated</v>
          </cell>
          <cell r="G104" t="str">
            <v>Switzerland</v>
          </cell>
          <cell r="H104" t="str">
            <v>A+ / A2 / Au</v>
          </cell>
          <cell r="I104">
            <v>2.4961782702370865E-2</v>
          </cell>
          <cell r="J104">
            <v>3.5246205778233917E-2</v>
          </cell>
          <cell r="K104">
            <v>4.1343706072942396E-2</v>
          </cell>
          <cell r="L104">
            <v>4.3601090640780514E-2</v>
          </cell>
          <cell r="M104">
            <v>4.6290372009591269E-2</v>
          </cell>
          <cell r="N104" t="str">
            <v/>
          </cell>
          <cell r="O104">
            <v>5.1795758819624177E-3</v>
          </cell>
          <cell r="P104">
            <v>1.304631702305282E-2</v>
          </cell>
          <cell r="Q104">
            <v>1.5807502242939989E-2</v>
          </cell>
          <cell r="R104">
            <v>1.8291838974040728E-2</v>
          </cell>
          <cell r="AC104" t="str">
            <v>XS1795323952</v>
          </cell>
          <cell r="AD104" t="str">
            <v>ZURNVX 5 1/8 06/01/48</v>
          </cell>
          <cell r="AE104">
            <v>46905</v>
          </cell>
          <cell r="AF104">
            <v>5.1239144088889736E-2</v>
          </cell>
          <cell r="AG104">
            <v>-9.8954380159473401E-3</v>
          </cell>
          <cell r="AH104">
            <v>6.2040360000000003E-2</v>
          </cell>
          <cell r="AI104">
            <v>-1.0122112795860248E-2</v>
          </cell>
        </row>
        <row r="105">
          <cell r="E105" t="str">
            <v xml:space="preserve">                                          US</v>
          </cell>
        </row>
        <row r="106">
          <cell r="E106" t="str">
            <v>American International Group, Inc.</v>
          </cell>
          <cell r="F106" t="str">
            <v>Sr Unsecured</v>
          </cell>
          <cell r="G106" t="str">
            <v>US</v>
          </cell>
          <cell r="H106" t="str">
            <v>BBB+ / Baa2 / BBB+</v>
          </cell>
          <cell r="I106">
            <v>2.2621087864936665E-2</v>
          </cell>
          <cell r="J106">
            <v>3.373394707507954E-2</v>
          </cell>
          <cell r="K106">
            <v>3.9041882776936619E-2</v>
          </cell>
          <cell r="L106">
            <v>4.2039336571408105E-2</v>
          </cell>
          <cell r="M106">
            <v>4.4575859242171875E-2</v>
          </cell>
          <cell r="N106" t="str">
            <v/>
          </cell>
          <cell r="O106">
            <v>3.6607519960621779E-3</v>
          </cell>
          <cell r="P106">
            <v>1.0725998282704546E-2</v>
          </cell>
          <cell r="Q106">
            <v>1.4228174411829234E-2</v>
          </cell>
          <cell r="R106">
            <v>1.6566434782039178E-2</v>
          </cell>
          <cell r="AC106" t="str">
            <v>US026874DK01</v>
          </cell>
          <cell r="AD106" t="str">
            <v>AIG 4.2 04/01/28</v>
          </cell>
          <cell r="AE106">
            <v>46753</v>
          </cell>
          <cell r="AF106">
            <v>3.7429573995580966E-2</v>
          </cell>
          <cell r="AG106">
            <v>1.6123087813556536E-3</v>
          </cell>
          <cell r="AH106">
            <v>4.7730620000000001E-2</v>
          </cell>
          <cell r="AI106">
            <v>2.9408728668200226E-3</v>
          </cell>
        </row>
        <row r="107">
          <cell r="E107" t="str">
            <v>Lincoln National Corporation</v>
          </cell>
          <cell r="F107" t="str">
            <v>Sr Unsecured</v>
          </cell>
          <cell r="G107" t="str">
            <v>US</v>
          </cell>
          <cell r="H107" t="str">
            <v>BBB+ / Baa1 / BBB+</v>
          </cell>
          <cell r="I107">
            <v>2.419728260204326E-2</v>
          </cell>
          <cell r="J107">
            <v>3.7945189589408519E-2</v>
          </cell>
          <cell r="K107">
            <v>4.5690321293318216E-2</v>
          </cell>
          <cell r="L107">
            <v>4.8753691646898793E-2</v>
          </cell>
          <cell r="M107">
            <v>5.1409134869542912E-2</v>
          </cell>
          <cell r="N107" t="str">
            <v/>
          </cell>
          <cell r="O107">
            <v>7.8677992414785611E-3</v>
          </cell>
          <cell r="P107">
            <v>1.7368589870227814E-2</v>
          </cell>
          <cell r="Q107">
            <v>2.0937896572956825E-2</v>
          </cell>
          <cell r="R107">
            <v>2.342644311521664E-2</v>
          </cell>
          <cell r="AC107" t="str">
            <v>US534187BH11</v>
          </cell>
          <cell r="AD107" t="str">
            <v>LNC 3.8 03/01/28</v>
          </cell>
          <cell r="AE107">
            <v>46722</v>
          </cell>
          <cell r="AF107">
            <v>3.8662752355682908E-2</v>
          </cell>
          <cell r="AG107">
            <v>7.0275689376353076E-3</v>
          </cell>
          <cell r="AH107">
            <v>4.9161270000000007E-2</v>
          </cell>
          <cell r="AI107">
            <v>8.2348157930691931E-3</v>
          </cell>
        </row>
        <row r="108">
          <cell r="E108" t="str">
            <v>MetLife, Inc.</v>
          </cell>
          <cell r="F108" t="str">
            <v>Sr Unsecured</v>
          </cell>
          <cell r="G108" t="str">
            <v>US</v>
          </cell>
          <cell r="H108" t="str">
            <v>A- / A3 / A-</v>
          </cell>
          <cell r="I108">
            <v>2.2622882880675252E-2</v>
          </cell>
          <cell r="J108">
            <v>3.3523737356050264E-2</v>
          </cell>
          <cell r="K108">
            <v>3.9795594573938234E-2</v>
          </cell>
          <cell r="L108">
            <v>4.2402355451725771E-2</v>
          </cell>
          <cell r="M108">
            <v>4.4922832488058992E-2</v>
          </cell>
          <cell r="N108" t="str">
            <v/>
          </cell>
          <cell r="O108">
            <v>3.4504018023100444E-3</v>
          </cell>
          <cell r="P108">
            <v>1.1482389753663003E-2</v>
          </cell>
          <cell r="Q108">
            <v>1.459037038089608E-2</v>
          </cell>
          <cell r="R108">
            <v>1.6914426827206463E-2</v>
          </cell>
          <cell r="AC108" t="str">
            <v>XS1999735688</v>
          </cell>
          <cell r="AD108" t="str">
            <v>MET 0.769 05/23/29</v>
          </cell>
          <cell r="AE108" t="str">
            <v xml:space="preserve"> </v>
          </cell>
          <cell r="AF108">
            <v>4.1162716208595747E-2</v>
          </cell>
          <cell r="AG108">
            <v>-1.367121634657513E-3</v>
          </cell>
          <cell r="AH108">
            <v>5.1096365679784511E-2</v>
          </cell>
          <cell r="AI108">
            <v>3.1913595905380676E-4</v>
          </cell>
        </row>
        <row r="110">
          <cell r="E110" t="str">
            <v>DM Corps</v>
          </cell>
        </row>
        <row r="111">
          <cell r="E111" t="str">
            <v>Legal Entity / Index</v>
          </cell>
          <cell r="F111" t="str">
            <v>Rank</v>
          </cell>
          <cell r="G111" t="str">
            <v>Country of Risk</v>
          </cell>
          <cell r="H111" t="str">
            <v>Rating (S/M/F)</v>
          </cell>
          <cell r="I111" t="str">
            <v>1Y</v>
          </cell>
          <cell r="J111" t="str">
            <v>3Y</v>
          </cell>
          <cell r="K111" t="str">
            <v>5Y</v>
          </cell>
          <cell r="L111" t="str">
            <v>7Y</v>
          </cell>
          <cell r="M111" t="str">
            <v>10Y</v>
          </cell>
          <cell r="N111" t="str">
            <v>1Y</v>
          </cell>
          <cell r="O111" t="str">
            <v>3Y</v>
          </cell>
          <cell r="P111" t="str">
            <v>5Y</v>
          </cell>
          <cell r="Q111" t="str">
            <v>7Y</v>
          </cell>
          <cell r="R111" t="str">
            <v>10Y</v>
          </cell>
          <cell r="AC111" t="str">
            <v>ISIN</v>
          </cell>
          <cell r="AD111" t="str">
            <v>Benchmark Bond</v>
          </cell>
          <cell r="AE111" t="str">
            <v>Next Call Date</v>
          </cell>
          <cell r="AF111" t="str">
            <v>EUR Yield</v>
          </cell>
          <cell r="AG111" t="str">
            <v>5Y CLN vs benchmark</v>
          </cell>
          <cell r="AH111" t="str">
            <v>USD Yield</v>
          </cell>
          <cell r="AI111" t="str">
            <v>5Y CLN vs benchmark</v>
          </cell>
        </row>
        <row r="112">
          <cell r="E112" t="str">
            <v xml:space="preserve">                                          IG</v>
          </cell>
        </row>
        <row r="113">
          <cell r="E113" t="str">
            <v>Nordstrom, Inc.</v>
          </cell>
          <cell r="F113" t="str">
            <v>Sr Unsecured</v>
          </cell>
          <cell r="G113" t="str">
            <v>US</v>
          </cell>
          <cell r="H113" t="str">
            <v>BB+ / Ba1 / BB+</v>
          </cell>
          <cell r="I113">
            <v>3.5198128084816045E-2</v>
          </cell>
          <cell r="J113">
            <v>6.8662070651910989E-2</v>
          </cell>
          <cell r="K113">
            <v>8.7050606228488356E-2</v>
          </cell>
          <cell r="L113">
            <v>9.3660087440697828E-2</v>
          </cell>
          <cell r="M113">
            <v>9.597241528397929E-2</v>
          </cell>
          <cell r="N113">
            <v>2.827439118630903E-3</v>
          </cell>
          <cell r="O113">
            <v>3.8488954590065579E-2</v>
          </cell>
          <cell r="P113">
            <v>5.8472750828801504E-2</v>
          </cell>
          <cell r="Q113">
            <v>6.5537234822647672E-2</v>
          </cell>
          <cell r="R113">
            <v>6.7804677897100943E-2</v>
          </cell>
          <cell r="AC113" t="str">
            <v>US655664AS97</v>
          </cell>
          <cell r="AD113" t="str">
            <v>JWN 4 03/15/27</v>
          </cell>
          <cell r="AE113">
            <v>46371</v>
          </cell>
          <cell r="AF113">
            <v>6.3239968723413503E-2</v>
          </cell>
          <cell r="AG113">
            <v>2.3810637505074853E-2</v>
          </cell>
          <cell r="AH113">
            <v>7.731855E-2</v>
          </cell>
          <cell r="AI113">
            <v>2.2132463887972978E-2</v>
          </cell>
        </row>
        <row r="114">
          <cell r="E114" t="str">
            <v>UNIBAIL-RODAMCO-WESTFIELD SE</v>
          </cell>
          <cell r="F114" t="str">
            <v>Sr Unsecured</v>
          </cell>
          <cell r="G114" t="str">
            <v>France</v>
          </cell>
          <cell r="H114" t="str">
            <v>BBB+ / Baa2 / BBB+u</v>
          </cell>
          <cell r="I114">
            <v>3.0141501867907716E-2</v>
          </cell>
          <cell r="J114">
            <v>4.7165065622977127E-2</v>
          </cell>
          <cell r="K114">
            <v>5.3939065092583546E-2</v>
          </cell>
          <cell r="L114">
            <v>5.8029861642056903E-2</v>
          </cell>
          <cell r="M114">
            <v>6.1785537126820313E-2</v>
          </cell>
          <cell r="N114" t="str">
            <v/>
          </cell>
          <cell r="O114">
            <v>1.7069696444677554E-2</v>
          </cell>
          <cell r="P114">
            <v>2.5582416188571881E-2</v>
          </cell>
          <cell r="Q114">
            <v>3.0184157780202441E-2</v>
          </cell>
          <cell r="R114">
            <v>3.3808089320308092E-2</v>
          </cell>
          <cell r="AC114" t="str">
            <v>FR0014000UC8</v>
          </cell>
          <cell r="AD114" t="str">
            <v>ULFP 0 5/8 05/04/27</v>
          </cell>
          <cell r="AE114">
            <v>46422</v>
          </cell>
          <cell r="AF114">
            <v>3.8456989999999996E-2</v>
          </cell>
          <cell r="AG114">
            <v>1.548207509258355E-2</v>
          </cell>
          <cell r="AH114">
            <v>4.8351435705548541E-2</v>
          </cell>
          <cell r="AI114">
            <v>1.6530383070219389E-2</v>
          </cell>
        </row>
        <row r="115">
          <cell r="E115" t="str">
            <v>Auchan Holding</v>
          </cell>
          <cell r="F115" t="str">
            <v>Sr Unsecured</v>
          </cell>
          <cell r="G115" t="str">
            <v>France</v>
          </cell>
          <cell r="H115" t="str">
            <v xml:space="preserve">BBB- /  / </v>
          </cell>
          <cell r="I115">
            <v>2.6108547942904358E-2</v>
          </cell>
          <cell r="J115">
            <v>4.2776964657948231E-2</v>
          </cell>
          <cell r="K115">
            <v>5.2107046905026308E-2</v>
          </cell>
          <cell r="L115">
            <v>5.6167159844656957E-2</v>
          </cell>
          <cell r="M115">
            <v>5.9362838057524951E-2</v>
          </cell>
          <cell r="N115" t="str">
            <v/>
          </cell>
          <cell r="O115">
            <v>1.2690161298422915E-2</v>
          </cell>
          <cell r="P115">
            <v>2.376258021359982E-2</v>
          </cell>
          <cell r="Q115">
            <v>2.8328357047433545E-2</v>
          </cell>
          <cell r="R115">
            <v>3.1385462116461302E-2</v>
          </cell>
          <cell r="AC115" t="str">
            <v>FR001400EHH1</v>
          </cell>
          <cell r="AD115" t="str">
            <v>ELOFR 4 7/8 12/08/28</v>
          </cell>
          <cell r="AE115">
            <v>47004</v>
          </cell>
          <cell r="AF115">
            <v>5.5689559999999999E-2</v>
          </cell>
          <cell r="AG115">
            <v>-3.5825130949736911E-3</v>
          </cell>
          <cell r="AH115">
            <v>6.5616540227143721E-2</v>
          </cell>
          <cell r="AI115">
            <v>-2.7077732336593524E-3</v>
          </cell>
        </row>
        <row r="116">
          <cell r="E116" t="str">
            <v>ELO</v>
          </cell>
          <cell r="F116" t="str">
            <v>Sr Unsecured</v>
          </cell>
          <cell r="G116" t="str">
            <v>France</v>
          </cell>
          <cell r="H116" t="str">
            <v xml:space="preserve">BBB- /  / </v>
          </cell>
          <cell r="I116">
            <v>2.6121318608870004E-2</v>
          </cell>
          <cell r="J116">
            <v>4.284182673711015E-2</v>
          </cell>
          <cell r="K116">
            <v>5.2101404728143119E-2</v>
          </cell>
          <cell r="L116">
            <v>5.6363627358770589E-2</v>
          </cell>
          <cell r="M116">
            <v>5.9487663827951863E-2</v>
          </cell>
          <cell r="N116" t="str">
            <v/>
          </cell>
          <cell r="O116">
            <v>1.2754853098497242E-2</v>
          </cell>
          <cell r="P116">
            <v>2.3757662767024301E-2</v>
          </cell>
          <cell r="Q116">
            <v>2.8525850089927217E-2</v>
          </cell>
          <cell r="R116">
            <v>3.1511308367052897E-2</v>
          </cell>
          <cell r="AC116" t="str">
            <v>FR0013524865</v>
          </cell>
          <cell r="AD116" t="str">
            <v>ELOFR 3 1/4 07/23/27</v>
          </cell>
          <cell r="AE116">
            <v>46500</v>
          </cell>
          <cell r="AF116">
            <v>4.7205630000000005E-2</v>
          </cell>
          <cell r="AG116">
            <v>4.8957747281431138E-3</v>
          </cell>
          <cell r="AH116">
            <v>5.7322190648890825E-2</v>
          </cell>
          <cell r="AI116">
            <v>5.5792760248646045E-3</v>
          </cell>
        </row>
        <row r="117">
          <cell r="E117" t="str">
            <v>General Motors Company</v>
          </cell>
          <cell r="F117" t="str">
            <v>Sr Unsecured</v>
          </cell>
          <cell r="G117" t="str">
            <v>US</v>
          </cell>
          <cell r="H117" t="str">
            <v>BBB / Baa3 / BBB-</v>
          </cell>
          <cell r="I117">
            <v>2.8526240179897348E-2</v>
          </cell>
          <cell r="J117">
            <v>4.321195204506631E-2</v>
          </cell>
          <cell r="K117">
            <v>5.0944452670149444E-2</v>
          </cell>
          <cell r="L117">
            <v>5.4857971592289216E-2</v>
          </cell>
          <cell r="M117">
            <v>5.7839615274796696E-2</v>
          </cell>
          <cell r="N117" t="str">
            <v/>
          </cell>
          <cell r="O117">
            <v>1.3127036158760217E-2</v>
          </cell>
          <cell r="P117">
            <v>2.2602950446470652E-2</v>
          </cell>
          <cell r="Q117">
            <v>2.7026100414925789E-2</v>
          </cell>
          <cell r="R117">
            <v>2.9863462330016209E-2</v>
          </cell>
          <cell r="AC117" t="str">
            <v>US37045VAN01</v>
          </cell>
          <cell r="AD117" t="str">
            <v>GM 4.2 10/01/27</v>
          </cell>
          <cell r="AE117">
            <v>46569</v>
          </cell>
          <cell r="AF117">
            <v>3.9912291068833074E-2</v>
          </cell>
          <cell r="AG117">
            <v>1.103216160131637E-2</v>
          </cell>
          <cell r="AH117">
            <v>5.0564910000000005E-2</v>
          </cell>
          <cell r="AI117">
            <v>1.2241588189204664E-2</v>
          </cell>
        </row>
        <row r="118">
          <cell r="E118" t="str">
            <v>ArcelorMittal</v>
          </cell>
          <cell r="F118" t="str">
            <v>Sr Unsecured</v>
          </cell>
          <cell r="G118" t="str">
            <v>Luxembourg</v>
          </cell>
          <cell r="H118" t="str">
            <v xml:space="preserve">BBB- / Baa3 / </v>
          </cell>
          <cell r="I118">
            <v>2.6358471320268261E-2</v>
          </cell>
          <cell r="J118">
            <v>3.9953716426075113E-2</v>
          </cell>
          <cell r="K118">
            <v>4.9826714988552227E-2</v>
          </cell>
          <cell r="L118">
            <v>5.5401034644797231E-2</v>
          </cell>
          <cell r="M118">
            <v>5.7778470531247517E-2</v>
          </cell>
          <cell r="N118" t="str">
            <v/>
          </cell>
          <cell r="O118">
            <v>9.8749815491136986E-3</v>
          </cell>
          <cell r="P118">
            <v>2.1499375568483609E-2</v>
          </cell>
          <cell r="Q118">
            <v>2.7580566618260541E-2</v>
          </cell>
          <cell r="R118">
            <v>2.9809598550527377E-2</v>
          </cell>
          <cell r="AC118" t="str">
            <v>US03938LBE39</v>
          </cell>
          <cell r="AD118" t="str">
            <v>MTNA 6.55 11/29/27</v>
          </cell>
          <cell r="AE118">
            <v>46689</v>
          </cell>
          <cell r="AF118">
            <v>4.4882809195735743E-2</v>
          </cell>
          <cell r="AG118">
            <v>4.9439057928164845E-3</v>
          </cell>
          <cell r="AH118">
            <v>5.5135420000000004E-2</v>
          </cell>
          <cell r="AI118">
            <v>5.4399463473269669E-3</v>
          </cell>
        </row>
        <row r="119">
          <cell r="E119" t="str">
            <v>ITV PLC</v>
          </cell>
          <cell r="F119" t="str">
            <v>Sr Unsecured</v>
          </cell>
          <cell r="G119" t="str">
            <v>UK</v>
          </cell>
          <cell r="H119" t="str">
            <v xml:space="preserve">BBB- / Baa3 / </v>
          </cell>
          <cell r="I119">
            <v>2.5842048433798927E-2</v>
          </cell>
          <cell r="J119">
            <v>3.9585336416609579E-2</v>
          </cell>
          <cell r="K119">
            <v>4.8613385638888659E-2</v>
          </cell>
          <cell r="L119">
            <v>5.2643172348633242E-2</v>
          </cell>
          <cell r="M119">
            <v>5.5629398227490384E-2</v>
          </cell>
          <cell r="N119" t="str">
            <v/>
          </cell>
          <cell r="O119">
            <v>9.5076417998692618E-3</v>
          </cell>
          <cell r="P119">
            <v>2.028776387778972E-2</v>
          </cell>
          <cell r="Q119">
            <v>2.4824013835444171E-2</v>
          </cell>
          <cell r="R119">
            <v>2.7657650883338797E-2</v>
          </cell>
          <cell r="AC119" t="str">
            <v>XS2050543839</v>
          </cell>
          <cell r="AD119" t="str">
            <v>ITVLN 1 3/8 09/26/26</v>
          </cell>
          <cell r="AE119">
            <v>46199</v>
          </cell>
          <cell r="AF119">
            <v>3.7487510000000002E-2</v>
          </cell>
          <cell r="AG119">
            <v>1.1125875638888658E-2</v>
          </cell>
          <cell r="AH119">
            <v>4.8248370329496776E-2</v>
          </cell>
          <cell r="AI119">
            <v>1.1097184208342541E-2</v>
          </cell>
        </row>
        <row r="120">
          <cell r="E120" t="str">
            <v>Stellantis N.V.</v>
          </cell>
          <cell r="F120" t="str">
            <v>Sr Unsecured</v>
          </cell>
          <cell r="G120" t="str">
            <v>Netherlands</v>
          </cell>
          <cell r="H120" t="str">
            <v>BBB / Baa2 / BBB</v>
          </cell>
          <cell r="I120">
            <v>2.4949645179968057E-2</v>
          </cell>
          <cell r="J120">
            <v>3.8733144328321201E-2</v>
          </cell>
          <cell r="K120">
            <v>4.7183951459595412E-2</v>
          </cell>
          <cell r="L120">
            <v>5.1631500867037994E-2</v>
          </cell>
          <cell r="M120">
            <v>5.4467306135263016E-2</v>
          </cell>
          <cell r="N120" t="str">
            <v/>
          </cell>
          <cell r="O120">
            <v>8.6556890057608252E-3</v>
          </cell>
          <cell r="P120">
            <v>1.8860605422128304E-2</v>
          </cell>
          <cell r="Q120">
            <v>2.3817625722495898E-2</v>
          </cell>
          <cell r="R120">
            <v>2.6495947934814624E-2</v>
          </cell>
          <cell r="AC120" t="str">
            <v>USU85861AD15</v>
          </cell>
          <cell r="AD120" t="str">
            <v>STLA 5 5/8 01/12/28</v>
          </cell>
          <cell r="AE120">
            <v>46733</v>
          </cell>
          <cell r="AF120">
            <v>4.2279515763998882E-2</v>
          </cell>
          <cell r="AG120">
            <v>4.9044356955965304E-3</v>
          </cell>
          <cell r="AH120">
            <v>5.2605129999999993E-2</v>
          </cell>
          <cell r="AI120">
            <v>5.2934626803583934E-3</v>
          </cell>
        </row>
        <row r="121">
          <cell r="E121" t="str">
            <v>NEXT PLC</v>
          </cell>
          <cell r="F121" t="str">
            <v>Sr Unsecured</v>
          </cell>
          <cell r="G121" t="str">
            <v>UK</v>
          </cell>
          <cell r="H121" t="str">
            <v xml:space="preserve">BBB / Baa2 / </v>
          </cell>
          <cell r="I121">
            <v>2.5796143032932574E-2</v>
          </cell>
          <cell r="J121">
            <v>3.9554282310432592E-2</v>
          </cell>
          <cell r="K121">
            <v>4.6839645761952452E-2</v>
          </cell>
          <cell r="L121">
            <v>5.0215051931778804E-2</v>
          </cell>
          <cell r="M121">
            <v>5.3723838426466039E-2</v>
          </cell>
          <cell r="N121" t="str">
            <v/>
          </cell>
          <cell r="O121">
            <v>9.4755746350042112E-3</v>
          </cell>
          <cell r="P121">
            <v>1.8515440484661617E-2</v>
          </cell>
          <cell r="Q121">
            <v>2.2399794252649631E-2</v>
          </cell>
          <cell r="R121">
            <v>2.575110877841124E-2</v>
          </cell>
          <cell r="AC121" t="str">
            <v>XS1410414954</v>
          </cell>
          <cell r="AD121" t="str">
            <v>NXTLN 3 5/8 05/18/28</v>
          </cell>
          <cell r="AE121">
            <v>46801</v>
          </cell>
          <cell r="AF121">
            <v>3.8392389400879419E-2</v>
          </cell>
          <cell r="AG121">
            <v>8.4472563610730328E-3</v>
          </cell>
          <cell r="AH121">
            <v>4.8553430449259506E-2</v>
          </cell>
          <cell r="AI121">
            <v>9.0337956611525189E-3</v>
          </cell>
        </row>
        <row r="122">
          <cell r="E122" t="str">
            <v>Anglo American plc</v>
          </cell>
          <cell r="F122" t="str">
            <v>Sr Unsecured</v>
          </cell>
          <cell r="G122" t="str">
            <v>UK</v>
          </cell>
          <cell r="H122" t="str">
            <v>BBB+ / Baa2 / BBB</v>
          </cell>
          <cell r="I122">
            <v>2.4982943018633141E-2</v>
          </cell>
          <cell r="J122">
            <v>3.7890246160657191E-2</v>
          </cell>
          <cell r="K122">
            <v>4.6800396304335468E-2</v>
          </cell>
          <cell r="L122">
            <v>5.093111641831493E-2</v>
          </cell>
          <cell r="M122">
            <v>5.4720650773702313E-2</v>
          </cell>
          <cell r="N122" t="str">
            <v/>
          </cell>
          <cell r="O122">
            <v>7.8149540024306709E-3</v>
          </cell>
          <cell r="P122">
            <v>1.8480241598606936E-2</v>
          </cell>
          <cell r="Q122">
            <v>2.3119104596589481E-2</v>
          </cell>
          <cell r="R122">
            <v>2.6754535522473734E-2</v>
          </cell>
          <cell r="AC122" t="str">
            <v>US034863AU41</v>
          </cell>
          <cell r="AD122" t="str">
            <v>AALLN 4 1/2 03/15/28</v>
          </cell>
          <cell r="AE122">
            <v>46736</v>
          </cell>
          <cell r="AF122">
            <v>3.9794686862450211E-2</v>
          </cell>
          <cell r="AG122">
            <v>7.0057094418852564E-3</v>
          </cell>
          <cell r="AH122">
            <v>5.0188249999999997E-2</v>
          </cell>
          <cell r="AI122">
            <v>7.3075858310946498E-3</v>
          </cell>
        </row>
        <row r="123">
          <cell r="E123" t="str">
            <v>Glencore International AG</v>
          </cell>
          <cell r="F123" t="str">
            <v>Sr Unsecured</v>
          </cell>
          <cell r="G123" t="str">
            <v>Switzerland</v>
          </cell>
          <cell r="H123" t="str">
            <v xml:space="preserve">BBB+ / Baa1 / </v>
          </cell>
          <cell r="I123">
            <v>2.7026275089489776E-2</v>
          </cell>
          <cell r="J123">
            <v>3.901851381145955E-2</v>
          </cell>
          <cell r="K123">
            <v>4.6571145967208794E-2</v>
          </cell>
          <cell r="L123">
            <v>5.1342246293088603E-2</v>
          </cell>
          <cell r="M123">
            <v>5.3994957030067327E-2</v>
          </cell>
          <cell r="N123" t="str">
            <v/>
          </cell>
          <cell r="O123">
            <v>8.943006470781216E-3</v>
          </cell>
          <cell r="P123">
            <v>1.8253745715614413E-2</v>
          </cell>
          <cell r="Q123">
            <v>2.3536026341406217E-2</v>
          </cell>
          <cell r="R123">
            <v>2.6026697729851573E-2</v>
          </cell>
          <cell r="AC123" t="str">
            <v>XS2228892860</v>
          </cell>
          <cell r="AD123" t="str">
            <v>GLENLN 1 1/8 03/10/28</v>
          </cell>
          <cell r="AE123">
            <v>46731</v>
          </cell>
          <cell r="AF123">
            <v>4.2082189999999998E-2</v>
          </cell>
          <cell r="AG123">
            <v>4.488955967208795E-3</v>
          </cell>
          <cell r="AH123">
            <v>5.1083531590501413E-2</v>
          </cell>
          <cell r="AI123">
            <v>6.2305433723991305E-3</v>
          </cell>
        </row>
        <row r="124">
          <cell r="E124" t="str">
            <v>Syngenta AG</v>
          </cell>
          <cell r="F124" t="str">
            <v>Sr Unsecured</v>
          </cell>
          <cell r="G124" t="str">
            <v>Switzerland</v>
          </cell>
          <cell r="H124" t="str">
            <v>BBB / Ba1 / BBB+</v>
          </cell>
          <cell r="I124">
            <v>2.6081406477887027E-2</v>
          </cell>
          <cell r="J124">
            <v>3.9373895440420553E-2</v>
          </cell>
          <cell r="K124">
            <v>4.6540952294140299E-2</v>
          </cell>
          <cell r="L124">
            <v>4.9682046334846616E-2</v>
          </cell>
          <cell r="M124">
            <v>5.2705915477522187E-2</v>
          </cell>
          <cell r="N124" t="str">
            <v/>
          </cell>
          <cell r="O124">
            <v>9.2963446093849902E-3</v>
          </cell>
          <cell r="P124">
            <v>1.8218641458554199E-2</v>
          </cell>
          <cell r="Q124">
            <v>2.1868080903884816E-2</v>
          </cell>
          <cell r="R124">
            <v>2.4728580835761689E-2</v>
          </cell>
          <cell r="AC124" t="str">
            <v>XS1199954691</v>
          </cell>
          <cell r="AD124" t="str">
            <v>SYNNVX 1 1/4 09/10/27</v>
          </cell>
          <cell r="AE124">
            <v>46548</v>
          </cell>
          <cell r="AF124">
            <v>3.9791229999999997E-2</v>
          </cell>
          <cell r="AG124">
            <v>6.7497222941403021E-3</v>
          </cell>
          <cell r="AH124">
            <v>4.9443775483377701E-2</v>
          </cell>
          <cell r="AI124">
            <v>7.8407088558102439E-3</v>
          </cell>
        </row>
        <row r="125">
          <cell r="E125" t="str">
            <v>Aktiebolaget Electrolux</v>
          </cell>
          <cell r="F125" t="str">
            <v>Sr Unsecured</v>
          </cell>
          <cell r="G125" t="str">
            <v>Sweden</v>
          </cell>
          <cell r="H125" t="str">
            <v xml:space="preserve">A- /  / </v>
          </cell>
          <cell r="I125">
            <v>2.5181156365359107E-2</v>
          </cell>
          <cell r="J125">
            <v>3.8102757558378532E-2</v>
          </cell>
          <cell r="K125">
            <v>4.3898696762611704E-2</v>
          </cell>
          <cell r="L125">
            <v>4.5276981766554036E-2</v>
          </cell>
          <cell r="M125">
            <v>4.7358240908901943E-2</v>
          </cell>
          <cell r="N125" t="str">
            <v/>
          </cell>
          <cell r="O125">
            <v>8.0262773943752374E-3</v>
          </cell>
          <cell r="P125">
            <v>1.5579369106487852E-2</v>
          </cell>
          <cell r="Q125">
            <v>1.7459394991903545E-2</v>
          </cell>
          <cell r="R125">
            <v>1.9350764418219712E-2</v>
          </cell>
          <cell r="AC125" t="str">
            <v>XS2540585564</v>
          </cell>
          <cell r="AD125" t="str">
            <v>ELTLX 4 1/8 10/05/26</v>
          </cell>
          <cell r="AE125">
            <v>46270</v>
          </cell>
          <cell r="AF125">
            <v>3.5086849999999996E-2</v>
          </cell>
          <cell r="AG125">
            <v>8.8118467626117081E-3</v>
          </cell>
          <cell r="AH125">
            <v>4.6346121718229515E-2</v>
          </cell>
          <cell r="AI125">
            <v>8.2708734576105655E-3</v>
          </cell>
        </row>
        <row r="126">
          <cell r="E126" t="str">
            <v>HP Inc.</v>
          </cell>
          <cell r="F126" t="str">
            <v>Sr Unsecured</v>
          </cell>
          <cell r="G126" t="str">
            <v>US</v>
          </cell>
          <cell r="H126" t="str">
            <v>BBB / Baa2 / BBB+</v>
          </cell>
          <cell r="I126">
            <v>2.3631598474475823E-2</v>
          </cell>
          <cell r="J126">
            <v>3.6426605685438061E-2</v>
          </cell>
          <cell r="K126">
            <v>4.3120240784248705E-2</v>
          </cell>
          <cell r="L126">
            <v>4.663416807220333E-2</v>
          </cell>
          <cell r="M126">
            <v>4.9285500275004314E-2</v>
          </cell>
          <cell r="N126" t="str">
            <v/>
          </cell>
          <cell r="O126">
            <v>6.3511415988766256E-3</v>
          </cell>
          <cell r="P126">
            <v>1.4803223264093193E-2</v>
          </cell>
          <cell r="Q126">
            <v>1.8825723972461929E-2</v>
          </cell>
          <cell r="R126">
            <v>2.1301011585923135E-2</v>
          </cell>
          <cell r="AC126" t="str">
            <v>US40434LAM72</v>
          </cell>
          <cell r="AD126" t="str">
            <v>HPQ 4 3/4 01/15/28</v>
          </cell>
          <cell r="AE126">
            <v>46736</v>
          </cell>
          <cell r="AF126">
            <v>3.8640494660494892E-2</v>
          </cell>
          <cell r="AG126">
            <v>4.4797461237538125E-3</v>
          </cell>
          <cell r="AH126">
            <v>4.894913E-2</v>
          </cell>
          <cell r="AI126">
            <v>5.8523548068781725E-3</v>
          </cell>
        </row>
        <row r="127">
          <cell r="E127" t="str">
            <v>VOLKSWAGEN AKTIENGESELLSCHAFT</v>
          </cell>
          <cell r="F127" t="str">
            <v>Sr Unsecured</v>
          </cell>
          <cell r="G127" t="str">
            <v>Germany</v>
          </cell>
          <cell r="H127" t="str">
            <v xml:space="preserve">BBB+ / A3 / </v>
          </cell>
          <cell r="I127">
            <v>2.5891155882673954E-2</v>
          </cell>
          <cell r="J127">
            <v>3.6233045330889002E-2</v>
          </cell>
          <cell r="K127">
            <v>4.1881710171540965E-2</v>
          </cell>
          <cell r="L127">
            <v>4.4957065973901734E-2</v>
          </cell>
          <cell r="M127">
            <v>4.8211437295448571E-2</v>
          </cell>
          <cell r="N127" t="str">
            <v/>
          </cell>
          <cell r="O127">
            <v>6.1611062420975811E-3</v>
          </cell>
          <cell r="P127">
            <v>1.3569934183345202E-2</v>
          </cell>
          <cell r="Q127">
            <v>1.715320929713899E-2</v>
          </cell>
          <cell r="R127">
            <v>2.0226057772238414E-2</v>
          </cell>
          <cell r="AC127" t="str">
            <v>XS2374595044</v>
          </cell>
          <cell r="AD127" t="str">
            <v>VW 0 1/8 02/12/27</v>
          </cell>
          <cell r="AE127" t="str">
            <v xml:space="preserve"> </v>
          </cell>
          <cell r="AF127">
            <v>3.9047129999999999E-2</v>
          </cell>
          <cell r="AG127">
            <v>2.8345801715409652E-3</v>
          </cell>
          <cell r="AH127">
            <v>4.8995571707542783E-2</v>
          </cell>
          <cell r="AI127">
            <v>3.5750944024177667E-3</v>
          </cell>
        </row>
        <row r="128">
          <cell r="E128" t="str">
            <v>ENEL S.P.A.</v>
          </cell>
          <cell r="F128" t="str">
            <v>Sr Unsecured</v>
          </cell>
          <cell r="G128" t="str">
            <v>Italy</v>
          </cell>
          <cell r="H128" t="str">
            <v>BBB+ / Baa1 / BBB+</v>
          </cell>
          <cell r="I128">
            <v>2.5311724957960885E-2</v>
          </cell>
          <cell r="J128">
            <v>3.5951951918270324E-2</v>
          </cell>
          <cell r="K128">
            <v>4.1685979391282747E-2</v>
          </cell>
          <cell r="L128">
            <v>4.451419131425409E-2</v>
          </cell>
          <cell r="M128">
            <v>4.7978378886174775E-2</v>
          </cell>
          <cell r="N128" t="str">
            <v/>
          </cell>
          <cell r="O128">
            <v>5.8801339877474611E-3</v>
          </cell>
          <cell r="P128">
            <v>1.33728888066184E-2</v>
          </cell>
          <cell r="Q128">
            <v>1.6707063778796202E-2</v>
          </cell>
          <cell r="R128">
            <v>1.9991618939944063E-2</v>
          </cell>
          <cell r="AC128" t="str">
            <v>XS2066706909</v>
          </cell>
          <cell r="AD128" t="str">
            <v>ENELIM 0 3/8 06/17/27</v>
          </cell>
          <cell r="AE128">
            <v>46463</v>
          </cell>
          <cell r="AF128">
            <v>3.5090959999999997E-2</v>
          </cell>
          <cell r="AG128">
            <v>6.5950193912827498E-3</v>
          </cell>
          <cell r="AH128">
            <v>4.5040286932296898E-2</v>
          </cell>
          <cell r="AI128">
            <v>7.3200716917121503E-3</v>
          </cell>
        </row>
        <row r="129">
          <cell r="E129" t="str">
            <v>Electricite de France</v>
          </cell>
          <cell r="F129" t="str">
            <v>Sr Unsecured</v>
          </cell>
          <cell r="G129" t="str">
            <v>France</v>
          </cell>
          <cell r="H129" t="str">
            <v>BBB / Baa1 / BBB+</v>
          </cell>
          <cell r="I129">
            <v>2.5454861248907484E-2</v>
          </cell>
          <cell r="J129">
            <v>3.5813501016300972E-2</v>
          </cell>
          <cell r="K129">
            <v>4.0896167519172064E-2</v>
          </cell>
          <cell r="L129">
            <v>4.4032292236434435E-2</v>
          </cell>
          <cell r="M129">
            <v>4.7510536463873147E-2</v>
          </cell>
          <cell r="N129" t="str">
            <v/>
          </cell>
          <cell r="O129">
            <v>5.7412561737903225E-3</v>
          </cell>
          <cell r="P129">
            <v>1.258290184605091E-2</v>
          </cell>
          <cell r="Q129">
            <v>1.6227104789915028E-2</v>
          </cell>
          <cell r="R129">
            <v>1.9523553128063496E-2</v>
          </cell>
          <cell r="AC129" t="str">
            <v>FR0011225143</v>
          </cell>
          <cell r="AD129" t="str">
            <v>EDF 4 1/8 03/25/27</v>
          </cell>
          <cell r="AE129" t="str">
            <v xml:space="preserve"> </v>
          </cell>
          <cell r="AF129">
            <v>3.5248629999999996E-2</v>
          </cell>
          <cell r="AG129">
            <v>5.6475375191720675E-3</v>
          </cell>
          <cell r="AH129">
            <v>4.6027153572733154E-2</v>
          </cell>
          <cell r="AI129">
            <v>5.5488158761408043E-3</v>
          </cell>
        </row>
        <row r="130">
          <cell r="E130" t="str">
            <v>THE BOEING COMPANY</v>
          </cell>
          <cell r="F130" t="str">
            <v>Sr Unsecured</v>
          </cell>
          <cell r="G130" t="str">
            <v>US</v>
          </cell>
          <cell r="H130" t="str">
            <v>BBB- / Baa2 / BBB-</v>
          </cell>
          <cell r="I130">
            <v>2.5421087214114901E-2</v>
          </cell>
          <cell r="J130">
            <v>3.6828539038254691E-2</v>
          </cell>
          <cell r="K130">
            <v>4.0642143187155796E-2</v>
          </cell>
          <cell r="L130">
            <v>4.2714690228698518E-2</v>
          </cell>
          <cell r="M130">
            <v>4.4780029497901538E-2</v>
          </cell>
          <cell r="N130" t="str">
            <v/>
          </cell>
          <cell r="O130">
            <v>6.7541832563794615E-3</v>
          </cell>
          <cell r="P130">
            <v>1.2325615255097636E-2</v>
          </cell>
          <cell r="Q130">
            <v>1.4901932410102972E-2</v>
          </cell>
          <cell r="R130">
            <v>1.6765174377174959E-2</v>
          </cell>
          <cell r="AC130" t="str">
            <v>US097023CM50</v>
          </cell>
          <cell r="AD130" t="str">
            <v>BA 2.7 02/01/27</v>
          </cell>
          <cell r="AE130">
            <v>46357</v>
          </cell>
          <cell r="AF130">
            <v>3.6255049386778926E-2</v>
          </cell>
          <cell r="AG130">
            <v>4.3870938003768706E-3</v>
          </cell>
          <cell r="AH130">
            <v>4.7281940000000001E-2</v>
          </cell>
          <cell r="AI130">
            <v>5.0780037865126512E-3</v>
          </cell>
        </row>
        <row r="131">
          <cell r="E131" t="str">
            <v>EDP - Energias de Portugal, S.A.</v>
          </cell>
          <cell r="F131" t="str">
            <v>Sr Unsecured</v>
          </cell>
          <cell r="G131" t="str">
            <v>Portugal</v>
          </cell>
          <cell r="H131" t="str">
            <v>BBB / Baa3 / BBB</v>
          </cell>
          <cell r="I131">
            <v>2.5026341563818895E-2</v>
          </cell>
          <cell r="J131">
            <v>3.5230220811594659E-2</v>
          </cell>
          <cell r="K131">
            <v>4.0562416343525594E-2</v>
          </cell>
          <cell r="L131">
            <v>4.3080134681242985E-2</v>
          </cell>
          <cell r="M131">
            <v>4.6543284510134425E-2</v>
          </cell>
          <cell r="N131" t="str">
            <v/>
          </cell>
          <cell r="O131">
            <v>5.158146361363131E-3</v>
          </cell>
          <cell r="P131">
            <v>1.2249577544825552E-2</v>
          </cell>
          <cell r="Q131">
            <v>1.5270125774042513E-2</v>
          </cell>
          <cell r="R131">
            <v>1.854904107429857E-2</v>
          </cell>
          <cell r="AC131" t="str">
            <v>PTEDPNOM0015</v>
          </cell>
          <cell r="AD131" t="str">
            <v>EDPPL 1 5/8 04/15/27</v>
          </cell>
          <cell r="AE131">
            <v>46402</v>
          </cell>
          <cell r="AF131">
            <v>3.4781319999999998E-2</v>
          </cell>
          <cell r="AG131">
            <v>5.7810963435255963E-3</v>
          </cell>
          <cell r="AH131">
            <v>4.5130518139191785E-2</v>
          </cell>
          <cell r="AI131">
            <v>6.0963954799120243E-3</v>
          </cell>
        </row>
        <row r="132">
          <cell r="E132" t="str">
            <v>TELEFONICA, S.A.</v>
          </cell>
          <cell r="F132" t="str">
            <v>Sr Unsecured</v>
          </cell>
          <cell r="G132" t="str">
            <v>Spain</v>
          </cell>
          <cell r="H132" t="str">
            <v>BBB- / Baa3 / BBB</v>
          </cell>
          <cell r="I132">
            <v>2.4284739652633038E-2</v>
          </cell>
          <cell r="J132">
            <v>3.4326207347000204E-2</v>
          </cell>
          <cell r="K132">
            <v>4.0363763116566642E-2</v>
          </cell>
          <cell r="L132">
            <v>4.4200088573577129E-2</v>
          </cell>
          <cell r="M132">
            <v>4.743748940788492E-2</v>
          </cell>
          <cell r="N132" t="str">
            <v/>
          </cell>
          <cell r="O132">
            <v>4.254289391668881E-3</v>
          </cell>
          <cell r="P132">
            <v>1.2051801538602849E-2</v>
          </cell>
          <cell r="Q132">
            <v>1.639820003167794E-2</v>
          </cell>
          <cell r="R132">
            <v>1.9452304882440624E-2</v>
          </cell>
          <cell r="AC132" t="str">
            <v>XS1756296965</v>
          </cell>
          <cell r="AD132" t="str">
            <v>TELEFO 1.447 01/22/27</v>
          </cell>
          <cell r="AE132">
            <v>46317</v>
          </cell>
          <cell r="AF132">
            <v>3.227903E-2</v>
          </cell>
          <cell r="AG132">
            <v>8.084733116566642E-3</v>
          </cell>
          <cell r="AH132">
            <v>4.2857532877316293E-2</v>
          </cell>
          <cell r="AI132">
            <v>8.1439086797261279E-3</v>
          </cell>
        </row>
        <row r="133">
          <cell r="E133" t="str">
            <v>T-Mobile USA, Inc.</v>
          </cell>
          <cell r="F133" t="str">
            <v>Sr Unsecured</v>
          </cell>
          <cell r="G133" t="str">
            <v>US</v>
          </cell>
          <cell r="H133" t="str">
            <v>BBB- / Baa3 / BBB-</v>
          </cell>
          <cell r="I133">
            <v>2.5265507879825733E-2</v>
          </cell>
          <cell r="J133">
            <v>3.6192040591313583E-2</v>
          </cell>
          <cell r="K133">
            <v>4.0091520285827326E-2</v>
          </cell>
          <cell r="L133">
            <v>4.2581871157422353E-2</v>
          </cell>
          <cell r="M133">
            <v>4.5137824767663391E-2</v>
          </cell>
          <cell r="N133" t="str">
            <v/>
          </cell>
          <cell r="O133">
            <v>6.1186543416088283E-3</v>
          </cell>
          <cell r="P133">
            <v>1.1775896521250774E-2</v>
          </cell>
          <cell r="Q133">
            <v>1.477135220899134E-2</v>
          </cell>
          <cell r="R133">
            <v>1.7130680169083787E-2</v>
          </cell>
          <cell r="AC133" t="str">
            <v>US87264ACA16</v>
          </cell>
          <cell r="AD133" t="str">
            <v>TMUS 2.05 02/15/28</v>
          </cell>
          <cell r="AE133">
            <v>46736</v>
          </cell>
          <cell r="AF133">
            <v>3.7019541431782023E-2</v>
          </cell>
          <cell r="AG133">
            <v>3.0719788540453027E-3</v>
          </cell>
          <cell r="AH133">
            <v>4.7750329999999994E-2</v>
          </cell>
          <cell r="AI133">
            <v>4.0440829937761213E-3</v>
          </cell>
        </row>
        <row r="134">
          <cell r="E134" t="str">
            <v>ONEOK, INC.</v>
          </cell>
          <cell r="F134" t="str">
            <v>Sr Unsecured</v>
          </cell>
          <cell r="G134" t="str">
            <v>US</v>
          </cell>
          <cell r="H134" t="str">
            <v>BBB / Baa3 / BBB</v>
          </cell>
          <cell r="I134">
            <v>2.2321894796627741E-2</v>
          </cell>
          <cell r="J134">
            <v>3.3503703629833223E-2</v>
          </cell>
          <cell r="K134">
            <v>3.9804475392894785E-2</v>
          </cell>
          <cell r="L134">
            <v>4.3669200231615642E-2</v>
          </cell>
          <cell r="M134">
            <v>4.6473557670372881E-2</v>
          </cell>
          <cell r="N134" t="str">
            <v/>
          </cell>
          <cell r="O134">
            <v>3.4302328446102221E-3</v>
          </cell>
          <cell r="P134">
            <v>1.1491243326628568E-2</v>
          </cell>
          <cell r="Q134">
            <v>1.5865633718788193E-2</v>
          </cell>
          <cell r="R134">
            <v>1.8482193593189412E-2</v>
          </cell>
          <cell r="AC134" t="str">
            <v>US682680AS26</v>
          </cell>
          <cell r="AD134" t="str">
            <v>OKE 4 07/13/27</v>
          </cell>
          <cell r="AE134">
            <v>46490</v>
          </cell>
          <cell r="AF134">
            <v>3.8802550513484683E-2</v>
          </cell>
          <cell r="AG134">
            <v>1.0019248794101016E-3</v>
          </cell>
          <cell r="AH134">
            <v>4.960846E-2</v>
          </cell>
          <cell r="AI134">
            <v>1.8155679327617191E-3</v>
          </cell>
        </row>
        <row r="135">
          <cell r="E135" t="str">
            <v>AT&amp;T Inc.</v>
          </cell>
          <cell r="F135" t="str">
            <v>Sr Unsecured</v>
          </cell>
          <cell r="G135" t="str">
            <v>US</v>
          </cell>
          <cell r="H135" t="str">
            <v>BBB / Baa2 / BBB+</v>
          </cell>
          <cell r="I135">
            <v>2.5419572123567047E-2</v>
          </cell>
          <cell r="J135">
            <v>3.566329535808356E-2</v>
          </cell>
          <cell r="K135">
            <v>3.9757021078882973E-2</v>
          </cell>
          <cell r="L135">
            <v>4.1902483594727119E-2</v>
          </cell>
          <cell r="M135">
            <v>4.4364228929797009E-2</v>
          </cell>
          <cell r="N135" t="str">
            <v/>
          </cell>
          <cell r="O135">
            <v>5.5910214226181105E-3</v>
          </cell>
          <cell r="P135">
            <v>1.14422663536724E-2</v>
          </cell>
          <cell r="Q135">
            <v>1.4089758146895393E-2</v>
          </cell>
          <cell r="R135">
            <v>1.6350351681310209E-2</v>
          </cell>
          <cell r="AC135" t="str">
            <v>US00206RDQ20</v>
          </cell>
          <cell r="AD135" t="str">
            <v>T 4 1/4 03/01/27</v>
          </cell>
          <cell r="AE135">
            <v>46357</v>
          </cell>
          <cell r="AF135">
            <v>3.3262977608142889E-2</v>
          </cell>
          <cell r="AG135">
            <v>6.4940434707400838E-3</v>
          </cell>
          <cell r="AH135">
            <v>4.3954259999999995E-2</v>
          </cell>
          <cell r="AI135">
            <v>7.4982348361297066E-3</v>
          </cell>
        </row>
        <row r="136">
          <cell r="E136" t="str">
            <v>Universal Health Services, Inc.</v>
          </cell>
          <cell r="F136" t="str">
            <v>1st lien</v>
          </cell>
          <cell r="G136" t="str">
            <v>US</v>
          </cell>
          <cell r="H136" t="str">
            <v>BBB- /  / BBB-</v>
          </cell>
          <cell r="I136">
            <v>2.2577508981489178E-2</v>
          </cell>
          <cell r="J136">
            <v>3.3612938612131577E-2</v>
          </cell>
          <cell r="K136">
            <v>3.9572209539453652E-2</v>
          </cell>
          <cell r="L136">
            <v>4.2315698096192102E-2</v>
          </cell>
          <cell r="M136">
            <v>4.6220344211487616E-2</v>
          </cell>
          <cell r="N136" t="str">
            <v/>
          </cell>
          <cell r="O136">
            <v>3.540034855071721E-3</v>
          </cell>
          <cell r="P136">
            <v>1.1257134319881242E-2</v>
          </cell>
          <cell r="Q136">
            <v>1.4503533738223778E-2</v>
          </cell>
          <cell r="R136">
            <v>1.8228744156529961E-2</v>
          </cell>
          <cell r="AC136" t="str">
            <v>US913903AZ35</v>
          </cell>
          <cell r="AD136" t="str">
            <v>UHS 1.65 09/01/26</v>
          </cell>
          <cell r="AE136">
            <v>46235</v>
          </cell>
          <cell r="AF136">
            <v>4.1804547263942331E-2</v>
          </cell>
          <cell r="AG136">
            <v>-2.2323377244886783E-3</v>
          </cell>
          <cell r="AH136">
            <v>5.3878280000000001E-2</v>
          </cell>
          <cell r="AI136">
            <v>-2.6792632099209568E-3</v>
          </cell>
        </row>
        <row r="137">
          <cell r="E137" t="str">
            <v>BP P.L.C.</v>
          </cell>
          <cell r="F137" t="str">
            <v>Sr Unsecured</v>
          </cell>
          <cell r="G137" t="str">
            <v>UK</v>
          </cell>
          <cell r="H137" t="str">
            <v>A- / A2 / A</v>
          </cell>
          <cell r="I137">
            <v>2.4217923910949804E-2</v>
          </cell>
          <cell r="J137">
            <v>3.4632343645681726E-2</v>
          </cell>
          <cell r="K137">
            <v>3.9257529516123567E-2</v>
          </cell>
          <cell r="L137">
            <v>4.1844570200702584E-2</v>
          </cell>
          <cell r="M137">
            <v>4.4759942730651696E-2</v>
          </cell>
          <cell r="N137" t="str">
            <v/>
          </cell>
          <cell r="O137">
            <v>4.5594452064473155E-3</v>
          </cell>
          <cell r="P137">
            <v>1.094190941611387E-2</v>
          </cell>
          <cell r="Q137">
            <v>1.4031763787391224E-2</v>
          </cell>
          <cell r="R137">
            <v>1.6749519398785554E-2</v>
          </cell>
          <cell r="AC137" t="str">
            <v>US05565QDN51</v>
          </cell>
          <cell r="AD137" t="str">
            <v>BPLN 3.279 09/19/27</v>
          </cell>
          <cell r="AE137">
            <v>46557</v>
          </cell>
          <cell r="AF137">
            <v>3.2853328580630545E-2</v>
          </cell>
          <cell r="AG137">
            <v>6.4042009354930221E-3</v>
          </cell>
          <cell r="AH137">
            <v>4.3219260000000002E-2</v>
          </cell>
          <cell r="AI137">
            <v>6.6885370074643777E-3</v>
          </cell>
        </row>
        <row r="138">
          <cell r="E138" t="str">
            <v>VODAFONE GROUP PUBLIC LIMITED COMPANY</v>
          </cell>
          <cell r="F138" t="str">
            <v>Sr Unsecured</v>
          </cell>
          <cell r="G138" t="str">
            <v>UK</v>
          </cell>
          <cell r="H138" t="str">
            <v xml:space="preserve"> / Baa2 / BBB</v>
          </cell>
          <cell r="I138">
            <v>2.3049518371298122E-2</v>
          </cell>
          <cell r="J138">
            <v>3.3842646228039334E-2</v>
          </cell>
          <cell r="K138">
            <v>3.8842363478113047E-2</v>
          </cell>
          <cell r="L138">
            <v>4.1284755899224895E-2</v>
          </cell>
          <cell r="M138">
            <v>4.4280742788577243E-2</v>
          </cell>
          <cell r="N138" t="str">
            <v/>
          </cell>
          <cell r="O138">
            <v>3.7695192089621963E-3</v>
          </cell>
          <cell r="P138">
            <v>1.0525668275576768E-2</v>
          </cell>
          <cell r="Q138">
            <v>1.3468109416525632E-2</v>
          </cell>
          <cell r="R138">
            <v>1.6266003698140824E-2</v>
          </cell>
          <cell r="AC138" t="str">
            <v>XS1652855815</v>
          </cell>
          <cell r="AD138" t="str">
            <v>VOD 1 1/2 07/24/27</v>
          </cell>
          <cell r="AE138" t="str">
            <v xml:space="preserve"> </v>
          </cell>
          <cell r="AF138">
            <v>3.1883080000000001E-2</v>
          </cell>
          <cell r="AG138">
            <v>6.9592834781130458E-3</v>
          </cell>
          <cell r="AH138">
            <v>4.2142426602669501E-2</v>
          </cell>
          <cell r="AI138">
            <v>7.32411637865759E-3</v>
          </cell>
        </row>
        <row r="139">
          <cell r="E139" t="str">
            <v>General Electric Company</v>
          </cell>
          <cell r="F139" t="str">
            <v>Sr Unsecured</v>
          </cell>
          <cell r="G139" t="str">
            <v>US</v>
          </cell>
          <cell r="H139" t="str">
            <v>BBB+ / Baa1 / BBB</v>
          </cell>
          <cell r="I139">
            <v>2.353226437965026E-2</v>
          </cell>
          <cell r="J139">
            <v>3.3669160755878363E-2</v>
          </cell>
          <cell r="K139">
            <v>3.8471568744040611E-2</v>
          </cell>
          <cell r="L139">
            <v>4.1177538517353965E-2</v>
          </cell>
          <cell r="M139">
            <v>4.4149949827112317E-2</v>
          </cell>
          <cell r="N139" t="str">
            <v/>
          </cell>
          <cell r="O139">
            <v>3.5967929775234469E-3</v>
          </cell>
          <cell r="P139">
            <v>1.0155826607979217E-2</v>
          </cell>
          <cell r="Q139">
            <v>1.3364279332748683E-2</v>
          </cell>
          <cell r="R139">
            <v>1.6139760892347237E-2</v>
          </cell>
          <cell r="AC139" t="str">
            <v>XS1238902057</v>
          </cell>
          <cell r="AD139" t="str">
            <v>GE 1 7/8 05/28/27</v>
          </cell>
          <cell r="AE139">
            <v>46446</v>
          </cell>
          <cell r="AF139">
            <v>3.5683619999999999E-2</v>
          </cell>
          <cell r="AG139">
            <v>2.7879487440406123E-3</v>
          </cell>
          <cell r="AH139">
            <v>4.5996283015873954E-2</v>
          </cell>
          <cell r="AI139">
            <v>4.1136710522123796E-3</v>
          </cell>
        </row>
        <row r="140">
          <cell r="E140" t="str">
            <v>Koninklijke KPN N.V.</v>
          </cell>
          <cell r="F140" t="str">
            <v>Sr Unsecured</v>
          </cell>
          <cell r="G140" t="str">
            <v>Netherlands</v>
          </cell>
          <cell r="H140" t="str">
            <v>BBB / Baa3 / BBB</v>
          </cell>
          <cell r="I140">
            <v>2.2655617329676879E-2</v>
          </cell>
          <cell r="J140">
            <v>3.3214332396459316E-2</v>
          </cell>
          <cell r="K140">
            <v>3.8428515952710358E-2</v>
          </cell>
          <cell r="L140">
            <v>4.185761645384805E-2</v>
          </cell>
          <cell r="M140">
            <v>4.5193304536232229E-2</v>
          </cell>
          <cell r="N140" t="str">
            <v/>
          </cell>
          <cell r="O140">
            <v>3.1411977816118786E-3</v>
          </cell>
          <cell r="P140">
            <v>1.0111787150249284E-2</v>
          </cell>
          <cell r="Q140">
            <v>1.4047745716931381E-2</v>
          </cell>
          <cell r="R140">
            <v>1.7192399736407755E-2</v>
          </cell>
          <cell r="AC140" t="str">
            <v>XS1485533431</v>
          </cell>
          <cell r="AD140" t="str">
            <v>KPN 1 1/8 09/11/28</v>
          </cell>
          <cell r="AE140">
            <v>46915</v>
          </cell>
          <cell r="AF140">
            <v>3.3576979999999999E-2</v>
          </cell>
          <cell r="AG140">
            <v>4.8515359527103591E-3</v>
          </cell>
          <cell r="AH140">
            <v>4.3109070157338662E-2</v>
          </cell>
          <cell r="AI140">
            <v>5.9276768579182362E-3</v>
          </cell>
        </row>
        <row r="141">
          <cell r="E141" t="str">
            <v>Hyundai Motor Company</v>
          </cell>
          <cell r="F141" t="str">
            <v>Sr Unsecured</v>
          </cell>
          <cell r="G141" t="str">
            <v>Korea</v>
          </cell>
          <cell r="H141" t="str">
            <v xml:space="preserve">BBB+ / Baa1 / </v>
          </cell>
          <cell r="I141">
            <v>2.2113209617209854E-2</v>
          </cell>
          <cell r="J141">
            <v>3.2719514911677836E-2</v>
          </cell>
          <cell r="K141">
            <v>3.8358456728951947E-2</v>
          </cell>
          <cell r="L141">
            <v>4.0459193597132917E-2</v>
          </cell>
          <cell r="M141">
            <v>4.2617128763683357E-2</v>
          </cell>
          <cell r="N141" t="str">
            <v/>
          </cell>
          <cell r="O141">
            <v>2.6464101618595814E-3</v>
          </cell>
          <cell r="P141">
            <v>1.0043508218666409E-2</v>
          </cell>
          <cell r="Q141">
            <v>1.2640065567434708E-2</v>
          </cell>
          <cell r="R141">
            <v>1.4585996536457554E-2</v>
          </cell>
          <cell r="AC141" t="str">
            <v>US44891ABX46</v>
          </cell>
          <cell r="AD141" t="str">
            <v>HYNMTR 2 06/15/28</v>
          </cell>
          <cell r="AE141">
            <v>46858</v>
          </cell>
          <cell r="AF141">
            <v>4.2580935651585564E-2</v>
          </cell>
          <cell r="AG141">
            <v>-4.2224789226336171E-3</v>
          </cell>
          <cell r="AH141">
            <v>5.416812E-2</v>
          </cell>
          <cell r="AI141">
            <v>-4.204698889028774E-3</v>
          </cell>
        </row>
        <row r="142">
          <cell r="E142" t="str">
            <v>REPSOL, S.A.</v>
          </cell>
          <cell r="F142" t="str">
            <v>Sr Unsecured</v>
          </cell>
          <cell r="G142" t="str">
            <v>Spain</v>
          </cell>
          <cell r="H142" t="str">
            <v>BBB+ / Baa1 / BBB</v>
          </cell>
          <cell r="I142">
            <v>2.2940098337052933E-2</v>
          </cell>
          <cell r="J142">
            <v>3.3359614510718928E-2</v>
          </cell>
          <cell r="K142">
            <v>3.8226125638405786E-2</v>
          </cell>
          <cell r="L142">
            <v>4.1017420963406978E-2</v>
          </cell>
          <cell r="M142">
            <v>4.4255478162147269E-2</v>
          </cell>
          <cell r="N142" t="str">
            <v/>
          </cell>
          <cell r="O142">
            <v>3.2865566559170506E-3</v>
          </cell>
          <cell r="P142">
            <v>9.9087169787487241E-3</v>
          </cell>
          <cell r="Q142">
            <v>1.320194273333483E-2</v>
          </cell>
          <cell r="R142">
            <v>1.6243830122725976E-2</v>
          </cell>
          <cell r="AC142" t="str">
            <v>XS2035620710</v>
          </cell>
          <cell r="AD142" t="str">
            <v>REPSM 0 1/4 08/02/27</v>
          </cell>
          <cell r="AE142">
            <v>46509</v>
          </cell>
          <cell r="AF142">
            <v>3.1253639999999999E-2</v>
          </cell>
          <cell r="AG142">
            <v>6.9724856384057871E-3</v>
          </cell>
          <cell r="AH142">
            <v>4.1411512801859153E-2</v>
          </cell>
          <cell r="AI142">
            <v>7.4298567051946166E-3</v>
          </cell>
        </row>
        <row r="143">
          <cell r="E143" t="str">
            <v>Bayer Aktiengesellschaft</v>
          </cell>
          <cell r="F143" t="str">
            <v>Sr Unsecured</v>
          </cell>
          <cell r="G143" t="str">
            <v>Germany</v>
          </cell>
          <cell r="H143" t="str">
            <v>BBB / Baa2 / BBB+</v>
          </cell>
          <cell r="I143">
            <v>2.3483345231488033E-2</v>
          </cell>
          <cell r="J143">
            <v>3.3683814032539824E-2</v>
          </cell>
          <cell r="K143">
            <v>3.8131723757263238E-2</v>
          </cell>
          <cell r="L143">
            <v>4.0711702887436085E-2</v>
          </cell>
          <cell r="M143">
            <v>4.36828100667681E-2</v>
          </cell>
          <cell r="N143" t="str">
            <v/>
          </cell>
          <cell r="O143">
            <v>3.6108740124894526E-3</v>
          </cell>
          <cell r="P143">
            <v>9.814119633051269E-3</v>
          </cell>
          <cell r="Q143">
            <v>1.2894656919653835E-2</v>
          </cell>
          <cell r="R143">
            <v>1.5663982998256984E-2</v>
          </cell>
          <cell r="AC143" t="str">
            <v>XS2199266003</v>
          </cell>
          <cell r="AD143" t="str">
            <v>BAYNGR 0 3/4 01/06/27</v>
          </cell>
          <cell r="AE143">
            <v>46301</v>
          </cell>
          <cell r="AF143">
            <v>3.6585800000000002E-2</v>
          </cell>
          <cell r="AG143">
            <v>1.5459237572632359E-3</v>
          </cell>
          <cell r="AH143">
            <v>4.6956033281933901E-2</v>
          </cell>
          <cell r="AI143">
            <v>1.8024450371332476E-3</v>
          </cell>
        </row>
        <row r="144">
          <cell r="E144" t="str">
            <v>Daimler AG</v>
          </cell>
          <cell r="F144" t="str">
            <v>Sr Unsecured</v>
          </cell>
          <cell r="G144" t="str">
            <v>Germany</v>
          </cell>
          <cell r="H144" t="str">
            <v>A- / A3 / A-</v>
          </cell>
          <cell r="I144">
            <v>2.3401486050613259E-2</v>
          </cell>
          <cell r="J144">
            <v>3.358778690219149E-2</v>
          </cell>
          <cell r="K144">
            <v>3.8124251983708439E-2</v>
          </cell>
          <cell r="L144">
            <v>4.03322622899977E-2</v>
          </cell>
          <cell r="M144">
            <v>4.3099857638018484E-2</v>
          </cell>
          <cell r="N144" t="str">
            <v/>
          </cell>
          <cell r="O144">
            <v>3.5150939447258205E-3</v>
          </cell>
          <cell r="P144">
            <v>9.8069247006944502E-3</v>
          </cell>
          <cell r="Q144">
            <v>1.2511525214562662E-2</v>
          </cell>
          <cell r="R144">
            <v>1.5073237211366166E-2</v>
          </cell>
          <cell r="AC144" t="str">
            <v>DE000A2GSLY0</v>
          </cell>
          <cell r="AD144" t="str">
            <v>MBGGR 1 11/15/27</v>
          </cell>
          <cell r="AE144" t="str">
            <v xml:space="preserve"> </v>
          </cell>
          <cell r="AF144">
            <v>2.878638E-2</v>
          </cell>
          <cell r="AG144">
            <v>9.3378719837084387E-3</v>
          </cell>
          <cell r="AH144">
            <v>3.8917494552536486E-2</v>
          </cell>
          <cell r="AI144">
            <v>9.8290170357786741E-3</v>
          </cell>
        </row>
        <row r="145">
          <cell r="E145" t="str">
            <v>ENI S.P.A.</v>
          </cell>
          <cell r="F145" t="str">
            <v>Sr Unsecured</v>
          </cell>
          <cell r="G145" t="str">
            <v>Italy</v>
          </cell>
          <cell r="H145" t="str">
            <v>A- / Baa1 / A-</v>
          </cell>
          <cell r="I145">
            <v>2.3131674816072933E-2</v>
          </cell>
          <cell r="J145">
            <v>3.33625742879083E-2</v>
          </cell>
          <cell r="K145">
            <v>3.8021724039519818E-2</v>
          </cell>
          <cell r="L145">
            <v>4.0600989498989125E-2</v>
          </cell>
          <cell r="M145">
            <v>4.3576435739346914E-2</v>
          </cell>
          <cell r="N145" t="str">
            <v/>
          </cell>
          <cell r="O145">
            <v>3.2898600318775626E-3</v>
          </cell>
          <cell r="P145">
            <v>9.7038113659908658E-3</v>
          </cell>
          <cell r="Q145">
            <v>1.2783068291466059E-2</v>
          </cell>
          <cell r="R145">
            <v>1.5556301631676957E-2</v>
          </cell>
          <cell r="AC145" t="str">
            <v>XS1551068676</v>
          </cell>
          <cell r="AD145" t="str">
            <v>ENIIM 1 1/2 01/17/27</v>
          </cell>
          <cell r="AE145" t="str">
            <v xml:space="preserve"> </v>
          </cell>
          <cell r="AF145">
            <v>3.4642159999999998E-2</v>
          </cell>
          <cell r="AG145">
            <v>3.3795640395198195E-3</v>
          </cell>
          <cell r="AH145">
            <v>4.5193377705729947E-2</v>
          </cell>
          <cell r="AI145">
            <v>3.4445891488028776E-3</v>
          </cell>
        </row>
        <row r="146">
          <cell r="E146" t="str">
            <v>Oracle Corporation</v>
          </cell>
          <cell r="F146" t="str">
            <v>Sr Unsecured</v>
          </cell>
          <cell r="G146" t="str">
            <v>US</v>
          </cell>
          <cell r="H146" t="str">
            <v>BBB / Baa2 / BBB</v>
          </cell>
          <cell r="I146">
            <v>2.324283950143061E-2</v>
          </cell>
          <cell r="J146">
            <v>3.3123907620630839E-2</v>
          </cell>
          <cell r="K146">
            <v>3.7945774743579602E-2</v>
          </cell>
          <cell r="L146">
            <v>4.0146010888115806E-2</v>
          </cell>
          <cell r="M146">
            <v>4.239676680077329E-2</v>
          </cell>
          <cell r="N146" t="str">
            <v/>
          </cell>
          <cell r="O146">
            <v>3.0518249078774116E-3</v>
          </cell>
          <cell r="P146">
            <v>9.6302887393992925E-3</v>
          </cell>
          <cell r="Q146">
            <v>1.2327119846397694E-2</v>
          </cell>
          <cell r="R146">
            <v>1.4365150670734531E-2</v>
          </cell>
          <cell r="AC146" t="str">
            <v>US68389XBN49</v>
          </cell>
          <cell r="AD146" t="str">
            <v>ORCL 3 1/4 11/15/27</v>
          </cell>
          <cell r="AE146">
            <v>46614</v>
          </cell>
          <cell r="AF146">
            <v>3.6383592153641391E-2</v>
          </cell>
          <cell r="AG146">
            <v>1.5621825899382116E-3</v>
          </cell>
          <cell r="AH146">
            <v>4.6909270000000003E-2</v>
          </cell>
          <cell r="AI146">
            <v>2.659211063076497E-3</v>
          </cell>
        </row>
        <row r="147">
          <cell r="E147" t="str">
            <v>Viacom Inc.</v>
          </cell>
          <cell r="F147" t="str">
            <v>Sr Unsecured</v>
          </cell>
          <cell r="G147" t="str">
            <v>US</v>
          </cell>
          <cell r="H147" t="str">
            <v>BBB / Baa2 / BBB</v>
          </cell>
          <cell r="I147">
            <v>2.2169359425681139E-2</v>
          </cell>
          <cell r="J147">
            <v>3.2375481261043393E-2</v>
          </cell>
          <cell r="K147">
            <v>3.7851131755076088E-2</v>
          </cell>
          <cell r="L147">
            <v>4.1228671427907343E-2</v>
          </cell>
          <cell r="M147">
            <v>4.4082886730807576E-2</v>
          </cell>
          <cell r="N147" t="str">
            <v/>
          </cell>
          <cell r="O147">
            <v>2.3027131431404193E-3</v>
          </cell>
          <cell r="P147">
            <v>9.5352606889071833E-3</v>
          </cell>
          <cell r="Q147">
            <v>1.3418589657498866E-2</v>
          </cell>
          <cell r="R147">
            <v>1.60744799963147E-2</v>
          </cell>
          <cell r="AC147" t="str">
            <v>US124857AR43</v>
          </cell>
          <cell r="AD147" t="str">
            <v>PARA 2.9 01/15/27</v>
          </cell>
          <cell r="AE147">
            <v>46310</v>
          </cell>
          <cell r="AF147">
            <v>4.0184660864837608E-2</v>
          </cell>
          <cell r="AG147">
            <v>-2.3335291097615202E-3</v>
          </cell>
          <cell r="AH147">
            <v>5.1569659999999996E-2</v>
          </cell>
          <cell r="AI147">
            <v>-2.1191145003527367E-3</v>
          </cell>
        </row>
        <row r="148">
          <cell r="E148" t="str">
            <v>MARRIOTT INTERNATIONAL, INC.</v>
          </cell>
          <cell r="F148" t="str">
            <v>Sr Unsecured</v>
          </cell>
          <cell r="G148" t="str">
            <v>US</v>
          </cell>
          <cell r="H148" t="str">
            <v xml:space="preserve">BBB / Baa2 / </v>
          </cell>
          <cell r="I148">
            <v>2.2922451895527649E-2</v>
          </cell>
          <cell r="J148">
            <v>3.2888372589766776E-2</v>
          </cell>
          <cell r="K148">
            <v>3.7640546544237687E-2</v>
          </cell>
          <cell r="L148">
            <v>4.0019949718332906E-2</v>
          </cell>
          <cell r="M148">
            <v>4.2447179840236125E-2</v>
          </cell>
          <cell r="N148" t="str">
            <v/>
          </cell>
          <cell r="O148">
            <v>2.8159874231702031E-3</v>
          </cell>
          <cell r="P148">
            <v>9.3234780829656114E-3</v>
          </cell>
          <cell r="Q148">
            <v>1.2200882022930104E-2</v>
          </cell>
          <cell r="R148">
            <v>1.441755572927484E-2</v>
          </cell>
          <cell r="AC148" t="str">
            <v>US571903BJ14</v>
          </cell>
          <cell r="AD148" t="str">
            <v>MAR 5 10/15/27</v>
          </cell>
          <cell r="AE148">
            <v>46645</v>
          </cell>
          <cell r="AF148">
            <v>3.816535355210935E-2</v>
          </cell>
          <cell r="AG148">
            <v>-5.2480700787166379E-4</v>
          </cell>
          <cell r="AH148">
            <v>4.8568870000000007E-2</v>
          </cell>
          <cell r="AI148">
            <v>6.9106025431683871E-4</v>
          </cell>
        </row>
        <row r="149">
          <cell r="E149" t="str">
            <v>BASF SE</v>
          </cell>
          <cell r="F149" t="str">
            <v>Sr Unsecured</v>
          </cell>
          <cell r="G149" t="str">
            <v>Germany</v>
          </cell>
          <cell r="H149" t="str">
            <v>A / A3 / A</v>
          </cell>
          <cell r="I149">
            <v>2.3113038100815393E-2</v>
          </cell>
          <cell r="J149">
            <v>3.1989106082374763E-2</v>
          </cell>
          <cell r="K149">
            <v>3.6772874261825461E-2</v>
          </cell>
          <cell r="L149">
            <v>3.856415384409375E-2</v>
          </cell>
          <cell r="M149">
            <v>4.0446997064504844E-2</v>
          </cell>
          <cell r="N149" t="str">
            <v/>
          </cell>
          <cell r="O149">
            <v>1.9166325125615055E-3</v>
          </cell>
          <cell r="P149">
            <v>8.4543990000926113E-3</v>
          </cell>
          <cell r="Q149">
            <v>1.0733608011028233E-2</v>
          </cell>
          <cell r="R149">
            <v>1.2384008141733497E-2</v>
          </cell>
          <cell r="AC149" t="str">
            <v>XS1718418103</v>
          </cell>
          <cell r="AD149" t="str">
            <v>BASGR 0 7/8 11/15/27</v>
          </cell>
          <cell r="AE149">
            <v>46614</v>
          </cell>
          <cell r="AF149">
            <v>2.6243910000000002E-2</v>
          </cell>
          <cell r="AG149">
            <v>1.0528964261825459E-2</v>
          </cell>
          <cell r="AH149">
            <v>3.6438634358238048E-2</v>
          </cell>
          <cell r="AI149">
            <v>1.0923002461521739E-2</v>
          </cell>
        </row>
        <row r="150">
          <cell r="E150" t="str">
            <v>Aktiebolaget Volvo</v>
          </cell>
          <cell r="F150" t="str">
            <v>Sr Unsecured</v>
          </cell>
          <cell r="G150" t="str">
            <v>Sweden</v>
          </cell>
          <cell r="H150" t="str">
            <v>A- / A2 / A-u</v>
          </cell>
          <cell r="I150">
            <v>2.2529218309153838E-2</v>
          </cell>
          <cell r="J150">
            <v>3.2364530782340667E-2</v>
          </cell>
          <cell r="K150">
            <v>3.6477475990962238E-2</v>
          </cell>
          <cell r="L150">
            <v>3.8593048618588296E-2</v>
          </cell>
          <cell r="M150">
            <v>4.1188962113007918E-2</v>
          </cell>
          <cell r="N150" t="str">
            <v/>
          </cell>
          <cell r="O150">
            <v>2.2912141934026769E-3</v>
          </cell>
          <cell r="P150">
            <v>8.1547914024716287E-3</v>
          </cell>
          <cell r="Q150">
            <v>1.0762393843349351E-2</v>
          </cell>
          <cell r="R150">
            <v>1.3139643794290974E-2</v>
          </cell>
          <cell r="AC150" t="str">
            <v>XS2521820048</v>
          </cell>
          <cell r="AD150" t="str">
            <v>VLVY 2 08/19/27</v>
          </cell>
          <cell r="AE150">
            <v>46526</v>
          </cell>
          <cell r="AF150">
            <v>3.4224749999999998E-2</v>
          </cell>
          <cell r="AG150">
            <v>2.2527259909622399E-3</v>
          </cell>
          <cell r="AH150">
            <v>4.4426032230628104E-2</v>
          </cell>
          <cell r="AI150">
            <v>2.6479239817963351E-3</v>
          </cell>
        </row>
        <row r="151">
          <cell r="E151" t="str">
            <v>Orange</v>
          </cell>
          <cell r="F151" t="str">
            <v>Sr Unsecured</v>
          </cell>
          <cell r="G151" t="str">
            <v>France</v>
          </cell>
          <cell r="H151" t="str">
            <v>BBB+ / Baa1 / BBB+</v>
          </cell>
          <cell r="I151">
            <v>2.1999534425521741E-2</v>
          </cell>
          <cell r="J151">
            <v>3.1879304940436032E-2</v>
          </cell>
          <cell r="K151">
            <v>3.6065106915915635E-2</v>
          </cell>
          <cell r="L151">
            <v>3.7589464437741624E-2</v>
          </cell>
          <cell r="M151">
            <v>3.9905075264693085E-2</v>
          </cell>
          <cell r="N151" t="str">
            <v/>
          </cell>
          <cell r="O151">
            <v>1.8051225549059299E-3</v>
          </cell>
          <cell r="P151">
            <v>7.7415701530507575E-3</v>
          </cell>
          <cell r="Q151">
            <v>9.7484495031046493E-3</v>
          </cell>
          <cell r="R151">
            <v>1.1835593857319179E-2</v>
          </cell>
          <cell r="AC151" t="str">
            <v>FR0013506292</v>
          </cell>
          <cell r="AD151" t="str">
            <v>ORAFP 1 1/4 07/07/27</v>
          </cell>
          <cell r="AE151">
            <v>46484</v>
          </cell>
          <cell r="AF151">
            <v>3.1603100000000002E-2</v>
          </cell>
          <cell r="AG151">
            <v>4.4620069159156325E-3</v>
          </cell>
          <cell r="AH151">
            <v>4.1814923661657358E-2</v>
          </cell>
          <cell r="AI151">
            <v>4.8322389020971218E-3</v>
          </cell>
        </row>
        <row r="152">
          <cell r="E152" t="str">
            <v>TotalEnergies SE</v>
          </cell>
          <cell r="F152" t="str">
            <v>Sr Unsecured</v>
          </cell>
          <cell r="G152" t="str">
            <v>France</v>
          </cell>
          <cell r="H152" t="str">
            <v>A+ / A1 / AA-u</v>
          </cell>
          <cell r="I152">
            <v>2.2192339140100308E-2</v>
          </cell>
          <cell r="J152">
            <v>3.1811444852683175E-2</v>
          </cell>
          <cell r="K152">
            <v>3.5597479555529339E-2</v>
          </cell>
          <cell r="L152">
            <v>3.7170563142661976E-2</v>
          </cell>
          <cell r="M152">
            <v>3.9189219282208677E-2</v>
          </cell>
          <cell r="N152" t="str">
            <v/>
          </cell>
          <cell r="O152">
            <v>1.7375203715122261E-3</v>
          </cell>
          <cell r="P152">
            <v>7.2710639701869155E-3</v>
          </cell>
          <cell r="Q152">
            <v>9.3265319766210695E-3</v>
          </cell>
          <cell r="R152">
            <v>1.1106695187662651E-2</v>
          </cell>
          <cell r="AC152" t="str">
            <v>XS2004381674</v>
          </cell>
          <cell r="AD152" t="str">
            <v>TTEFP 0.696 05/31/28</v>
          </cell>
          <cell r="AE152">
            <v>46811</v>
          </cell>
          <cell r="AF152">
            <v>3.2556460000000002E-2</v>
          </cell>
          <cell r="AG152">
            <v>3.0410195555293368E-3</v>
          </cell>
          <cell r="AH152">
            <v>4.2209005403277385E-2</v>
          </cell>
          <cell r="AI152">
            <v>3.9743146835323276E-3</v>
          </cell>
        </row>
        <row r="153">
          <cell r="E153" t="str">
            <v>Omnicom Group Inc.</v>
          </cell>
          <cell r="F153" t="str">
            <v>Sr Unsecured</v>
          </cell>
          <cell r="G153" t="str">
            <v>US</v>
          </cell>
          <cell r="H153" t="str">
            <v xml:space="preserve">BBB+ / Baa1 / </v>
          </cell>
          <cell r="I153">
            <v>2.1758889597052768E-2</v>
          </cell>
          <cell r="J153">
            <v>3.1442003645065171E-2</v>
          </cell>
          <cell r="K153">
            <v>3.5476533138174587E-2</v>
          </cell>
          <cell r="L153">
            <v>3.7570708047911482E-2</v>
          </cell>
          <cell r="M153">
            <v>3.9991236672281778E-2</v>
          </cell>
          <cell r="N153" t="str">
            <v/>
          </cell>
          <cell r="O153">
            <v>1.3685472663253402E-3</v>
          </cell>
          <cell r="P153">
            <v>7.1525748137915134E-3</v>
          </cell>
          <cell r="Q153">
            <v>9.7362738044782602E-3</v>
          </cell>
          <cell r="R153">
            <v>1.1932306538703422E-2</v>
          </cell>
          <cell r="AC153" t="str">
            <v>XS2019814503</v>
          </cell>
          <cell r="AD153" t="str">
            <v>OMC 0.8 07/08/27</v>
          </cell>
          <cell r="AE153">
            <v>46485</v>
          </cell>
          <cell r="AF153">
            <v>3.4529820000000003E-2</v>
          </cell>
          <cell r="AG153">
            <v>9.4671313817458469E-4</v>
          </cell>
          <cell r="AH153">
            <v>4.4562512964567161E-2</v>
          </cell>
          <cell r="AI153">
            <v>2.4971034227661212E-3</v>
          </cell>
        </row>
        <row r="154">
          <cell r="E154" t="str">
            <v>MERCK Kommanditgesellschaft auf Aktien</v>
          </cell>
          <cell r="F154" t="str">
            <v>Sr Unsecured</v>
          </cell>
          <cell r="G154" t="str">
            <v>Germany</v>
          </cell>
          <cell r="H154" t="str">
            <v xml:space="preserve">A / A3 / </v>
          </cell>
          <cell r="I154">
            <v>2.1809754289969896E-2</v>
          </cell>
          <cell r="J154">
            <v>3.0703382729247344E-2</v>
          </cell>
          <cell r="K154">
            <v>3.4717378964856563E-2</v>
          </cell>
          <cell r="L154">
            <v>3.6007246488564584E-2</v>
          </cell>
          <cell r="M154">
            <v>3.7780985190245905E-2</v>
          </cell>
          <cell r="N154" t="str">
            <v/>
          </cell>
          <cell r="O154">
            <v>6.2851650620245579E-4</v>
          </cell>
          <cell r="P154">
            <v>6.3884510548237348E-3</v>
          </cell>
          <cell r="Q154">
            <v>8.1517446491480051E-3</v>
          </cell>
          <cell r="R154">
            <v>9.6726126204991526E-3</v>
          </cell>
          <cell r="AC154" t="str">
            <v>XS2023644201</v>
          </cell>
          <cell r="AD154" t="str">
            <v>MRKGR 0 3/8 07/05/27</v>
          </cell>
          <cell r="AE154">
            <v>46482</v>
          </cell>
          <cell r="AF154">
            <v>2.9905270000000001E-2</v>
          </cell>
          <cell r="AG154">
            <v>4.8121089648565617E-3</v>
          </cell>
          <cell r="AH154">
            <v>4.0195907374057843E-2</v>
          </cell>
          <cell r="AI154">
            <v>5.080697285230952E-3</v>
          </cell>
        </row>
        <row r="155">
          <cell r="E155" t="str">
            <v xml:space="preserve">                                          HY</v>
          </cell>
        </row>
        <row r="156">
          <cell r="E156" t="str">
            <v>American Airlines Group Inc.</v>
          </cell>
          <cell r="F156" t="str">
            <v>1st lien</v>
          </cell>
          <cell r="G156" t="str">
            <v>US</v>
          </cell>
          <cell r="H156" t="str">
            <v>B / Ba3 / B</v>
          </cell>
          <cell r="I156">
            <v>5.788141111885451E-2</v>
          </cell>
          <cell r="J156">
            <v>0.10228999250807562</v>
          </cell>
          <cell r="K156">
            <v>0.11456451345659027</v>
          </cell>
          <cell r="L156">
            <v>0.1206392286660479</v>
          </cell>
          <cell r="M156">
            <v>0.12362162120125764</v>
          </cell>
          <cell r="N156">
            <v>2.5552967426162174E-2</v>
          </cell>
          <cell r="O156">
            <v>7.1991228378069802E-2</v>
          </cell>
          <cell r="P156">
            <v>8.577824767422372E-2</v>
          </cell>
          <cell r="Q156">
            <v>9.2290951767592361E-2</v>
          </cell>
          <cell r="R156">
            <v>9.5270612821611839E-2</v>
          </cell>
          <cell r="AC156" t="str">
            <v>US023771S586</v>
          </cell>
          <cell r="AD156" t="str">
            <v>AAL 11 3/4 07/15/25</v>
          </cell>
          <cell r="AE156" t="str">
            <v xml:space="preserve"> </v>
          </cell>
          <cell r="AF156">
            <v>5.7261535471574081E-2</v>
          </cell>
          <cell r="AG156">
            <v>5.7302977985016192E-2</v>
          </cell>
          <cell r="AH156">
            <v>6.9087220000000005E-2</v>
          </cell>
          <cell r="AI156">
            <v>5.886923502414243E-2</v>
          </cell>
        </row>
        <row r="157">
          <cell r="E157" t="str">
            <v>Altice Finco S.A.</v>
          </cell>
          <cell r="F157" t="str">
            <v>Secured</v>
          </cell>
          <cell r="G157" t="str">
            <v>Luxembourg</v>
          </cell>
          <cell r="H157" t="str">
            <v xml:space="preserve">B / B2 / </v>
          </cell>
          <cell r="I157">
            <v>5.2993640181827742E-2</v>
          </cell>
          <cell r="J157">
            <v>9.0770834030828071E-2</v>
          </cell>
          <cell r="K157">
            <v>0.10947617031033036</v>
          </cell>
          <cell r="L157">
            <v>0.11916269427498472</v>
          </cell>
          <cell r="M157">
            <v>0.12426186269044537</v>
          </cell>
          <cell r="N157">
            <v>2.0653710938845389E-2</v>
          </cell>
          <cell r="O157">
            <v>6.0524979976132577E-2</v>
          </cell>
          <cell r="P157">
            <v>8.0752048034789206E-2</v>
          </cell>
          <cell r="Q157">
            <v>9.0852835091338707E-2</v>
          </cell>
          <cell r="R157">
            <v>9.5947946531338951E-2</v>
          </cell>
          <cell r="AC157" t="str">
            <v>XS2102493389</v>
          </cell>
          <cell r="AD157" t="str">
            <v>ALTICE 3 01/15/28</v>
          </cell>
          <cell r="AE157">
            <v>44987</v>
          </cell>
          <cell r="AF157">
            <v>7.785243E-2</v>
          </cell>
          <cell r="AG157">
            <v>3.1623740310330356E-2</v>
          </cell>
          <cell r="AH157">
            <v>8.2588803985613093E-2</v>
          </cell>
          <cell r="AI157">
            <v>3.890664988694488E-2</v>
          </cell>
        </row>
        <row r="158">
          <cell r="E158" t="str">
            <v>ALTICE FRANCE</v>
          </cell>
          <cell r="F158" t="str">
            <v>1st lien</v>
          </cell>
          <cell r="G158" t="str">
            <v>France</v>
          </cell>
          <cell r="H158" t="str">
            <v xml:space="preserve">B / B2 / </v>
          </cell>
          <cell r="I158">
            <v>5.1022153233168777E-2</v>
          </cell>
          <cell r="J158">
            <v>8.6130375363946396E-2</v>
          </cell>
          <cell r="K158">
            <v>0.10368413988058506</v>
          </cell>
          <cell r="L158">
            <v>0.11036311681407068</v>
          </cell>
          <cell r="M158">
            <v>0.11531387177203413</v>
          </cell>
          <cell r="N158">
            <v>1.8680011869849574E-2</v>
          </cell>
          <cell r="O158">
            <v>5.5902606939653057E-2</v>
          </cell>
          <cell r="P158">
            <v>7.5003305511147672E-2</v>
          </cell>
          <cell r="Q158">
            <v>8.2117915957952745E-2</v>
          </cell>
          <cell r="R158">
            <v>8.7053925356670572E-2</v>
          </cell>
          <cell r="AC158" t="str">
            <v>XS1859337419</v>
          </cell>
          <cell r="AD158" t="str">
            <v>SFRFP 5 7/8 02/01/27</v>
          </cell>
          <cell r="AE158">
            <v>44987</v>
          </cell>
          <cell r="AF158">
            <v>8.6262820000000004E-2</v>
          </cell>
          <cell r="AG158">
            <v>1.7421319880585054E-2</v>
          </cell>
          <cell r="AH158">
            <v>9.3995744031838371E-2</v>
          </cell>
          <cell r="AI158">
            <v>2.1592104270642953E-2</v>
          </cell>
        </row>
        <row r="159">
          <cell r="E159" t="str">
            <v>Saipem Finance International B.V.</v>
          </cell>
          <cell r="F159" t="str">
            <v>Sr Unsecured</v>
          </cell>
          <cell r="G159" t="str">
            <v>Netherlands</v>
          </cell>
          <cell r="H159" t="str">
            <v xml:space="preserve">BB+ / Ba3 / </v>
          </cell>
          <cell r="I159">
            <v>7.4072723904986482E-2</v>
          </cell>
          <cell r="J159">
            <v>9.7681487197919969E-2</v>
          </cell>
          <cell r="K159">
            <v>0.1021815861363219</v>
          </cell>
          <cell r="L159">
            <v>0.10304736666051577</v>
          </cell>
          <cell r="M159">
            <v>0.10509816558269729</v>
          </cell>
          <cell r="N159">
            <v>4.1765300504246775E-2</v>
          </cell>
          <cell r="O159">
            <v>6.7440339509017899E-2</v>
          </cell>
          <cell r="P159">
            <v>7.3543347719775221E-2</v>
          </cell>
          <cell r="Q159">
            <v>7.4895663875248958E-2</v>
          </cell>
          <cell r="R159">
            <v>7.6906155600128603E-2</v>
          </cell>
          <cell r="AC159" t="str">
            <v>XS2325696628</v>
          </cell>
          <cell r="AD159" t="str">
            <v>SPMIM 3 1/8 03/31/28</v>
          </cell>
          <cell r="AE159">
            <v>46752</v>
          </cell>
          <cell r="AF159">
            <v>5.794709E-2</v>
          </cell>
          <cell r="AG159">
            <v>4.4234496136321903E-2</v>
          </cell>
          <cell r="AH159">
            <v>6.6440722395506246E-2</v>
          </cell>
          <cell r="AI159">
            <v>4.8209096623721429E-2</v>
          </cell>
        </row>
        <row r="160">
          <cell r="E160" t="str">
            <v>Intrum AB</v>
          </cell>
          <cell r="F160" t="str">
            <v>Sr Unsecured</v>
          </cell>
          <cell r="G160" t="str">
            <v>Sweden</v>
          </cell>
          <cell r="H160" t="str">
            <v>BB / Ba3 / BB</v>
          </cell>
          <cell r="I160">
            <v>5.1205015755932733E-2</v>
          </cell>
          <cell r="J160">
            <v>8.3810314575487918E-2</v>
          </cell>
          <cell r="K160">
            <v>9.6700454666676289E-2</v>
          </cell>
          <cell r="L160">
            <v>9.9226587891372883E-2</v>
          </cell>
          <cell r="M160">
            <v>0.10024163283513682</v>
          </cell>
          <cell r="N160">
            <v>1.8861945920767641E-2</v>
          </cell>
          <cell r="O160">
            <v>5.359502850694841E-2</v>
          </cell>
          <cell r="P160">
            <v>6.8066661272791068E-2</v>
          </cell>
          <cell r="Q160">
            <v>7.1062413061877161E-2</v>
          </cell>
          <cell r="R160">
            <v>7.203692390035922E-2</v>
          </cell>
          <cell r="AC160" t="str">
            <v>XS2052216202</v>
          </cell>
          <cell r="AD160" t="str">
            <v>INTRUM 3 09/15/27</v>
          </cell>
          <cell r="AE160">
            <v>44967</v>
          </cell>
          <cell r="AF160">
            <v>7.1427100000000007E-2</v>
          </cell>
          <cell r="AG160">
            <v>2.5273354666676281E-2</v>
          </cell>
          <cell r="AH160">
            <v>7.7987155091351387E-2</v>
          </cell>
          <cell r="AI160">
            <v>3.0602320558560964E-2</v>
          </cell>
        </row>
        <row r="161">
          <cell r="E161" t="str">
            <v>The Goodyear Tire &amp; Rubber Company</v>
          </cell>
          <cell r="F161" t="str">
            <v>Sr Unsecured</v>
          </cell>
          <cell r="G161" t="str">
            <v>US</v>
          </cell>
          <cell r="H161" t="str">
            <v>BB- / B2 / BB-</v>
          </cell>
          <cell r="I161">
            <v>3.1255586767914824E-2</v>
          </cell>
          <cell r="J161">
            <v>5.7059720771638123E-2</v>
          </cell>
          <cell r="K161">
            <v>7.5487194024587409E-2</v>
          </cell>
          <cell r="L161">
            <v>8.4455210316862039E-2</v>
          </cell>
          <cell r="M161">
            <v>8.5693988780595171E-2</v>
          </cell>
          <cell r="N161" t="str">
            <v/>
          </cell>
          <cell r="O161">
            <v>2.692788462650262E-2</v>
          </cell>
          <cell r="P161">
            <v>4.7000030924955874E-2</v>
          </cell>
          <cell r="Q161">
            <v>5.6431021264576428E-2</v>
          </cell>
          <cell r="R161">
            <v>5.7601118661036226E-2</v>
          </cell>
          <cell r="AC161" t="str">
            <v>US382550BG56</v>
          </cell>
          <cell r="AD161" t="str">
            <v>GT 4 7/8 03/15/27</v>
          </cell>
          <cell r="AE161">
            <v>46371</v>
          </cell>
          <cell r="AF161">
            <v>5.4846064262011912E-2</v>
          </cell>
          <cell r="AG161">
            <v>2.0641129762575497E-2</v>
          </cell>
          <cell r="AH161">
            <v>6.6955020000000004E-2</v>
          </cell>
          <cell r="AI161">
            <v>2.0664086026885034E-2</v>
          </cell>
        </row>
        <row r="162">
          <cell r="E162" t="str">
            <v>TELECOM ITALIA SPA</v>
          </cell>
          <cell r="F162" t="str">
            <v>Sr Unsecured</v>
          </cell>
          <cell r="G162" t="str">
            <v>Italy</v>
          </cell>
          <cell r="H162" t="str">
            <v>B+ / B1 / BB-</v>
          </cell>
          <cell r="I162">
            <v>3.5205506574801759E-2</v>
          </cell>
          <cell r="J162">
            <v>5.8156718759214361E-2</v>
          </cell>
          <cell r="K162">
            <v>7.0285530271082905E-2</v>
          </cell>
          <cell r="L162">
            <v>7.6970112480853656E-2</v>
          </cell>
          <cell r="M162">
            <v>8.1147955532838323E-2</v>
          </cell>
          <cell r="N162">
            <v>2.8358629082187448E-3</v>
          </cell>
          <cell r="O162">
            <v>2.8025681382748094E-2</v>
          </cell>
          <cell r="P162">
            <v>4.1837500683179839E-2</v>
          </cell>
          <cell r="Q162">
            <v>4.9008213525851843E-2</v>
          </cell>
          <cell r="R162">
            <v>5.3105072290928187E-2</v>
          </cell>
          <cell r="AC162" t="str">
            <v>XS1698218523</v>
          </cell>
          <cell r="AD162" t="str">
            <v>TITIM 2 3/8 10/12/27</v>
          </cell>
          <cell r="AE162">
            <v>46580</v>
          </cell>
          <cell r="AF162">
            <v>6.2431789999999994E-2</v>
          </cell>
          <cell r="AG162">
            <v>7.853740271082911E-3</v>
          </cell>
          <cell r="AH162">
            <v>7.0064065509442733E-2</v>
          </cell>
          <cell r="AI162">
            <v>1.1418041328903644E-2</v>
          </cell>
        </row>
        <row r="163">
          <cell r="E163" t="str">
            <v>thyssenkrupp AG</v>
          </cell>
          <cell r="F163" t="str">
            <v>Sr Unsecured</v>
          </cell>
          <cell r="G163" t="str">
            <v>Germany</v>
          </cell>
          <cell r="H163" t="str">
            <v>BB / Ba3 / BB-</v>
          </cell>
          <cell r="I163">
            <v>3.4412568501115681E-2</v>
          </cell>
          <cell r="J163">
            <v>5.7559387828401372E-2</v>
          </cell>
          <cell r="K163">
            <v>7.008732928037599E-2</v>
          </cell>
          <cell r="L163">
            <v>7.4844567454789998E-2</v>
          </cell>
          <cell r="M163">
            <v>7.8439590556676583E-2</v>
          </cell>
          <cell r="N163">
            <v>2.0406193087576466E-3</v>
          </cell>
          <cell r="O163">
            <v>2.7430086623535504E-2</v>
          </cell>
          <cell r="P163">
            <v>4.1635716348907406E-2</v>
          </cell>
          <cell r="Q163">
            <v>4.6885958901550041E-2</v>
          </cell>
          <cell r="R163">
            <v>5.0393917006296675E-2</v>
          </cell>
          <cell r="AC163" t="str">
            <v>DE000A14J587</v>
          </cell>
          <cell r="AD163" t="str">
            <v>TKAGR 2 1/2 02/25/25</v>
          </cell>
          <cell r="AE163" t="str">
            <v xml:space="preserve"> </v>
          </cell>
          <cell r="AF163">
            <v>2.9524559999999998E-2</v>
          </cell>
          <cell r="AG163">
            <v>4.0562769280375992E-2</v>
          </cell>
          <cell r="AH163">
            <v>4.3525132847980916E-2</v>
          </cell>
          <cell r="AI163">
            <v>3.7759254825440056E-2</v>
          </cell>
        </row>
        <row r="164">
          <cell r="E164" t="str">
            <v>DUFRY ONE B.V.</v>
          </cell>
          <cell r="F164" t="str">
            <v>Sr Unsecured</v>
          </cell>
          <cell r="G164" t="str">
            <v>Netherlands</v>
          </cell>
          <cell r="H164" t="str">
            <v xml:space="preserve">B+ *+ / B1 / </v>
          </cell>
          <cell r="I164">
            <v>3.4406450143555173E-2</v>
          </cell>
          <cell r="J164">
            <v>5.9926198775119829E-2</v>
          </cell>
          <cell r="K164">
            <v>6.9207229206797435E-2</v>
          </cell>
          <cell r="L164">
            <v>7.0505098567233512E-2</v>
          </cell>
          <cell r="M164">
            <v>7.1442773193729547E-2</v>
          </cell>
          <cell r="N164">
            <v>2.0366766072206031E-3</v>
          </cell>
          <cell r="O164">
            <v>2.9783734767925254E-2</v>
          </cell>
          <cell r="P164">
            <v>4.075211909269448E-2</v>
          </cell>
          <cell r="Q164">
            <v>4.2555222917263026E-2</v>
          </cell>
          <cell r="R164">
            <v>4.338879243917422E-2</v>
          </cell>
          <cell r="AC164" t="str">
            <v>XS2079388828</v>
          </cell>
          <cell r="AD164" t="str">
            <v>DUFNSW 2 02/15/27</v>
          </cell>
          <cell r="AE164">
            <v>44987</v>
          </cell>
          <cell r="AF164">
            <v>5.8408719999999997E-2</v>
          </cell>
          <cell r="AG164">
            <v>1.0798509206797438E-2</v>
          </cell>
          <cell r="AH164">
            <v>6.6933893833034094E-2</v>
          </cell>
          <cell r="AI164">
            <v>1.3529013385717312E-2</v>
          </cell>
        </row>
        <row r="165">
          <cell r="E165" t="str">
            <v>NOVA Chemicals Corporation</v>
          </cell>
          <cell r="F165" t="str">
            <v>Sr Unsecured</v>
          </cell>
          <cell r="G165" t="str">
            <v>Canada</v>
          </cell>
          <cell r="H165" t="str">
            <v>BB / Ba3 / WD</v>
          </cell>
          <cell r="I165">
            <v>2.8563605570276679E-2</v>
          </cell>
          <cell r="J165">
            <v>5.5552879812325685E-2</v>
          </cell>
          <cell r="K165">
            <v>6.9032084854625572E-2</v>
          </cell>
          <cell r="L165">
            <v>7.629913706272004E-2</v>
          </cell>
          <cell r="M165">
            <v>8.244435680391847E-2</v>
          </cell>
          <cell r="N165" t="str">
            <v/>
          </cell>
          <cell r="O165">
            <v>2.5442642514109569E-2</v>
          </cell>
          <cell r="P165">
            <v>4.0630086474960192E-2</v>
          </cell>
          <cell r="Q165">
            <v>4.8394209499694182E-2</v>
          </cell>
          <cell r="R165">
            <v>5.4443386005098134E-2</v>
          </cell>
          <cell r="AC165" t="str">
            <v>US66977WAR07</v>
          </cell>
          <cell r="AD165" t="str">
            <v>NCX 5 1/4 06/01/27</v>
          </cell>
          <cell r="AE165">
            <v>46449</v>
          </cell>
          <cell r="AF165">
            <v>5.9046817040584933E-2</v>
          </cell>
          <cell r="AG165">
            <v>9.9852678140406395E-3</v>
          </cell>
          <cell r="AH165">
            <v>7.1429670000000001E-2</v>
          </cell>
          <cell r="AI165">
            <v>9.4293331700193994E-3</v>
          </cell>
        </row>
        <row r="166">
          <cell r="E166" t="str">
            <v>Ford Motor Company</v>
          </cell>
          <cell r="F166" t="str">
            <v>Sr Unsecured</v>
          </cell>
          <cell r="G166" t="str">
            <v>US</v>
          </cell>
          <cell r="H166" t="str">
            <v>BB+ / Ba2 / BB+</v>
          </cell>
          <cell r="I166">
            <v>3.4771452974787183E-2</v>
          </cell>
          <cell r="J166">
            <v>5.3281181909156483E-2</v>
          </cell>
          <cell r="K166">
            <v>6.2593409512246859E-2</v>
          </cell>
          <cell r="L166">
            <v>6.7428445789471492E-2</v>
          </cell>
          <cell r="M166">
            <v>7.5864500017361308E-2</v>
          </cell>
          <cell r="N166">
            <v>2.4021358939261888E-3</v>
          </cell>
          <cell r="O166">
            <v>2.3167713176626865E-2</v>
          </cell>
          <cell r="P166">
            <v>3.4192989756359288E-2</v>
          </cell>
          <cell r="Q166">
            <v>3.9528600699820608E-2</v>
          </cell>
          <cell r="R166">
            <v>4.7875140447144839E-2</v>
          </cell>
          <cell r="AC166" t="str">
            <v>US345397C353</v>
          </cell>
          <cell r="AD166" t="str">
            <v>F 7.35 11/04/27</v>
          </cell>
          <cell r="AE166">
            <v>46664</v>
          </cell>
          <cell r="AF166">
            <v>5.1695164536570089E-2</v>
          </cell>
          <cell r="AG166">
            <v>1.089824497567677E-2</v>
          </cell>
          <cell r="AH166">
            <v>6.1857849999999999E-2</v>
          </cell>
          <cell r="AI166">
            <v>1.2856057549887147E-2</v>
          </cell>
        </row>
        <row r="167">
          <cell r="E167" t="str">
            <v>ROLLS-ROYCE PLC</v>
          </cell>
          <cell r="F167" t="str">
            <v>Sr Unsecured</v>
          </cell>
          <cell r="G167" t="str">
            <v>UK</v>
          </cell>
          <cell r="H167" t="str">
            <v>BB- / Ba3 / BB-</v>
          </cell>
          <cell r="I167">
            <v>3.0724180549274539E-2</v>
          </cell>
          <cell r="J167">
            <v>5.1232390433418179E-2</v>
          </cell>
          <cell r="K167">
            <v>6.0429987027485484E-2</v>
          </cell>
          <cell r="L167">
            <v>6.7817403001805193E-2</v>
          </cell>
          <cell r="M167">
            <v>7.109468010460715E-2</v>
          </cell>
          <cell r="N167" t="str">
            <v/>
          </cell>
          <cell r="O167">
            <v>2.1123907997859511E-2</v>
          </cell>
          <cell r="P167">
            <v>3.2036228632696659E-2</v>
          </cell>
          <cell r="Q167">
            <v>3.9923466160535347E-2</v>
          </cell>
          <cell r="R167">
            <v>4.3094670413605464E-2</v>
          </cell>
          <cell r="AC167" t="str">
            <v>USG76237AC37</v>
          </cell>
          <cell r="AD167" t="str">
            <v>ROLLS 5 3/4 10/15/27</v>
          </cell>
          <cell r="AE167">
            <v>46583</v>
          </cell>
          <cell r="AF167">
            <v>5.3114929122508973E-2</v>
          </cell>
          <cell r="AG167">
            <v>7.3150579049765102E-3</v>
          </cell>
          <cell r="AH167">
            <v>6.4217919999999998E-2</v>
          </cell>
          <cell r="AI167">
            <v>7.2299928964047327E-3</v>
          </cell>
        </row>
        <row r="168">
          <cell r="E168" t="str">
            <v>RENAULT</v>
          </cell>
          <cell r="F168" t="str">
            <v>Sr Unsecured</v>
          </cell>
          <cell r="G168" t="str">
            <v>France</v>
          </cell>
          <cell r="H168" t="str">
            <v xml:space="preserve">BB+ / Ba2 / </v>
          </cell>
          <cell r="I168">
            <v>2.8016790089111766E-2</v>
          </cell>
          <cell r="J168">
            <v>4.5463521921910333E-2</v>
          </cell>
          <cell r="K168">
            <v>5.8278928494773431E-2</v>
          </cell>
          <cell r="L168">
            <v>6.2939904487514617E-2</v>
          </cell>
          <cell r="M168">
            <v>6.649815028503174E-2</v>
          </cell>
          <cell r="N168" t="str">
            <v/>
          </cell>
          <cell r="O168">
            <v>1.5372265259312458E-2</v>
          </cell>
          <cell r="P168">
            <v>2.9909852088209777E-2</v>
          </cell>
          <cell r="Q168">
            <v>3.5068034018866386E-2</v>
          </cell>
          <cell r="R168">
            <v>3.8508531196710341E-2</v>
          </cell>
          <cell r="AC168" t="str">
            <v>FR0014002OL8</v>
          </cell>
          <cell r="AD168" t="str">
            <v>RENAUL 2 1/2 04/01/28</v>
          </cell>
          <cell r="AE168">
            <v>46753</v>
          </cell>
          <cell r="AF168">
            <v>5.1051209999999993E-2</v>
          </cell>
          <cell r="AG168">
            <v>7.2277184947734385E-3</v>
          </cell>
          <cell r="AH168">
            <v>5.9834440077206293E-2</v>
          </cell>
          <cell r="AI168">
            <v>9.3022449140047134E-3</v>
          </cell>
        </row>
        <row r="169">
          <cell r="E169" t="str">
            <v>Delta Air Lines, Inc.</v>
          </cell>
          <cell r="F169" t="str">
            <v>Sr Unsecured</v>
          </cell>
          <cell r="G169" t="str">
            <v>US</v>
          </cell>
          <cell r="H169" t="str">
            <v>BB / Baa3 / BB+</v>
          </cell>
          <cell r="I169">
            <v>2.7613945917257E-2</v>
          </cell>
          <cell r="J169">
            <v>4.5327857842176043E-2</v>
          </cell>
          <cell r="K169">
            <v>5.7286804549480277E-2</v>
          </cell>
          <cell r="L169">
            <v>6.478415992918006E-2</v>
          </cell>
          <cell r="M169">
            <v>6.6778978646343315E-2</v>
          </cell>
          <cell r="N169" t="str">
            <v/>
          </cell>
          <cell r="O169">
            <v>1.5246355130899385E-2</v>
          </cell>
          <cell r="P169">
            <v>2.8952675680594557E-2</v>
          </cell>
          <cell r="Q169">
            <v>3.6955581096444312E-2</v>
          </cell>
          <cell r="R169">
            <v>3.8813474242405652E-2</v>
          </cell>
          <cell r="AC169" t="str">
            <v>US247361ZN12</v>
          </cell>
          <cell r="AD169" t="str">
            <v>DAL 4 3/8 04/19/28</v>
          </cell>
          <cell r="AE169">
            <v>46771</v>
          </cell>
          <cell r="AF169">
            <v>4.7317739774692821E-2</v>
          </cell>
          <cell r="AG169">
            <v>9.9690647747874561E-3</v>
          </cell>
          <cell r="AH169">
            <v>5.8449520000000005E-2</v>
          </cell>
          <cell r="AI169">
            <v>1.053880860188533E-2</v>
          </cell>
        </row>
        <row r="170">
          <cell r="E170" t="str">
            <v>VALEO</v>
          </cell>
          <cell r="F170" t="str">
            <v>Sr Unsecured</v>
          </cell>
          <cell r="G170" t="str">
            <v>France</v>
          </cell>
          <cell r="H170" t="str">
            <v xml:space="preserve">BB+ / Baa3 / </v>
          </cell>
          <cell r="I170">
            <v>2.9591982779425451E-2</v>
          </cell>
          <cell r="J170">
            <v>4.6622452597159476E-2</v>
          </cell>
          <cell r="K170">
            <v>5.7001573265315436E-2</v>
          </cell>
          <cell r="L170">
            <v>6.2132216578748539E-2</v>
          </cell>
          <cell r="M170">
            <v>6.4776322272863091E-2</v>
          </cell>
          <cell r="N170" t="str">
            <v/>
          </cell>
          <cell r="O170">
            <v>1.6528009280009279E-2</v>
          </cell>
          <cell r="P170">
            <v>2.8636800581137992E-2</v>
          </cell>
          <cell r="Q170">
            <v>3.4270343419172615E-2</v>
          </cell>
          <cell r="R170">
            <v>3.6788831607045984E-2</v>
          </cell>
          <cell r="AC170" t="str">
            <v>FR0014004UE6</v>
          </cell>
          <cell r="AD170" t="str">
            <v>FRFP 1 08/03/28</v>
          </cell>
          <cell r="AE170">
            <v>46876</v>
          </cell>
          <cell r="AF170">
            <v>5.1591049999999999E-2</v>
          </cell>
          <cell r="AG170">
            <v>5.4105232653154367E-3</v>
          </cell>
          <cell r="AH170">
            <v>5.9091972972156424E-2</v>
          </cell>
          <cell r="AI170">
            <v>8.823489991119822E-3</v>
          </cell>
        </row>
        <row r="171">
          <cell r="E171" t="str">
            <v>Deutsche Lufthansa Aktiengesellschaft</v>
          </cell>
          <cell r="F171" t="str">
            <v>Sr Unsecured</v>
          </cell>
          <cell r="G171" t="str">
            <v>Germany</v>
          </cell>
          <cell r="H171" t="str">
            <v xml:space="preserve">BB / Ba2 / </v>
          </cell>
          <cell r="I171">
            <v>2.998279932795557E-2</v>
          </cell>
          <cell r="J171">
            <v>4.5814718831953517E-2</v>
          </cell>
          <cell r="K171">
            <v>5.5658665140633314E-2</v>
          </cell>
          <cell r="L171">
            <v>6.0084746954943591E-2</v>
          </cell>
          <cell r="M171">
            <v>6.3333552464852033E-2</v>
          </cell>
          <cell r="N171" t="str">
            <v/>
          </cell>
          <cell r="O171">
            <v>1.5723852751152644E-2</v>
          </cell>
          <cell r="P171">
            <v>2.7300925487238732E-2</v>
          </cell>
          <cell r="Q171">
            <v>3.2232189169245973E-2</v>
          </cell>
          <cell r="R171">
            <v>3.5352095869114232E-2</v>
          </cell>
          <cell r="AC171" t="str">
            <v>XS2296203123</v>
          </cell>
          <cell r="AD171" t="str">
            <v>LHAGR 3 3/4 02/11/28</v>
          </cell>
          <cell r="AE171">
            <v>46702</v>
          </cell>
          <cell r="AF171">
            <v>5.7335869999999997E-2</v>
          </cell>
          <cell r="AG171">
            <v>-1.6772048593666836E-3</v>
          </cell>
          <cell r="AH171">
            <v>6.6488131065705627E-2</v>
          </cell>
          <cell r="AI171">
            <v>8.0103237869527666E-5</v>
          </cell>
        </row>
        <row r="172">
          <cell r="E172" t="str">
            <v>K+S Aktiengesellschaft</v>
          </cell>
          <cell r="F172" t="str">
            <v>Sr Unsecured</v>
          </cell>
          <cell r="G172" t="str">
            <v>Germany</v>
          </cell>
          <cell r="H172" t="str">
            <v xml:space="preserve">BB+ /  / </v>
          </cell>
          <cell r="I172">
            <v>3.0120566335633772E-2</v>
          </cell>
          <cell r="J172">
            <v>4.3079631579592582E-2</v>
          </cell>
          <cell r="K172">
            <v>5.5453001329691172E-2</v>
          </cell>
          <cell r="L172">
            <v>5.8834477306742003E-2</v>
          </cell>
          <cell r="M172">
            <v>6.2563658881706383E-2</v>
          </cell>
          <cell r="N172" t="str">
            <v/>
          </cell>
          <cell r="O172">
            <v>1.3001442078870126E-2</v>
          </cell>
          <cell r="P172">
            <v>2.7094340836874533E-2</v>
          </cell>
          <cell r="Q172">
            <v>3.0979036269885078E-2</v>
          </cell>
          <cell r="R172">
            <v>3.4580578182890273E-2</v>
          </cell>
          <cell r="AC172" t="str">
            <v>XS1854830889</v>
          </cell>
          <cell r="AD172" t="str">
            <v>SDFGR 3 1/4 07/18/24</v>
          </cell>
          <cell r="AE172">
            <v>45400</v>
          </cell>
          <cell r="AF172">
            <v>2.9604499999999999E-2</v>
          </cell>
          <cell r="AG172">
            <v>2.5848501329691173E-2</v>
          </cell>
          <cell r="AH172">
            <v>4.855193332139799E-2</v>
          </cell>
          <cell r="AI172">
            <v>1.7754807746897312E-2</v>
          </cell>
        </row>
        <row r="173">
          <cell r="E173" t="str">
            <v>ATLANTIA S.P.A.</v>
          </cell>
          <cell r="F173" t="str">
            <v>Sr Unsecured</v>
          </cell>
          <cell r="G173" t="str">
            <v>Italy</v>
          </cell>
          <cell r="H173" t="str">
            <v>BB+ / Ba2 / BB</v>
          </cell>
          <cell r="I173">
            <v>2.8837450929346052E-2</v>
          </cell>
          <cell r="J173">
            <v>4.3458807087642132E-2</v>
          </cell>
          <cell r="K173">
            <v>5.1099910317436166E-2</v>
          </cell>
          <cell r="L173">
            <v>5.3054726869430038E-2</v>
          </cell>
          <cell r="M173">
            <v>5.5459230469261954E-2</v>
          </cell>
          <cell r="N173" t="str">
            <v/>
          </cell>
          <cell r="O173">
            <v>1.3374857188177007E-2</v>
          </cell>
          <cell r="P173">
            <v>2.276073348299798E-2</v>
          </cell>
          <cell r="Q173">
            <v>2.5223504537246894E-2</v>
          </cell>
          <cell r="R173">
            <v>2.7471940969626164E-2</v>
          </cell>
          <cell r="AC173" t="str">
            <v>XS1645722262</v>
          </cell>
          <cell r="AD173" t="str">
            <v>ATLIM 1 7/8 07/13/27</v>
          </cell>
          <cell r="AE173">
            <v>46490</v>
          </cell>
          <cell r="AF173">
            <v>4.5638690000000003E-2</v>
          </cell>
          <cell r="AG173">
            <v>5.4612203174361634E-3</v>
          </cell>
          <cell r="AH173">
            <v>5.5205325574424459E-2</v>
          </cell>
          <cell r="AI173">
            <v>6.7410375428544403E-3</v>
          </cell>
        </row>
        <row r="174">
          <cell r="E174" t="str">
            <v>Schaeffler AG</v>
          </cell>
          <cell r="F174" t="str">
            <v>Sr Unsecured</v>
          </cell>
          <cell r="G174" t="str">
            <v>Germany</v>
          </cell>
          <cell r="H174" t="str">
            <v>BB+ / Ba1 / BB+</v>
          </cell>
          <cell r="I174">
            <v>2.7317224286999627E-2</v>
          </cell>
          <cell r="J174">
            <v>3.9785327676482247E-2</v>
          </cell>
          <cell r="K174">
            <v>4.9775009230791811E-2</v>
          </cell>
          <cell r="L174">
            <v>5.4458694717760353E-2</v>
          </cell>
          <cell r="M174">
            <v>5.7303554565445697E-2</v>
          </cell>
          <cell r="N174" t="str">
            <v/>
          </cell>
          <cell r="O174">
            <v>9.7089016965135038E-3</v>
          </cell>
          <cell r="P174">
            <v>2.1449453742310082E-2</v>
          </cell>
          <cell r="Q174">
            <v>2.663766988882308E-2</v>
          </cell>
          <cell r="R174">
            <v>2.9334351322662652E-2</v>
          </cell>
          <cell r="AC174" t="str">
            <v>DE000A3H2TA0</v>
          </cell>
          <cell r="AD174" t="str">
            <v>SHAEFF 3 3/8 10/12/28</v>
          </cell>
          <cell r="AE174">
            <v>46946</v>
          </cell>
          <cell r="AF174">
            <v>5.2165100000000006E-2</v>
          </cell>
          <cell r="AG174">
            <v>-2.3900907692081946E-3</v>
          </cell>
          <cell r="AH174">
            <v>6.1234853051374903E-2</v>
          </cell>
          <cell r="AI174">
            <v>-7.0639850068367205E-4</v>
          </cell>
        </row>
        <row r="175">
          <cell r="E175" t="str">
            <v>LEONARDO SOCIETA' PER AZIONI</v>
          </cell>
          <cell r="F175" t="str">
            <v>Sr Unsecured</v>
          </cell>
          <cell r="G175" t="str">
            <v>Italy</v>
          </cell>
          <cell r="H175" t="str">
            <v>BB+ / Ba1 / BBB-</v>
          </cell>
          <cell r="I175">
            <v>2.5290046968994048E-2</v>
          </cell>
          <cell r="J175">
            <v>3.8870982422002015E-2</v>
          </cell>
          <cell r="K175">
            <v>4.7282719320339457E-2</v>
          </cell>
          <cell r="L175">
            <v>5.3041928711290237E-2</v>
          </cell>
          <cell r="M175">
            <v>5.7557707426863294E-2</v>
          </cell>
          <cell r="N175" t="str">
            <v/>
          </cell>
          <cell r="O175">
            <v>8.7937437922979353E-3</v>
          </cell>
          <cell r="P175">
            <v>1.8958897255696976E-2</v>
          </cell>
          <cell r="Q175">
            <v>2.5229869122990044E-2</v>
          </cell>
          <cell r="R175">
            <v>2.9601837253341763E-2</v>
          </cell>
          <cell r="AC175" t="str">
            <v>XS0215093534</v>
          </cell>
          <cell r="AD175" t="str">
            <v>LDOIM 4 7/8 03/24/25</v>
          </cell>
          <cell r="AE175" t="str">
            <v xml:space="preserve"> </v>
          </cell>
          <cell r="AF175">
            <v>3.7563399999999997E-2</v>
          </cell>
          <cell r="AG175">
            <v>9.7193193203394604E-3</v>
          </cell>
          <cell r="AH175">
            <v>5.1493229077879336E-2</v>
          </cell>
          <cell r="AI175">
            <v>6.5107459995478664E-3</v>
          </cell>
        </row>
        <row r="177">
          <cell r="E177" t="str">
            <v>DM Sovereign</v>
          </cell>
        </row>
        <row r="178">
          <cell r="E178" t="str">
            <v>Legal Entity / Index</v>
          </cell>
          <cell r="F178" t="str">
            <v>Rank</v>
          </cell>
          <cell r="G178" t="str">
            <v>Country of Risk</v>
          </cell>
          <cell r="H178" t="str">
            <v>Rating (S/M/F)</v>
          </cell>
          <cell r="I178" t="str">
            <v>1Y</v>
          </cell>
          <cell r="J178" t="str">
            <v>3Y</v>
          </cell>
          <cell r="K178" t="str">
            <v>5Y</v>
          </cell>
          <cell r="L178" t="str">
            <v>7Y</v>
          </cell>
          <cell r="M178" t="str">
            <v>10Y</v>
          </cell>
          <cell r="N178" t="str">
            <v>1Y</v>
          </cell>
          <cell r="O178" t="str">
            <v>3Y</v>
          </cell>
          <cell r="P178" t="str">
            <v>5Y</v>
          </cell>
          <cell r="Q178" t="str">
            <v>7Y</v>
          </cell>
          <cell r="R178" t="str">
            <v>10Y</v>
          </cell>
          <cell r="AC178" t="str">
            <v>ISIN</v>
          </cell>
          <cell r="AD178" t="str">
            <v>Benchmark Bond</v>
          </cell>
          <cell r="AE178" t="str">
            <v>Next Call Date</v>
          </cell>
          <cell r="AF178" t="str">
            <v>EUR Yield</v>
          </cell>
          <cell r="AG178" t="str">
            <v>5Y CLN vs benchmark</v>
          </cell>
          <cell r="AH178" t="str">
            <v>USD Yield</v>
          </cell>
          <cell r="AI178" t="str">
            <v>5Y CLN vs benchmark</v>
          </cell>
        </row>
        <row r="179">
          <cell r="E179" t="str">
            <v>Republic of Italy</v>
          </cell>
          <cell r="F179" t="str">
            <v>Sr Unsecured</v>
          </cell>
          <cell r="G179" t="str">
            <v>Italy</v>
          </cell>
          <cell r="H179" t="str">
            <v xml:space="preserve"> /  / </v>
          </cell>
          <cell r="I179" t="str">
            <v/>
          </cell>
          <cell r="J179">
            <v>3.5700857969409146E-2</v>
          </cell>
          <cell r="K179">
            <v>4.1703264281740822E-2</v>
          </cell>
          <cell r="L179">
            <v>4.5048404361417327E-2</v>
          </cell>
          <cell r="M179">
            <v>4.8624027655497108E-2</v>
          </cell>
          <cell r="N179" t="str">
            <v/>
          </cell>
          <cell r="O179">
            <v>5.6282910828927045E-3</v>
          </cell>
          <cell r="P179">
            <v>1.3391399659722608E-2</v>
          </cell>
          <cell r="Q179">
            <v>1.7239858839388021E-2</v>
          </cell>
          <cell r="R179">
            <v>2.0634462963420083E-2</v>
          </cell>
          <cell r="AC179" t="str">
            <v>IT0005500068</v>
          </cell>
          <cell r="AD179" t="str">
            <v>BTPS 2.65 12/01/27</v>
          </cell>
          <cell r="AE179" t="str">
            <v xml:space="preserve"> </v>
          </cell>
          <cell r="AF179">
            <v>3.6046229999999999E-2</v>
          </cell>
          <cell r="AG179">
            <v>5.6570342817408234E-3</v>
          </cell>
          <cell r="AH179">
            <v>4.6094525582552427E-2</v>
          </cell>
          <cell r="AI179">
            <v>7.3607435780932221E-3</v>
          </cell>
        </row>
        <row r="180">
          <cell r="E180" t="str">
            <v>United Kingdom of Great Britain and Northern Ireland</v>
          </cell>
          <cell r="F180" t="str">
            <v>Unsecured</v>
          </cell>
          <cell r="G180" t="str">
            <v>UK</v>
          </cell>
          <cell r="H180" t="str">
            <v xml:space="preserve"> / Aa3u / AA-u</v>
          </cell>
          <cell r="I180" t="str">
            <v/>
          </cell>
          <cell r="J180">
            <v>3.0065507038469819E-2</v>
          </cell>
          <cell r="K180">
            <v>3.2501083733104362E-2</v>
          </cell>
          <cell r="L180">
            <v>3.3596359364933576E-2</v>
          </cell>
          <cell r="M180">
            <v>3.5387916389492659E-2</v>
          </cell>
          <cell r="N180" t="str">
            <v/>
          </cell>
          <cell r="O180" t="str">
            <v/>
          </cell>
          <cell r="P180">
            <v>4.1586370548096436E-3</v>
          </cell>
          <cell r="Q180">
            <v>5.7068447556817897E-3</v>
          </cell>
          <cell r="R180">
            <v>7.2213522024792967E-3</v>
          </cell>
          <cell r="AC180" t="str">
            <v>GB00BDRHNP05</v>
          </cell>
          <cell r="AD180" t="str">
            <v>UKT 1 1/4 07/22/27</v>
          </cell>
          <cell r="AE180" t="str">
            <v xml:space="preserve"> </v>
          </cell>
          <cell r="AF180">
            <v>2.2899637003477302E-2</v>
          </cell>
          <cell r="AG180">
            <v>9.6014467296270598E-3</v>
          </cell>
          <cell r="AH180">
            <v>3.3137323551717258E-2</v>
          </cell>
          <cell r="AI180">
            <v>1.0998410231126805E-2</v>
          </cell>
        </row>
        <row r="181">
          <cell r="E181" t="str">
            <v>Hellenic Republic</v>
          </cell>
          <cell r="F181" t="str">
            <v>Sr Unsecured</v>
          </cell>
          <cell r="G181" t="str">
            <v>Greece</v>
          </cell>
          <cell r="H181" t="str">
            <v>BB+ / Ba3 / BB+</v>
          </cell>
          <cell r="I181" t="str">
            <v/>
          </cell>
          <cell r="J181">
            <v>3.598195059174833E-2</v>
          </cell>
          <cell r="K181">
            <v>4.1763427888032001E-2</v>
          </cell>
          <cell r="L181">
            <v>4.6584221317146166E-2</v>
          </cell>
          <cell r="M181">
            <v>4.9785525192241942E-2</v>
          </cell>
          <cell r="N181" t="str">
            <v/>
          </cell>
          <cell r="O181">
            <v>5.9095066505604346E-3</v>
          </cell>
          <cell r="P181">
            <v>1.3452455079768492E-2</v>
          </cell>
          <cell r="Q181">
            <v>1.8783437357323053E-2</v>
          </cell>
          <cell r="R181">
            <v>2.1803443675870535E-2</v>
          </cell>
          <cell r="AC181" t="str">
            <v>GR0118020685</v>
          </cell>
          <cell r="AD181" t="str">
            <v>GGB 2 04/22/27</v>
          </cell>
          <cell r="AE181" t="str">
            <v xml:space="preserve"> </v>
          </cell>
          <cell r="AF181">
            <v>3.2299109999999999E-2</v>
          </cell>
          <cell r="AG181">
            <v>9.464317888032002E-3</v>
          </cell>
          <cell r="AH181">
            <v>4.2705848080191865E-2</v>
          </cell>
          <cell r="AI181">
            <v>1.0806226591017203E-2</v>
          </cell>
        </row>
        <row r="182">
          <cell r="E182" t="str">
            <v>Kingdom of Spain</v>
          </cell>
          <cell r="F182" t="str">
            <v>Sr Unsecured</v>
          </cell>
          <cell r="G182" t="str">
            <v>Spain</v>
          </cell>
          <cell r="H182" t="str">
            <v xml:space="preserve"> /  / </v>
          </cell>
          <cell r="I182" t="str">
            <v/>
          </cell>
          <cell r="J182">
            <v>3.1520775127638394E-2</v>
          </cell>
          <cell r="K182">
            <v>3.5223090173652556E-2</v>
          </cell>
          <cell r="L182">
            <v>3.6973947947221988E-2</v>
          </cell>
          <cell r="M182">
            <v>3.98414082739467E-2</v>
          </cell>
          <cell r="N182" t="str">
            <v/>
          </cell>
          <cell r="O182">
            <v>1.4466765315789172E-3</v>
          </cell>
          <cell r="P182">
            <v>6.8971659760960506E-3</v>
          </cell>
          <cell r="Q182">
            <v>9.1254053770417169E-3</v>
          </cell>
          <cell r="R182">
            <v>1.1766239207238145E-2</v>
          </cell>
          <cell r="AC182" t="str">
            <v>ES0000012J15</v>
          </cell>
          <cell r="AD182" t="str">
            <v>SPGB 0 01/31/27</v>
          </cell>
          <cell r="AE182" t="str">
            <v xml:space="preserve"> </v>
          </cell>
          <cell r="AF182">
            <v>2.8742090000000001E-2</v>
          </cell>
          <cell r="AG182">
            <v>6.4810001736525548E-3</v>
          </cell>
          <cell r="AH182">
            <v>3.9430712703040036E-2</v>
          </cell>
          <cell r="AI182">
            <v>7.4555261215520363E-3</v>
          </cell>
        </row>
        <row r="183">
          <cell r="E183" t="str">
            <v>French Republic</v>
          </cell>
          <cell r="F183" t="str">
            <v>Unsecured</v>
          </cell>
          <cell r="G183" t="str">
            <v>France</v>
          </cell>
          <cell r="H183" t="str">
            <v xml:space="preserve"> /  / AAu</v>
          </cell>
          <cell r="I183" t="str">
            <v/>
          </cell>
          <cell r="J183">
            <v>3.0223854721679374E-2</v>
          </cell>
          <cell r="K183">
            <v>3.2904033427843954E-2</v>
          </cell>
          <cell r="L183">
            <v>3.4403453460577292E-2</v>
          </cell>
          <cell r="M183">
            <v>3.6087077346117755E-2</v>
          </cell>
          <cell r="N183" t="str">
            <v/>
          </cell>
          <cell r="O183">
            <v>1.4668424171061269E-4</v>
          </cell>
          <cell r="P183">
            <v>4.5639352217941506E-3</v>
          </cell>
          <cell r="Q183">
            <v>6.5265935357651404E-3</v>
          </cell>
          <cell r="R183">
            <v>7.9376156240626265E-3</v>
          </cell>
          <cell r="AC183" t="str">
            <v>FR001400AIN5</v>
          </cell>
          <cell r="AD183" t="str">
            <v>FRTR 0 3/4 02/25/28</v>
          </cell>
          <cell r="AE183" t="str">
            <v xml:space="preserve"> </v>
          </cell>
          <cell r="AF183">
            <v>2.5968869999999998E-2</v>
          </cell>
          <cell r="AG183">
            <v>6.9351634278439558E-3</v>
          </cell>
          <cell r="AH183">
            <v>3.6022651580431539E-2</v>
          </cell>
          <cell r="AI183">
            <v>8.5220124970765421E-3</v>
          </cell>
        </row>
        <row r="184">
          <cell r="E184" t="str">
            <v>Portuguese Republic</v>
          </cell>
          <cell r="F184" t="str">
            <v>Sr Unsecured</v>
          </cell>
          <cell r="G184" t="str">
            <v>Portugal</v>
          </cell>
          <cell r="H184" t="str">
            <v xml:space="preserve"> /  / </v>
          </cell>
          <cell r="I184" t="str">
            <v/>
          </cell>
          <cell r="J184">
            <v>3.1522010343400374E-2</v>
          </cell>
          <cell r="K184">
            <v>3.5223374465003315E-2</v>
          </cell>
          <cell r="L184">
            <v>3.764936435919819E-2</v>
          </cell>
          <cell r="M184">
            <v>3.9558427727363205E-2</v>
          </cell>
          <cell r="N184" t="str">
            <v/>
          </cell>
          <cell r="O184">
            <v>1.4482231251167791E-3</v>
          </cell>
          <cell r="P184">
            <v>6.8972408166224379E-3</v>
          </cell>
          <cell r="Q184">
            <v>9.8093905086832252E-3</v>
          </cell>
          <cell r="R184">
            <v>1.147667169361322E-2</v>
          </cell>
          <cell r="AC184" t="str">
            <v>PTOTEMOE0035</v>
          </cell>
          <cell r="AD184" t="str">
            <v>PGB 0.7 10/15/27</v>
          </cell>
          <cell r="AE184" t="str">
            <v xml:space="preserve"> </v>
          </cell>
          <cell r="AF184">
            <v>2.705171E-2</v>
          </cell>
          <cell r="AG184">
            <v>8.1716644650033157E-3</v>
          </cell>
          <cell r="AH184">
            <v>3.7242309948746395E-2</v>
          </cell>
          <cell r="AI184">
            <v>9.6425717506878825E-3</v>
          </cell>
        </row>
        <row r="186">
          <cell r="E186" t="str">
            <v>EM</v>
          </cell>
        </row>
        <row r="187">
          <cell r="E187" t="str">
            <v>Legal Entity / Index</v>
          </cell>
          <cell r="F187" t="str">
            <v>Rank</v>
          </cell>
          <cell r="G187" t="str">
            <v>Country of Risk</v>
          </cell>
          <cell r="H187" t="str">
            <v>Rating (S/M/F)</v>
          </cell>
          <cell r="I187" t="str">
            <v>1Y</v>
          </cell>
          <cell r="J187" t="str">
            <v>3Y</v>
          </cell>
          <cell r="K187" t="str">
            <v>5Y</v>
          </cell>
          <cell r="L187" t="str">
            <v>7Y</v>
          </cell>
          <cell r="M187" t="str">
            <v>10Y</v>
          </cell>
          <cell r="N187" t="str">
            <v>1Y</v>
          </cell>
          <cell r="O187" t="str">
            <v>3Y</v>
          </cell>
          <cell r="P187" t="str">
            <v>5Y</v>
          </cell>
          <cell r="Q187" t="str">
            <v>7Y</v>
          </cell>
          <cell r="R187" t="str">
            <v>10Y</v>
          </cell>
          <cell r="AC187" t="str">
            <v>ISIN</v>
          </cell>
          <cell r="AD187" t="str">
            <v>Benchmark Bond</v>
          </cell>
          <cell r="AE187" t="str">
            <v>Next Call Date</v>
          </cell>
          <cell r="AF187" t="str">
            <v>EUR Yield</v>
          </cell>
          <cell r="AG187" t="str">
            <v>5Y CLN vs benchmark</v>
          </cell>
          <cell r="AH187" t="str">
            <v>USD Yield</v>
          </cell>
          <cell r="AI187" t="str">
            <v>5Y CLN vs benchmark</v>
          </cell>
        </row>
        <row r="188">
          <cell r="E188" t="str">
            <v>CDX.EM</v>
          </cell>
          <cell r="I188" t="str">
            <v/>
          </cell>
          <cell r="J188">
            <v>4.9894711034472565E-2</v>
          </cell>
          <cell r="K188">
            <v>5.2584332567221809E-2</v>
          </cell>
          <cell r="L188" t="str">
            <v/>
          </cell>
          <cell r="M188" t="str">
            <v/>
          </cell>
          <cell r="N188" t="str">
            <v/>
          </cell>
          <cell r="O188">
            <v>1.9809853041392836E-2</v>
          </cell>
          <cell r="P188">
            <v>2.4262403874408603E-2</v>
          </cell>
          <cell r="Q188" t="str">
            <v/>
          </cell>
          <cell r="R188" t="str">
            <v/>
          </cell>
        </row>
        <row r="189">
          <cell r="E189" t="str">
            <v>Abu Dhabi</v>
          </cell>
          <cell r="F189" t="str">
            <v>Unsecured</v>
          </cell>
          <cell r="G189" t="str">
            <v>UAE</v>
          </cell>
          <cell r="H189" t="str">
            <v xml:space="preserve"> /  / </v>
          </cell>
          <cell r="I189" t="str">
            <v/>
          </cell>
          <cell r="J189">
            <v>3.1972643229357667E-2</v>
          </cell>
          <cell r="K189">
            <v>3.5281919254081917E-2</v>
          </cell>
          <cell r="L189" t="str">
            <v/>
          </cell>
          <cell r="M189" t="str">
            <v/>
          </cell>
          <cell r="N189" t="str">
            <v/>
          </cell>
          <cell r="O189">
            <v>1.9012358191180831E-3</v>
          </cell>
          <cell r="P189">
            <v>6.960027791564764E-3</v>
          </cell>
          <cell r="Q189" t="str">
            <v/>
          </cell>
          <cell r="R189" t="str">
            <v/>
          </cell>
          <cell r="AC189" t="str">
            <v>AED01089C228</v>
          </cell>
          <cell r="AD189" t="str">
            <v>UAEGB 3.65 09/14/27</v>
          </cell>
          <cell r="AE189" t="str">
            <v xml:space="preserve"> </v>
          </cell>
          <cell r="AF189">
            <v>2.608703362469628E-2</v>
          </cell>
          <cell r="AG189">
            <v>9.1948856293856372E-3</v>
          </cell>
          <cell r="AH189">
            <v>3.6258541184096056E-2</v>
          </cell>
          <cell r="AI189">
            <v>1.0533115207047958E-2</v>
          </cell>
        </row>
        <row r="190">
          <cell r="E190" t="str">
            <v>Kingdom of Saudi Arabia</v>
          </cell>
          <cell r="F190" t="str">
            <v>Sr Unsecured</v>
          </cell>
          <cell r="G190" t="str">
            <v>Saudi Arabia</v>
          </cell>
          <cell r="H190" t="str">
            <v>A / A2 / A-</v>
          </cell>
          <cell r="I190" t="str">
            <v/>
          </cell>
          <cell r="J190">
            <v>3.3339656023361045E-2</v>
          </cell>
          <cell r="K190">
            <v>3.6937703292783647E-2</v>
          </cell>
          <cell r="L190" t="str">
            <v/>
          </cell>
          <cell r="M190" t="str">
            <v/>
          </cell>
          <cell r="N190" t="str">
            <v/>
          </cell>
          <cell r="O190">
            <v>3.27065386125008E-3</v>
          </cell>
          <cell r="P190">
            <v>8.624178752784057E-3</v>
          </cell>
          <cell r="Q190" t="str">
            <v/>
          </cell>
          <cell r="R190" t="str">
            <v/>
          </cell>
          <cell r="AC190" t="str">
            <v>US168863CF36</v>
          </cell>
          <cell r="AD190" t="str">
            <v>CHILE 3.24 02/06/28</v>
          </cell>
          <cell r="AE190">
            <v>46697</v>
          </cell>
          <cell r="AF190">
            <v>3.2891240286061947E-2</v>
          </cell>
          <cell r="AG190">
            <v>4.0464630067216997E-3</v>
          </cell>
          <cell r="AH190">
            <v>4.3040510000000004E-2</v>
          </cell>
          <cell r="AI190">
            <v>5.6072498820557704E-3</v>
          </cell>
        </row>
        <row r="191">
          <cell r="E191" t="str">
            <v>State of Qatar</v>
          </cell>
          <cell r="F191" t="str">
            <v>Sr Unsecured</v>
          </cell>
          <cell r="G191" t="str">
            <v>Qatar</v>
          </cell>
          <cell r="H191" t="str">
            <v>AA / Aa3 / AA-</v>
          </cell>
          <cell r="I191" t="str">
            <v/>
          </cell>
          <cell r="J191">
            <v>3.2151119544516597E-2</v>
          </cell>
          <cell r="K191">
            <v>3.5462312531097849E-2</v>
          </cell>
          <cell r="L191" t="str">
            <v/>
          </cell>
          <cell r="M191" t="str">
            <v/>
          </cell>
          <cell r="N191" t="str">
            <v/>
          </cell>
          <cell r="O191">
            <v>2.0806323517270227E-3</v>
          </cell>
          <cell r="P191">
            <v>7.1411044344135447E-3</v>
          </cell>
          <cell r="Q191" t="str">
            <v/>
          </cell>
          <cell r="R191" t="str">
            <v/>
          </cell>
          <cell r="AC191" t="str">
            <v>XS1807174393</v>
          </cell>
          <cell r="AD191" t="str">
            <v>QATAR 4 1/2 04/23/28</v>
          </cell>
          <cell r="AE191" t="str">
            <v xml:space="preserve"> </v>
          </cell>
          <cell r="AF191">
            <v>2.9992289060806622E-2</v>
          </cell>
          <cell r="AG191">
            <v>5.470023470291227E-3</v>
          </cell>
          <cell r="AH191">
            <v>3.9960120000000002E-2</v>
          </cell>
          <cell r="AI191">
            <v>7.0319104209994737E-3</v>
          </cell>
        </row>
        <row r="192">
          <cell r="E192" t="str">
            <v>Republic of South Africa</v>
          </cell>
          <cell r="F192" t="str">
            <v>Sr Unsecured</v>
          </cell>
          <cell r="G192" t="str">
            <v>South Africa</v>
          </cell>
          <cell r="H192" t="str">
            <v xml:space="preserve"> / Ba2 / BB-</v>
          </cell>
          <cell r="I192" t="str">
            <v/>
          </cell>
          <cell r="J192">
            <v>4.5506075124673237E-2</v>
          </cell>
          <cell r="K192">
            <v>5.4839705027055236E-2</v>
          </cell>
          <cell r="L192" t="str">
            <v/>
          </cell>
          <cell r="M192" t="str">
            <v/>
          </cell>
          <cell r="N192" t="str">
            <v/>
          </cell>
          <cell r="O192">
            <v>1.5421258177297342E-2</v>
          </cell>
          <cell r="P192">
            <v>2.650354346901183E-2</v>
          </cell>
          <cell r="Q192" t="str">
            <v/>
          </cell>
          <cell r="R192" t="str">
            <v/>
          </cell>
          <cell r="AC192" t="str">
            <v>US836205AW44</v>
          </cell>
          <cell r="AD192" t="str">
            <v>SOAF 4.85 09/27/27</v>
          </cell>
          <cell r="AE192" t="str">
            <v xml:space="preserve"> </v>
          </cell>
          <cell r="AF192">
            <v>4.5289338231391189E-2</v>
          </cell>
          <cell r="AG192">
            <v>9.5503667956640462E-3</v>
          </cell>
          <cell r="AH192">
            <v>5.6148240000000002E-2</v>
          </cell>
          <cell r="AI192">
            <v>1.2514493935822227E-2</v>
          </cell>
        </row>
        <row r="193">
          <cell r="E193" t="str">
            <v>United Mexican States</v>
          </cell>
          <cell r="F193" t="str">
            <v>Sr Unsecured</v>
          </cell>
          <cell r="G193" t="str">
            <v>Mexico</v>
          </cell>
          <cell r="H193" t="str">
            <v>BBB / Baa2 / BBB-</v>
          </cell>
          <cell r="I193" t="str">
            <v/>
          </cell>
          <cell r="J193">
            <v>3.5233735499642559E-2</v>
          </cell>
          <cell r="K193">
            <v>4.1829300258589185E-2</v>
          </cell>
          <cell r="L193" t="str">
            <v/>
          </cell>
          <cell r="M193" t="str">
            <v/>
          </cell>
          <cell r="N193" t="str">
            <v/>
          </cell>
          <cell r="O193">
            <v>5.1641147233243805E-3</v>
          </cell>
          <cell r="P193">
            <v>1.3528663035108612E-2</v>
          </cell>
          <cell r="Q193" t="str">
            <v/>
          </cell>
          <cell r="R193" t="str">
            <v/>
          </cell>
          <cell r="AC193" t="str">
            <v>US91087BAE02</v>
          </cell>
          <cell r="AD193" t="str">
            <v>MEX 3 3/4 01/11/28</v>
          </cell>
          <cell r="AE193" t="str">
            <v xml:space="preserve"> </v>
          </cell>
          <cell r="AF193">
            <v>3.5592832505638564E-2</v>
          </cell>
          <cell r="AG193">
            <v>6.236467752950621E-3</v>
          </cell>
          <cell r="AH193">
            <v>4.591953E-2</v>
          </cell>
          <cell r="AI193">
            <v>8.147546037112284E-3</v>
          </cell>
        </row>
        <row r="194">
          <cell r="E194" t="str">
            <v>Federative Republic of Brazil</v>
          </cell>
          <cell r="F194" t="str">
            <v>Sr Unsecured</v>
          </cell>
          <cell r="G194" t="str">
            <v>Brazil</v>
          </cell>
          <cell r="H194" t="str">
            <v>BB- /  / BB-</v>
          </cell>
          <cell r="I194" t="str">
            <v/>
          </cell>
          <cell r="J194">
            <v>4.1505735946033635E-2</v>
          </cell>
          <cell r="K194">
            <v>5.2063181994017667E-2</v>
          </cell>
          <cell r="L194" t="str">
            <v/>
          </cell>
          <cell r="M194" t="str">
            <v/>
          </cell>
          <cell r="N194" t="str">
            <v/>
          </cell>
          <cell r="O194">
            <v>1.1428673740770414E-2</v>
          </cell>
          <cell r="P194">
            <v>2.3742544081196918E-2</v>
          </cell>
          <cell r="Q194" t="str">
            <v/>
          </cell>
          <cell r="R194" t="str">
            <v/>
          </cell>
          <cell r="AC194" t="str">
            <v>US105756BZ27</v>
          </cell>
          <cell r="AD194" t="str">
            <v>BRAZIL 4 5/8 01/13/28</v>
          </cell>
          <cell r="AE194">
            <v>46673</v>
          </cell>
          <cell r="AF194">
            <v>4.0385475878052433E-2</v>
          </cell>
          <cell r="AG194">
            <v>1.1677706115965233E-2</v>
          </cell>
          <cell r="AH194">
            <v>5.0832189999999999E-2</v>
          </cell>
          <cell r="AI194">
            <v>1.4662095937886463E-2</v>
          </cell>
        </row>
        <row r="195">
          <cell r="E195" t="str">
            <v>Republic of Peru</v>
          </cell>
          <cell r="F195" t="str">
            <v>Sr Unsecured</v>
          </cell>
          <cell r="G195" t="str">
            <v>Peru</v>
          </cell>
          <cell r="H195" t="str">
            <v>BBB / Baa1 / BBB</v>
          </cell>
          <cell r="I195" t="str">
            <v/>
          </cell>
          <cell r="J195">
            <v>3.5113228114659167E-2</v>
          </cell>
          <cell r="K195">
            <v>4.1726029254281462E-2</v>
          </cell>
          <cell r="L195" t="str">
            <v/>
          </cell>
          <cell r="M195" t="str">
            <v/>
          </cell>
          <cell r="N195" t="str">
            <v/>
          </cell>
          <cell r="O195">
            <v>5.045253455672109E-3</v>
          </cell>
          <cell r="P195">
            <v>1.3425754580906611E-2</v>
          </cell>
          <cell r="Q195" t="str">
            <v/>
          </cell>
          <cell r="R195" t="str">
            <v/>
          </cell>
          <cell r="AC195" t="str">
            <v>US715638BU55</v>
          </cell>
          <cell r="AD195" t="str">
            <v>PERU 4 1/8 08/25/27</v>
          </cell>
          <cell r="AE195" t="str">
            <v xml:space="preserve"> </v>
          </cell>
          <cell r="AF195">
            <v>3.631228467255565E-2</v>
          </cell>
          <cell r="AG195">
            <v>5.4137445817258115E-3</v>
          </cell>
          <cell r="AH195">
            <v>4.6817960000000006E-2</v>
          </cell>
          <cell r="AI195">
            <v>7.1434671984452192E-3</v>
          </cell>
        </row>
        <row r="196">
          <cell r="E196" t="str">
            <v>Republic of Colombia</v>
          </cell>
          <cell r="F196" t="str">
            <v>Sr Unsecured</v>
          </cell>
          <cell r="G196" t="str">
            <v>Colombia</v>
          </cell>
          <cell r="H196" t="str">
            <v>BB+ / Baa2 / BB+</v>
          </cell>
          <cell r="I196" t="str">
            <v/>
          </cell>
          <cell r="J196">
            <v>4.4675828343551313E-2</v>
          </cell>
          <cell r="K196">
            <v>5.4803916724136544E-2</v>
          </cell>
          <cell r="L196" t="str">
            <v/>
          </cell>
          <cell r="M196" t="str">
            <v/>
          </cell>
          <cell r="N196" t="str">
            <v/>
          </cell>
          <cell r="O196">
            <v>1.4595218736340801E-2</v>
          </cell>
          <cell r="P196">
            <v>2.6470898598468594E-2</v>
          </cell>
          <cell r="Q196" t="str">
            <v/>
          </cell>
          <cell r="R196" t="str">
            <v/>
          </cell>
          <cell r="AC196" t="str">
            <v>US195325DL65</v>
          </cell>
          <cell r="AD196" t="str">
            <v>COLOM 3 7/8 04/25/27</v>
          </cell>
          <cell r="AE196">
            <v>46412</v>
          </cell>
          <cell r="AF196">
            <v>5.1178569343895919E-2</v>
          </cell>
          <cell r="AG196">
            <v>3.6253473802406247E-3</v>
          </cell>
          <cell r="AH196">
            <v>6.3347050000000002E-2</v>
          </cell>
          <cell r="AI196">
            <v>5.2605808168910279E-3</v>
          </cell>
        </row>
        <row r="197">
          <cell r="E197" t="str">
            <v>Republic of Chile</v>
          </cell>
          <cell r="F197" t="str">
            <v>Sr Unsecured</v>
          </cell>
          <cell r="G197" t="str">
            <v>Chile</v>
          </cell>
          <cell r="H197" t="str">
            <v>A / A2 / A-</v>
          </cell>
          <cell r="I197" t="str">
            <v/>
          </cell>
          <cell r="J197">
            <v>3.4120278036647189E-2</v>
          </cell>
          <cell r="K197">
            <v>4.0267712987624819E-2</v>
          </cell>
          <cell r="L197" t="str">
            <v/>
          </cell>
          <cell r="M197" t="str">
            <v/>
          </cell>
          <cell r="N197" t="str">
            <v/>
          </cell>
          <cell r="O197">
            <v>4.0503559243376293E-3</v>
          </cell>
          <cell r="P197">
            <v>1.1961885310600856E-2</v>
          </cell>
          <cell r="Q197" t="str">
            <v/>
          </cell>
          <cell r="R197" t="str">
            <v/>
          </cell>
          <cell r="AC197" t="str">
            <v>US168863CF36</v>
          </cell>
          <cell r="AD197" t="str">
            <v>CHILE 3.24 02/06/28</v>
          </cell>
          <cell r="AE197">
            <v>46697</v>
          </cell>
          <cell r="AF197">
            <v>3.2891240286061947E-2</v>
          </cell>
          <cell r="AG197">
            <v>7.3764727015628723E-3</v>
          </cell>
          <cell r="AH197">
            <v>4.3040510000000004E-2</v>
          </cell>
          <cell r="AI197">
            <v>9.2791756970383166E-3</v>
          </cell>
        </row>
        <row r="198">
          <cell r="E198" t="str">
            <v>Republic of Panama</v>
          </cell>
          <cell r="F198" t="str">
            <v>Sr Unsecured</v>
          </cell>
          <cell r="G198" t="str">
            <v>Panama</v>
          </cell>
          <cell r="H198" t="str">
            <v xml:space="preserve"> /  / </v>
          </cell>
          <cell r="I198" t="str">
            <v/>
          </cell>
          <cell r="J198">
            <v>3.5143998200049847E-2</v>
          </cell>
          <cell r="K198">
            <v>4.1737531078481466E-2</v>
          </cell>
          <cell r="L198" t="str">
            <v/>
          </cell>
          <cell r="M198" t="str">
            <v/>
          </cell>
          <cell r="N198" t="str">
            <v/>
          </cell>
          <cell r="O198">
            <v>5.0750132949429309E-3</v>
          </cell>
          <cell r="P198">
            <v>1.3436488157385693E-2</v>
          </cell>
          <cell r="Q198" t="str">
            <v/>
          </cell>
          <cell r="R198" t="str">
            <v/>
          </cell>
          <cell r="AC198" t="str">
            <v>PAL634445VA7</v>
          </cell>
          <cell r="AD198" t="str">
            <v>PANOTA 2.85 06/27/27</v>
          </cell>
          <cell r="AE198" t="str">
            <v xml:space="preserve"> </v>
          </cell>
          <cell r="AF198">
            <v>3.7199038199336433E-2</v>
          </cell>
          <cell r="AG198">
            <v>4.5384928791450327E-3</v>
          </cell>
          <cell r="AH198">
            <v>4.8103130000000001E-2</v>
          </cell>
          <cell r="AI198">
            <v>5.858853225516561E-3</v>
          </cell>
        </row>
        <row r="199">
          <cell r="E199" t="str">
            <v>Arab Republic of Egypt</v>
          </cell>
          <cell r="F199" t="str">
            <v>Sr Unsecured</v>
          </cell>
          <cell r="G199" t="str">
            <v>Arab Republic of Egypt</v>
          </cell>
          <cell r="H199" t="str">
            <v xml:space="preserve"> / B2 / B+</v>
          </cell>
          <cell r="I199" t="str">
            <v/>
          </cell>
          <cell r="J199">
            <v>9.7737596889808848E-2</v>
          </cell>
          <cell r="K199">
            <v>0.10708611972050981</v>
          </cell>
          <cell r="L199" t="str">
            <v/>
          </cell>
          <cell r="M199" t="str">
            <v/>
          </cell>
          <cell r="N199" t="str">
            <v/>
          </cell>
          <cell r="O199">
            <v>6.7496766810018441E-2</v>
          </cell>
          <cell r="P199">
            <v>7.846620683497732E-2</v>
          </cell>
          <cell r="Q199" t="str">
            <v/>
          </cell>
          <cell r="R199" t="str">
            <v/>
          </cell>
          <cell r="AC199" t="str">
            <v>XS1558078736</v>
          </cell>
          <cell r="AD199" t="str">
            <v>EGYPT 7 1/2 01/31/27</v>
          </cell>
          <cell r="AE199" t="str">
            <v xml:space="preserve"> </v>
          </cell>
          <cell r="AF199">
            <v>8.6847276510118976E-2</v>
          </cell>
          <cell r="AG199">
            <v>2.0238843210390836E-2</v>
          </cell>
          <cell r="AH199">
            <v>0.10187713999999999</v>
          </cell>
          <cell r="AI199">
            <v>2.5932709110864829E-2</v>
          </cell>
        </row>
        <row r="200">
          <cell r="E200" t="str">
            <v>State of Israel</v>
          </cell>
          <cell r="F200" t="str">
            <v>Sr Unsecured</v>
          </cell>
          <cell r="G200" t="str">
            <v>State of Israel</v>
          </cell>
          <cell r="H200" t="str">
            <v>AA- / A1 / A+</v>
          </cell>
          <cell r="I200" t="str">
            <v/>
          </cell>
          <cell r="J200">
            <v>3.1949993710202636E-2</v>
          </cell>
          <cell r="K200">
            <v>3.647312647437876E-2</v>
          </cell>
          <cell r="L200" t="str">
            <v/>
          </cell>
          <cell r="M200" t="str">
            <v/>
          </cell>
          <cell r="N200" t="str">
            <v/>
          </cell>
          <cell r="O200">
            <v>1.8796097851645848E-3</v>
          </cell>
          <cell r="P200">
            <v>8.1607025942866396E-3</v>
          </cell>
          <cell r="Q200" t="str">
            <v/>
          </cell>
          <cell r="R200" t="str">
            <v/>
          </cell>
          <cell r="AC200" t="str">
            <v>XS1551294256</v>
          </cell>
          <cell r="AD200" t="str">
            <v>ISRAEL 1 1/2 01/18/27</v>
          </cell>
          <cell r="AE200" t="str">
            <v xml:space="preserve"> </v>
          </cell>
          <cell r="AF200">
            <v>3.268865E-2</v>
          </cell>
          <cell r="AG200">
            <v>3.7844764743787604E-3</v>
          </cell>
          <cell r="AH200">
            <v>4.3301920674902489E-2</v>
          </cell>
          <cell r="AI200">
            <v>4.8047837281298272E-3</v>
          </cell>
        </row>
        <row r="201">
          <cell r="E201" t="str">
            <v>Kingdom of Bahrain</v>
          </cell>
          <cell r="F201" t="str">
            <v>Sr Unsecured</v>
          </cell>
          <cell r="G201" t="str">
            <v>Kingdom of Bahrain</v>
          </cell>
          <cell r="H201" t="str">
            <v>B+ /  / B+</v>
          </cell>
          <cell r="I201" t="str">
            <v/>
          </cell>
          <cell r="J201">
            <v>4.6676132667613182E-2</v>
          </cell>
          <cell r="K201">
            <v>5.198793090709785E-2</v>
          </cell>
          <cell r="L201" t="str">
            <v/>
          </cell>
          <cell r="M201" t="str">
            <v/>
          </cell>
          <cell r="N201" t="str">
            <v/>
          </cell>
          <cell r="O201">
            <v>1.6587307145307217E-2</v>
          </cell>
          <cell r="P201">
            <v>2.3657342473517879E-2</v>
          </cell>
          <cell r="Q201" t="str">
            <v/>
          </cell>
          <cell r="R201" t="str">
            <v/>
          </cell>
          <cell r="AC201" t="str">
            <v>XS2290956924</v>
          </cell>
          <cell r="AD201" t="str">
            <v>BHRAIN 4 1/4 01/25/28</v>
          </cell>
          <cell r="AE201" t="str">
            <v xml:space="preserve"> </v>
          </cell>
          <cell r="AF201">
            <v>4.4730441813503476E-2</v>
          </cell>
          <cell r="AG201">
            <v>7.2574890935943742E-3</v>
          </cell>
          <cell r="AH201">
            <v>5.5656530000000003E-2</v>
          </cell>
          <cell r="AI201">
            <v>9.9390724806055278E-3</v>
          </cell>
        </row>
        <row r="202">
          <cell r="E202" t="str">
            <v>Republic of Cote d'Ivoire</v>
          </cell>
          <cell r="F202" t="str">
            <v>Sr Unsecured</v>
          </cell>
          <cell r="G202" t="str">
            <v>Republic of Cote d'Ivoire</v>
          </cell>
          <cell r="H202" t="str">
            <v>BB- / Ba3 / BB-</v>
          </cell>
          <cell r="I202" t="str">
            <v/>
          </cell>
          <cell r="J202">
            <v>4.9390558488629499E-2</v>
          </cell>
          <cell r="K202">
            <v>5.6649841011194746E-2</v>
          </cell>
          <cell r="L202" t="str">
            <v/>
          </cell>
          <cell r="M202" t="str">
            <v/>
          </cell>
          <cell r="N202" t="str">
            <v/>
          </cell>
          <cell r="O202">
            <v>1.9300785198064219E-2</v>
          </cell>
          <cell r="P202">
            <v>2.8307835823574691E-2</v>
          </cell>
          <cell r="Q202" t="str">
            <v/>
          </cell>
          <cell r="R202" t="str">
            <v/>
          </cell>
          <cell r="AC202" t="str">
            <v>XS1196517434</v>
          </cell>
          <cell r="AD202" t="str">
            <v>IVYCST 6 3/8 03/03/28</v>
          </cell>
          <cell r="AE202" t="str">
            <v xml:space="preserve"> </v>
          </cell>
          <cell r="AF202">
            <v>5.7790805852653483E-2</v>
          </cell>
          <cell r="AG202">
            <v>-1.1409648414587373E-3</v>
          </cell>
          <cell r="AH202">
            <v>6.9333739999999991E-2</v>
          </cell>
          <cell r="AI202">
            <v>1.4482250884351316E-3</v>
          </cell>
        </row>
        <row r="203">
          <cell r="E203" t="str">
            <v>Republic of Turkey</v>
          </cell>
          <cell r="F203" t="str">
            <v>Sr Unsecured</v>
          </cell>
          <cell r="G203" t="str">
            <v>Republic of Turkey</v>
          </cell>
          <cell r="H203" t="str">
            <v xml:space="preserve"> / B3 / B</v>
          </cell>
          <cell r="I203" t="str">
            <v/>
          </cell>
          <cell r="J203">
            <v>7.5725455746542908E-2</v>
          </cell>
          <cell r="K203">
            <v>8.2462681330374918E-2</v>
          </cell>
          <cell r="L203" t="str">
            <v/>
          </cell>
          <cell r="M203" t="str">
            <v/>
          </cell>
          <cell r="N203" t="str">
            <v/>
          </cell>
          <cell r="O203">
            <v>4.5562350941697534E-2</v>
          </cell>
          <cell r="P203">
            <v>5.3982465550185328E-2</v>
          </cell>
          <cell r="Q203" t="str">
            <v/>
          </cell>
          <cell r="R203" t="str">
            <v/>
          </cell>
          <cell r="AC203" t="str">
            <v>US900123DF45</v>
          </cell>
          <cell r="AD203" t="str">
            <v>TURKEY 9 7/8 01/15/28</v>
          </cell>
          <cell r="AE203" t="str">
            <v xml:space="preserve"> </v>
          </cell>
          <cell r="AF203">
            <v>8.0872263509823392E-2</v>
          </cell>
          <cell r="AG203">
            <v>1.5904178205515263E-3</v>
          </cell>
          <cell r="AH203">
            <v>9.1128420000000002E-2</v>
          </cell>
          <cell r="AI203">
            <v>8.7546045991724053E-3</v>
          </cell>
        </row>
        <row r="204">
          <cell r="E204" t="str">
            <v>PETROLEO BRASILEIRO S/A PETROBRAS</v>
          </cell>
          <cell r="F204" t="str">
            <v>Sr Unsecured</v>
          </cell>
          <cell r="G204" t="str">
            <v>Brazil</v>
          </cell>
          <cell r="H204" t="str">
            <v>BB- / Ba1 / BB-</v>
          </cell>
          <cell r="I204" t="str">
            <v/>
          </cell>
          <cell r="J204">
            <v>4.6245184634660583E-2</v>
          </cell>
          <cell r="K204">
            <v>5.6437893802877219E-2</v>
          </cell>
          <cell r="L204" t="str">
            <v/>
          </cell>
          <cell r="M204" t="str">
            <v/>
          </cell>
          <cell r="N204" t="str">
            <v/>
          </cell>
          <cell r="O204">
            <v>1.6158532499296652E-2</v>
          </cell>
          <cell r="P204">
            <v>2.8094869503221886E-2</v>
          </cell>
          <cell r="Q204" t="str">
            <v/>
          </cell>
          <cell r="R204" t="str">
            <v/>
          </cell>
          <cell r="AC204" t="str">
            <v>US71647NAY58</v>
          </cell>
          <cell r="AD204" t="str">
            <v>PETBRA 5.999 01/27/28</v>
          </cell>
          <cell r="AE204" t="str">
            <v xml:space="preserve"> </v>
          </cell>
          <cell r="AF204">
            <v>4.7687302485671795E-2</v>
          </cell>
          <cell r="AG204">
            <v>8.7505913172054237E-3</v>
          </cell>
          <cell r="AH204">
            <v>5.8095179999999996E-2</v>
          </cell>
          <cell r="AI204">
            <v>1.2355477509539442E-2</v>
          </cell>
        </row>
        <row r="205">
          <cell r="E205" t="str">
            <v>Petroleos Mexicanos</v>
          </cell>
          <cell r="F205" t="str">
            <v>Sr Unsecured</v>
          </cell>
          <cell r="G205" t="str">
            <v>Mexico</v>
          </cell>
          <cell r="H205" t="str">
            <v>BBB / B1 / BB-u</v>
          </cell>
          <cell r="I205" t="str">
            <v/>
          </cell>
          <cell r="J205">
            <v>6.5346675782437746E-2</v>
          </cell>
          <cell r="K205">
            <v>7.5047039819852973E-2</v>
          </cell>
          <cell r="L205" t="str">
            <v/>
          </cell>
          <cell r="M205" t="str">
            <v/>
          </cell>
          <cell r="N205" t="str">
            <v/>
          </cell>
          <cell r="O205">
            <v>3.5204764621700406E-2</v>
          </cell>
          <cell r="P205">
            <v>4.6593628366130881E-2</v>
          </cell>
          <cell r="Q205" t="str">
            <v/>
          </cell>
          <cell r="R205" t="str">
            <v/>
          </cell>
          <cell r="AC205" t="str">
            <v>US71654QCG55</v>
          </cell>
          <cell r="AD205" t="str">
            <v>PEMEX 6 1/2 03/13/27</v>
          </cell>
          <cell r="AE205" t="str">
            <v xml:space="preserve"> </v>
          </cell>
          <cell r="AF205">
            <v>6.8441065373210458E-2</v>
          </cell>
          <cell r="AG205">
            <v>6.6059744466425152E-3</v>
          </cell>
          <cell r="AH205">
            <v>8.1201809999999999E-2</v>
          </cell>
          <cell r="AI205">
            <v>1.0246079027738095E-2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CE7A-2009-4AF1-BC43-FDB0B3240A62}">
  <sheetPr codeName="Sheet05">
    <tabColor theme="7" tint="0.39997558519241921"/>
  </sheetPr>
  <dimension ref="A2:AL328"/>
  <sheetViews>
    <sheetView showGridLines="0" topLeftCell="A291" zoomScale="85" zoomScaleNormal="85" workbookViewId="0">
      <selection activeCell="C326" sqref="C326"/>
    </sheetView>
  </sheetViews>
  <sheetFormatPr defaultRowHeight="14.5" x14ac:dyDescent="0.35"/>
  <cols>
    <col min="2" max="2" width="76" bestFit="1" customWidth="1"/>
    <col min="3" max="3" width="16.1796875" bestFit="1" customWidth="1"/>
    <col min="4" max="4" width="24" bestFit="1" customWidth="1"/>
    <col min="5" max="5" width="21" bestFit="1" customWidth="1"/>
    <col min="6" max="7" width="7.81640625" bestFit="1" customWidth="1"/>
    <col min="8" max="10" width="7.1796875" bestFit="1" customWidth="1"/>
    <col min="11" max="11" width="6.81640625" bestFit="1" customWidth="1"/>
    <col min="12" max="15" width="6.1796875" bestFit="1" customWidth="1"/>
    <col min="16" max="16" width="15.26953125" bestFit="1" customWidth="1"/>
    <col min="17" max="17" width="22.1796875" bestFit="1" customWidth="1"/>
    <col min="18" max="18" width="13.7265625" bestFit="1" customWidth="1"/>
    <col min="19" max="19" width="9.54296875" bestFit="1" customWidth="1"/>
    <col min="20" max="20" width="19.81640625" bestFit="1" customWidth="1"/>
    <col min="22" max="26" width="4.7265625" hidden="1" customWidth="1"/>
    <col min="27" max="27" width="0" hidden="1" customWidth="1"/>
    <col min="28" max="37" width="6.1796875" hidden="1" customWidth="1"/>
  </cols>
  <sheetData>
    <row r="2" spans="2:37" ht="15" thickBot="1" x14ac:dyDescent="0.4">
      <c r="C2" s="45" t="s">
        <v>9</v>
      </c>
      <c r="D2" s="45" t="s">
        <v>10</v>
      </c>
      <c r="E2" s="45" t="s">
        <v>11</v>
      </c>
      <c r="F2" s="45" t="s">
        <v>12</v>
      </c>
      <c r="G2" s="45" t="s">
        <v>13</v>
      </c>
    </row>
    <row r="3" spans="2:37" ht="17.5" thickBot="1" x14ac:dyDescent="0.45">
      <c r="B3" s="52" t="s">
        <v>220</v>
      </c>
      <c r="C3" s="46">
        <f>C4</f>
        <v>0.998</v>
      </c>
      <c r="D3" s="47">
        <f>D4</f>
        <v>0.99399999999999999</v>
      </c>
      <c r="E3" s="47">
        <f>E4</f>
        <v>0.99399999999999999</v>
      </c>
      <c r="F3" s="47">
        <f>F4</f>
        <v>0.99399999999999999</v>
      </c>
      <c r="G3" s="47">
        <f>G4</f>
        <v>0.99399999999999999</v>
      </c>
    </row>
    <row r="4" spans="2:37" x14ac:dyDescent="0.35">
      <c r="B4" t="s">
        <v>219</v>
      </c>
      <c r="C4" s="48">
        <v>0.998</v>
      </c>
      <c r="D4" s="48">
        <v>0.99399999999999999</v>
      </c>
      <c r="E4" s="132">
        <v>0.99399999999999999</v>
      </c>
      <c r="F4" s="132">
        <v>0.99399999999999999</v>
      </c>
      <c r="G4" s="132">
        <v>0.99399999999999999</v>
      </c>
    </row>
    <row r="8" spans="2:37" x14ac:dyDescent="0.35">
      <c r="F8" s="159" t="s">
        <v>222</v>
      </c>
      <c r="G8" s="160"/>
      <c r="H8" s="160"/>
      <c r="I8" s="160"/>
      <c r="J8" s="161"/>
      <c r="K8" s="159" t="s">
        <v>0</v>
      </c>
      <c r="L8" s="160"/>
      <c r="M8" s="160"/>
      <c r="N8" s="160"/>
      <c r="O8" s="161"/>
      <c r="AB8" s="159" t="s">
        <v>222</v>
      </c>
      <c r="AC8" s="160"/>
      <c r="AD8" s="160"/>
      <c r="AE8" s="160"/>
      <c r="AF8" s="161"/>
      <c r="AG8" s="159" t="str">
        <f>K8</f>
        <v>3mE +X, floored to 0, 30/360</v>
      </c>
      <c r="AH8" s="160"/>
      <c r="AI8" s="160"/>
      <c r="AJ8" s="160"/>
      <c r="AK8" s="161"/>
    </row>
    <row r="9" spans="2:37" x14ac:dyDescent="0.35">
      <c r="F9" s="156" t="s">
        <v>1</v>
      </c>
      <c r="G9" s="157"/>
      <c r="H9" s="157"/>
      <c r="I9" s="157"/>
      <c r="J9" s="158"/>
      <c r="K9" s="156" t="s">
        <v>2</v>
      </c>
      <c r="L9" s="157"/>
      <c r="M9" s="157"/>
      <c r="N9" s="157"/>
      <c r="O9" s="158"/>
      <c r="AB9" s="156" t="s">
        <v>1</v>
      </c>
      <c r="AC9" s="157"/>
      <c r="AD9" s="157"/>
      <c r="AE9" s="157"/>
      <c r="AF9" s="158"/>
      <c r="AG9" s="156" t="s">
        <v>2</v>
      </c>
      <c r="AH9" s="157"/>
      <c r="AI9" s="157"/>
      <c r="AJ9" s="157"/>
      <c r="AK9" s="158"/>
    </row>
    <row r="10" spans="2:37" ht="15.5" x14ac:dyDescent="0.35">
      <c r="B10" s="1" t="s">
        <v>3</v>
      </c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Q10" s="3"/>
      <c r="R10" s="3"/>
      <c r="S10" s="3"/>
      <c r="T10" s="3"/>
      <c r="V10" s="156" t="s">
        <v>4</v>
      </c>
      <c r="W10" s="157"/>
      <c r="X10" s="157"/>
      <c r="Y10" s="157"/>
      <c r="Z10" s="158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35">
      <c r="B11" s="4" t="s">
        <v>5</v>
      </c>
      <c r="C11" s="5" t="s">
        <v>6</v>
      </c>
      <c r="D11" s="5" t="s">
        <v>7</v>
      </c>
      <c r="E11" s="5" t="s">
        <v>8</v>
      </c>
      <c r="F11" s="6" t="s">
        <v>9</v>
      </c>
      <c r="G11" s="7" t="s">
        <v>10</v>
      </c>
      <c r="H11" s="7" t="s">
        <v>11</v>
      </c>
      <c r="I11" s="7" t="s">
        <v>12</v>
      </c>
      <c r="J11" s="8" t="s">
        <v>13</v>
      </c>
      <c r="K11" s="6" t="s">
        <v>9</v>
      </c>
      <c r="L11" s="7" t="s">
        <v>10</v>
      </c>
      <c r="M11" s="7" t="s">
        <v>11</v>
      </c>
      <c r="N11" s="7" t="s">
        <v>12</v>
      </c>
      <c r="O11" s="8" t="s">
        <v>13</v>
      </c>
      <c r="P11" s="9" t="s">
        <v>14</v>
      </c>
      <c r="Q11" s="10" t="s">
        <v>15</v>
      </c>
      <c r="R11" s="10" t="s">
        <v>16</v>
      </c>
      <c r="S11" s="10" t="s">
        <v>17</v>
      </c>
      <c r="T11" s="58" t="s">
        <v>18</v>
      </c>
      <c r="V11" s="110" t="s">
        <v>9</v>
      </c>
      <c r="W11" s="106" t="s">
        <v>10</v>
      </c>
      <c r="X11" s="106" t="s">
        <v>11</v>
      </c>
      <c r="Y11" s="106" t="s">
        <v>12</v>
      </c>
      <c r="Z11" s="111" t="s">
        <v>13</v>
      </c>
      <c r="AB11" s="51" t="s">
        <v>9</v>
      </c>
      <c r="AC11" s="50" t="s">
        <v>10</v>
      </c>
      <c r="AD11" s="50" t="s">
        <v>11</v>
      </c>
      <c r="AE11" s="50" t="s">
        <v>12</v>
      </c>
      <c r="AF11" s="49" t="s">
        <v>13</v>
      </c>
      <c r="AG11" s="51" t="s">
        <v>9</v>
      </c>
      <c r="AH11" s="50" t="s">
        <v>10</v>
      </c>
      <c r="AI11" s="50" t="s">
        <v>11</v>
      </c>
      <c r="AJ11" s="50" t="s">
        <v>12</v>
      </c>
      <c r="AK11" s="49" t="s">
        <v>13</v>
      </c>
    </row>
    <row r="12" spans="2:37" x14ac:dyDescent="0.35">
      <c r="B12" s="56" t="s">
        <v>19</v>
      </c>
      <c r="C12" s="124"/>
      <c r="D12" s="11" t="s">
        <v>20</v>
      </c>
      <c r="E12" s="124"/>
      <c r="F12" s="12" t="str">
        <f t="shared" ref="F12:J17" si="0">IF(ISNUMBER(AB12),AB12-((C$4-C$3)/V12),"")</f>
        <v/>
      </c>
      <c r="G12" s="13">
        <f t="shared" si="0"/>
        <v>3.424489608899816E-2</v>
      </c>
      <c r="H12" s="13">
        <f t="shared" si="0"/>
        <v>3.895428491018809E-2</v>
      </c>
      <c r="I12" s="13">
        <f t="shared" si="0"/>
        <v>4.2674501221198792E-2</v>
      </c>
      <c r="J12" s="14">
        <f t="shared" si="0"/>
        <v>4.6904874457599957E-2</v>
      </c>
      <c r="K12" s="89" t="str">
        <f t="shared" ref="K12:O17" si="1">IF(ISNUMBER(AG12),IF(AG12-((C$4-C$3)/V12)&lt;0,"",AG12-((C$4-C$3)/V12)),"")</f>
        <v/>
      </c>
      <c r="L12" s="87">
        <f t="shared" si="1"/>
        <v>5.8916176889981615E-3</v>
      </c>
      <c r="M12" s="87">
        <f t="shared" si="1"/>
        <v>9.9453497101880985E-3</v>
      </c>
      <c r="N12" s="87">
        <f t="shared" si="1"/>
        <v>1.28089914211988E-2</v>
      </c>
      <c r="O12" s="90">
        <f t="shared" si="1"/>
        <v>1.5692805257599963E-2</v>
      </c>
      <c r="P12" s="15"/>
      <c r="Q12" s="133"/>
      <c r="R12" s="133"/>
      <c r="S12" s="133"/>
      <c r="T12" s="16"/>
      <c r="V12" s="17">
        <v>1.14537234</v>
      </c>
      <c r="W12" s="18">
        <v>2.9309107700000001</v>
      </c>
      <c r="X12" s="18">
        <v>4.5363765699999998</v>
      </c>
      <c r="Y12" s="18">
        <v>5.93938612</v>
      </c>
      <c r="Z12" s="19">
        <v>7.7094838699999997</v>
      </c>
      <c r="AB12" s="75"/>
      <c r="AC12" s="80">
        <v>3.424489608899816E-2</v>
      </c>
      <c r="AD12" s="80">
        <v>3.895428491018809E-2</v>
      </c>
      <c r="AE12" s="80">
        <v>4.2674501221198792E-2</v>
      </c>
      <c r="AF12" s="62">
        <v>4.6904874457599957E-2</v>
      </c>
      <c r="AG12" s="75"/>
      <c r="AH12" s="80">
        <v>5.8916176889981615E-3</v>
      </c>
      <c r="AI12" s="80">
        <v>9.9453497101880985E-3</v>
      </c>
      <c r="AJ12" s="80">
        <v>1.28089914211988E-2</v>
      </c>
      <c r="AK12" s="62">
        <v>1.5692805257599963E-2</v>
      </c>
    </row>
    <row r="13" spans="2:37" x14ac:dyDescent="0.35">
      <c r="B13" s="55" t="s">
        <v>22</v>
      </c>
      <c r="C13" s="123"/>
      <c r="D13" s="20" t="s">
        <v>23</v>
      </c>
      <c r="E13" s="123"/>
      <c r="F13" s="21">
        <f t="shared" si="0"/>
        <v>2.6485333893802924E-2</v>
      </c>
      <c r="G13" s="22">
        <f t="shared" si="0"/>
        <v>3.5078539281531741E-2</v>
      </c>
      <c r="H13" s="22">
        <f t="shared" si="0"/>
        <v>4.0129744349967238E-2</v>
      </c>
      <c r="I13" s="22">
        <f t="shared" si="0"/>
        <v>4.3830755895334271E-2</v>
      </c>
      <c r="J13" s="23">
        <f t="shared" si="0"/>
        <v>4.8059408791847134E-2</v>
      </c>
      <c r="K13" s="86" t="str">
        <f t="shared" si="1"/>
        <v/>
      </c>
      <c r="L13" s="68">
        <f t="shared" si="1"/>
        <v>6.7093051815317458E-3</v>
      </c>
      <c r="M13" s="68">
        <f t="shared" si="1"/>
        <v>1.1093287349967243E-2</v>
      </c>
      <c r="N13" s="68">
        <f t="shared" si="1"/>
        <v>1.393957939533428E-2</v>
      </c>
      <c r="O13" s="91">
        <f t="shared" si="1"/>
        <v>1.6825376991847132E-2</v>
      </c>
      <c r="P13" s="24"/>
      <c r="Q13" s="25"/>
      <c r="R13" s="25"/>
      <c r="S13" s="25"/>
      <c r="T13" s="26"/>
      <c r="V13" s="27">
        <v>1.14995293</v>
      </c>
      <c r="W13" s="28">
        <v>2.9350245699999999</v>
      </c>
      <c r="X13" s="28">
        <v>4.5322431199999995</v>
      </c>
      <c r="Y13" s="28">
        <v>5.92442841</v>
      </c>
      <c r="Z13" s="29">
        <v>7.6763244800000008</v>
      </c>
      <c r="AB13" s="73">
        <v>2.6485333893802924E-2</v>
      </c>
      <c r="AC13" s="71">
        <v>3.5078539281531741E-2</v>
      </c>
      <c r="AD13" s="71">
        <v>4.0129744349967238E-2</v>
      </c>
      <c r="AE13" s="71">
        <v>4.3830755895334271E-2</v>
      </c>
      <c r="AF13" s="63">
        <v>4.8059408791847134E-2</v>
      </c>
      <c r="AG13" s="73" t="s">
        <v>21</v>
      </c>
      <c r="AH13" s="71">
        <v>6.7093051815317458E-3</v>
      </c>
      <c r="AI13" s="71">
        <v>1.1093287349967243E-2</v>
      </c>
      <c r="AJ13" s="71">
        <v>1.393957939533428E-2</v>
      </c>
      <c r="AK13" s="63">
        <v>1.6825376991847132E-2</v>
      </c>
    </row>
    <row r="14" spans="2:37" x14ac:dyDescent="0.35">
      <c r="B14" s="56" t="s">
        <v>24</v>
      </c>
      <c r="C14" s="124"/>
      <c r="D14" s="11" t="s">
        <v>20</v>
      </c>
      <c r="E14" s="124"/>
      <c r="F14" s="12">
        <f t="shared" si="0"/>
        <v>5.1894522488011345E-2</v>
      </c>
      <c r="G14" s="13">
        <f t="shared" si="0"/>
        <v>6.2232140448525375E-2</v>
      </c>
      <c r="H14" s="13">
        <f t="shared" si="0"/>
        <v>6.963024538853127E-2</v>
      </c>
      <c r="I14" s="13" t="str">
        <f t="shared" si="0"/>
        <v/>
      </c>
      <c r="J14" s="14" t="str">
        <f t="shared" si="0"/>
        <v/>
      </c>
      <c r="K14" s="89">
        <f t="shared" si="1"/>
        <v>2.3651646188011355E-2</v>
      </c>
      <c r="L14" s="87">
        <f t="shared" si="1"/>
        <v>3.2565666248525381E-2</v>
      </c>
      <c r="M14" s="87">
        <f t="shared" si="1"/>
        <v>3.9052500288531272E-2</v>
      </c>
      <c r="N14" s="87" t="str">
        <f t="shared" si="1"/>
        <v/>
      </c>
      <c r="O14" s="90" t="str">
        <f t="shared" si="1"/>
        <v/>
      </c>
      <c r="P14" s="15"/>
      <c r="Q14" s="133"/>
      <c r="R14" s="133"/>
      <c r="S14" s="133"/>
      <c r="T14" s="16"/>
      <c r="V14" s="17">
        <v>1.1070371000000001</v>
      </c>
      <c r="W14" s="18">
        <v>2.7138506600000003</v>
      </c>
      <c r="X14" s="18">
        <v>4.0348591000000003</v>
      </c>
      <c r="Y14" s="18">
        <v>5.1106176200000002</v>
      </c>
      <c r="Z14" s="19">
        <v>6.3756841499999997</v>
      </c>
      <c r="AB14" s="75">
        <v>5.1894522488011345E-2</v>
      </c>
      <c r="AC14" s="80">
        <v>6.2232140448525375E-2</v>
      </c>
      <c r="AD14" s="80">
        <v>6.963024538853127E-2</v>
      </c>
      <c r="AE14" s="80"/>
      <c r="AF14" s="62"/>
      <c r="AG14" s="75">
        <v>2.3651646188011355E-2</v>
      </c>
      <c r="AH14" s="80">
        <v>3.2565666248525381E-2</v>
      </c>
      <c r="AI14" s="80">
        <v>3.9052500288531272E-2</v>
      </c>
      <c r="AJ14" s="80"/>
      <c r="AK14" s="62"/>
    </row>
    <row r="15" spans="2:37" x14ac:dyDescent="0.35">
      <c r="B15" s="57" t="s">
        <v>25</v>
      </c>
      <c r="C15" s="125"/>
      <c r="D15" s="20" t="s">
        <v>23</v>
      </c>
      <c r="E15" s="125"/>
      <c r="F15" s="30">
        <f t="shared" si="0"/>
        <v>4.277501417878922E-2</v>
      </c>
      <c r="G15" s="31">
        <f t="shared" si="0"/>
        <v>3.830985955131723E-2</v>
      </c>
      <c r="H15" s="31">
        <f t="shared" si="0"/>
        <v>7.1578967354240838E-2</v>
      </c>
      <c r="I15" s="31">
        <f t="shared" si="0"/>
        <v>7.6502041803651111E-2</v>
      </c>
      <c r="J15" s="32">
        <f t="shared" si="0"/>
        <v>8.2152305097140513E-2</v>
      </c>
      <c r="K15" s="92">
        <f t="shared" si="1"/>
        <v>1.487690837878923E-2</v>
      </c>
      <c r="L15" s="88">
        <f t="shared" si="1"/>
        <v>9.8281966513172267E-3</v>
      </c>
      <c r="M15" s="88">
        <f t="shared" si="1"/>
        <v>4.0659108354240844E-2</v>
      </c>
      <c r="N15" s="88">
        <f t="shared" si="1"/>
        <v>4.4608913003651121E-2</v>
      </c>
      <c r="O15" s="93">
        <f t="shared" si="1"/>
        <v>4.8913828597140517E-2</v>
      </c>
      <c r="P15" s="33"/>
      <c r="Q15" s="134"/>
      <c r="R15" s="134"/>
      <c r="S15" s="134"/>
      <c r="T15" s="34"/>
      <c r="V15" s="27">
        <v>1.1382647399999999</v>
      </c>
      <c r="W15" s="28">
        <v>2.8955978</v>
      </c>
      <c r="X15" s="28">
        <v>4.1609666399999998</v>
      </c>
      <c r="Y15" s="28">
        <v>5.0925446700000006</v>
      </c>
      <c r="Z15" s="29">
        <v>6.0928467200000007</v>
      </c>
      <c r="AB15" s="74">
        <v>4.277501417878922E-2</v>
      </c>
      <c r="AC15" s="76">
        <v>3.830985955131723E-2</v>
      </c>
      <c r="AD15" s="76">
        <v>7.1578967354240838E-2</v>
      </c>
      <c r="AE15" s="76">
        <v>7.6502041803651111E-2</v>
      </c>
      <c r="AF15" s="64">
        <v>8.2152305097140513E-2</v>
      </c>
      <c r="AG15" s="74">
        <v>1.487690837878923E-2</v>
      </c>
      <c r="AH15" s="76">
        <v>9.8281966513172267E-3</v>
      </c>
      <c r="AI15" s="76">
        <v>4.0659108354240844E-2</v>
      </c>
      <c r="AJ15" s="76">
        <v>4.4608913003651121E-2</v>
      </c>
      <c r="AK15" s="64">
        <v>4.8913828597140517E-2</v>
      </c>
    </row>
    <row r="16" spans="2:37" x14ac:dyDescent="0.35">
      <c r="B16" s="55" t="s">
        <v>26</v>
      </c>
      <c r="C16" s="123"/>
      <c r="D16" s="11" t="s">
        <v>23</v>
      </c>
      <c r="E16" s="123"/>
      <c r="F16" s="21">
        <f t="shared" si="0"/>
        <v>2.6884536944637577E-2</v>
      </c>
      <c r="G16" s="22">
        <f t="shared" si="0"/>
        <v>3.542347500821847E-2</v>
      </c>
      <c r="H16" s="22">
        <f t="shared" si="0"/>
        <v>4.0833604092884862E-2</v>
      </c>
      <c r="I16" s="22" t="str">
        <f t="shared" si="0"/>
        <v/>
      </c>
      <c r="J16" s="23" t="str">
        <f t="shared" si="0"/>
        <v/>
      </c>
      <c r="K16" s="86" t="str">
        <f t="shared" si="1"/>
        <v/>
      </c>
      <c r="L16" s="68">
        <f t="shared" si="1"/>
        <v>7.0472721082184709E-3</v>
      </c>
      <c r="M16" s="68">
        <f t="shared" si="1"/>
        <v>1.1776222392884865E-2</v>
      </c>
      <c r="N16" s="68" t="str">
        <f t="shared" si="1"/>
        <v/>
      </c>
      <c r="O16" s="91" t="str">
        <f t="shared" si="1"/>
        <v/>
      </c>
      <c r="P16" s="24"/>
      <c r="Q16" s="25"/>
      <c r="R16" s="25"/>
      <c r="S16" s="25"/>
      <c r="T16" s="26"/>
      <c r="V16" s="17">
        <v>1.13832146</v>
      </c>
      <c r="W16" s="18">
        <v>2.8958785699999998</v>
      </c>
      <c r="X16" s="18">
        <v>4.48167647</v>
      </c>
      <c r="Y16" s="18">
        <v>5.8367488500000002</v>
      </c>
      <c r="Z16" s="19">
        <v>7.4919338</v>
      </c>
      <c r="AB16" s="73">
        <v>2.6884536944637577E-2</v>
      </c>
      <c r="AC16" s="71">
        <v>3.542347500821847E-2</v>
      </c>
      <c r="AD16" s="71">
        <v>4.0833604092884862E-2</v>
      </c>
      <c r="AE16" s="71"/>
      <c r="AF16" s="63"/>
      <c r="AG16" s="73" t="s">
        <v>21</v>
      </c>
      <c r="AH16" s="71">
        <v>7.0472721082184709E-3</v>
      </c>
      <c r="AI16" s="71">
        <v>1.1776222392884865E-2</v>
      </c>
      <c r="AJ16" s="71"/>
      <c r="AK16" s="63"/>
    </row>
    <row r="17" spans="2:37" x14ac:dyDescent="0.35">
      <c r="B17" s="57" t="s">
        <v>27</v>
      </c>
      <c r="C17" s="125"/>
      <c r="D17" s="35" t="s">
        <v>23</v>
      </c>
      <c r="E17" s="125"/>
      <c r="F17" s="30" t="str">
        <f t="shared" si="0"/>
        <v/>
      </c>
      <c r="G17" s="31">
        <f t="shared" si="0"/>
        <v>3.9157294280386112E-2</v>
      </c>
      <c r="H17" s="31">
        <f t="shared" si="0"/>
        <v>4.6678279601407004E-2</v>
      </c>
      <c r="I17" s="31" t="str">
        <f t="shared" si="0"/>
        <v/>
      </c>
      <c r="J17" s="32">
        <f t="shared" si="0"/>
        <v>6.2030249069294725E-2</v>
      </c>
      <c r="K17" s="92" t="str">
        <f t="shared" si="1"/>
        <v/>
      </c>
      <c r="L17" s="88">
        <f t="shared" si="1"/>
        <v>1.0698153580386123E-2</v>
      </c>
      <c r="M17" s="88">
        <f t="shared" si="1"/>
        <v>1.7468068401407012E-2</v>
      </c>
      <c r="N17" s="88" t="str">
        <f t="shared" si="1"/>
        <v/>
      </c>
      <c r="O17" s="93">
        <f t="shared" si="1"/>
        <v>3.0317369069294726E-2</v>
      </c>
      <c r="P17" s="33"/>
      <c r="Q17" s="134"/>
      <c r="R17" s="134"/>
      <c r="S17" s="134"/>
      <c r="T17" s="34"/>
      <c r="V17" s="36">
        <v>1.1334424900000002</v>
      </c>
      <c r="W17" s="37">
        <v>2.8717915199999999</v>
      </c>
      <c r="X17" s="37">
        <v>4.4276207100000002</v>
      </c>
      <c r="Y17" s="37">
        <v>5.7299585100000003</v>
      </c>
      <c r="Z17" s="38">
        <v>7.2727125099999999</v>
      </c>
      <c r="AB17" s="74"/>
      <c r="AC17" s="76">
        <v>3.9157294280386112E-2</v>
      </c>
      <c r="AD17" s="76">
        <v>4.6678279601407004E-2</v>
      </c>
      <c r="AE17" s="76"/>
      <c r="AF17" s="64">
        <v>6.2030249069294725E-2</v>
      </c>
      <c r="AG17" s="74"/>
      <c r="AH17" s="76">
        <v>1.0698153580386123E-2</v>
      </c>
      <c r="AI17" s="76">
        <v>1.7468068401407012E-2</v>
      </c>
      <c r="AJ17" s="76"/>
      <c r="AK17" s="64">
        <v>3.0317369069294726E-2</v>
      </c>
    </row>
    <row r="18" spans="2:37" x14ac:dyDescent="0.35">
      <c r="B18" s="53"/>
      <c r="C18" s="123"/>
      <c r="D18" s="123"/>
      <c r="E18" s="123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127"/>
      <c r="Q18" s="127"/>
      <c r="R18" s="127"/>
      <c r="S18" s="127"/>
      <c r="T18" s="127"/>
      <c r="V18" s="40"/>
      <c r="W18" s="40"/>
      <c r="X18" s="40"/>
      <c r="Y18" s="40"/>
      <c r="Z18" s="40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</row>
    <row r="19" spans="2:37" s="53" customFormat="1" ht="15.5" x14ac:dyDescent="0.35">
      <c r="B19" s="122" t="s">
        <v>225</v>
      </c>
      <c r="C19" s="123"/>
      <c r="D19" s="123"/>
      <c r="E19" s="123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Q19" s="126"/>
      <c r="R19" s="126"/>
      <c r="S19" s="126"/>
      <c r="T19" s="126"/>
      <c r="V19" s="156" t="s">
        <v>4</v>
      </c>
      <c r="W19" s="157"/>
      <c r="X19" s="157"/>
      <c r="Y19" s="157"/>
      <c r="Z19" s="158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</row>
    <row r="20" spans="2:37" s="53" customFormat="1" x14ac:dyDescent="0.35">
      <c r="B20" s="85" t="s">
        <v>5</v>
      </c>
      <c r="C20" s="84" t="s">
        <v>6</v>
      </c>
      <c r="D20" s="84" t="s">
        <v>7</v>
      </c>
      <c r="E20" s="84" t="s">
        <v>8</v>
      </c>
      <c r="F20" s="83" t="s">
        <v>9</v>
      </c>
      <c r="G20" s="82" t="s">
        <v>10</v>
      </c>
      <c r="H20" s="82" t="s">
        <v>11</v>
      </c>
      <c r="I20" s="82" t="s">
        <v>12</v>
      </c>
      <c r="J20" s="81" t="s">
        <v>13</v>
      </c>
      <c r="K20" s="83" t="s">
        <v>9</v>
      </c>
      <c r="L20" s="82" t="s">
        <v>10</v>
      </c>
      <c r="M20" s="82" t="s">
        <v>11</v>
      </c>
      <c r="N20" s="82" t="s">
        <v>12</v>
      </c>
      <c r="O20" s="81" t="s">
        <v>13</v>
      </c>
      <c r="P20" s="70" t="s">
        <v>14</v>
      </c>
      <c r="Q20" s="58" t="s">
        <v>15</v>
      </c>
      <c r="R20" s="58" t="s">
        <v>16</v>
      </c>
      <c r="S20" s="58" t="s">
        <v>17</v>
      </c>
      <c r="T20" s="58" t="s">
        <v>18</v>
      </c>
      <c r="V20" s="110" t="s">
        <v>9</v>
      </c>
      <c r="W20" s="106" t="s">
        <v>10</v>
      </c>
      <c r="X20" s="106" t="s">
        <v>11</v>
      </c>
      <c r="Y20" s="106" t="s">
        <v>12</v>
      </c>
      <c r="Z20" s="111" t="s">
        <v>13</v>
      </c>
      <c r="AB20" s="83" t="s">
        <v>9</v>
      </c>
      <c r="AC20" s="82" t="s">
        <v>10</v>
      </c>
      <c r="AD20" s="82" t="s">
        <v>11</v>
      </c>
      <c r="AE20" s="82" t="s">
        <v>12</v>
      </c>
      <c r="AF20" s="81" t="s">
        <v>13</v>
      </c>
      <c r="AG20" s="83" t="s">
        <v>9</v>
      </c>
      <c r="AH20" s="82" t="s">
        <v>10</v>
      </c>
      <c r="AI20" s="82" t="s">
        <v>11</v>
      </c>
      <c r="AJ20" s="82" t="s">
        <v>12</v>
      </c>
      <c r="AK20" s="81" t="s">
        <v>13</v>
      </c>
    </row>
    <row r="21" spans="2:37" s="53" customFormat="1" x14ac:dyDescent="0.35">
      <c r="B21" s="56" t="s">
        <v>19</v>
      </c>
      <c r="C21" s="124"/>
      <c r="D21" s="11" t="s">
        <v>20</v>
      </c>
      <c r="E21" s="124"/>
      <c r="F21" s="75" t="str">
        <f t="shared" ref="F21:J26" si="2">IF(ISNUMBER(AB21),AB21-((C$4-C$3)/V21),"")</f>
        <v/>
      </c>
      <c r="G21" s="80">
        <f t="shared" si="2"/>
        <v>3.7232987012807445E-2</v>
      </c>
      <c r="H21" s="80">
        <f t="shared" si="2"/>
        <v>4.2833538844632424E-2</v>
      </c>
      <c r="I21" s="80">
        <f t="shared" si="2"/>
        <v>4.7230569331573616E-2</v>
      </c>
      <c r="J21" s="62">
        <f t="shared" si="2"/>
        <v>5.1933880262405259E-2</v>
      </c>
      <c r="K21" s="89" t="str">
        <f t="shared" ref="K21:O26" si="3">IF(ISNUMBER(AG21),IF(AG21-((C$4-C$3)/V21)&lt;0,"",AG21-((C$4-C$3)/V21)),"")</f>
        <v/>
      </c>
      <c r="L21" s="87">
        <f t="shared" si="3"/>
        <v>8.8450034128074451E-3</v>
      </c>
      <c r="M21" s="87">
        <f t="shared" si="3"/>
        <v>1.3770747144632427E-2</v>
      </c>
      <c r="N21" s="87">
        <f t="shared" si="3"/>
        <v>1.7288807131573616E-2</v>
      </c>
      <c r="O21" s="90">
        <f t="shared" si="3"/>
        <v>2.0622667362405263E-2</v>
      </c>
      <c r="P21" s="15"/>
      <c r="Q21" s="133"/>
      <c r="R21" s="133"/>
      <c r="S21" s="133"/>
      <c r="T21" s="16"/>
      <c r="V21" s="17">
        <v>1.14537234</v>
      </c>
      <c r="W21" s="18">
        <v>2.9309107700000001</v>
      </c>
      <c r="X21" s="18">
        <v>4.5363765699999998</v>
      </c>
      <c r="Y21" s="18">
        <v>5.93938612</v>
      </c>
      <c r="Z21" s="19">
        <v>7.7094838699999997</v>
      </c>
      <c r="AB21" s="75"/>
      <c r="AC21" s="80">
        <v>3.7232987012807445E-2</v>
      </c>
      <c r="AD21" s="80">
        <v>4.2833538844632424E-2</v>
      </c>
      <c r="AE21" s="80">
        <v>4.7230569331573616E-2</v>
      </c>
      <c r="AF21" s="62">
        <v>5.1933880262405259E-2</v>
      </c>
      <c r="AG21" s="75"/>
      <c r="AH21" s="80">
        <v>8.8450034128074451E-3</v>
      </c>
      <c r="AI21" s="80">
        <v>1.3770747144632427E-2</v>
      </c>
      <c r="AJ21" s="80">
        <v>1.7288807131573616E-2</v>
      </c>
      <c r="AK21" s="62">
        <v>2.0622667362405263E-2</v>
      </c>
    </row>
    <row r="22" spans="2:37" s="53" customFormat="1" x14ac:dyDescent="0.35">
      <c r="B22" s="55" t="s">
        <v>22</v>
      </c>
      <c r="C22" s="123"/>
      <c r="D22" s="20" t="s">
        <v>23</v>
      </c>
      <c r="E22" s="123"/>
      <c r="F22" s="73">
        <f t="shared" si="2"/>
        <v>2.7569652243623028E-2</v>
      </c>
      <c r="G22" s="71">
        <f t="shared" si="2"/>
        <v>3.8209098555610319E-2</v>
      </c>
      <c r="H22" s="71">
        <f t="shared" si="2"/>
        <v>4.4285677463154288E-2</v>
      </c>
      <c r="I22" s="71">
        <f t="shared" si="2"/>
        <v>4.863906096412416E-2</v>
      </c>
      <c r="J22" s="63">
        <f t="shared" si="2"/>
        <v>5.3315987500878174E-2</v>
      </c>
      <c r="K22" s="86">
        <f t="shared" si="3"/>
        <v>2.2103594362303091E-4</v>
      </c>
      <c r="L22" s="68">
        <f t="shared" si="3"/>
        <v>9.8012298556103203E-3</v>
      </c>
      <c r="M22" s="68">
        <f t="shared" si="3"/>
        <v>1.5186182663154288E-2</v>
      </c>
      <c r="N22" s="68">
        <f t="shared" si="3"/>
        <v>1.8661681764124166E-2</v>
      </c>
      <c r="O22" s="91">
        <f t="shared" si="3"/>
        <v>2.1972387100878177E-2</v>
      </c>
      <c r="P22" s="24"/>
      <c r="Q22" s="25"/>
      <c r="R22" s="25"/>
      <c r="S22" s="25"/>
      <c r="T22" s="26"/>
      <c r="V22" s="27">
        <v>1.14995293</v>
      </c>
      <c r="W22" s="28">
        <v>2.9350245699999999</v>
      </c>
      <c r="X22" s="28">
        <v>4.5322431199999995</v>
      </c>
      <c r="Y22" s="28">
        <v>5.92442841</v>
      </c>
      <c r="Z22" s="29">
        <v>7.6763244800000008</v>
      </c>
      <c r="AB22" s="73">
        <v>2.7569652243623028E-2</v>
      </c>
      <c r="AC22" s="71">
        <v>3.8209098555610319E-2</v>
      </c>
      <c r="AD22" s="71">
        <v>4.4285677463154288E-2</v>
      </c>
      <c r="AE22" s="71">
        <v>4.863906096412416E-2</v>
      </c>
      <c r="AF22" s="63">
        <v>5.3315987500878174E-2</v>
      </c>
      <c r="AG22" s="73">
        <v>2.2103594362303091E-4</v>
      </c>
      <c r="AH22" s="71">
        <v>9.8012298556103203E-3</v>
      </c>
      <c r="AI22" s="71">
        <v>1.5186182663154288E-2</v>
      </c>
      <c r="AJ22" s="71">
        <v>1.8661681764124166E-2</v>
      </c>
      <c r="AK22" s="63">
        <v>2.1972387100878177E-2</v>
      </c>
    </row>
    <row r="23" spans="2:37" s="53" customFormat="1" x14ac:dyDescent="0.35">
      <c r="B23" s="56" t="s">
        <v>24</v>
      </c>
      <c r="C23" s="124"/>
      <c r="D23" s="11" t="s">
        <v>20</v>
      </c>
      <c r="E23" s="124"/>
      <c r="F23" s="75">
        <f t="shared" si="2"/>
        <v>5.8806889902238042E-2</v>
      </c>
      <c r="G23" s="80">
        <f t="shared" si="2"/>
        <v>7.0823164010304029E-2</v>
      </c>
      <c r="H23" s="80">
        <f>IF(ISNUMBER(AD23),AD23-((E$4-E$3)/X23),"")</f>
        <v>7.8955764103877127E-2</v>
      </c>
      <c r="I23" s="80" t="str">
        <f>IF(ISNUMBER(AE23),AE23-((F$4-F$3)/Y23),"")</f>
        <v/>
      </c>
      <c r="J23" s="62" t="str">
        <f>IF(ISNUMBER(AF23),AF23-((G$4-G$3)/Z23),"")</f>
        <v/>
      </c>
      <c r="K23" s="89">
        <f>IF(ISNUMBER(AG23),IF(AG23-((C$4-C$3)/V23)&lt;0,"",AG23-((C$4-C$3)/V23)),"")</f>
        <v>3.0284522002238041E-2</v>
      </c>
      <c r="L23" s="87">
        <f>IF(ISNUMBER(AH23),IF(AH23-((D$4-D$3)/W23)&lt;0,"",AH23-((D$4-D$3)/W23)),"")</f>
        <v>4.0768313910304027E-2</v>
      </c>
      <c r="M23" s="87">
        <f t="shared" si="3"/>
        <v>4.7899389703877124E-2</v>
      </c>
      <c r="N23" s="87" t="str">
        <f t="shared" si="3"/>
        <v/>
      </c>
      <c r="O23" s="90" t="str">
        <f t="shared" si="3"/>
        <v/>
      </c>
      <c r="P23" s="15"/>
      <c r="Q23" s="133"/>
      <c r="R23" s="133"/>
      <c r="S23" s="133"/>
      <c r="T23" s="16"/>
      <c r="V23" s="17">
        <v>1.1070371000000001</v>
      </c>
      <c r="W23" s="18">
        <v>2.7138506600000003</v>
      </c>
      <c r="X23" s="18">
        <v>4.0348591000000003</v>
      </c>
      <c r="Y23" s="18">
        <v>5.1106176200000002</v>
      </c>
      <c r="Z23" s="19">
        <v>6.3756841499999997</v>
      </c>
      <c r="AB23" s="75">
        <v>5.8806889902238042E-2</v>
      </c>
      <c r="AC23" s="80">
        <v>7.0823164010304029E-2</v>
      </c>
      <c r="AD23" s="80">
        <v>7.8955764103877127E-2</v>
      </c>
      <c r="AE23" s="80"/>
      <c r="AF23" s="62"/>
      <c r="AG23" s="75">
        <v>3.0284522002238041E-2</v>
      </c>
      <c r="AH23" s="80">
        <v>4.0768313910304027E-2</v>
      </c>
      <c r="AI23" s="80">
        <v>4.7899389703877124E-2</v>
      </c>
      <c r="AJ23" s="80"/>
      <c r="AK23" s="62"/>
    </row>
    <row r="24" spans="2:37" s="53" customFormat="1" x14ac:dyDescent="0.35">
      <c r="B24" s="57" t="s">
        <v>25</v>
      </c>
      <c r="C24" s="125"/>
      <c r="D24" s="20" t="s">
        <v>23</v>
      </c>
      <c r="E24" s="125"/>
      <c r="F24" s="74">
        <f t="shared" si="2"/>
        <v>4.941126300887512E-2</v>
      </c>
      <c r="G24" s="76">
        <f t="shared" si="2"/>
        <v>4.2108447103500639E-2</v>
      </c>
      <c r="H24" s="76">
        <f t="shared" si="2"/>
        <v>8.5327620485047787E-2</v>
      </c>
      <c r="I24" s="76">
        <f t="shared" si="2"/>
        <v>9.0171971720565403E-2</v>
      </c>
      <c r="J24" s="64">
        <f t="shared" si="2"/>
        <v>9.5074800061498502E-2</v>
      </c>
      <c r="K24" s="92">
        <f t="shared" si="3"/>
        <v>2.1260235408875127E-2</v>
      </c>
      <c r="L24" s="88">
        <f t="shared" si="3"/>
        <v>1.3548494703500641E-2</v>
      </c>
      <c r="M24" s="88">
        <f t="shared" si="3"/>
        <v>5.3510240085047782E-2</v>
      </c>
      <c r="N24" s="88">
        <f t="shared" si="3"/>
        <v>5.7312089920565419E-2</v>
      </c>
      <c r="O24" s="93">
        <f t="shared" si="3"/>
        <v>6.0837753061498495E-2</v>
      </c>
      <c r="P24" s="33"/>
      <c r="Q24" s="134"/>
      <c r="R24" s="134"/>
      <c r="S24" s="134"/>
      <c r="T24" s="34"/>
      <c r="V24" s="27">
        <v>1.1382647399999999</v>
      </c>
      <c r="W24" s="28">
        <v>2.8955978</v>
      </c>
      <c r="X24" s="28">
        <v>4.1609666399999998</v>
      </c>
      <c r="Y24" s="28">
        <v>5.0925446700000006</v>
      </c>
      <c r="Z24" s="29">
        <v>6.0928467200000007</v>
      </c>
      <c r="AB24" s="74">
        <v>4.941126300887512E-2</v>
      </c>
      <c r="AC24" s="76">
        <v>4.2108447103500639E-2</v>
      </c>
      <c r="AD24" s="76">
        <v>8.5327620485047787E-2</v>
      </c>
      <c r="AE24" s="76">
        <v>9.0171971720565403E-2</v>
      </c>
      <c r="AF24" s="64">
        <v>9.5074800061498502E-2</v>
      </c>
      <c r="AG24" s="74">
        <v>2.1260235408875127E-2</v>
      </c>
      <c r="AH24" s="76">
        <v>1.3548494703500641E-2</v>
      </c>
      <c r="AI24" s="76">
        <v>5.3510240085047782E-2</v>
      </c>
      <c r="AJ24" s="76">
        <v>5.7312089920565419E-2</v>
      </c>
      <c r="AK24" s="64">
        <v>6.0837753061498495E-2</v>
      </c>
    </row>
    <row r="25" spans="2:37" s="53" customFormat="1" x14ac:dyDescent="0.35">
      <c r="B25" s="55" t="s">
        <v>26</v>
      </c>
      <c r="C25" s="123"/>
      <c r="D25" s="11" t="s">
        <v>23</v>
      </c>
      <c r="E25" s="123"/>
      <c r="F25" s="73">
        <f t="shared" si="2"/>
        <v>2.8141930442421317E-2</v>
      </c>
      <c r="G25" s="71">
        <f t="shared" si="2"/>
        <v>3.8693013155574614E-2</v>
      </c>
      <c r="H25" s="71">
        <f t="shared" si="2"/>
        <v>4.5206046938193876E-2</v>
      </c>
      <c r="I25" s="71" t="str">
        <f t="shared" si="2"/>
        <v/>
      </c>
      <c r="J25" s="63" t="str">
        <f t="shared" si="2"/>
        <v/>
      </c>
      <c r="K25" s="86">
        <f t="shared" si="3"/>
        <v>7.7927334242132267E-4</v>
      </c>
      <c r="L25" s="68">
        <f t="shared" si="3"/>
        <v>1.0274811355574613E-2</v>
      </c>
      <c r="M25" s="68">
        <f t="shared" si="3"/>
        <v>1.6078253338193883E-2</v>
      </c>
      <c r="N25" s="68" t="str">
        <f t="shared" si="3"/>
        <v/>
      </c>
      <c r="O25" s="91" t="str">
        <f t="shared" si="3"/>
        <v/>
      </c>
      <c r="P25" s="24"/>
      <c r="Q25" s="25"/>
      <c r="R25" s="25"/>
      <c r="S25" s="25"/>
      <c r="T25" s="26"/>
      <c r="V25" s="17">
        <v>1.13832146</v>
      </c>
      <c r="W25" s="18">
        <v>2.8958785699999998</v>
      </c>
      <c r="X25" s="18">
        <v>4.48167647</v>
      </c>
      <c r="Y25" s="18">
        <v>5.8367488500000002</v>
      </c>
      <c r="Z25" s="19">
        <v>7.4919338</v>
      </c>
      <c r="AB25" s="73">
        <v>2.8141930442421317E-2</v>
      </c>
      <c r="AC25" s="71">
        <v>3.8693013155574614E-2</v>
      </c>
      <c r="AD25" s="71">
        <v>4.5206046938193876E-2</v>
      </c>
      <c r="AE25" s="71"/>
      <c r="AF25" s="63"/>
      <c r="AG25" s="73">
        <v>7.7927334242132267E-4</v>
      </c>
      <c r="AH25" s="71">
        <v>1.0274811355574613E-2</v>
      </c>
      <c r="AI25" s="71">
        <v>1.6078253338193883E-2</v>
      </c>
      <c r="AJ25" s="71"/>
      <c r="AK25" s="63"/>
    </row>
    <row r="26" spans="2:37" s="53" customFormat="1" x14ac:dyDescent="0.35">
      <c r="B26" s="57" t="s">
        <v>27</v>
      </c>
      <c r="C26" s="125"/>
      <c r="D26" s="35" t="s">
        <v>23</v>
      </c>
      <c r="E26" s="125"/>
      <c r="F26" s="74" t="str">
        <f t="shared" si="2"/>
        <v/>
      </c>
      <c r="G26" s="76">
        <f t="shared" si="2"/>
        <v>4.150506100063326E-2</v>
      </c>
      <c r="H26" s="76">
        <f t="shared" si="2"/>
        <v>4.9729747346793828E-2</v>
      </c>
      <c r="I26" s="76" t="str">
        <f t="shared" si="2"/>
        <v/>
      </c>
      <c r="J26" s="64">
        <f t="shared" si="2"/>
        <v>6.6379511356730467E-2</v>
      </c>
      <c r="K26" s="92" t="str">
        <f t="shared" si="3"/>
        <v/>
      </c>
      <c r="L26" s="88">
        <f t="shared" si="3"/>
        <v>1.3015334700633267E-2</v>
      </c>
      <c r="M26" s="88">
        <f t="shared" si="3"/>
        <v>2.0464555046793828E-2</v>
      </c>
      <c r="N26" s="88" t="str">
        <f t="shared" si="3"/>
        <v/>
      </c>
      <c r="O26" s="93">
        <f t="shared" si="3"/>
        <v>3.4531717856730475E-2</v>
      </c>
      <c r="P26" s="33"/>
      <c r="Q26" s="134"/>
      <c r="R26" s="134"/>
      <c r="S26" s="134"/>
      <c r="T26" s="34"/>
      <c r="V26" s="36">
        <v>1.1334424900000002</v>
      </c>
      <c r="W26" s="37">
        <v>2.8717915199999999</v>
      </c>
      <c r="X26" s="37">
        <v>4.4276207100000002</v>
      </c>
      <c r="Y26" s="37">
        <v>5.7299585100000003</v>
      </c>
      <c r="Z26" s="38">
        <v>7.2727125099999999</v>
      </c>
      <c r="AB26" s="74"/>
      <c r="AC26" s="76">
        <v>4.150506100063326E-2</v>
      </c>
      <c r="AD26" s="76">
        <v>4.9729747346793828E-2</v>
      </c>
      <c r="AE26" s="76"/>
      <c r="AF26" s="64">
        <v>6.6379511356730467E-2</v>
      </c>
      <c r="AG26" s="74"/>
      <c r="AH26" s="76">
        <v>1.3015334700633267E-2</v>
      </c>
      <c r="AI26" s="76">
        <v>2.0464555046793828E-2</v>
      </c>
      <c r="AJ26" s="76"/>
      <c r="AK26" s="64">
        <v>3.4531717856730475E-2</v>
      </c>
    </row>
    <row r="27" spans="2:37" s="53" customFormat="1" x14ac:dyDescent="0.35">
      <c r="C27" s="123"/>
      <c r="D27" s="123"/>
      <c r="E27" s="123"/>
      <c r="F27" s="60"/>
      <c r="G27" s="60"/>
      <c r="H27" s="60"/>
      <c r="I27" s="60"/>
      <c r="J27" s="60"/>
      <c r="K27" s="68"/>
      <c r="L27" s="68"/>
      <c r="M27" s="68"/>
      <c r="N27" s="68"/>
      <c r="O27" s="68"/>
      <c r="P27" s="127"/>
      <c r="Q27" s="127"/>
      <c r="R27" s="127"/>
      <c r="S27" s="127"/>
      <c r="T27" s="135"/>
      <c r="V27" s="40"/>
      <c r="W27" s="40"/>
      <c r="X27" s="40"/>
      <c r="Y27" s="40"/>
      <c r="Z27" s="40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</row>
    <row r="28" spans="2:37" ht="15.5" x14ac:dyDescent="0.35">
      <c r="B28" s="122" t="s">
        <v>28</v>
      </c>
      <c r="C28" s="123"/>
      <c r="D28" s="123"/>
      <c r="E28" s="123"/>
      <c r="F28" s="3"/>
      <c r="G28" s="3"/>
      <c r="H28" s="3"/>
      <c r="I28" s="3"/>
      <c r="J28" s="3"/>
      <c r="K28" s="3"/>
      <c r="L28" s="3"/>
      <c r="M28" s="3"/>
      <c r="N28" s="3"/>
      <c r="O28" s="3"/>
      <c r="P28" s="126"/>
      <c r="Q28" s="126"/>
      <c r="R28" s="126"/>
      <c r="S28" s="126"/>
      <c r="T28" s="126"/>
      <c r="V28" s="40"/>
      <c r="W28" s="40"/>
      <c r="X28" s="40"/>
      <c r="Y28" s="40"/>
      <c r="Z28" s="40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</row>
    <row r="29" spans="2:37" x14ac:dyDescent="0.35">
      <c r="B29" s="85" t="s">
        <v>5</v>
      </c>
      <c r="C29" s="84" t="s">
        <v>6</v>
      </c>
      <c r="D29" s="84" t="s">
        <v>7</v>
      </c>
      <c r="E29" s="84" t="s">
        <v>8</v>
      </c>
      <c r="F29" s="6" t="s">
        <v>9</v>
      </c>
      <c r="G29" s="7" t="s">
        <v>10</v>
      </c>
      <c r="H29" s="7" t="s">
        <v>11</v>
      </c>
      <c r="I29" s="7" t="s">
        <v>12</v>
      </c>
      <c r="J29" s="8" t="s">
        <v>13</v>
      </c>
      <c r="K29" s="6" t="s">
        <v>9</v>
      </c>
      <c r="L29" s="7" t="s">
        <v>10</v>
      </c>
      <c r="M29" s="7" t="s">
        <v>11</v>
      </c>
      <c r="N29" s="7" t="s">
        <v>12</v>
      </c>
      <c r="O29" s="8" t="s">
        <v>13</v>
      </c>
      <c r="P29" s="70" t="s">
        <v>14</v>
      </c>
      <c r="Q29" s="58" t="s">
        <v>15</v>
      </c>
      <c r="R29" s="58" t="s">
        <v>16</v>
      </c>
      <c r="S29" s="58" t="s">
        <v>17</v>
      </c>
      <c r="T29" s="58" t="s">
        <v>18</v>
      </c>
      <c r="V29" s="110" t="s">
        <v>9</v>
      </c>
      <c r="W29" s="106" t="s">
        <v>10</v>
      </c>
      <c r="X29" s="106" t="s">
        <v>11</v>
      </c>
      <c r="Y29" s="106" t="s">
        <v>12</v>
      </c>
      <c r="Z29" s="111" t="s">
        <v>13</v>
      </c>
      <c r="AB29" s="83" t="s">
        <v>9</v>
      </c>
      <c r="AC29" s="82" t="s">
        <v>10</v>
      </c>
      <c r="AD29" s="82" t="s">
        <v>11</v>
      </c>
      <c r="AE29" s="82" t="s">
        <v>12</v>
      </c>
      <c r="AF29" s="81" t="s">
        <v>13</v>
      </c>
      <c r="AG29" s="83" t="s">
        <v>9</v>
      </c>
      <c r="AH29" s="82" t="s">
        <v>10</v>
      </c>
      <c r="AI29" s="82" t="s">
        <v>11</v>
      </c>
      <c r="AJ29" s="82" t="s">
        <v>12</v>
      </c>
      <c r="AK29" s="81" t="s">
        <v>13</v>
      </c>
    </row>
    <row r="30" spans="2:37" x14ac:dyDescent="0.35">
      <c r="B30" s="79" t="s">
        <v>410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7"/>
      <c r="P30" s="79"/>
      <c r="Q30" s="78"/>
      <c r="R30" s="78"/>
      <c r="S30" s="78"/>
      <c r="T30" s="77"/>
      <c r="V30" s="112"/>
      <c r="W30" s="107"/>
      <c r="X30" s="107"/>
      <c r="Y30" s="107"/>
      <c r="Z30" s="113"/>
      <c r="AB30" s="78"/>
      <c r="AC30" s="78"/>
      <c r="AD30" s="78"/>
      <c r="AE30" s="78"/>
      <c r="AF30" s="78"/>
      <c r="AG30" s="78"/>
      <c r="AH30" s="78"/>
      <c r="AI30" s="78"/>
      <c r="AJ30" s="78"/>
      <c r="AK30" s="77"/>
    </row>
    <row r="31" spans="2:37" x14ac:dyDescent="0.35">
      <c r="B31" s="56" t="s">
        <v>29</v>
      </c>
      <c r="C31" s="53" t="s">
        <v>30</v>
      </c>
      <c r="D31" s="53" t="s">
        <v>31</v>
      </c>
      <c r="E31" s="53" t="s">
        <v>411</v>
      </c>
      <c r="F31" s="89">
        <f>IF(ISNUMBER(AB31),AB31-((C$4-C$3)/V31),"")</f>
        <v>2.4927689764436586E-2</v>
      </c>
      <c r="G31" s="60">
        <f>IF(ISNUMBER(AC31),AC31-((D$4-D$3)/W31),"")</f>
        <v>3.2025672549337525E-2</v>
      </c>
      <c r="H31" s="71">
        <f>IF(ISNUMBER(AD31),AD31-((E$4-E$3)/X31),"")</f>
        <v>3.6992511944976915E-2</v>
      </c>
      <c r="I31" s="71">
        <f>IF(ISNUMBER(AE31),AE31-((F$4-F$3)/Y31),"")</f>
        <v>3.9761772106791361E-2</v>
      </c>
      <c r="J31" s="63">
        <f>IF(ISNUMBER(AF31),AF31-((G$4-G$3)/Z31),"")</f>
        <v>4.2801940803488897E-2</v>
      </c>
      <c r="K31" s="73" t="str">
        <f>IF(ISNUMBER(AG31),IF(AG31-((C$4-C$3)/V31)&lt;0,"",AG31-((C$4-C$3)/V31)),"")</f>
        <v/>
      </c>
      <c r="L31" s="60">
        <f>IF(ISNUMBER(AH31),IF(AH31-((D$4-D$3)/W31)&lt;0,"",AH31-((D$4-D$3)/W31)),"")</f>
        <v>3.7260230493375269E-3</v>
      </c>
      <c r="M31" s="71">
        <f>IF(ISNUMBER(AI31),IF(AI31-((E$4-E$3)/X31)&lt;0,"",AI31-((E$4-E$3)/X31)),"")</f>
        <v>8.0578828449769119E-3</v>
      </c>
      <c r="N31" s="71">
        <f>IF(ISNUMBER(AJ31),IF(AJ31-((F$4-F$3)/Y31)&lt;0,"",AJ31-((F$4-F$3)/Y31)),"")</f>
        <v>9.993192706791363E-3</v>
      </c>
      <c r="O31" s="63">
        <f>IF(ISNUMBER(AK31),IF(AK31-((G$4-G$3)/Z31)&lt;0,"",AK31-((G$4-G$3)/Z31)),"")</f>
        <v>1.1695379103488893E-2</v>
      </c>
      <c r="P31" s="55" t="s">
        <v>412</v>
      </c>
      <c r="Q31" s="53" t="s">
        <v>413</v>
      </c>
      <c r="R31" s="94" t="s">
        <v>32</v>
      </c>
      <c r="S31" s="71">
        <v>3.9236240000000006E-2</v>
      </c>
      <c r="T31" s="63">
        <f>IF(S31="","",H31-S31)</f>
        <v>-2.2437280550230906E-3</v>
      </c>
      <c r="V31" s="114">
        <v>1.1513241000000001</v>
      </c>
      <c r="W31" s="72">
        <v>2.95330979</v>
      </c>
      <c r="X31" s="72">
        <v>4.5875383200000002</v>
      </c>
      <c r="Y31" s="72">
        <v>6.0351199399999995</v>
      </c>
      <c r="Z31" s="115">
        <v>7.9019149999999998</v>
      </c>
      <c r="AB31" s="75">
        <v>2.4927689764436586E-2</v>
      </c>
      <c r="AC31" s="71">
        <v>3.2025672549337525E-2</v>
      </c>
      <c r="AD31" s="71">
        <v>3.6992511944976915E-2</v>
      </c>
      <c r="AE31" s="71">
        <v>3.9761772106791361E-2</v>
      </c>
      <c r="AF31" s="63">
        <v>4.2801940803488897E-2</v>
      </c>
      <c r="AG31" s="73" t="s">
        <v>21</v>
      </c>
      <c r="AH31" s="71">
        <v>3.7260230493375269E-3</v>
      </c>
      <c r="AI31" s="71">
        <v>8.0578828449769119E-3</v>
      </c>
      <c r="AJ31" s="71">
        <v>9.993192706791363E-3</v>
      </c>
      <c r="AK31" s="63">
        <v>1.1695379103488893E-2</v>
      </c>
    </row>
    <row r="32" spans="2:37" x14ac:dyDescent="0.35">
      <c r="B32" s="55" t="s">
        <v>29</v>
      </c>
      <c r="C32" s="53" t="s">
        <v>33</v>
      </c>
      <c r="D32" s="53" t="s">
        <v>31</v>
      </c>
      <c r="E32" s="53" t="s">
        <v>34</v>
      </c>
      <c r="F32" s="73">
        <f t="shared" ref="F32:F110" si="4">IF(ISNUMBER(AB32),AB32-((C$4-C$3)/V32),"")</f>
        <v>2.5329660769502372E-2</v>
      </c>
      <c r="G32" s="60">
        <f t="shared" ref="G32:G110" si="5">IF(ISNUMBER(AC32),AC32-((D$4-D$3)/W32),"")</f>
        <v>3.3963870902666192E-2</v>
      </c>
      <c r="H32" s="71">
        <f t="shared" ref="H32:H110" si="6">IF(ISNUMBER(AD32),AD32-((E$4-E$3)/X32),"")</f>
        <v>4.0341242517930011E-2</v>
      </c>
      <c r="I32" s="71">
        <f t="shared" ref="I32:I110" si="7">IF(ISNUMBER(AE32),AE32-((F$4-F$3)/Y32),"")</f>
        <v>4.3946282201774975E-2</v>
      </c>
      <c r="J32" s="63">
        <f t="shared" ref="J32:J110" si="8">IF(ISNUMBER(AF32),AF32-((G$4-G$3)/Z32),"")</f>
        <v>4.7466992279527817E-2</v>
      </c>
      <c r="K32" s="73" t="str">
        <f t="shared" ref="K32:K110" si="9">IF(ISNUMBER(AG32),IF(AG32-((C$4-C$3)/V32)&lt;0,"",AG32-((C$4-C$3)/V32)),"")</f>
        <v/>
      </c>
      <c r="L32" s="60">
        <f t="shared" ref="L32:L110" si="10">IF(ISNUMBER(AH32),IF(AH32-((D$4-D$3)/W32)&lt;0,"",AH32-((D$4-D$3)/W32)),"")</f>
        <v>5.5975858026661978E-3</v>
      </c>
      <c r="M32" s="71">
        <f t="shared" ref="M32:M110" si="11">IF(ISNUMBER(AI32),IF(AI32-((E$4-E$3)/X32)&lt;0,"",AI32-((E$4-E$3)/X32)),"")</f>
        <v>1.1285405017930013E-2</v>
      </c>
      <c r="N32" s="71">
        <f t="shared" ref="N32:N110" si="12">IF(ISNUMBER(AJ32),IF(AJ32-((F$4-F$3)/Y32)&lt;0,"",AJ32-((F$4-F$3)/Y32)),"")</f>
        <v>1.4020653601774971E-2</v>
      </c>
      <c r="O32" s="63">
        <f t="shared" ref="O32:O110" si="13">IF(ISNUMBER(AK32),IF(AK32-((G$4-G$3)/Z32)&lt;0,"",AK32-((G$4-G$3)/Z32)),"")</f>
        <v>1.6210456879527817E-2</v>
      </c>
      <c r="P32" s="55" t="s">
        <v>21</v>
      </c>
      <c r="Q32" s="53" t="s">
        <v>21</v>
      </c>
      <c r="R32" s="94" t="s">
        <v>21</v>
      </c>
      <c r="S32" s="71" t="s">
        <v>21</v>
      </c>
      <c r="T32" s="63" t="str">
        <f t="shared" ref="T32:T110" si="14">IF(S32="","",H32-S32)</f>
        <v/>
      </c>
      <c r="V32" s="114">
        <v>1.15054915</v>
      </c>
      <c r="W32" s="72">
        <v>2.9393862400000002</v>
      </c>
      <c r="X32" s="72">
        <v>4.5343596899999996</v>
      </c>
      <c r="Y32" s="72">
        <v>5.9148073700000001</v>
      </c>
      <c r="Z32" s="115">
        <v>7.6486065399999994</v>
      </c>
      <c r="AB32" s="73">
        <v>2.5329660769502372E-2</v>
      </c>
      <c r="AC32" s="71">
        <v>3.3963870902666192E-2</v>
      </c>
      <c r="AD32" s="71">
        <v>4.0341242517930011E-2</v>
      </c>
      <c r="AE32" s="71">
        <v>4.3946282201774975E-2</v>
      </c>
      <c r="AF32" s="63">
        <v>4.7466992279527817E-2</v>
      </c>
      <c r="AG32" s="73" t="s">
        <v>21</v>
      </c>
      <c r="AH32" s="71">
        <v>5.5975858026661978E-3</v>
      </c>
      <c r="AI32" s="71">
        <v>1.1285405017930013E-2</v>
      </c>
      <c r="AJ32" s="71">
        <v>1.4020653601774971E-2</v>
      </c>
      <c r="AK32" s="63">
        <v>1.6210456879527817E-2</v>
      </c>
    </row>
    <row r="33" spans="2:37" x14ac:dyDescent="0.35">
      <c r="B33" s="57" t="s">
        <v>29</v>
      </c>
      <c r="C33" s="67" t="s">
        <v>35</v>
      </c>
      <c r="D33" s="67" t="s">
        <v>31</v>
      </c>
      <c r="E33" s="67" t="s">
        <v>339</v>
      </c>
      <c r="F33" s="74">
        <f t="shared" si="4"/>
        <v>2.6329377213735659E-2</v>
      </c>
      <c r="G33" s="76">
        <f t="shared" si="5"/>
        <v>3.6679719060525792E-2</v>
      </c>
      <c r="H33" s="76">
        <f t="shared" si="6"/>
        <v>4.4721215527797134E-2</v>
      </c>
      <c r="I33" s="76">
        <f t="shared" si="7"/>
        <v>4.9350985531512022E-2</v>
      </c>
      <c r="J33" s="64">
        <f t="shared" si="8"/>
        <v>5.3770924954070487E-2</v>
      </c>
      <c r="K33" s="74" t="str">
        <f t="shared" si="9"/>
        <v/>
      </c>
      <c r="L33" s="76">
        <f t="shared" si="10"/>
        <v>8.2556924605257948E-3</v>
      </c>
      <c r="M33" s="76">
        <f t="shared" si="11"/>
        <v>1.5559877327797133E-2</v>
      </c>
      <c r="N33" s="76">
        <f t="shared" si="12"/>
        <v>1.9281364631512025E-2</v>
      </c>
      <c r="O33" s="64">
        <f t="shared" si="13"/>
        <v>2.2346357754070484E-2</v>
      </c>
      <c r="P33" s="55" t="s">
        <v>21</v>
      </c>
      <c r="Q33" s="53" t="s">
        <v>21</v>
      </c>
      <c r="R33" s="94" t="s">
        <v>21</v>
      </c>
      <c r="S33" s="71" t="s">
        <v>21</v>
      </c>
      <c r="T33" s="63" t="str">
        <f t="shared" si="14"/>
        <v/>
      </c>
      <c r="V33" s="116">
        <v>1.1502403700000001</v>
      </c>
      <c r="W33" s="108">
        <v>2.93324637</v>
      </c>
      <c r="X33" s="108">
        <v>4.5113186399999998</v>
      </c>
      <c r="Y33" s="108">
        <v>5.86351011</v>
      </c>
      <c r="Z33" s="117">
        <v>7.5372822199999998</v>
      </c>
      <c r="AB33" s="74">
        <v>2.6329377213735659E-2</v>
      </c>
      <c r="AC33" s="76">
        <v>3.6679719060525792E-2</v>
      </c>
      <c r="AD33" s="76">
        <v>4.4721215527797134E-2</v>
      </c>
      <c r="AE33" s="76">
        <v>4.9350985531512022E-2</v>
      </c>
      <c r="AF33" s="64">
        <v>5.3770924954070487E-2</v>
      </c>
      <c r="AG33" s="74" t="s">
        <v>21</v>
      </c>
      <c r="AH33" s="76">
        <v>8.2556924605257948E-3</v>
      </c>
      <c r="AI33" s="76">
        <v>1.5559877327797133E-2</v>
      </c>
      <c r="AJ33" s="76">
        <v>1.9281364631512025E-2</v>
      </c>
      <c r="AK33" s="64">
        <v>2.2346357754070484E-2</v>
      </c>
    </row>
    <row r="34" spans="2:37" x14ac:dyDescent="0.35">
      <c r="B34" s="55" t="s">
        <v>37</v>
      </c>
      <c r="C34" s="53" t="s">
        <v>30</v>
      </c>
      <c r="D34" s="53" t="s">
        <v>31</v>
      </c>
      <c r="E34" s="53" t="s">
        <v>339</v>
      </c>
      <c r="F34" s="73">
        <f t="shared" si="4"/>
        <v>2.5370007649299961E-2</v>
      </c>
      <c r="G34" s="60">
        <f t="shared" si="5"/>
        <v>3.2884920189789009E-2</v>
      </c>
      <c r="H34" s="71">
        <f t="shared" si="6"/>
        <v>3.7513536070307017E-2</v>
      </c>
      <c r="I34" s="71">
        <f t="shared" si="7"/>
        <v>4.0320850455305285E-2</v>
      </c>
      <c r="J34" s="63">
        <f t="shared" si="8"/>
        <v>4.3320214428578287E-2</v>
      </c>
      <c r="K34" s="73" t="str">
        <f t="shared" si="9"/>
        <v/>
      </c>
      <c r="L34" s="60">
        <f t="shared" si="10"/>
        <v>4.5569917897890118E-3</v>
      </c>
      <c r="M34" s="71">
        <f t="shared" si="11"/>
        <v>8.5616383703070193E-3</v>
      </c>
      <c r="N34" s="71">
        <f t="shared" si="12"/>
        <v>1.0532631855305291E-2</v>
      </c>
      <c r="O34" s="63">
        <f t="shared" si="13"/>
        <v>1.2197529928578298E-2</v>
      </c>
      <c r="P34" s="56" t="s">
        <v>21</v>
      </c>
      <c r="Q34" s="66" t="s">
        <v>21</v>
      </c>
      <c r="R34" s="100" t="s">
        <v>21</v>
      </c>
      <c r="S34" s="80" t="s">
        <v>21</v>
      </c>
      <c r="T34" s="62" t="str">
        <f t="shared" si="14"/>
        <v/>
      </c>
      <c r="V34" s="114">
        <v>1.1504485499999999</v>
      </c>
      <c r="W34" s="72">
        <v>2.94617679</v>
      </c>
      <c r="X34" s="72">
        <v>4.57307182</v>
      </c>
      <c r="Y34" s="72">
        <v>6.0119829999999999</v>
      </c>
      <c r="Z34" s="115">
        <v>7.8641986999999993</v>
      </c>
      <c r="AB34" s="73">
        <v>2.5370007649299961E-2</v>
      </c>
      <c r="AC34" s="71">
        <v>3.2884920189789009E-2</v>
      </c>
      <c r="AD34" s="71">
        <v>3.7513536070307017E-2</v>
      </c>
      <c r="AE34" s="71">
        <v>4.0320850455305285E-2</v>
      </c>
      <c r="AF34" s="63">
        <v>4.3320214428578287E-2</v>
      </c>
      <c r="AG34" s="73" t="s">
        <v>21</v>
      </c>
      <c r="AH34" s="71">
        <v>4.5569917897890118E-3</v>
      </c>
      <c r="AI34" s="71">
        <v>8.5616383703070193E-3</v>
      </c>
      <c r="AJ34" s="71">
        <v>1.0532631855305291E-2</v>
      </c>
      <c r="AK34" s="63">
        <v>1.2197529928578298E-2</v>
      </c>
    </row>
    <row r="35" spans="2:37" x14ac:dyDescent="0.35">
      <c r="B35" s="55" t="s">
        <v>37</v>
      </c>
      <c r="C35" s="53" t="s">
        <v>33</v>
      </c>
      <c r="D35" s="53" t="s">
        <v>31</v>
      </c>
      <c r="E35" s="53" t="s">
        <v>38</v>
      </c>
      <c r="F35" s="73">
        <f t="shared" si="4"/>
        <v>2.5799159259133474E-2</v>
      </c>
      <c r="G35" s="60">
        <f t="shared" si="5"/>
        <v>3.4133625410429649E-2</v>
      </c>
      <c r="H35" s="71">
        <f t="shared" si="6"/>
        <v>4.0441552459608676E-2</v>
      </c>
      <c r="I35" s="71">
        <f t="shared" si="7"/>
        <v>4.3949737223627043E-2</v>
      </c>
      <c r="J35" s="63">
        <f t="shared" si="8"/>
        <v>4.7565108923869219E-2</v>
      </c>
      <c r="K35" s="73" t="str">
        <f t="shared" si="9"/>
        <v/>
      </c>
      <c r="L35" s="60">
        <f t="shared" si="10"/>
        <v>5.7630336104296485E-3</v>
      </c>
      <c r="M35" s="71">
        <f t="shared" si="11"/>
        <v>1.1382891259608669E-2</v>
      </c>
      <c r="N35" s="71">
        <f t="shared" si="12"/>
        <v>1.4024621023627048E-2</v>
      </c>
      <c r="O35" s="63">
        <f t="shared" si="13"/>
        <v>1.6304197323869209E-2</v>
      </c>
      <c r="P35" s="55" t="s">
        <v>21</v>
      </c>
      <c r="Q35" s="53" t="s">
        <v>21</v>
      </c>
      <c r="R35" s="94" t="s">
        <v>21</v>
      </c>
      <c r="S35" s="71" t="s">
        <v>21</v>
      </c>
      <c r="T35" s="63" t="str">
        <f t="shared" si="14"/>
        <v/>
      </c>
      <c r="V35" s="114">
        <v>1.14958614</v>
      </c>
      <c r="W35" s="72">
        <v>2.9365722399999998</v>
      </c>
      <c r="X35" s="72">
        <v>4.5302155400000004</v>
      </c>
      <c r="Y35" s="72">
        <v>5.9106100000000001</v>
      </c>
      <c r="Z35" s="115">
        <v>7.6427066799999999</v>
      </c>
      <c r="AB35" s="73">
        <v>2.5799159259133474E-2</v>
      </c>
      <c r="AC35" s="71">
        <v>3.4133625410429649E-2</v>
      </c>
      <c r="AD35" s="71">
        <v>4.0441552459608676E-2</v>
      </c>
      <c r="AE35" s="71">
        <v>4.3949737223627043E-2</v>
      </c>
      <c r="AF35" s="63">
        <v>4.7565108923869219E-2</v>
      </c>
      <c r="AG35" s="73" t="s">
        <v>21</v>
      </c>
      <c r="AH35" s="71">
        <v>5.7630336104296485E-3</v>
      </c>
      <c r="AI35" s="71">
        <v>1.1382891259608669E-2</v>
      </c>
      <c r="AJ35" s="71">
        <v>1.4024621023627048E-2</v>
      </c>
      <c r="AK35" s="63">
        <v>1.6304197323869209E-2</v>
      </c>
    </row>
    <row r="36" spans="2:37" x14ac:dyDescent="0.35">
      <c r="B36" s="57" t="s">
        <v>37</v>
      </c>
      <c r="C36" s="67" t="s">
        <v>35</v>
      </c>
      <c r="D36" s="67" t="s">
        <v>31</v>
      </c>
      <c r="E36" s="67" t="s">
        <v>39</v>
      </c>
      <c r="F36" s="74">
        <f t="shared" si="4"/>
        <v>2.6390081131398079E-2</v>
      </c>
      <c r="G36" s="76">
        <f t="shared" si="5"/>
        <v>3.6914065187520814E-2</v>
      </c>
      <c r="H36" s="76">
        <f t="shared" si="6"/>
        <v>4.4907501820205878E-2</v>
      </c>
      <c r="I36" s="76">
        <f t="shared" si="7"/>
        <v>4.9445495814929213E-2</v>
      </c>
      <c r="J36" s="64">
        <f t="shared" si="8"/>
        <v>5.3956211911771759E-2</v>
      </c>
      <c r="K36" s="74" t="str">
        <f t="shared" si="9"/>
        <v/>
      </c>
      <c r="L36" s="76">
        <f t="shared" si="10"/>
        <v>8.48776498752081E-3</v>
      </c>
      <c r="M36" s="76">
        <f t="shared" si="11"/>
        <v>1.5742952220205886E-2</v>
      </c>
      <c r="N36" s="76">
        <f t="shared" si="12"/>
        <v>1.9375262214929218E-2</v>
      </c>
      <c r="O36" s="64">
        <f t="shared" si="13"/>
        <v>2.2526324211771767E-2</v>
      </c>
      <c r="P36" s="57" t="s">
        <v>21</v>
      </c>
      <c r="Q36" s="67" t="s">
        <v>21</v>
      </c>
      <c r="R36" s="96" t="s">
        <v>21</v>
      </c>
      <c r="S36" s="76" t="s">
        <v>21</v>
      </c>
      <c r="T36" s="64" t="str">
        <f t="shared" si="14"/>
        <v/>
      </c>
      <c r="V36" s="116">
        <v>1.1500603</v>
      </c>
      <c r="W36" s="108">
        <v>2.9317609</v>
      </c>
      <c r="X36" s="108">
        <v>4.5078739800000003</v>
      </c>
      <c r="Y36" s="108">
        <v>5.8587801699999993</v>
      </c>
      <c r="Z36" s="117">
        <v>7.5292679800000002</v>
      </c>
      <c r="AB36" s="74">
        <v>2.6390081131398079E-2</v>
      </c>
      <c r="AC36" s="76">
        <v>3.6914065187520814E-2</v>
      </c>
      <c r="AD36" s="76">
        <v>4.4907501820205878E-2</v>
      </c>
      <c r="AE36" s="76">
        <v>4.9445495814929213E-2</v>
      </c>
      <c r="AF36" s="64">
        <v>5.3956211911771759E-2</v>
      </c>
      <c r="AG36" s="74" t="s">
        <v>21</v>
      </c>
      <c r="AH36" s="76">
        <v>8.48776498752081E-3</v>
      </c>
      <c r="AI36" s="76">
        <v>1.5742952220205886E-2</v>
      </c>
      <c r="AJ36" s="76">
        <v>1.9375262214929218E-2</v>
      </c>
      <c r="AK36" s="64">
        <v>2.2526324211771767E-2</v>
      </c>
    </row>
    <row r="37" spans="2:37" x14ac:dyDescent="0.35">
      <c r="B37" s="55" t="s">
        <v>40</v>
      </c>
      <c r="C37" s="53" t="s">
        <v>30</v>
      </c>
      <c r="D37" s="53" t="s">
        <v>31</v>
      </c>
      <c r="E37" s="53" t="s">
        <v>21</v>
      </c>
      <c r="F37" s="73">
        <f t="shared" si="4"/>
        <v>2.582035005747018E-2</v>
      </c>
      <c r="G37" s="60">
        <f t="shared" si="5"/>
        <v>3.3071993103024597E-2</v>
      </c>
      <c r="H37" s="71">
        <f t="shared" si="6"/>
        <v>3.8026962009717662E-2</v>
      </c>
      <c r="I37" s="71">
        <f t="shared" si="7"/>
        <v>4.1213116006126725E-2</v>
      </c>
      <c r="J37" s="63">
        <f t="shared" si="8"/>
        <v>4.4702816929116124E-2</v>
      </c>
      <c r="K37" s="73" t="str">
        <f t="shared" si="9"/>
        <v/>
      </c>
      <c r="L37" s="60">
        <f t="shared" si="10"/>
        <v>4.7378213030245947E-3</v>
      </c>
      <c r="M37" s="71">
        <f t="shared" si="11"/>
        <v>9.0572506097176646E-3</v>
      </c>
      <c r="N37" s="71">
        <f t="shared" si="12"/>
        <v>1.1392949906126722E-2</v>
      </c>
      <c r="O37" s="63">
        <f t="shared" si="13"/>
        <v>1.353778662911612E-2</v>
      </c>
      <c r="P37" s="55" t="s">
        <v>21</v>
      </c>
      <c r="Q37" s="53" t="s">
        <v>21</v>
      </c>
      <c r="R37" s="94" t="s">
        <v>21</v>
      </c>
      <c r="S37" s="71" t="s">
        <v>21</v>
      </c>
      <c r="T37" s="63" t="str">
        <f t="shared" si="14"/>
        <v/>
      </c>
      <c r="V37" s="114">
        <v>1.1495571899999999</v>
      </c>
      <c r="W37" s="72">
        <v>2.94338173</v>
      </c>
      <c r="X37" s="72">
        <v>4.5645634999999993</v>
      </c>
      <c r="Y37" s="72">
        <v>5.9894766000000006</v>
      </c>
      <c r="Z37" s="115">
        <v>7.8029184200000001</v>
      </c>
      <c r="AB37" s="73">
        <v>2.582035005747018E-2</v>
      </c>
      <c r="AC37" s="71">
        <v>3.3071993103024597E-2</v>
      </c>
      <c r="AD37" s="71">
        <v>3.8026962009717662E-2</v>
      </c>
      <c r="AE37" s="71">
        <v>4.1213116006126725E-2</v>
      </c>
      <c r="AF37" s="63">
        <v>4.4702816929116124E-2</v>
      </c>
      <c r="AG37" s="73" t="s">
        <v>21</v>
      </c>
      <c r="AH37" s="71">
        <v>4.7378213030245947E-3</v>
      </c>
      <c r="AI37" s="71">
        <v>9.0572506097176646E-3</v>
      </c>
      <c r="AJ37" s="71">
        <v>1.1392949906126722E-2</v>
      </c>
      <c r="AK37" s="63">
        <v>1.353778662911612E-2</v>
      </c>
    </row>
    <row r="38" spans="2:37" x14ac:dyDescent="0.35">
      <c r="B38" s="55" t="s">
        <v>40</v>
      </c>
      <c r="C38" s="53" t="s">
        <v>33</v>
      </c>
      <c r="D38" s="53" t="s">
        <v>31</v>
      </c>
      <c r="E38" s="53" t="s">
        <v>41</v>
      </c>
      <c r="F38" s="73">
        <f t="shared" si="4"/>
        <v>2.611845519538172E-2</v>
      </c>
      <c r="G38" s="60">
        <f t="shared" si="5"/>
        <v>3.4881852892691169E-2</v>
      </c>
      <c r="H38" s="71">
        <f t="shared" si="6"/>
        <v>4.167567526391034E-2</v>
      </c>
      <c r="I38" s="71">
        <f t="shared" si="7"/>
        <v>4.5724386855852284E-2</v>
      </c>
      <c r="J38" s="63">
        <f t="shared" si="8"/>
        <v>4.9732864532810617E-2</v>
      </c>
      <c r="K38" s="73" t="str">
        <f t="shared" si="9"/>
        <v/>
      </c>
      <c r="L38" s="60">
        <f t="shared" si="10"/>
        <v>6.4826970926911646E-3</v>
      </c>
      <c r="M38" s="71">
        <f t="shared" si="11"/>
        <v>1.256635806391034E-2</v>
      </c>
      <c r="N38" s="71">
        <f t="shared" si="12"/>
        <v>1.5721604055852285E-2</v>
      </c>
      <c r="O38" s="63">
        <f t="shared" si="13"/>
        <v>1.838656873281062E-2</v>
      </c>
      <c r="P38" s="55" t="s">
        <v>414</v>
      </c>
      <c r="Q38" s="53" t="s">
        <v>415</v>
      </c>
      <c r="R38" s="94">
        <v>47729</v>
      </c>
      <c r="S38" s="71">
        <v>3.7571720000000003E-2</v>
      </c>
      <c r="T38" s="63">
        <f t="shared" si="14"/>
        <v>4.1039552639103374E-3</v>
      </c>
      <c r="V38" s="114">
        <v>1.1489824100000001</v>
      </c>
      <c r="W38" s="72">
        <v>2.9306975400000002</v>
      </c>
      <c r="X38" s="72">
        <v>4.5100646800000002</v>
      </c>
      <c r="Y38" s="72">
        <v>5.86316639</v>
      </c>
      <c r="Z38" s="115">
        <v>7.5363203099999998</v>
      </c>
      <c r="AB38" s="73">
        <v>2.611845519538172E-2</v>
      </c>
      <c r="AC38" s="71">
        <v>3.4881852892691169E-2</v>
      </c>
      <c r="AD38" s="71">
        <v>4.167567526391034E-2</v>
      </c>
      <c r="AE38" s="71">
        <v>4.5724386855852284E-2</v>
      </c>
      <c r="AF38" s="63">
        <v>4.9732864532810617E-2</v>
      </c>
      <c r="AG38" s="73" t="s">
        <v>21</v>
      </c>
      <c r="AH38" s="71">
        <v>6.4826970926911646E-3</v>
      </c>
      <c r="AI38" s="71">
        <v>1.256635806391034E-2</v>
      </c>
      <c r="AJ38" s="71">
        <v>1.5721604055852285E-2</v>
      </c>
      <c r="AK38" s="63">
        <v>1.838656873281062E-2</v>
      </c>
    </row>
    <row r="39" spans="2:37" x14ac:dyDescent="0.35">
      <c r="B39" s="57" t="s">
        <v>40</v>
      </c>
      <c r="C39" s="67" t="s">
        <v>35</v>
      </c>
      <c r="D39" s="67" t="s">
        <v>31</v>
      </c>
      <c r="E39" s="67" t="s">
        <v>21</v>
      </c>
      <c r="F39" s="74">
        <f t="shared" si="4"/>
        <v>2.6719347931397859E-2</v>
      </c>
      <c r="G39" s="76">
        <f t="shared" si="5"/>
        <v>3.7769354516250526E-2</v>
      </c>
      <c r="H39" s="76">
        <f t="shared" si="6"/>
        <v>4.6467083546224155E-2</v>
      </c>
      <c r="I39" s="76">
        <f t="shared" si="7"/>
        <v>5.182538520881097E-2</v>
      </c>
      <c r="J39" s="64">
        <f t="shared" si="8"/>
        <v>5.6857426214270243E-2</v>
      </c>
      <c r="K39" s="74" t="str">
        <f t="shared" si="9"/>
        <v/>
      </c>
      <c r="L39" s="76">
        <f t="shared" si="10"/>
        <v>9.313536616250534E-3</v>
      </c>
      <c r="M39" s="76">
        <f t="shared" si="11"/>
        <v>1.7239603546224152E-2</v>
      </c>
      <c r="N39" s="76">
        <f t="shared" si="12"/>
        <v>2.1652176808810972E-2</v>
      </c>
      <c r="O39" s="64">
        <f t="shared" si="13"/>
        <v>2.5307691014270241E-2</v>
      </c>
      <c r="P39" s="55" t="s">
        <v>21</v>
      </c>
      <c r="Q39" s="53" t="s">
        <v>21</v>
      </c>
      <c r="R39" s="94" t="s">
        <v>21</v>
      </c>
      <c r="S39" s="71" t="s">
        <v>21</v>
      </c>
      <c r="T39" s="63" t="str">
        <f t="shared" si="14"/>
        <v/>
      </c>
      <c r="V39" s="116">
        <v>1.1495927799999999</v>
      </c>
      <c r="W39" s="108">
        <v>2.9267830200000002</v>
      </c>
      <c r="X39" s="108">
        <v>4.4890374599999996</v>
      </c>
      <c r="Y39" s="108">
        <v>5.8123028999999997</v>
      </c>
      <c r="Z39" s="117">
        <v>7.4229555300000003</v>
      </c>
      <c r="AB39" s="74">
        <v>2.6719347931397859E-2</v>
      </c>
      <c r="AC39" s="76">
        <v>3.7769354516250526E-2</v>
      </c>
      <c r="AD39" s="76">
        <v>4.6467083546224155E-2</v>
      </c>
      <c r="AE39" s="76">
        <v>5.182538520881097E-2</v>
      </c>
      <c r="AF39" s="64">
        <v>5.6857426214270243E-2</v>
      </c>
      <c r="AG39" s="74" t="s">
        <v>21</v>
      </c>
      <c r="AH39" s="76">
        <v>9.313536616250534E-3</v>
      </c>
      <c r="AI39" s="76">
        <v>1.7239603546224152E-2</v>
      </c>
      <c r="AJ39" s="76">
        <v>2.1652176808810972E-2</v>
      </c>
      <c r="AK39" s="64">
        <v>2.5307691014270241E-2</v>
      </c>
    </row>
    <row r="40" spans="2:37" x14ac:dyDescent="0.35">
      <c r="B40" s="79" t="s">
        <v>416</v>
      </c>
      <c r="C40" s="78"/>
      <c r="D40" s="78"/>
      <c r="E40" s="78"/>
      <c r="F40" s="78" t="str">
        <f t="shared" si="4"/>
        <v/>
      </c>
      <c r="G40" s="78" t="str">
        <f t="shared" si="5"/>
        <v/>
      </c>
      <c r="H40" s="78" t="str">
        <f t="shared" si="6"/>
        <v/>
      </c>
      <c r="I40" s="78" t="str">
        <f t="shared" si="7"/>
        <v/>
      </c>
      <c r="J40" s="78" t="str">
        <f t="shared" si="8"/>
        <v/>
      </c>
      <c r="K40" s="78" t="str">
        <f t="shared" si="9"/>
        <v/>
      </c>
      <c r="L40" s="78" t="str">
        <f t="shared" si="10"/>
        <v/>
      </c>
      <c r="M40" s="78" t="str">
        <f t="shared" si="11"/>
        <v/>
      </c>
      <c r="N40" s="78" t="str">
        <f t="shared" si="12"/>
        <v/>
      </c>
      <c r="O40" s="77" t="str">
        <f t="shared" si="13"/>
        <v/>
      </c>
      <c r="P40" s="79"/>
      <c r="Q40" s="78"/>
      <c r="R40" s="95"/>
      <c r="S40" s="78"/>
      <c r="T40" s="77" t="str">
        <f t="shared" si="14"/>
        <v/>
      </c>
      <c r="V40" s="112"/>
      <c r="W40" s="107"/>
      <c r="X40" s="107"/>
      <c r="Y40" s="107"/>
      <c r="Z40" s="113"/>
      <c r="AB40" s="78"/>
      <c r="AC40" s="78"/>
      <c r="AD40" s="78"/>
      <c r="AE40" s="78"/>
      <c r="AF40" s="78"/>
      <c r="AG40" s="78"/>
      <c r="AH40" s="78"/>
      <c r="AI40" s="78"/>
      <c r="AJ40" s="78"/>
      <c r="AK40" s="77"/>
    </row>
    <row r="41" spans="2:37" x14ac:dyDescent="0.35">
      <c r="B41" s="55" t="s">
        <v>42</v>
      </c>
      <c r="C41" s="53" t="s">
        <v>30</v>
      </c>
      <c r="D41" s="53" t="s">
        <v>43</v>
      </c>
      <c r="E41" s="53" t="s">
        <v>417</v>
      </c>
      <c r="F41" s="73">
        <f t="shared" si="4"/>
        <v>2.550077111161024E-2</v>
      </c>
      <c r="G41" s="60">
        <f t="shared" si="5"/>
        <v>3.2935075385734286E-2</v>
      </c>
      <c r="H41" s="71">
        <f t="shared" si="6"/>
        <v>3.8232461355085068E-2</v>
      </c>
      <c r="I41" s="71">
        <f t="shared" si="7"/>
        <v>4.1362667404205883E-2</v>
      </c>
      <c r="J41" s="63">
        <f t="shared" si="8"/>
        <v>4.461466212938317E-2</v>
      </c>
      <c r="K41" s="73" t="str">
        <f t="shared" si="9"/>
        <v/>
      </c>
      <c r="L41" s="60">
        <f t="shared" si="10"/>
        <v>4.6049644857342857E-3</v>
      </c>
      <c r="M41" s="71">
        <f t="shared" si="11"/>
        <v>9.2551759550850762E-3</v>
      </c>
      <c r="N41" s="71">
        <f t="shared" si="12"/>
        <v>1.1537436404205879E-2</v>
      </c>
      <c r="O41" s="63">
        <f t="shared" si="13"/>
        <v>1.3454030529383185E-2</v>
      </c>
      <c r="P41" s="55" t="s">
        <v>418</v>
      </c>
      <c r="Q41" s="53" t="s">
        <v>419</v>
      </c>
      <c r="R41" s="94" t="s">
        <v>32</v>
      </c>
      <c r="S41" s="71">
        <v>3.7110579999999997E-2</v>
      </c>
      <c r="T41" s="63">
        <f t="shared" si="14"/>
        <v>1.1218813550850706E-3</v>
      </c>
      <c r="V41" s="114">
        <v>1.1502003699999999</v>
      </c>
      <c r="W41" s="72">
        <v>2.94541495</v>
      </c>
      <c r="X41" s="72">
        <v>4.5646892000000001</v>
      </c>
      <c r="Y41" s="72">
        <v>5.9866855900000004</v>
      </c>
      <c r="Z41" s="115">
        <v>7.8012924600000009</v>
      </c>
      <c r="AB41" s="73">
        <v>2.550077111161024E-2</v>
      </c>
      <c r="AC41" s="71">
        <v>3.2935075385734286E-2</v>
      </c>
      <c r="AD41" s="71">
        <v>3.8232461355085068E-2</v>
      </c>
      <c r="AE41" s="71">
        <v>4.1362667404205883E-2</v>
      </c>
      <c r="AF41" s="63">
        <v>4.461466212938317E-2</v>
      </c>
      <c r="AG41" s="73" t="s">
        <v>21</v>
      </c>
      <c r="AH41" s="71">
        <v>4.6049644857342857E-3</v>
      </c>
      <c r="AI41" s="71">
        <v>9.2551759550850762E-3</v>
      </c>
      <c r="AJ41" s="71">
        <v>1.1537436404205879E-2</v>
      </c>
      <c r="AK41" s="63">
        <v>1.3454030529383185E-2</v>
      </c>
    </row>
    <row r="42" spans="2:37" x14ac:dyDescent="0.35">
      <c r="B42" s="55" t="s">
        <v>42</v>
      </c>
      <c r="C42" s="53" t="s">
        <v>33</v>
      </c>
      <c r="D42" s="53" t="s">
        <v>43</v>
      </c>
      <c r="E42" s="53" t="s">
        <v>420</v>
      </c>
      <c r="F42" s="73">
        <f t="shared" si="4"/>
        <v>2.542988799227508E-2</v>
      </c>
      <c r="G42" s="60">
        <f t="shared" si="5"/>
        <v>3.5100184191230142E-2</v>
      </c>
      <c r="H42" s="71">
        <f t="shared" si="6"/>
        <v>4.1979928367429906E-2</v>
      </c>
      <c r="I42" s="71">
        <f t="shared" si="7"/>
        <v>4.6256989436094145E-2</v>
      </c>
      <c r="J42" s="63">
        <f t="shared" si="8"/>
        <v>5.0226430436417231E-2</v>
      </c>
      <c r="K42" s="73" t="str">
        <f t="shared" si="9"/>
        <v/>
      </c>
      <c r="L42" s="60">
        <f t="shared" si="10"/>
        <v>6.6954854912301513E-3</v>
      </c>
      <c r="M42" s="71">
        <f t="shared" si="11"/>
        <v>1.28602231674299E-2</v>
      </c>
      <c r="N42" s="71">
        <f t="shared" si="12"/>
        <v>1.6232170036094146E-2</v>
      </c>
      <c r="O42" s="63">
        <f t="shared" si="13"/>
        <v>1.8862720836417223E-2</v>
      </c>
      <c r="P42" s="55" t="s">
        <v>421</v>
      </c>
      <c r="Q42" s="53" t="s">
        <v>422</v>
      </c>
      <c r="R42" s="94" t="s">
        <v>32</v>
      </c>
      <c r="S42" s="71">
        <v>4.0414159999999998E-2</v>
      </c>
      <c r="T42" s="63">
        <f t="shared" si="14"/>
        <v>1.565768367429908E-3</v>
      </c>
      <c r="V42" s="114">
        <v>1.1502920999999999</v>
      </c>
      <c r="W42" s="72">
        <v>2.9315873799999999</v>
      </c>
      <c r="X42" s="72">
        <v>4.5071380000000003</v>
      </c>
      <c r="Y42" s="72">
        <v>5.8520275900000005</v>
      </c>
      <c r="Z42" s="115">
        <v>7.5108456399999994</v>
      </c>
      <c r="AB42" s="73">
        <v>2.542988799227508E-2</v>
      </c>
      <c r="AC42" s="71">
        <v>3.5100184191230142E-2</v>
      </c>
      <c r="AD42" s="71">
        <v>4.1979928367429906E-2</v>
      </c>
      <c r="AE42" s="71">
        <v>4.6256989436094145E-2</v>
      </c>
      <c r="AF42" s="63">
        <v>5.0226430436417231E-2</v>
      </c>
      <c r="AG42" s="73" t="s">
        <v>21</v>
      </c>
      <c r="AH42" s="71">
        <v>6.6954854912301513E-3</v>
      </c>
      <c r="AI42" s="71">
        <v>1.28602231674299E-2</v>
      </c>
      <c r="AJ42" s="71">
        <v>1.6232170036094146E-2</v>
      </c>
      <c r="AK42" s="63">
        <v>1.8862720836417223E-2</v>
      </c>
    </row>
    <row r="43" spans="2:37" x14ac:dyDescent="0.35">
      <c r="B43" s="55" t="s">
        <v>42</v>
      </c>
      <c r="C43" s="53" t="s">
        <v>35</v>
      </c>
      <c r="D43" s="53" t="s">
        <v>43</v>
      </c>
      <c r="E43" s="53" t="s">
        <v>423</v>
      </c>
      <c r="F43" s="73">
        <f t="shared" si="4"/>
        <v>2.7064517960222009E-2</v>
      </c>
      <c r="G43" s="60">
        <f t="shared" si="5"/>
        <v>3.8632791572141334E-2</v>
      </c>
      <c r="H43" s="71">
        <f t="shared" si="6"/>
        <v>4.7832903129278292E-2</v>
      </c>
      <c r="I43" s="71">
        <f t="shared" si="7"/>
        <v>5.336153857610651E-2</v>
      </c>
      <c r="J43" s="63">
        <f t="shared" si="8"/>
        <v>5.8907331494120405E-2</v>
      </c>
      <c r="K43" s="73" t="str">
        <f t="shared" si="9"/>
        <v/>
      </c>
      <c r="L43" s="60">
        <f t="shared" si="10"/>
        <v>1.0145515072141328E-2</v>
      </c>
      <c r="M43" s="71">
        <f t="shared" si="11"/>
        <v>1.8547019629278294E-2</v>
      </c>
      <c r="N43" s="71">
        <f t="shared" si="12"/>
        <v>2.3117431176106512E-2</v>
      </c>
      <c r="O43" s="63">
        <f t="shared" si="13"/>
        <v>2.7264175994120406E-2</v>
      </c>
      <c r="P43" s="55" t="s">
        <v>21</v>
      </c>
      <c r="Q43" s="53" t="s">
        <v>21</v>
      </c>
      <c r="R43" s="94" t="s">
        <v>21</v>
      </c>
      <c r="S43" s="71" t="s">
        <v>21</v>
      </c>
      <c r="T43" s="63" t="str">
        <f t="shared" si="14"/>
        <v/>
      </c>
      <c r="V43" s="114">
        <v>1.1491136799999999</v>
      </c>
      <c r="W43" s="72">
        <v>2.9217605199999999</v>
      </c>
      <c r="X43" s="72">
        <v>4.4717953000000001</v>
      </c>
      <c r="Y43" s="72">
        <v>5.7769751299999994</v>
      </c>
      <c r="Z43" s="115">
        <v>7.34781291</v>
      </c>
      <c r="AB43" s="73">
        <v>2.7064517960222009E-2</v>
      </c>
      <c r="AC43" s="71">
        <v>3.8632791572141334E-2</v>
      </c>
      <c r="AD43" s="71">
        <v>4.7832903129278292E-2</v>
      </c>
      <c r="AE43" s="71">
        <v>5.336153857610651E-2</v>
      </c>
      <c r="AF43" s="63">
        <v>5.8907331494120405E-2</v>
      </c>
      <c r="AG43" s="73" t="s">
        <v>21</v>
      </c>
      <c r="AH43" s="71">
        <v>1.0145515072141328E-2</v>
      </c>
      <c r="AI43" s="71">
        <v>1.8547019629278294E-2</v>
      </c>
      <c r="AJ43" s="71">
        <v>2.3117431176106512E-2</v>
      </c>
      <c r="AK43" s="63">
        <v>2.7264175994120406E-2</v>
      </c>
    </row>
    <row r="44" spans="2:37" x14ac:dyDescent="0.35">
      <c r="B44" s="79" t="s">
        <v>45</v>
      </c>
      <c r="C44" s="78"/>
      <c r="D44" s="78"/>
      <c r="E44" s="78"/>
      <c r="F44" s="78" t="str">
        <f t="shared" si="4"/>
        <v/>
      </c>
      <c r="G44" s="78" t="str">
        <f t="shared" si="5"/>
        <v/>
      </c>
      <c r="H44" s="78" t="str">
        <f t="shared" si="6"/>
        <v/>
      </c>
      <c r="I44" s="78" t="str">
        <f t="shared" si="7"/>
        <v/>
      </c>
      <c r="J44" s="78" t="str">
        <f t="shared" si="8"/>
        <v/>
      </c>
      <c r="K44" s="78" t="str">
        <f t="shared" si="9"/>
        <v/>
      </c>
      <c r="L44" s="78" t="str">
        <f t="shared" si="10"/>
        <v/>
      </c>
      <c r="M44" s="78" t="str">
        <f t="shared" si="11"/>
        <v/>
      </c>
      <c r="N44" s="78" t="str">
        <f t="shared" si="12"/>
        <v/>
      </c>
      <c r="O44" s="77" t="str">
        <f t="shared" si="13"/>
        <v/>
      </c>
      <c r="P44" s="79"/>
      <c r="Q44" s="78"/>
      <c r="R44" s="95"/>
      <c r="S44" s="78"/>
      <c r="T44" s="77" t="str">
        <f t="shared" si="14"/>
        <v/>
      </c>
      <c r="V44" s="112"/>
      <c r="W44" s="107"/>
      <c r="X44" s="107"/>
      <c r="Y44" s="107"/>
      <c r="Z44" s="113"/>
      <c r="AB44" s="78"/>
      <c r="AC44" s="78"/>
      <c r="AD44" s="78"/>
      <c r="AE44" s="78"/>
      <c r="AF44" s="78"/>
      <c r="AG44" s="78"/>
      <c r="AH44" s="78"/>
      <c r="AI44" s="78"/>
      <c r="AJ44" s="78"/>
      <c r="AK44" s="77"/>
    </row>
    <row r="45" spans="2:37" x14ac:dyDescent="0.35">
      <c r="B45" s="56" t="s">
        <v>46</v>
      </c>
      <c r="C45" s="66" t="s">
        <v>30</v>
      </c>
      <c r="D45" s="66" t="s">
        <v>47</v>
      </c>
      <c r="E45" s="66" t="s">
        <v>424</v>
      </c>
      <c r="F45" s="75">
        <f t="shared" si="4"/>
        <v>2.4833744231278328E-2</v>
      </c>
      <c r="G45" s="80">
        <f t="shared" si="5"/>
        <v>3.2626261417441328E-2</v>
      </c>
      <c r="H45" s="80">
        <f t="shared" si="6"/>
        <v>3.7822409397849005E-2</v>
      </c>
      <c r="I45" s="80">
        <f t="shared" si="7"/>
        <v>4.1302674447644933E-2</v>
      </c>
      <c r="J45" s="62">
        <f t="shared" si="8"/>
        <v>4.4981241041675092E-2</v>
      </c>
      <c r="K45" s="75" t="str">
        <f t="shared" si="9"/>
        <v/>
      </c>
      <c r="L45" s="80">
        <f t="shared" si="10"/>
        <v>4.3059389174413291E-3</v>
      </c>
      <c r="M45" s="80">
        <f t="shared" si="11"/>
        <v>8.8592619978490016E-3</v>
      </c>
      <c r="N45" s="80">
        <f t="shared" si="12"/>
        <v>1.1479345447644927E-2</v>
      </c>
      <c r="O45" s="62">
        <f t="shared" si="13"/>
        <v>1.3809187541675092E-2</v>
      </c>
      <c r="P45" s="55" t="s">
        <v>425</v>
      </c>
      <c r="Q45" s="53" t="s">
        <v>426</v>
      </c>
      <c r="R45" s="94" t="s">
        <v>32</v>
      </c>
      <c r="S45" s="71">
        <v>3.6849960000000001E-2</v>
      </c>
      <c r="T45" s="63">
        <f t="shared" si="14"/>
        <v>9.7244939784900397E-4</v>
      </c>
      <c r="V45" s="118">
        <v>1.1515314699999999</v>
      </c>
      <c r="W45" s="61">
        <v>2.94978696</v>
      </c>
      <c r="X45" s="61">
        <v>4.5739226899999998</v>
      </c>
      <c r="Y45" s="61">
        <v>5.9974927899999999</v>
      </c>
      <c r="Z45" s="119">
        <v>7.8021394900000001</v>
      </c>
      <c r="AB45" s="75">
        <v>2.4833744231278328E-2</v>
      </c>
      <c r="AC45" s="80">
        <v>3.2626261417441328E-2</v>
      </c>
      <c r="AD45" s="80">
        <v>3.7822409397849005E-2</v>
      </c>
      <c r="AE45" s="80">
        <v>4.1302674447644933E-2</v>
      </c>
      <c r="AF45" s="62">
        <v>4.4981241041675092E-2</v>
      </c>
      <c r="AG45" s="75" t="s">
        <v>21</v>
      </c>
      <c r="AH45" s="80">
        <v>4.3059389174413291E-3</v>
      </c>
      <c r="AI45" s="80">
        <v>8.8592619978490016E-3</v>
      </c>
      <c r="AJ45" s="80">
        <v>1.1479345447644927E-2</v>
      </c>
      <c r="AK45" s="62">
        <v>1.3809187541675092E-2</v>
      </c>
    </row>
    <row r="46" spans="2:37" x14ac:dyDescent="0.35">
      <c r="B46" s="55" t="s">
        <v>46</v>
      </c>
      <c r="C46" s="53" t="s">
        <v>33</v>
      </c>
      <c r="D46" s="53" t="s">
        <v>47</v>
      </c>
      <c r="E46" s="53" t="s">
        <v>427</v>
      </c>
      <c r="F46" s="73">
        <f t="shared" si="4"/>
        <v>2.5595000248242815E-2</v>
      </c>
      <c r="G46" s="60">
        <f t="shared" si="5"/>
        <v>3.4663858146186631E-2</v>
      </c>
      <c r="H46" s="71">
        <f t="shared" si="6"/>
        <v>4.1622729831471306E-2</v>
      </c>
      <c r="I46" s="71">
        <f t="shared" si="7"/>
        <v>4.5671017722277267E-2</v>
      </c>
      <c r="J46" s="63">
        <f t="shared" si="8"/>
        <v>4.9401503521076889E-2</v>
      </c>
      <c r="K46" s="73" t="str">
        <f t="shared" si="9"/>
        <v/>
      </c>
      <c r="L46" s="60">
        <f t="shared" si="10"/>
        <v>6.2720305461866268E-3</v>
      </c>
      <c r="M46" s="71">
        <f t="shared" si="11"/>
        <v>1.2515256931471304E-2</v>
      </c>
      <c r="N46" s="71">
        <f t="shared" si="12"/>
        <v>1.5670842922277266E-2</v>
      </c>
      <c r="O46" s="63">
        <f t="shared" si="13"/>
        <v>1.8070613921076884E-2</v>
      </c>
      <c r="P46" s="55" t="s">
        <v>21</v>
      </c>
      <c r="Q46" s="53" t="s">
        <v>21</v>
      </c>
      <c r="R46" s="94" t="s">
        <v>21</v>
      </c>
      <c r="S46" s="71" t="s">
        <v>21</v>
      </c>
      <c r="T46" s="63" t="str">
        <f t="shared" si="14"/>
        <v/>
      </c>
      <c r="V46" s="114">
        <v>1.15003009</v>
      </c>
      <c r="W46" s="72">
        <v>2.9339568499999999</v>
      </c>
      <c r="X46" s="72">
        <v>4.5142164600000001</v>
      </c>
      <c r="Y46" s="72">
        <v>5.8678438399999999</v>
      </c>
      <c r="Z46" s="115">
        <v>7.5483996400000004</v>
      </c>
      <c r="AB46" s="73">
        <v>2.5595000248242815E-2</v>
      </c>
      <c r="AC46" s="71">
        <v>3.4663858146186631E-2</v>
      </c>
      <c r="AD46" s="71">
        <v>4.1622729831471306E-2</v>
      </c>
      <c r="AE46" s="71">
        <v>4.5671017722277267E-2</v>
      </c>
      <c r="AF46" s="63">
        <v>4.9401503521076889E-2</v>
      </c>
      <c r="AG46" s="73" t="s">
        <v>21</v>
      </c>
      <c r="AH46" s="71">
        <v>6.2720305461866268E-3</v>
      </c>
      <c r="AI46" s="71">
        <v>1.2515256931471304E-2</v>
      </c>
      <c r="AJ46" s="71">
        <v>1.5670842922277266E-2</v>
      </c>
      <c r="AK46" s="63">
        <v>1.8070613921076884E-2</v>
      </c>
    </row>
    <row r="47" spans="2:37" x14ac:dyDescent="0.35">
      <c r="B47" s="57" t="s">
        <v>46</v>
      </c>
      <c r="C47" s="67" t="s">
        <v>35</v>
      </c>
      <c r="D47" s="67" t="s">
        <v>47</v>
      </c>
      <c r="E47" s="67" t="s">
        <v>21</v>
      </c>
      <c r="F47" s="74">
        <f t="shared" si="4"/>
        <v>2.6819766169390573E-2</v>
      </c>
      <c r="G47" s="76">
        <f t="shared" si="5"/>
        <v>3.7941912900857147E-2</v>
      </c>
      <c r="H47" s="76">
        <f t="shared" si="6"/>
        <v>4.6965104079209646E-2</v>
      </c>
      <c r="I47" s="76">
        <f t="shared" si="7"/>
        <v>5.2502255594623175E-2</v>
      </c>
      <c r="J47" s="64">
        <f t="shared" si="8"/>
        <v>5.7178517609331618E-2</v>
      </c>
      <c r="K47" s="74" t="str">
        <f t="shared" si="9"/>
        <v/>
      </c>
      <c r="L47" s="76">
        <f t="shared" si="10"/>
        <v>9.474652800857148E-3</v>
      </c>
      <c r="M47" s="76">
        <f t="shared" si="11"/>
        <v>1.7712866179209651E-2</v>
      </c>
      <c r="N47" s="76">
        <f t="shared" si="12"/>
        <v>2.229516959462317E-2</v>
      </c>
      <c r="O47" s="64">
        <f t="shared" si="13"/>
        <v>2.5613381309331627E-2</v>
      </c>
      <c r="P47" s="55" t="s">
        <v>21</v>
      </c>
      <c r="Q47" s="53" t="s">
        <v>21</v>
      </c>
      <c r="R47" s="94" t="s">
        <v>21</v>
      </c>
      <c r="S47" s="71" t="s">
        <v>21</v>
      </c>
      <c r="T47" s="63" t="str">
        <f t="shared" si="14"/>
        <v/>
      </c>
      <c r="V47" s="116">
        <v>1.1495362599999999</v>
      </c>
      <c r="W47" s="108">
        <v>2.9258735699999998</v>
      </c>
      <c r="X47" s="108">
        <v>4.4839587400000003</v>
      </c>
      <c r="Y47" s="108">
        <v>5.79932918</v>
      </c>
      <c r="Z47" s="117">
        <v>7.4020331499999994</v>
      </c>
      <c r="AB47" s="74">
        <v>2.6819766169390573E-2</v>
      </c>
      <c r="AC47" s="76">
        <v>3.7941912900857147E-2</v>
      </c>
      <c r="AD47" s="76">
        <v>4.6965104079209646E-2</v>
      </c>
      <c r="AE47" s="76">
        <v>5.2502255594623175E-2</v>
      </c>
      <c r="AF47" s="64">
        <v>5.7178517609331618E-2</v>
      </c>
      <c r="AG47" s="74" t="s">
        <v>21</v>
      </c>
      <c r="AH47" s="76">
        <v>9.474652800857148E-3</v>
      </c>
      <c r="AI47" s="76">
        <v>1.7712866179209651E-2</v>
      </c>
      <c r="AJ47" s="76">
        <v>2.229516959462317E-2</v>
      </c>
      <c r="AK47" s="64">
        <v>2.5613381309331627E-2</v>
      </c>
    </row>
    <row r="48" spans="2:37" x14ac:dyDescent="0.35">
      <c r="B48" s="55" t="s">
        <v>49</v>
      </c>
      <c r="C48" s="53" t="s">
        <v>30</v>
      </c>
      <c r="D48" s="53" t="s">
        <v>47</v>
      </c>
      <c r="E48" s="53" t="s">
        <v>356</v>
      </c>
      <c r="F48" s="73">
        <f t="shared" si="4"/>
        <v>2.4628694264989492E-2</v>
      </c>
      <c r="G48" s="60">
        <f t="shared" si="5"/>
        <v>3.198790671321463E-2</v>
      </c>
      <c r="H48" s="71">
        <f t="shared" si="6"/>
        <v>3.7097429120677233E-2</v>
      </c>
      <c r="I48" s="71">
        <f t="shared" si="7"/>
        <v>4.0009949110696989E-2</v>
      </c>
      <c r="J48" s="63">
        <f t="shared" si="8"/>
        <v>4.3821080785605419E-2</v>
      </c>
      <c r="K48" s="73" t="str">
        <f t="shared" si="9"/>
        <v/>
      </c>
      <c r="L48" s="60">
        <f t="shared" si="10"/>
        <v>3.6887982132146361E-3</v>
      </c>
      <c r="M48" s="71">
        <f t="shared" si="11"/>
        <v>8.15895712067723E-3</v>
      </c>
      <c r="N48" s="71">
        <f t="shared" si="12"/>
        <v>1.0232905410696991E-2</v>
      </c>
      <c r="O48" s="63">
        <f t="shared" si="13"/>
        <v>1.2683227185605422E-2</v>
      </c>
      <c r="P48" s="56" t="s">
        <v>428</v>
      </c>
      <c r="Q48" s="66" t="s">
        <v>429</v>
      </c>
      <c r="R48" s="100" t="s">
        <v>32</v>
      </c>
      <c r="S48" s="80">
        <v>3.4962189999999997E-2</v>
      </c>
      <c r="T48" s="62">
        <f t="shared" si="14"/>
        <v>2.1352391206772361E-3</v>
      </c>
      <c r="V48" s="114">
        <v>1.1519305</v>
      </c>
      <c r="W48" s="72">
        <v>2.95464109</v>
      </c>
      <c r="X48" s="72">
        <v>4.5877998800000004</v>
      </c>
      <c r="Y48" s="72">
        <v>6.0314017400000006</v>
      </c>
      <c r="Z48" s="115">
        <v>7.8715096799999991</v>
      </c>
      <c r="AB48" s="73">
        <v>2.4628694264989492E-2</v>
      </c>
      <c r="AC48" s="71">
        <v>3.198790671321463E-2</v>
      </c>
      <c r="AD48" s="71">
        <v>3.7097429120677233E-2</v>
      </c>
      <c r="AE48" s="71">
        <v>4.0009949110696989E-2</v>
      </c>
      <c r="AF48" s="63">
        <v>4.3821080785605419E-2</v>
      </c>
      <c r="AG48" s="73" t="s">
        <v>21</v>
      </c>
      <c r="AH48" s="71">
        <v>3.6887982132146361E-3</v>
      </c>
      <c r="AI48" s="71">
        <v>8.15895712067723E-3</v>
      </c>
      <c r="AJ48" s="71">
        <v>1.0232905410696991E-2</v>
      </c>
      <c r="AK48" s="63">
        <v>1.2683227185605422E-2</v>
      </c>
    </row>
    <row r="49" spans="2:37" x14ac:dyDescent="0.35">
      <c r="B49" s="55" t="s">
        <v>49</v>
      </c>
      <c r="C49" s="53" t="s">
        <v>33</v>
      </c>
      <c r="D49" s="53" t="s">
        <v>47</v>
      </c>
      <c r="E49" s="53" t="s">
        <v>276</v>
      </c>
      <c r="F49" s="73">
        <f t="shared" si="4"/>
        <v>2.5114239919557E-2</v>
      </c>
      <c r="G49" s="60">
        <f t="shared" si="5"/>
        <v>3.4178750828178901E-2</v>
      </c>
      <c r="H49" s="71">
        <f t="shared" si="6"/>
        <v>4.0746972216640392E-2</v>
      </c>
      <c r="I49" s="71">
        <f t="shared" si="7"/>
        <v>4.4533358824277267E-2</v>
      </c>
      <c r="J49" s="63">
        <f t="shared" si="8"/>
        <v>4.8574557706865383E-2</v>
      </c>
      <c r="K49" s="73" t="str">
        <f t="shared" si="9"/>
        <v/>
      </c>
      <c r="L49" s="60">
        <f t="shared" si="10"/>
        <v>5.8073847281789014E-3</v>
      </c>
      <c r="M49" s="71">
        <f t="shared" si="11"/>
        <v>1.1677177816640391E-2</v>
      </c>
      <c r="N49" s="71">
        <f t="shared" si="12"/>
        <v>1.4584801224277265E-2</v>
      </c>
      <c r="O49" s="63">
        <f t="shared" si="13"/>
        <v>1.7276353806865388E-2</v>
      </c>
      <c r="P49" s="55" t="s">
        <v>430</v>
      </c>
      <c r="Q49" s="53" t="s">
        <v>431</v>
      </c>
      <c r="R49" s="94" t="s">
        <v>32</v>
      </c>
      <c r="S49" s="71">
        <v>3.9901289999999999E-2</v>
      </c>
      <c r="T49" s="63">
        <f t="shared" si="14"/>
        <v>8.456822166403935E-4</v>
      </c>
      <c r="V49" s="114">
        <v>1.15092317</v>
      </c>
      <c r="W49" s="72">
        <v>2.9386416499999997</v>
      </c>
      <c r="X49" s="72">
        <v>4.5288393300000003</v>
      </c>
      <c r="Y49" s="72">
        <v>5.90005326</v>
      </c>
      <c r="Z49" s="115">
        <v>7.6048099599999999</v>
      </c>
      <c r="AB49" s="73">
        <v>2.5114239919557E-2</v>
      </c>
      <c r="AC49" s="71">
        <v>3.4178750828178901E-2</v>
      </c>
      <c r="AD49" s="71">
        <v>4.0746972216640392E-2</v>
      </c>
      <c r="AE49" s="71">
        <v>4.4533358824277267E-2</v>
      </c>
      <c r="AF49" s="63">
        <v>4.8574557706865383E-2</v>
      </c>
      <c r="AG49" s="73" t="s">
        <v>21</v>
      </c>
      <c r="AH49" s="71">
        <v>5.8073847281789014E-3</v>
      </c>
      <c r="AI49" s="71">
        <v>1.1677177816640391E-2</v>
      </c>
      <c r="AJ49" s="71">
        <v>1.4584801224277265E-2</v>
      </c>
      <c r="AK49" s="63">
        <v>1.7276353806865388E-2</v>
      </c>
    </row>
    <row r="50" spans="2:37" x14ac:dyDescent="0.35">
      <c r="B50" s="57" t="s">
        <v>49</v>
      </c>
      <c r="C50" s="67" t="s">
        <v>35</v>
      </c>
      <c r="D50" s="67" t="s">
        <v>47</v>
      </c>
      <c r="E50" s="67" t="s">
        <v>21</v>
      </c>
      <c r="F50" s="74">
        <f t="shared" si="4"/>
        <v>2.6465463555900019E-2</v>
      </c>
      <c r="G50" s="76">
        <f t="shared" si="5"/>
        <v>3.6979349319158597E-2</v>
      </c>
      <c r="H50" s="76">
        <f t="shared" si="6"/>
        <v>4.5404630691489346E-2</v>
      </c>
      <c r="I50" s="76">
        <f t="shared" si="7"/>
        <v>5.0770126981841468E-2</v>
      </c>
      <c r="J50" s="64">
        <f t="shared" si="8"/>
        <v>5.5716919235131251E-2</v>
      </c>
      <c r="K50" s="74" t="str">
        <f t="shared" si="9"/>
        <v/>
      </c>
      <c r="L50" s="76">
        <f t="shared" si="10"/>
        <v>8.5440762191585987E-3</v>
      </c>
      <c r="M50" s="76">
        <f t="shared" si="11"/>
        <v>1.6215494391489352E-2</v>
      </c>
      <c r="N50" s="76">
        <f t="shared" si="12"/>
        <v>2.0639435981841467E-2</v>
      </c>
      <c r="O50" s="64">
        <f t="shared" si="13"/>
        <v>2.421335413513126E-2</v>
      </c>
      <c r="P50" s="57" t="s">
        <v>21</v>
      </c>
      <c r="Q50" s="67" t="s">
        <v>21</v>
      </c>
      <c r="R50" s="96" t="s">
        <v>21</v>
      </c>
      <c r="S50" s="76" t="s">
        <v>21</v>
      </c>
      <c r="T50" s="64" t="str">
        <f t="shared" si="14"/>
        <v/>
      </c>
      <c r="V50" s="116">
        <v>1.1500636399999999</v>
      </c>
      <c r="W50" s="108">
        <v>2.9314820299999997</v>
      </c>
      <c r="X50" s="108">
        <v>4.5035989899999995</v>
      </c>
      <c r="Y50" s="108">
        <v>5.8396017100000002</v>
      </c>
      <c r="Z50" s="117">
        <v>7.4730059500000001</v>
      </c>
      <c r="AB50" s="74">
        <v>2.6465463555900019E-2</v>
      </c>
      <c r="AC50" s="76">
        <v>3.6979349319158597E-2</v>
      </c>
      <c r="AD50" s="76">
        <v>4.5404630691489346E-2</v>
      </c>
      <c r="AE50" s="76">
        <v>5.0770126981841468E-2</v>
      </c>
      <c r="AF50" s="64">
        <v>5.5716919235131251E-2</v>
      </c>
      <c r="AG50" s="74" t="s">
        <v>21</v>
      </c>
      <c r="AH50" s="76">
        <v>8.5440762191585987E-3</v>
      </c>
      <c r="AI50" s="76">
        <v>1.6215494391489352E-2</v>
      </c>
      <c r="AJ50" s="76">
        <v>2.0639435981841467E-2</v>
      </c>
      <c r="AK50" s="64">
        <v>2.421335413513126E-2</v>
      </c>
    </row>
    <row r="51" spans="2:37" x14ac:dyDescent="0.35">
      <c r="B51" s="56" t="s">
        <v>50</v>
      </c>
      <c r="C51" s="66" t="s">
        <v>30</v>
      </c>
      <c r="D51" s="66" t="s">
        <v>47</v>
      </c>
      <c r="E51" s="66" t="s">
        <v>181</v>
      </c>
      <c r="F51" s="75">
        <f t="shared" si="4"/>
        <v>2.4439633667249602E-2</v>
      </c>
      <c r="G51" s="80">
        <f t="shared" si="5"/>
        <v>3.2049105430613754E-2</v>
      </c>
      <c r="H51" s="80">
        <f t="shared" si="6"/>
        <v>3.7405639923578766E-2</v>
      </c>
      <c r="I51" s="80">
        <f t="shared" si="7"/>
        <v>4.0603120040000891E-2</v>
      </c>
      <c r="J51" s="62">
        <f t="shared" si="8"/>
        <v>4.4227246734907383E-2</v>
      </c>
      <c r="K51" s="75" t="str">
        <f t="shared" si="9"/>
        <v/>
      </c>
      <c r="L51" s="80">
        <f t="shared" si="10"/>
        <v>3.7484890306137518E-3</v>
      </c>
      <c r="M51" s="80">
        <f t="shared" si="11"/>
        <v>8.4572553235787717E-3</v>
      </c>
      <c r="N51" s="80">
        <f t="shared" si="12"/>
        <v>1.0806044140000888E-2</v>
      </c>
      <c r="O51" s="62">
        <f t="shared" si="13"/>
        <v>1.3079715734907378E-2</v>
      </c>
      <c r="P51" s="55" t="s">
        <v>432</v>
      </c>
      <c r="Q51" s="53" t="s">
        <v>433</v>
      </c>
      <c r="R51" s="94" t="s">
        <v>32</v>
      </c>
      <c r="S51" s="71">
        <v>3.4595440000000005E-2</v>
      </c>
      <c r="T51" s="63">
        <f t="shared" si="14"/>
        <v>2.8101999235787614E-3</v>
      </c>
      <c r="V51" s="118">
        <v>1.15229508</v>
      </c>
      <c r="W51" s="61">
        <v>2.95488865</v>
      </c>
      <c r="X51" s="61">
        <v>4.5846093400000001</v>
      </c>
      <c r="Y51" s="61">
        <v>6.0187725900000002</v>
      </c>
      <c r="Z51" s="119">
        <v>7.8451140399999995</v>
      </c>
      <c r="AB51" s="75">
        <v>2.4439633667249602E-2</v>
      </c>
      <c r="AC51" s="80">
        <v>3.2049105430613754E-2</v>
      </c>
      <c r="AD51" s="80">
        <v>3.7405639923578766E-2</v>
      </c>
      <c r="AE51" s="80">
        <v>4.0603120040000891E-2</v>
      </c>
      <c r="AF51" s="62">
        <v>4.4227246734907383E-2</v>
      </c>
      <c r="AG51" s="75" t="s">
        <v>21</v>
      </c>
      <c r="AH51" s="80">
        <v>3.7484890306137518E-3</v>
      </c>
      <c r="AI51" s="80">
        <v>8.4572553235787717E-3</v>
      </c>
      <c r="AJ51" s="80">
        <v>1.0806044140000888E-2</v>
      </c>
      <c r="AK51" s="62">
        <v>1.3079715734907378E-2</v>
      </c>
    </row>
    <row r="52" spans="2:37" x14ac:dyDescent="0.35">
      <c r="B52" s="55" t="s">
        <v>50</v>
      </c>
      <c r="C52" s="53" t="s">
        <v>33</v>
      </c>
      <c r="D52" s="53" t="s">
        <v>47</v>
      </c>
      <c r="E52" s="53" t="s">
        <v>133</v>
      </c>
      <c r="F52" s="73">
        <f t="shared" si="4"/>
        <v>2.5360235721374913E-2</v>
      </c>
      <c r="G52" s="60">
        <f t="shared" si="5"/>
        <v>3.4394006352380789E-2</v>
      </c>
      <c r="H52" s="71">
        <f t="shared" si="6"/>
        <v>4.1161574880363073E-2</v>
      </c>
      <c r="I52" s="71">
        <f t="shared" si="7"/>
        <v>4.5317944022879635E-2</v>
      </c>
      <c r="J52" s="63">
        <f t="shared" si="8"/>
        <v>4.9043881328409991E-2</v>
      </c>
      <c r="K52" s="73" t="str">
        <f t="shared" si="9"/>
        <v/>
      </c>
      <c r="L52" s="60">
        <f t="shared" si="10"/>
        <v>6.0121405523807913E-3</v>
      </c>
      <c r="M52" s="71">
        <f t="shared" si="11"/>
        <v>1.2073083380363069E-2</v>
      </c>
      <c r="N52" s="71">
        <f t="shared" si="12"/>
        <v>1.5333386822879632E-2</v>
      </c>
      <c r="O52" s="63">
        <f t="shared" si="13"/>
        <v>1.7728049328409989E-2</v>
      </c>
      <c r="P52" s="55" t="s">
        <v>434</v>
      </c>
      <c r="Q52" s="53" t="s">
        <v>435</v>
      </c>
      <c r="R52" s="94" t="s">
        <v>32</v>
      </c>
      <c r="S52" s="71">
        <v>3.5365540000000001E-2</v>
      </c>
      <c r="T52" s="63">
        <f t="shared" si="14"/>
        <v>5.7960348803630726E-3</v>
      </c>
      <c r="V52" s="114">
        <v>1.15049172</v>
      </c>
      <c r="W52" s="72">
        <v>2.93651084</v>
      </c>
      <c r="X52" s="72">
        <v>4.5220573999999996</v>
      </c>
      <c r="Y52" s="72">
        <v>5.88148246</v>
      </c>
      <c r="Z52" s="115">
        <v>7.5711903299999994</v>
      </c>
      <c r="AB52" s="73">
        <v>2.5360235721374913E-2</v>
      </c>
      <c r="AC52" s="71">
        <v>3.4394006352380789E-2</v>
      </c>
      <c r="AD52" s="71">
        <v>4.1161574880363073E-2</v>
      </c>
      <c r="AE52" s="71">
        <v>4.5317944022879635E-2</v>
      </c>
      <c r="AF52" s="63">
        <v>4.9043881328409991E-2</v>
      </c>
      <c r="AG52" s="73" t="s">
        <v>21</v>
      </c>
      <c r="AH52" s="71">
        <v>6.0121405523807913E-3</v>
      </c>
      <c r="AI52" s="71">
        <v>1.2073083380363069E-2</v>
      </c>
      <c r="AJ52" s="71">
        <v>1.5333386822879632E-2</v>
      </c>
      <c r="AK52" s="63">
        <v>1.7728049328409989E-2</v>
      </c>
    </row>
    <row r="53" spans="2:37" x14ac:dyDescent="0.35">
      <c r="B53" s="57" t="s">
        <v>50</v>
      </c>
      <c r="C53" s="67" t="s">
        <v>35</v>
      </c>
      <c r="D53" s="67" t="s">
        <v>47</v>
      </c>
      <c r="E53" s="67" t="s">
        <v>21</v>
      </c>
      <c r="F53" s="74">
        <f t="shared" si="4"/>
        <v>2.6799608082370342E-2</v>
      </c>
      <c r="G53" s="76">
        <f t="shared" si="5"/>
        <v>3.7760732376598889E-2</v>
      </c>
      <c r="H53" s="76">
        <f t="shared" si="6"/>
        <v>4.6669532873367663E-2</v>
      </c>
      <c r="I53" s="76">
        <f t="shared" si="7"/>
        <v>5.2023360846775515E-2</v>
      </c>
      <c r="J53" s="64">
        <f t="shared" si="8"/>
        <v>5.6965433985615731E-2</v>
      </c>
      <c r="K53" s="74" t="str">
        <f t="shared" si="9"/>
        <v/>
      </c>
      <c r="L53" s="76">
        <f t="shared" si="10"/>
        <v>9.2999171765988983E-3</v>
      </c>
      <c r="M53" s="76">
        <f t="shared" si="11"/>
        <v>1.7429727273367668E-2</v>
      </c>
      <c r="N53" s="76">
        <f t="shared" si="12"/>
        <v>2.1838064346775522E-2</v>
      </c>
      <c r="O53" s="64">
        <f t="shared" si="13"/>
        <v>2.5408589185615744E-2</v>
      </c>
      <c r="P53" s="55" t="s">
        <v>21</v>
      </c>
      <c r="Q53" s="53" t="s">
        <v>21</v>
      </c>
      <c r="R53" s="94" t="s">
        <v>21</v>
      </c>
      <c r="S53" s="71" t="s">
        <v>21</v>
      </c>
      <c r="T53" s="63" t="str">
        <f t="shared" si="14"/>
        <v/>
      </c>
      <c r="V53" s="116">
        <v>1.1495610300000001</v>
      </c>
      <c r="W53" s="108">
        <v>2.9267934799999997</v>
      </c>
      <c r="X53" s="108">
        <v>4.4875301300000006</v>
      </c>
      <c r="Y53" s="108">
        <v>5.8083767699999997</v>
      </c>
      <c r="Z53" s="117">
        <v>7.4165671500000006</v>
      </c>
      <c r="AB53" s="74">
        <v>2.6799608082370342E-2</v>
      </c>
      <c r="AC53" s="76">
        <v>3.7760732376598889E-2</v>
      </c>
      <c r="AD53" s="76">
        <v>4.6669532873367663E-2</v>
      </c>
      <c r="AE53" s="76">
        <v>5.2023360846775515E-2</v>
      </c>
      <c r="AF53" s="64">
        <v>5.6965433985615731E-2</v>
      </c>
      <c r="AG53" s="74" t="s">
        <v>21</v>
      </c>
      <c r="AH53" s="76">
        <v>9.2999171765988983E-3</v>
      </c>
      <c r="AI53" s="76">
        <v>1.7429727273367668E-2</v>
      </c>
      <c r="AJ53" s="76">
        <v>2.1838064346775522E-2</v>
      </c>
      <c r="AK53" s="64">
        <v>2.5408589185615744E-2</v>
      </c>
    </row>
    <row r="54" spans="2:37" x14ac:dyDescent="0.35">
      <c r="B54" s="79" t="s">
        <v>51</v>
      </c>
      <c r="C54" s="78"/>
      <c r="D54" s="78"/>
      <c r="E54" s="78"/>
      <c r="F54" s="78" t="str">
        <f t="shared" si="4"/>
        <v/>
      </c>
      <c r="G54" s="78" t="str">
        <f t="shared" si="5"/>
        <v/>
      </c>
      <c r="H54" s="78" t="str">
        <f t="shared" si="6"/>
        <v/>
      </c>
      <c r="I54" s="78" t="str">
        <f t="shared" si="7"/>
        <v/>
      </c>
      <c r="J54" s="78" t="str">
        <f t="shared" si="8"/>
        <v/>
      </c>
      <c r="K54" s="78" t="str">
        <f t="shared" si="9"/>
        <v/>
      </c>
      <c r="L54" s="78" t="str">
        <f t="shared" si="10"/>
        <v/>
      </c>
      <c r="M54" s="78" t="str">
        <f t="shared" si="11"/>
        <v/>
      </c>
      <c r="N54" s="78" t="str">
        <f t="shared" si="12"/>
        <v/>
      </c>
      <c r="O54" s="77" t="str">
        <f t="shared" si="13"/>
        <v/>
      </c>
      <c r="P54" s="79"/>
      <c r="Q54" s="78"/>
      <c r="R54" s="95"/>
      <c r="S54" s="78"/>
      <c r="T54" s="77" t="str">
        <f t="shared" si="14"/>
        <v/>
      </c>
      <c r="V54" s="112"/>
      <c r="W54" s="107"/>
      <c r="X54" s="107"/>
      <c r="Y54" s="107"/>
      <c r="Z54" s="113"/>
      <c r="AB54" s="78"/>
      <c r="AC54" s="78"/>
      <c r="AD54" s="78"/>
      <c r="AE54" s="78"/>
      <c r="AF54" s="78"/>
      <c r="AG54" s="78"/>
      <c r="AH54" s="78"/>
      <c r="AI54" s="78"/>
      <c r="AJ54" s="78"/>
      <c r="AK54" s="77"/>
    </row>
    <row r="55" spans="2:37" x14ac:dyDescent="0.35">
      <c r="B55" s="56" t="s">
        <v>52</v>
      </c>
      <c r="C55" s="66" t="s">
        <v>30</v>
      </c>
      <c r="D55" s="66" t="s">
        <v>53</v>
      </c>
      <c r="E55" s="66" t="s">
        <v>57</v>
      </c>
      <c r="F55" s="75">
        <f t="shared" si="4"/>
        <v>2.5611482416650677E-2</v>
      </c>
      <c r="G55" s="80">
        <f t="shared" si="5"/>
        <v>3.2841406869581612E-2</v>
      </c>
      <c r="H55" s="80">
        <f t="shared" si="6"/>
        <v>3.7616030349323183E-2</v>
      </c>
      <c r="I55" s="80">
        <f t="shared" si="7"/>
        <v>4.0518851837351537E-2</v>
      </c>
      <c r="J55" s="62">
        <f t="shared" si="8"/>
        <v>4.3809442251945843E-2</v>
      </c>
      <c r="K55" s="75" t="str">
        <f t="shared" si="9"/>
        <v/>
      </c>
      <c r="L55" s="80">
        <f t="shared" si="10"/>
        <v>4.514300169581615E-3</v>
      </c>
      <c r="M55" s="80">
        <f t="shared" si="11"/>
        <v>8.6600489493231826E-3</v>
      </c>
      <c r="N55" s="80">
        <f t="shared" si="12"/>
        <v>1.072325573735154E-2</v>
      </c>
      <c r="O55" s="62">
        <f t="shared" si="13"/>
        <v>1.2671373551945843E-2</v>
      </c>
      <c r="P55" s="55" t="s">
        <v>436</v>
      </c>
      <c r="Q55" s="53" t="s">
        <v>437</v>
      </c>
      <c r="R55" s="94" t="s">
        <v>32</v>
      </c>
      <c r="S55" s="71">
        <v>3.3505449999999999E-2</v>
      </c>
      <c r="T55" s="63">
        <f t="shared" si="14"/>
        <v>4.1105803493231841E-3</v>
      </c>
      <c r="V55" s="118">
        <v>1.1499849100000001</v>
      </c>
      <c r="W55" s="61">
        <v>2.9456398699999999</v>
      </c>
      <c r="X55" s="61">
        <v>4.5716195199999996</v>
      </c>
      <c r="Y55" s="61">
        <v>6.0074128499999997</v>
      </c>
      <c r="Z55" s="119">
        <v>7.8464866300000002</v>
      </c>
      <c r="AB55" s="75">
        <v>2.5611482416650677E-2</v>
      </c>
      <c r="AC55" s="80">
        <v>3.2841406869581612E-2</v>
      </c>
      <c r="AD55" s="80">
        <v>3.7616030349323183E-2</v>
      </c>
      <c r="AE55" s="80">
        <v>4.0518851837351537E-2</v>
      </c>
      <c r="AF55" s="62">
        <v>4.3809442251945843E-2</v>
      </c>
      <c r="AG55" s="75" t="s">
        <v>21</v>
      </c>
      <c r="AH55" s="80">
        <v>4.514300169581615E-3</v>
      </c>
      <c r="AI55" s="80">
        <v>8.6600489493231826E-3</v>
      </c>
      <c r="AJ55" s="80">
        <v>1.072325573735154E-2</v>
      </c>
      <c r="AK55" s="62">
        <v>1.2671373551945843E-2</v>
      </c>
    </row>
    <row r="56" spans="2:37" x14ac:dyDescent="0.35">
      <c r="B56" s="55" t="s">
        <v>52</v>
      </c>
      <c r="C56" s="53" t="s">
        <v>33</v>
      </c>
      <c r="D56" s="53" t="s">
        <v>53</v>
      </c>
      <c r="E56" s="53" t="s">
        <v>58</v>
      </c>
      <c r="F56" s="73">
        <f t="shared" si="4"/>
        <v>2.60533551015526E-2</v>
      </c>
      <c r="G56" s="60">
        <f t="shared" si="5"/>
        <v>3.4396372934593855E-2</v>
      </c>
      <c r="H56" s="71">
        <f t="shared" si="6"/>
        <v>4.095750752668198E-2</v>
      </c>
      <c r="I56" s="71">
        <f t="shared" si="7"/>
        <v>4.4643524561111474E-2</v>
      </c>
      <c r="J56" s="63">
        <f t="shared" si="8"/>
        <v>4.836058212733884E-2</v>
      </c>
      <c r="K56" s="73" t="str">
        <f t="shared" si="9"/>
        <v/>
      </c>
      <c r="L56" s="60">
        <f t="shared" si="10"/>
        <v>6.0144128345938526E-3</v>
      </c>
      <c r="M56" s="71">
        <f t="shared" si="11"/>
        <v>1.1876927526681975E-2</v>
      </c>
      <c r="N56" s="71">
        <f t="shared" si="12"/>
        <v>1.4687890361111471E-2</v>
      </c>
      <c r="O56" s="63">
        <f t="shared" si="13"/>
        <v>1.7068699727338838E-2</v>
      </c>
      <c r="P56" s="55" t="s">
        <v>438</v>
      </c>
      <c r="Q56" s="53" t="s">
        <v>439</v>
      </c>
      <c r="R56" s="94" t="s">
        <v>32</v>
      </c>
      <c r="S56" s="71">
        <v>3.6036550000000001E-2</v>
      </c>
      <c r="T56" s="63">
        <f t="shared" si="14"/>
        <v>4.9209575266819794E-3</v>
      </c>
      <c r="V56" s="114">
        <v>1.14912261</v>
      </c>
      <c r="W56" s="72">
        <v>2.93407353</v>
      </c>
      <c r="X56" s="72">
        <v>4.5218961799999997</v>
      </c>
      <c r="Y56" s="72">
        <v>5.8915120700000001</v>
      </c>
      <c r="Z56" s="115">
        <v>7.6017243100000007</v>
      </c>
      <c r="AB56" s="73">
        <v>2.60533551015526E-2</v>
      </c>
      <c r="AC56" s="71">
        <v>3.4396372934593855E-2</v>
      </c>
      <c r="AD56" s="71">
        <v>4.095750752668198E-2</v>
      </c>
      <c r="AE56" s="71">
        <v>4.4643524561111474E-2</v>
      </c>
      <c r="AF56" s="63">
        <v>4.836058212733884E-2</v>
      </c>
      <c r="AG56" s="73" t="s">
        <v>21</v>
      </c>
      <c r="AH56" s="71">
        <v>6.0144128345938526E-3</v>
      </c>
      <c r="AI56" s="71">
        <v>1.1876927526681975E-2</v>
      </c>
      <c r="AJ56" s="71">
        <v>1.4687890361111471E-2</v>
      </c>
      <c r="AK56" s="63">
        <v>1.7068699727338838E-2</v>
      </c>
    </row>
    <row r="57" spans="2:37" x14ac:dyDescent="0.35">
      <c r="B57" s="57" t="s">
        <v>52</v>
      </c>
      <c r="C57" s="67" t="s">
        <v>35</v>
      </c>
      <c r="D57" s="67" t="s">
        <v>53</v>
      </c>
      <c r="E57" s="67" t="s">
        <v>351</v>
      </c>
      <c r="F57" s="74">
        <f t="shared" si="4"/>
        <v>2.6801006996606806E-2</v>
      </c>
      <c r="G57" s="76">
        <f t="shared" si="5"/>
        <v>3.7783631957061192E-2</v>
      </c>
      <c r="H57" s="76">
        <f t="shared" si="6"/>
        <v>4.6476575481290291E-2</v>
      </c>
      <c r="I57" s="76">
        <f t="shared" si="7"/>
        <v>5.1832838703343043E-2</v>
      </c>
      <c r="J57" s="64">
        <f t="shared" si="8"/>
        <v>5.6512371519467725E-2</v>
      </c>
      <c r="K57" s="74" t="str">
        <f t="shared" si="9"/>
        <v/>
      </c>
      <c r="L57" s="76">
        <f t="shared" si="10"/>
        <v>9.3225752570611862E-3</v>
      </c>
      <c r="M57" s="76">
        <f t="shared" si="11"/>
        <v>1.7245084081290288E-2</v>
      </c>
      <c r="N57" s="76">
        <f t="shared" si="12"/>
        <v>2.1656184203343032E-2</v>
      </c>
      <c r="O57" s="64">
        <f t="shared" si="13"/>
        <v>2.4975701919467727E-2</v>
      </c>
      <c r="P57" s="55" t="s">
        <v>21</v>
      </c>
      <c r="Q57" s="53" t="s">
        <v>21</v>
      </c>
      <c r="R57" s="94" t="s">
        <v>21</v>
      </c>
      <c r="S57" s="71" t="s">
        <v>21</v>
      </c>
      <c r="T57" s="63" t="str">
        <f t="shared" si="14"/>
        <v/>
      </c>
      <c r="V57" s="116">
        <v>1.1495502100000001</v>
      </c>
      <c r="W57" s="108">
        <v>2.9266607200000001</v>
      </c>
      <c r="X57" s="108">
        <v>4.4888986900000001</v>
      </c>
      <c r="Y57" s="108">
        <v>5.8121494500000006</v>
      </c>
      <c r="Z57" s="117">
        <v>7.4288722400000005</v>
      </c>
      <c r="AB57" s="74">
        <v>2.6801006996606806E-2</v>
      </c>
      <c r="AC57" s="76">
        <v>3.7783631957061192E-2</v>
      </c>
      <c r="AD57" s="76">
        <v>4.6476575481290291E-2</v>
      </c>
      <c r="AE57" s="76">
        <v>5.1832838703343043E-2</v>
      </c>
      <c r="AF57" s="64">
        <v>5.6512371519467725E-2</v>
      </c>
      <c r="AG57" s="74" t="s">
        <v>21</v>
      </c>
      <c r="AH57" s="76">
        <v>9.3225752570611862E-3</v>
      </c>
      <c r="AI57" s="76">
        <v>1.7245084081290288E-2</v>
      </c>
      <c r="AJ57" s="76">
        <v>2.1656184203343032E-2</v>
      </c>
      <c r="AK57" s="64">
        <v>2.4975701919467727E-2</v>
      </c>
    </row>
    <row r="58" spans="2:37" x14ac:dyDescent="0.35">
      <c r="B58" s="55" t="s">
        <v>56</v>
      </c>
      <c r="C58" s="53" t="s">
        <v>30</v>
      </c>
      <c r="D58" s="53" t="s">
        <v>53</v>
      </c>
      <c r="E58" s="53" t="s">
        <v>440</v>
      </c>
      <c r="F58" s="73">
        <f t="shared" si="4"/>
        <v>2.5223784304050624E-2</v>
      </c>
      <c r="G58" s="60">
        <f t="shared" si="5"/>
        <v>3.2783969425661363E-2</v>
      </c>
      <c r="H58" s="71">
        <f t="shared" si="6"/>
        <v>3.7616787042368156E-2</v>
      </c>
      <c r="I58" s="71">
        <f t="shared" si="7"/>
        <v>4.0714302177465703E-2</v>
      </c>
      <c r="J58" s="63">
        <f t="shared" si="8"/>
        <v>4.3814133897710161E-2</v>
      </c>
      <c r="K58" s="73" t="str">
        <f t="shared" si="9"/>
        <v/>
      </c>
      <c r="L58" s="60">
        <f t="shared" si="10"/>
        <v>4.4588373256613644E-3</v>
      </c>
      <c r="M58" s="71">
        <f t="shared" si="11"/>
        <v>8.660955742368158E-3</v>
      </c>
      <c r="N58" s="71">
        <f t="shared" si="12"/>
        <v>1.0912036177465709E-2</v>
      </c>
      <c r="O58" s="63">
        <f t="shared" si="13"/>
        <v>1.2677987897710163E-2</v>
      </c>
      <c r="P58" s="56" t="s">
        <v>441</v>
      </c>
      <c r="Q58" s="66" t="s">
        <v>442</v>
      </c>
      <c r="R58" s="100" t="s">
        <v>32</v>
      </c>
      <c r="S58" s="80">
        <v>4.2312219999999998E-2</v>
      </c>
      <c r="T58" s="62">
        <f t="shared" si="14"/>
        <v>-4.6954329576318413E-3</v>
      </c>
      <c r="V58" s="114">
        <v>1.1507501200000001</v>
      </c>
      <c r="W58" s="72">
        <v>2.9473715599999997</v>
      </c>
      <c r="X58" s="72">
        <v>4.5733889599999999</v>
      </c>
      <c r="Y58" s="72">
        <v>6.0062272500000002</v>
      </c>
      <c r="Z58" s="115">
        <v>7.8434533900000005</v>
      </c>
      <c r="AB58" s="73">
        <v>2.5223784304050624E-2</v>
      </c>
      <c r="AC58" s="71">
        <v>3.2783969425661363E-2</v>
      </c>
      <c r="AD58" s="71">
        <v>3.7616787042368156E-2</v>
      </c>
      <c r="AE58" s="71">
        <v>4.0714302177465703E-2</v>
      </c>
      <c r="AF58" s="63">
        <v>4.3814133897710161E-2</v>
      </c>
      <c r="AG58" s="73" t="s">
        <v>21</v>
      </c>
      <c r="AH58" s="71">
        <v>4.4588373256613644E-3</v>
      </c>
      <c r="AI58" s="71">
        <v>8.660955742368158E-3</v>
      </c>
      <c r="AJ58" s="71">
        <v>1.0912036177465709E-2</v>
      </c>
      <c r="AK58" s="63">
        <v>1.2677987897710163E-2</v>
      </c>
    </row>
    <row r="59" spans="2:37" x14ac:dyDescent="0.35">
      <c r="B59" s="55" t="s">
        <v>56</v>
      </c>
      <c r="C59" s="53" t="s">
        <v>33</v>
      </c>
      <c r="D59" s="53" t="s">
        <v>53</v>
      </c>
      <c r="E59" s="53" t="s">
        <v>443</v>
      </c>
      <c r="F59" s="73">
        <f t="shared" si="4"/>
        <v>2.6010803609472399E-2</v>
      </c>
      <c r="G59" s="60">
        <f t="shared" si="5"/>
        <v>3.4342867053859839E-2</v>
      </c>
      <c r="H59" s="71">
        <f t="shared" si="6"/>
        <v>4.0754184830376891E-2</v>
      </c>
      <c r="I59" s="71">
        <f t="shared" si="7"/>
        <v>4.4301600351099597E-2</v>
      </c>
      <c r="J59" s="63">
        <f t="shared" si="8"/>
        <v>4.7920702434853947E-2</v>
      </c>
      <c r="K59" s="73" t="str">
        <f t="shared" si="9"/>
        <v/>
      </c>
      <c r="L59" s="60">
        <f t="shared" si="10"/>
        <v>5.9624376538598449E-3</v>
      </c>
      <c r="M59" s="71">
        <f t="shared" si="11"/>
        <v>1.1681450730376885E-2</v>
      </c>
      <c r="N59" s="71">
        <f t="shared" si="12"/>
        <v>1.4360273051099597E-2</v>
      </c>
      <c r="O59" s="63">
        <f t="shared" si="13"/>
        <v>1.6645170034853943E-2</v>
      </c>
      <c r="P59" s="55" t="s">
        <v>444</v>
      </c>
      <c r="Q59" s="53" t="s">
        <v>445</v>
      </c>
      <c r="R59" s="94" t="s">
        <v>32</v>
      </c>
      <c r="S59" s="71">
        <v>3.6414290000000002E-2</v>
      </c>
      <c r="T59" s="63">
        <f t="shared" si="14"/>
        <v>4.3398948303768892E-3</v>
      </c>
      <c r="V59" s="114">
        <v>1.14921472</v>
      </c>
      <c r="W59" s="72">
        <v>2.9345842000000002</v>
      </c>
      <c r="X59" s="72">
        <v>4.5246260999999999</v>
      </c>
      <c r="Y59" s="72">
        <v>5.8995305400000007</v>
      </c>
      <c r="Z59" s="115">
        <v>7.6219129999999993</v>
      </c>
      <c r="AB59" s="73">
        <v>2.6010803609472399E-2</v>
      </c>
      <c r="AC59" s="71">
        <v>3.4342867053859839E-2</v>
      </c>
      <c r="AD59" s="71">
        <v>4.0754184830376891E-2</v>
      </c>
      <c r="AE59" s="71">
        <v>4.4301600351099597E-2</v>
      </c>
      <c r="AF59" s="63">
        <v>4.7920702434853947E-2</v>
      </c>
      <c r="AG59" s="73" t="s">
        <v>21</v>
      </c>
      <c r="AH59" s="71">
        <v>5.9624376538598449E-3</v>
      </c>
      <c r="AI59" s="71">
        <v>1.1681450730376885E-2</v>
      </c>
      <c r="AJ59" s="71">
        <v>1.4360273051099597E-2</v>
      </c>
      <c r="AK59" s="63">
        <v>1.6645170034853943E-2</v>
      </c>
    </row>
    <row r="60" spans="2:37" x14ac:dyDescent="0.35">
      <c r="B60" s="55" t="s">
        <v>56</v>
      </c>
      <c r="C60" s="53" t="s">
        <v>35</v>
      </c>
      <c r="D60" s="53" t="s">
        <v>53</v>
      </c>
      <c r="E60" s="53" t="s">
        <v>54</v>
      </c>
      <c r="F60" s="73">
        <f t="shared" si="4"/>
        <v>2.6456348149252171E-2</v>
      </c>
      <c r="G60" s="60">
        <f t="shared" si="5"/>
        <v>3.6984807043816979E-2</v>
      </c>
      <c r="H60" s="71">
        <f t="shared" si="6"/>
        <v>4.5208156354693899E-2</v>
      </c>
      <c r="I60" s="71">
        <f t="shared" si="7"/>
        <v>5.0298881022471029E-2</v>
      </c>
      <c r="J60" s="63">
        <f t="shared" si="8"/>
        <v>5.5071518816787096E-2</v>
      </c>
      <c r="K60" s="73" t="str">
        <f t="shared" si="9"/>
        <v/>
      </c>
      <c r="L60" s="60">
        <f t="shared" si="10"/>
        <v>8.5511975438169793E-3</v>
      </c>
      <c r="M60" s="71">
        <f t="shared" si="11"/>
        <v>1.6028140154693893E-2</v>
      </c>
      <c r="N60" s="71">
        <f t="shared" si="12"/>
        <v>2.0189535622471031E-2</v>
      </c>
      <c r="O60" s="63">
        <f t="shared" si="13"/>
        <v>2.35951049167871E-2</v>
      </c>
      <c r="P60" s="57" t="s">
        <v>446</v>
      </c>
      <c r="Q60" s="67" t="s">
        <v>447</v>
      </c>
      <c r="R60" s="96" t="s">
        <v>32</v>
      </c>
      <c r="S60" s="76">
        <v>4.1389809999999999E-2</v>
      </c>
      <c r="T60" s="64">
        <f t="shared" si="14"/>
        <v>3.8183463546938995E-3</v>
      </c>
      <c r="V60" s="114">
        <v>1.1500461799999999</v>
      </c>
      <c r="W60" s="72">
        <v>2.9314157199999999</v>
      </c>
      <c r="X60" s="72">
        <v>4.5050761399999999</v>
      </c>
      <c r="Y60" s="72">
        <v>5.8464455600000003</v>
      </c>
      <c r="Z60" s="115">
        <v>7.4933328599999998</v>
      </c>
      <c r="AB60" s="73">
        <v>2.6456348149252171E-2</v>
      </c>
      <c r="AC60" s="71">
        <v>3.6984807043816979E-2</v>
      </c>
      <c r="AD60" s="71">
        <v>4.5208156354693899E-2</v>
      </c>
      <c r="AE60" s="71">
        <v>5.0298881022471029E-2</v>
      </c>
      <c r="AF60" s="63">
        <v>5.5071518816787096E-2</v>
      </c>
      <c r="AG60" s="73" t="s">
        <v>21</v>
      </c>
      <c r="AH60" s="71">
        <v>8.5511975438169793E-3</v>
      </c>
      <c r="AI60" s="71">
        <v>1.6028140154693893E-2</v>
      </c>
      <c r="AJ60" s="71">
        <v>2.0189535622471031E-2</v>
      </c>
      <c r="AK60" s="63">
        <v>2.35951049167871E-2</v>
      </c>
    </row>
    <row r="61" spans="2:37" x14ac:dyDescent="0.35">
      <c r="B61" s="79" t="s">
        <v>59</v>
      </c>
      <c r="C61" s="78"/>
      <c r="D61" s="78"/>
      <c r="E61" s="78"/>
      <c r="F61" s="78" t="str">
        <f t="shared" si="4"/>
        <v/>
      </c>
      <c r="G61" s="78" t="str">
        <f t="shared" si="5"/>
        <v/>
      </c>
      <c r="H61" s="78" t="str">
        <f t="shared" si="6"/>
        <v/>
      </c>
      <c r="I61" s="78" t="str">
        <f t="shared" si="7"/>
        <v/>
      </c>
      <c r="J61" s="78" t="str">
        <f t="shared" si="8"/>
        <v/>
      </c>
      <c r="K61" s="78" t="str">
        <f t="shared" si="9"/>
        <v/>
      </c>
      <c r="L61" s="78" t="str">
        <f t="shared" si="10"/>
        <v/>
      </c>
      <c r="M61" s="78" t="str">
        <f t="shared" si="11"/>
        <v/>
      </c>
      <c r="N61" s="78" t="str">
        <f t="shared" si="12"/>
        <v/>
      </c>
      <c r="O61" s="77" t="str">
        <f t="shared" si="13"/>
        <v/>
      </c>
      <c r="P61" s="79"/>
      <c r="Q61" s="78"/>
      <c r="R61" s="95"/>
      <c r="S61" s="78"/>
      <c r="T61" s="77" t="str">
        <f t="shared" si="14"/>
        <v/>
      </c>
      <c r="V61" s="112"/>
      <c r="W61" s="107"/>
      <c r="X61" s="107"/>
      <c r="Y61" s="107"/>
      <c r="Z61" s="113"/>
      <c r="AB61" s="78"/>
      <c r="AC61" s="78"/>
      <c r="AD61" s="78"/>
      <c r="AE61" s="78"/>
      <c r="AF61" s="78"/>
      <c r="AG61" s="78"/>
      <c r="AH61" s="78"/>
      <c r="AI61" s="78"/>
      <c r="AJ61" s="78"/>
      <c r="AK61" s="77"/>
    </row>
    <row r="62" spans="2:37" x14ac:dyDescent="0.35">
      <c r="B62" s="56" t="s">
        <v>60</v>
      </c>
      <c r="C62" s="66" t="s">
        <v>61</v>
      </c>
      <c r="D62" s="66" t="s">
        <v>62</v>
      </c>
      <c r="E62" s="66" t="s">
        <v>181</v>
      </c>
      <c r="F62" s="75">
        <f t="shared" si="4"/>
        <v>2.5974015750906219E-2</v>
      </c>
      <c r="G62" s="80">
        <f t="shared" si="5"/>
        <v>3.3096474294688177E-2</v>
      </c>
      <c r="H62" s="80">
        <f t="shared" si="6"/>
        <v>3.802516126333761E-2</v>
      </c>
      <c r="I62" s="80">
        <f t="shared" si="7"/>
        <v>4.0772114530613114E-2</v>
      </c>
      <c r="J62" s="62">
        <f t="shared" si="8"/>
        <v>4.4018819960922766E-2</v>
      </c>
      <c r="K62" s="75" t="str">
        <f t="shared" si="9"/>
        <v/>
      </c>
      <c r="L62" s="80">
        <f t="shared" si="10"/>
        <v>4.7622548946881799E-3</v>
      </c>
      <c r="M62" s="80">
        <f t="shared" si="11"/>
        <v>9.0560054633376103E-3</v>
      </c>
      <c r="N62" s="80">
        <f t="shared" si="12"/>
        <v>1.0968544230613116E-2</v>
      </c>
      <c r="O62" s="62">
        <f t="shared" si="13"/>
        <v>1.2874447160922769E-2</v>
      </c>
      <c r="P62" s="55" t="s">
        <v>448</v>
      </c>
      <c r="Q62" s="53" t="s">
        <v>449</v>
      </c>
      <c r="R62" s="94" t="s">
        <v>32</v>
      </c>
      <c r="S62" s="71">
        <v>0</v>
      </c>
      <c r="T62" s="63">
        <f t="shared" si="14"/>
        <v>3.802516126333761E-2</v>
      </c>
      <c r="V62" s="118">
        <v>1.1492376800000002</v>
      </c>
      <c r="W62" s="61">
        <v>2.9426497499999997</v>
      </c>
      <c r="X62" s="61">
        <v>4.5638136899999999</v>
      </c>
      <c r="Y62" s="61">
        <v>5.9951001799999997</v>
      </c>
      <c r="Z62" s="119">
        <v>7.82850834</v>
      </c>
      <c r="AB62" s="75">
        <v>2.5974015750906219E-2</v>
      </c>
      <c r="AC62" s="80">
        <v>3.3096474294688177E-2</v>
      </c>
      <c r="AD62" s="80">
        <v>3.802516126333761E-2</v>
      </c>
      <c r="AE62" s="80">
        <v>4.0772114530613114E-2</v>
      </c>
      <c r="AF62" s="62">
        <v>4.4018819960922766E-2</v>
      </c>
      <c r="AG62" s="75" t="s">
        <v>21</v>
      </c>
      <c r="AH62" s="80">
        <v>4.7622548946881799E-3</v>
      </c>
      <c r="AI62" s="80">
        <v>9.0560054633376103E-3</v>
      </c>
      <c r="AJ62" s="80">
        <v>1.0968544230613116E-2</v>
      </c>
      <c r="AK62" s="62">
        <v>1.2874447160922769E-2</v>
      </c>
    </row>
    <row r="63" spans="2:37" x14ac:dyDescent="0.35">
      <c r="B63" s="57" t="s">
        <v>60</v>
      </c>
      <c r="C63" s="67" t="s">
        <v>63</v>
      </c>
      <c r="D63" s="67" t="s">
        <v>62</v>
      </c>
      <c r="E63" s="67" t="s">
        <v>21</v>
      </c>
      <c r="F63" s="74">
        <f t="shared" si="4"/>
        <v>2.7894360833900039E-2</v>
      </c>
      <c r="G63" s="76">
        <f t="shared" si="5"/>
        <v>3.6647556028747877E-2</v>
      </c>
      <c r="H63" s="76">
        <f t="shared" si="6"/>
        <v>4.3016782629934643E-2</v>
      </c>
      <c r="I63" s="76">
        <f t="shared" si="7"/>
        <v>4.6808358287907324E-2</v>
      </c>
      <c r="J63" s="64">
        <f t="shared" si="8"/>
        <v>5.0147169059705898E-2</v>
      </c>
      <c r="K63" s="74">
        <f t="shared" si="9"/>
        <v>5.1015623390004202E-4</v>
      </c>
      <c r="L63" s="76">
        <f t="shared" si="10"/>
        <v>8.232814228747878E-3</v>
      </c>
      <c r="M63" s="76">
        <f t="shared" si="11"/>
        <v>1.3924608229934642E-2</v>
      </c>
      <c r="N63" s="76">
        <f t="shared" si="12"/>
        <v>1.6842270687907331E-2</v>
      </c>
      <c r="O63" s="64">
        <f t="shared" si="13"/>
        <v>1.8856900559705903E-2</v>
      </c>
      <c r="P63" s="55" t="s">
        <v>21</v>
      </c>
      <c r="Q63" s="53" t="s">
        <v>21</v>
      </c>
      <c r="R63" s="94" t="s">
        <v>21</v>
      </c>
      <c r="S63" s="71" t="s">
        <v>21</v>
      </c>
      <c r="T63" s="63" t="str">
        <f t="shared" si="14"/>
        <v/>
      </c>
      <c r="V63" s="116">
        <v>1.14746177</v>
      </c>
      <c r="W63" s="108">
        <v>2.9285056800000002</v>
      </c>
      <c r="X63" s="108">
        <v>4.5205478100000001</v>
      </c>
      <c r="Y63" s="108">
        <v>5.9036787100000003</v>
      </c>
      <c r="Z63" s="117">
        <v>7.6537517700000004</v>
      </c>
      <c r="AB63" s="74">
        <v>2.7894360833900039E-2</v>
      </c>
      <c r="AC63" s="76">
        <v>3.6647556028747877E-2</v>
      </c>
      <c r="AD63" s="76">
        <v>4.3016782629934643E-2</v>
      </c>
      <c r="AE63" s="76">
        <v>4.6808358287907324E-2</v>
      </c>
      <c r="AF63" s="64">
        <v>5.0147169059705898E-2</v>
      </c>
      <c r="AG63" s="74">
        <v>5.1015623390004202E-4</v>
      </c>
      <c r="AH63" s="76">
        <v>8.232814228747878E-3</v>
      </c>
      <c r="AI63" s="76">
        <v>1.3924608229934642E-2</v>
      </c>
      <c r="AJ63" s="76">
        <v>1.6842270687907331E-2</v>
      </c>
      <c r="AK63" s="64">
        <v>1.8856900559705903E-2</v>
      </c>
    </row>
    <row r="64" spans="2:37" x14ac:dyDescent="0.35">
      <c r="B64" s="56" t="s">
        <v>64</v>
      </c>
      <c r="C64" s="66" t="s">
        <v>65</v>
      </c>
      <c r="D64" s="66" t="s">
        <v>62</v>
      </c>
      <c r="E64" s="66" t="s">
        <v>181</v>
      </c>
      <c r="F64" s="75">
        <f t="shared" si="4"/>
        <v>2.5290567474978251E-2</v>
      </c>
      <c r="G64" s="80">
        <f t="shared" si="5"/>
        <v>3.3502746699987672E-2</v>
      </c>
      <c r="H64" s="80">
        <f t="shared" si="6"/>
        <v>3.9622580782196611E-2</v>
      </c>
      <c r="I64" s="80">
        <f t="shared" si="7"/>
        <v>4.2908817713597773E-2</v>
      </c>
      <c r="J64" s="62">
        <f t="shared" si="8"/>
        <v>4.6132526193310854E-2</v>
      </c>
      <c r="K64" s="75" t="str">
        <f t="shared" si="9"/>
        <v/>
      </c>
      <c r="L64" s="80">
        <f t="shared" si="10"/>
        <v>5.1519757999876747E-3</v>
      </c>
      <c r="M64" s="80">
        <f t="shared" si="11"/>
        <v>1.0593776682196623E-2</v>
      </c>
      <c r="N64" s="80">
        <f t="shared" si="12"/>
        <v>1.3024949913597773E-2</v>
      </c>
      <c r="O64" s="62">
        <f t="shared" si="13"/>
        <v>1.4923345393310857E-2</v>
      </c>
      <c r="P64" s="56" t="s">
        <v>21</v>
      </c>
      <c r="Q64" s="66" t="s">
        <v>21</v>
      </c>
      <c r="R64" s="100" t="s">
        <v>21</v>
      </c>
      <c r="S64" s="80" t="s">
        <v>21</v>
      </c>
      <c r="T64" s="62" t="str">
        <f t="shared" si="14"/>
        <v/>
      </c>
      <c r="V64" s="118">
        <v>1.1506406</v>
      </c>
      <c r="W64" s="61">
        <v>2.9425329100000002</v>
      </c>
      <c r="X64" s="61">
        <v>4.5459948499999996</v>
      </c>
      <c r="Y64" s="61">
        <v>5.9426134899999994</v>
      </c>
      <c r="Z64" s="119">
        <v>7.7132268700000006</v>
      </c>
      <c r="AB64" s="75">
        <v>2.5290567474978251E-2</v>
      </c>
      <c r="AC64" s="80">
        <v>3.3502746699987672E-2</v>
      </c>
      <c r="AD64" s="80">
        <v>3.9622580782196611E-2</v>
      </c>
      <c r="AE64" s="80">
        <v>4.2908817713597773E-2</v>
      </c>
      <c r="AF64" s="62">
        <v>4.6132526193310854E-2</v>
      </c>
      <c r="AG64" s="75" t="s">
        <v>21</v>
      </c>
      <c r="AH64" s="80">
        <v>5.1519757999876747E-3</v>
      </c>
      <c r="AI64" s="80">
        <v>1.0593776682196623E-2</v>
      </c>
      <c r="AJ64" s="80">
        <v>1.3024949913597773E-2</v>
      </c>
      <c r="AK64" s="62">
        <v>1.4923345393310857E-2</v>
      </c>
    </row>
    <row r="65" spans="2:37" x14ac:dyDescent="0.35">
      <c r="B65" s="57" t="s">
        <v>64</v>
      </c>
      <c r="C65" s="67" t="s">
        <v>66</v>
      </c>
      <c r="D65" s="67" t="s">
        <v>62</v>
      </c>
      <c r="E65" s="67" t="s">
        <v>21</v>
      </c>
      <c r="F65" s="74">
        <f t="shared" si="4"/>
        <v>2.6530435996114782E-2</v>
      </c>
      <c r="G65" s="76">
        <f t="shared" si="5"/>
        <v>3.6362243227749128E-2</v>
      </c>
      <c r="H65" s="76">
        <f t="shared" si="6"/>
        <v>4.4227410688791241E-2</v>
      </c>
      <c r="I65" s="76">
        <f t="shared" si="7"/>
        <v>4.7926885516979059E-2</v>
      </c>
      <c r="J65" s="64">
        <f t="shared" si="8"/>
        <v>5.2173069746261992E-2</v>
      </c>
      <c r="K65" s="74" t="str">
        <f t="shared" si="9"/>
        <v/>
      </c>
      <c r="L65" s="76">
        <f t="shared" si="10"/>
        <v>7.9510426277491289E-3</v>
      </c>
      <c r="M65" s="76">
        <f t="shared" si="11"/>
        <v>1.5086781188791249E-2</v>
      </c>
      <c r="N65" s="76">
        <f t="shared" si="12"/>
        <v>1.7916670116979064E-2</v>
      </c>
      <c r="O65" s="64">
        <f t="shared" si="13"/>
        <v>2.0808778046261998E-2</v>
      </c>
      <c r="P65" s="57" t="s">
        <v>21</v>
      </c>
      <c r="Q65" s="67" t="s">
        <v>21</v>
      </c>
      <c r="R65" s="96" t="s">
        <v>21</v>
      </c>
      <c r="S65" s="76" t="s">
        <v>21</v>
      </c>
      <c r="T65" s="64" t="str">
        <f t="shared" si="14"/>
        <v/>
      </c>
      <c r="V65" s="116">
        <v>1.14989824</v>
      </c>
      <c r="W65" s="108">
        <v>2.9341724</v>
      </c>
      <c r="X65" s="108">
        <v>4.5167523100000002</v>
      </c>
      <c r="Y65" s="108">
        <v>5.8849099599999999</v>
      </c>
      <c r="Z65" s="117">
        <v>7.5938346299999999</v>
      </c>
      <c r="AB65" s="74">
        <v>2.6530435996114782E-2</v>
      </c>
      <c r="AC65" s="76">
        <v>3.6362243227749128E-2</v>
      </c>
      <c r="AD65" s="76">
        <v>4.4227410688791241E-2</v>
      </c>
      <c r="AE65" s="76">
        <v>4.7926885516979059E-2</v>
      </c>
      <c r="AF65" s="64">
        <v>5.2173069746261992E-2</v>
      </c>
      <c r="AG65" s="74" t="s">
        <v>21</v>
      </c>
      <c r="AH65" s="76">
        <v>7.9510426277491289E-3</v>
      </c>
      <c r="AI65" s="76">
        <v>1.5086781188791249E-2</v>
      </c>
      <c r="AJ65" s="76">
        <v>1.7916670116979064E-2</v>
      </c>
      <c r="AK65" s="64">
        <v>2.0808778046261998E-2</v>
      </c>
    </row>
    <row r="66" spans="2:37" s="53" customFormat="1" x14ac:dyDescent="0.35">
      <c r="B66" s="79" t="s">
        <v>228</v>
      </c>
      <c r="C66" s="78"/>
      <c r="D66" s="78"/>
      <c r="E66" s="78"/>
      <c r="F66" s="78" t="str">
        <f t="shared" ref="F66:F70" si="15">IF(ISNUMBER(AB66),AB66-((C$4-C$3)/V66),"")</f>
        <v/>
      </c>
      <c r="G66" s="78" t="str">
        <f t="shared" ref="G66:G70" si="16">IF(ISNUMBER(AC66),AC66-((D$4-D$3)/W66),"")</f>
        <v/>
      </c>
      <c r="H66" s="78" t="str">
        <f t="shared" ref="H66:H70" si="17">IF(ISNUMBER(AD66),AD66-((E$4-E$3)/X66),"")</f>
        <v/>
      </c>
      <c r="I66" s="78" t="str">
        <f t="shared" ref="I66:I70" si="18">IF(ISNUMBER(AE66),AE66-((F$4-F$3)/Y66),"")</f>
        <v/>
      </c>
      <c r="J66" s="78" t="str">
        <f t="shared" ref="J66:J70" si="19">IF(ISNUMBER(AF66),AF66-((G$4-G$3)/Z66),"")</f>
        <v/>
      </c>
      <c r="K66" s="78" t="str">
        <f t="shared" ref="K66:K70" si="20">IF(ISNUMBER(AG66),IF(AG66-((C$4-C$3)/V66)&lt;0,"",AG66-((C$4-C$3)/V66)),"")</f>
        <v/>
      </c>
      <c r="L66" s="78" t="str">
        <f t="shared" ref="L66:L70" si="21">IF(ISNUMBER(AH66),IF(AH66-((D$4-D$3)/W66)&lt;0,"",AH66-((D$4-D$3)/W66)),"")</f>
        <v/>
      </c>
      <c r="M66" s="78" t="str">
        <f t="shared" ref="M66:M70" si="22">IF(ISNUMBER(AI66),IF(AI66-((E$4-E$3)/X66)&lt;0,"",AI66-((E$4-E$3)/X66)),"")</f>
        <v/>
      </c>
      <c r="N66" s="78" t="str">
        <f t="shared" ref="N66:N70" si="23">IF(ISNUMBER(AJ66),IF(AJ66-((F$4-F$3)/Y66)&lt;0,"",AJ66-((F$4-F$3)/Y66)),"")</f>
        <v/>
      </c>
      <c r="O66" s="77" t="str">
        <f t="shared" ref="O66:O70" si="24">IF(ISNUMBER(AK66),IF(AK66-((G$4-G$3)/Z66)&lt;0,"",AK66-((G$4-G$3)/Z66)),"")</f>
        <v/>
      </c>
      <c r="P66" s="79"/>
      <c r="Q66" s="78"/>
      <c r="R66" s="95"/>
      <c r="S66" s="78"/>
      <c r="T66" s="77" t="str">
        <f t="shared" ref="T66:T78" si="25">IF(S66="","",H66-S66)</f>
        <v/>
      </c>
      <c r="V66" s="112"/>
      <c r="W66" s="107"/>
      <c r="X66" s="107"/>
      <c r="Y66" s="107"/>
      <c r="Z66" s="113"/>
      <c r="AB66" s="78"/>
      <c r="AC66" s="78"/>
      <c r="AD66" s="78"/>
      <c r="AE66" s="78"/>
      <c r="AF66" s="78"/>
      <c r="AG66" s="78"/>
      <c r="AH66" s="78"/>
      <c r="AI66" s="78"/>
      <c r="AJ66" s="78"/>
      <c r="AK66" s="77"/>
    </row>
    <row r="67" spans="2:37" s="53" customFormat="1" x14ac:dyDescent="0.35">
      <c r="B67" s="56" t="s">
        <v>229</v>
      </c>
      <c r="C67" s="66" t="s">
        <v>61</v>
      </c>
      <c r="D67" s="66" t="s">
        <v>97</v>
      </c>
      <c r="E67" s="66" t="s">
        <v>21</v>
      </c>
      <c r="F67" s="75">
        <f t="shared" si="15"/>
        <v>2.4313406618136524E-2</v>
      </c>
      <c r="G67" s="80">
        <f t="shared" si="16"/>
        <v>3.121190750047647E-2</v>
      </c>
      <c r="H67" s="80">
        <f t="shared" si="17"/>
        <v>3.5549572994495328E-2</v>
      </c>
      <c r="I67" s="80">
        <f t="shared" si="18"/>
        <v>3.7908625546302463E-2</v>
      </c>
      <c r="J67" s="62">
        <f t="shared" si="19"/>
        <v>4.0289349522129266E-2</v>
      </c>
      <c r="K67" s="75" t="str">
        <f t="shared" si="20"/>
        <v/>
      </c>
      <c r="L67" s="80">
        <f t="shared" si="21"/>
        <v>2.9367645004764681E-3</v>
      </c>
      <c r="M67" s="80">
        <f t="shared" si="22"/>
        <v>6.6598064944953222E-3</v>
      </c>
      <c r="N67" s="80">
        <f t="shared" si="23"/>
        <v>8.1976208463024683E-3</v>
      </c>
      <c r="O67" s="62">
        <f t="shared" si="24"/>
        <v>9.2458410221292597E-3</v>
      </c>
      <c r="P67" s="55" t="s">
        <v>21</v>
      </c>
      <c r="Q67" s="53" t="s">
        <v>21</v>
      </c>
      <c r="R67" s="94" t="s">
        <v>21</v>
      </c>
      <c r="S67" s="71" t="s">
        <v>21</v>
      </c>
      <c r="T67" s="63" t="str">
        <f t="shared" si="25"/>
        <v/>
      </c>
      <c r="V67" s="118">
        <v>1.15256505</v>
      </c>
      <c r="W67" s="61">
        <v>2.9608307300000001</v>
      </c>
      <c r="X67" s="61">
        <v>4.6121004499999998</v>
      </c>
      <c r="Y67" s="61">
        <v>6.0900290200000002</v>
      </c>
      <c r="Z67" s="119">
        <v>8.0293619399999994</v>
      </c>
      <c r="AB67" s="75">
        <v>2.4313406618136524E-2</v>
      </c>
      <c r="AC67" s="80">
        <v>3.121190750047647E-2</v>
      </c>
      <c r="AD67" s="80">
        <v>3.5549572994495328E-2</v>
      </c>
      <c r="AE67" s="80">
        <v>3.7908625546302463E-2</v>
      </c>
      <c r="AF67" s="62">
        <v>4.0289349522129266E-2</v>
      </c>
      <c r="AG67" s="75" t="s">
        <v>21</v>
      </c>
      <c r="AH67" s="80">
        <v>2.9367645004764681E-3</v>
      </c>
      <c r="AI67" s="80">
        <v>6.6598064944953222E-3</v>
      </c>
      <c r="AJ67" s="80">
        <v>8.1976208463024683E-3</v>
      </c>
      <c r="AK67" s="62">
        <v>9.2458410221292597E-3</v>
      </c>
    </row>
    <row r="68" spans="2:37" s="53" customFormat="1" x14ac:dyDescent="0.35">
      <c r="B68" s="57" t="s">
        <v>229</v>
      </c>
      <c r="C68" s="67" t="s">
        <v>63</v>
      </c>
      <c r="D68" s="67" t="s">
        <v>97</v>
      </c>
      <c r="E68" s="67" t="s">
        <v>21</v>
      </c>
      <c r="F68" s="74">
        <f t="shared" si="15"/>
        <v>2.5741806567258715E-2</v>
      </c>
      <c r="G68" s="76">
        <f t="shared" si="16"/>
        <v>3.4120596150147321E-2</v>
      </c>
      <c r="H68" s="76">
        <f t="shared" si="17"/>
        <v>3.986720072213952E-2</v>
      </c>
      <c r="I68" s="76">
        <f t="shared" si="18"/>
        <v>4.322424293622619E-2</v>
      </c>
      <c r="J68" s="64">
        <f t="shared" si="19"/>
        <v>4.6229993102194181E-2</v>
      </c>
      <c r="K68" s="74" t="str">
        <f t="shared" si="20"/>
        <v/>
      </c>
      <c r="L68" s="76">
        <f t="shared" si="21"/>
        <v>5.7789065501473195E-3</v>
      </c>
      <c r="M68" s="76">
        <f t="shared" si="22"/>
        <v>1.0876911322139526E-2</v>
      </c>
      <c r="N68" s="76">
        <f t="shared" si="23"/>
        <v>1.3383219336226205E-2</v>
      </c>
      <c r="O68" s="64">
        <f t="shared" si="24"/>
        <v>1.5063445902194179E-2</v>
      </c>
      <c r="P68" s="55" t="s">
        <v>21</v>
      </c>
      <c r="Q68" s="53" t="s">
        <v>21</v>
      </c>
      <c r="R68" s="94" t="s">
        <v>21</v>
      </c>
      <c r="S68" s="71" t="s">
        <v>21</v>
      </c>
      <c r="T68" s="63" t="str">
        <f t="shared" si="25"/>
        <v/>
      </c>
      <c r="V68" s="114">
        <v>1.1510472700000001</v>
      </c>
      <c r="W68" s="108">
        <v>2.9470819100000001</v>
      </c>
      <c r="X68" s="108">
        <v>4.56775251</v>
      </c>
      <c r="Y68" s="108">
        <v>5.9945677399999999</v>
      </c>
      <c r="Z68" s="115">
        <v>7.8295106200000006</v>
      </c>
      <c r="AB68" s="74">
        <v>2.5741806567258715E-2</v>
      </c>
      <c r="AC68" s="76">
        <v>3.4120596150147321E-2</v>
      </c>
      <c r="AD68" s="76">
        <v>3.986720072213952E-2</v>
      </c>
      <c r="AE68" s="76">
        <v>4.322424293622619E-2</v>
      </c>
      <c r="AF68" s="64">
        <v>4.6229993102194181E-2</v>
      </c>
      <c r="AG68" s="74" t="s">
        <v>21</v>
      </c>
      <c r="AH68" s="76">
        <v>5.7789065501473195E-3</v>
      </c>
      <c r="AI68" s="76">
        <v>1.0876911322139526E-2</v>
      </c>
      <c r="AJ68" s="76">
        <v>1.3383219336226205E-2</v>
      </c>
      <c r="AK68" s="64">
        <v>1.5063445902194179E-2</v>
      </c>
    </row>
    <row r="69" spans="2:37" s="53" customFormat="1" x14ac:dyDescent="0.35">
      <c r="B69" s="56" t="s">
        <v>230</v>
      </c>
      <c r="C69" s="66" t="s">
        <v>65</v>
      </c>
      <c r="D69" s="66" t="s">
        <v>97</v>
      </c>
      <c r="E69" s="66" t="s">
        <v>21</v>
      </c>
      <c r="F69" s="75">
        <f t="shared" si="15"/>
        <v>2.514762180693584E-2</v>
      </c>
      <c r="G69" s="80">
        <f t="shared" si="16"/>
        <v>3.3500869103199202E-2</v>
      </c>
      <c r="H69" s="80">
        <f t="shared" si="17"/>
        <v>3.9672204672505748E-2</v>
      </c>
      <c r="I69" s="80">
        <f t="shared" si="18"/>
        <v>4.2908763280451429E-2</v>
      </c>
      <c r="J69" s="62">
        <f t="shared" si="19"/>
        <v>4.6510518568926448E-2</v>
      </c>
      <c r="K69" s="75" t="str">
        <f t="shared" si="20"/>
        <v/>
      </c>
      <c r="L69" s="80">
        <f t="shared" si="21"/>
        <v>5.151020803199206E-3</v>
      </c>
      <c r="M69" s="80">
        <f t="shared" si="22"/>
        <v>1.0642200872505749E-2</v>
      </c>
      <c r="N69" s="80">
        <f t="shared" si="23"/>
        <v>1.3025637180451433E-2</v>
      </c>
      <c r="O69" s="62">
        <f t="shared" si="24"/>
        <v>1.5287288668926449E-2</v>
      </c>
      <c r="P69" s="56" t="s">
        <v>21</v>
      </c>
      <c r="Q69" s="66" t="s">
        <v>21</v>
      </c>
      <c r="R69" s="100" t="s">
        <v>21</v>
      </c>
      <c r="S69" s="80" t="s">
        <v>21</v>
      </c>
      <c r="T69" s="62" t="str">
        <f t="shared" si="25"/>
        <v/>
      </c>
      <c r="V69" s="118">
        <v>1.15090574</v>
      </c>
      <c r="W69" s="61">
        <v>2.9430086000000002</v>
      </c>
      <c r="X69" s="61">
        <v>4.5459081399999999</v>
      </c>
      <c r="Y69" s="61">
        <v>5.9423413600000003</v>
      </c>
      <c r="Z69" s="119">
        <v>7.7040356500000007</v>
      </c>
      <c r="AB69" s="75">
        <v>2.514762180693584E-2</v>
      </c>
      <c r="AC69" s="80">
        <v>3.3500869103199202E-2</v>
      </c>
      <c r="AD69" s="80">
        <v>3.9672204672505748E-2</v>
      </c>
      <c r="AE69" s="80">
        <v>4.2908763280451429E-2</v>
      </c>
      <c r="AF69" s="62">
        <v>4.6510518568926448E-2</v>
      </c>
      <c r="AG69" s="75" t="s">
        <v>21</v>
      </c>
      <c r="AH69" s="80">
        <v>5.151020803199206E-3</v>
      </c>
      <c r="AI69" s="80">
        <v>1.0642200872505749E-2</v>
      </c>
      <c r="AJ69" s="80">
        <v>1.3025637180451433E-2</v>
      </c>
      <c r="AK69" s="62">
        <v>1.5287288668926449E-2</v>
      </c>
    </row>
    <row r="70" spans="2:37" s="53" customFormat="1" x14ac:dyDescent="0.35">
      <c r="B70" s="57" t="s">
        <v>230</v>
      </c>
      <c r="C70" s="67" t="s">
        <v>66</v>
      </c>
      <c r="D70" s="67" t="s">
        <v>97</v>
      </c>
      <c r="E70" s="67" t="s">
        <v>21</v>
      </c>
      <c r="F70" s="74">
        <f t="shared" si="15"/>
        <v>2.6523894462383742E-2</v>
      </c>
      <c r="G70" s="76">
        <f t="shared" si="16"/>
        <v>3.7164499627286164E-2</v>
      </c>
      <c r="H70" s="76">
        <f t="shared" si="17"/>
        <v>4.5498007870229173E-2</v>
      </c>
      <c r="I70" s="76">
        <f t="shared" si="18"/>
        <v>5.0215696807734786E-2</v>
      </c>
      <c r="J70" s="64">
        <f t="shared" si="19"/>
        <v>5.4456062637954585E-2</v>
      </c>
      <c r="K70" s="74" t="str">
        <f t="shared" si="20"/>
        <v/>
      </c>
      <c r="L70" s="76">
        <f t="shared" si="21"/>
        <v>8.7262768272861665E-3</v>
      </c>
      <c r="M70" s="76">
        <f t="shared" si="22"/>
        <v>1.6307540970229181E-2</v>
      </c>
      <c r="N70" s="76">
        <f t="shared" si="23"/>
        <v>2.0110969607734785E-2</v>
      </c>
      <c r="O70" s="64">
        <f t="shared" si="24"/>
        <v>2.3005639337954582E-2</v>
      </c>
      <c r="P70" s="57" t="s">
        <v>21</v>
      </c>
      <c r="Q70" s="67" t="s">
        <v>21</v>
      </c>
      <c r="R70" s="96" t="s">
        <v>21</v>
      </c>
      <c r="S70" s="76" t="s">
        <v>21</v>
      </c>
      <c r="T70" s="64" t="str">
        <f t="shared" si="25"/>
        <v/>
      </c>
      <c r="V70" s="116">
        <v>1.14992446</v>
      </c>
      <c r="W70" s="72">
        <v>2.9303200600000001</v>
      </c>
      <c r="X70" s="72">
        <v>4.5013450599999993</v>
      </c>
      <c r="Y70" s="72">
        <v>5.8431118599999996</v>
      </c>
      <c r="Z70" s="115">
        <v>7.5019567199999999</v>
      </c>
      <c r="AB70" s="74">
        <v>2.6523894462383742E-2</v>
      </c>
      <c r="AC70" s="76">
        <v>3.7164499627286164E-2</v>
      </c>
      <c r="AD70" s="76">
        <v>4.5498007870229173E-2</v>
      </c>
      <c r="AE70" s="76">
        <v>5.0215696807734786E-2</v>
      </c>
      <c r="AF70" s="64">
        <v>5.4456062637954585E-2</v>
      </c>
      <c r="AG70" s="74" t="s">
        <v>21</v>
      </c>
      <c r="AH70" s="76">
        <v>8.7262768272861665E-3</v>
      </c>
      <c r="AI70" s="76">
        <v>1.6307540970229181E-2</v>
      </c>
      <c r="AJ70" s="76">
        <v>2.0110969607734785E-2</v>
      </c>
      <c r="AK70" s="64">
        <v>2.3005639337954582E-2</v>
      </c>
    </row>
    <row r="71" spans="2:37" s="53" customFormat="1" x14ac:dyDescent="0.35">
      <c r="B71" s="57" t="s">
        <v>308</v>
      </c>
      <c r="C71" s="67" t="s">
        <v>61</v>
      </c>
      <c r="D71" s="67" t="s">
        <v>97</v>
      </c>
      <c r="E71" s="67" t="s">
        <v>21</v>
      </c>
      <c r="F71" s="74">
        <f t="shared" ref="F71" si="26">IF(ISNUMBER(AB71),AB71-((C$4-C$3)/V71),"")</f>
        <v>2.4020919597157291E-2</v>
      </c>
      <c r="G71" s="76">
        <f t="shared" ref="G71" si="27">IF(ISNUMBER(AC71),AC71-((D$4-D$3)/W71),"")</f>
        <v>3.0974554909094575E-2</v>
      </c>
      <c r="H71" s="76">
        <f t="shared" ref="H71" si="28">IF(ISNUMBER(AD71),AD71-((E$4-E$3)/X71),"")</f>
        <v>3.5290387939362622E-2</v>
      </c>
      <c r="I71" s="76">
        <f t="shared" ref="I71" si="29">IF(ISNUMBER(AE71),AE71-((F$4-F$3)/Y71),"")</f>
        <v>3.7754358687394463E-2</v>
      </c>
      <c r="J71" s="64">
        <f t="shared" ref="J71" si="30">IF(ISNUMBER(AF71),AF71-((G$4-G$3)/Z71),"")</f>
        <v>4.0427643198707897E-2</v>
      </c>
      <c r="K71" s="74" t="str">
        <f t="shared" ref="K71" si="31">IF(ISNUMBER(AG71),IF(AG71-((C$4-C$3)/V71)&lt;0,"",AG71-((C$4-C$3)/V71)),"")</f>
        <v/>
      </c>
      <c r="L71" s="76">
        <f t="shared" ref="L71" si="32">IF(ISNUMBER(AH71),IF(AH71-((D$4-D$3)/W71)&lt;0,"",AH71-((D$4-D$3)/W71)),"")</f>
        <v>2.7071994090945807E-3</v>
      </c>
      <c r="M71" s="76">
        <f t="shared" ref="M71" si="33">IF(ISNUMBER(AI71),IF(AI71-((E$4-E$3)/X71)&lt;0,"",AI71-((E$4-E$3)/X71)),"")</f>
        <v>6.4087789393626193E-3</v>
      </c>
      <c r="N71" s="76">
        <f t="shared" ref="N71" si="34">IF(ISNUMBER(AJ71),IF(AJ71-((F$4-F$3)/Y71)&lt;0,"",AJ71-((F$4-F$3)/Y71)),"")</f>
        <v>8.0481779873944649E-3</v>
      </c>
      <c r="O71" s="64">
        <f t="shared" ref="O71" si="35">IF(ISNUMBER(AK71),IF(AK71-((G$4-G$3)/Z71)&lt;0,"",AK71-((G$4-G$3)/Z71)),"")</f>
        <v>9.3809534987078936E-3</v>
      </c>
      <c r="P71" s="57" t="s">
        <v>21</v>
      </c>
      <c r="Q71" s="67" t="s">
        <v>21</v>
      </c>
      <c r="R71" s="96" t="s">
        <v>21</v>
      </c>
      <c r="S71" s="76" t="s">
        <v>21</v>
      </c>
      <c r="T71" s="64" t="str">
        <f t="shared" si="25"/>
        <v/>
      </c>
      <c r="V71" s="118">
        <v>1.15313321</v>
      </c>
      <c r="W71" s="61">
        <v>2.96339006</v>
      </c>
      <c r="X71" s="61">
        <v>4.6178980100000002</v>
      </c>
      <c r="Y71" s="61">
        <v>6.0985833600000001</v>
      </c>
      <c r="Z71" s="119">
        <v>8.0348055699999996</v>
      </c>
      <c r="AB71" s="74">
        <v>2.4020919597157291E-2</v>
      </c>
      <c r="AC71" s="76">
        <v>3.0974554909094575E-2</v>
      </c>
      <c r="AD71" s="76">
        <v>3.5290387939362622E-2</v>
      </c>
      <c r="AE71" s="76">
        <v>3.7754358687394463E-2</v>
      </c>
      <c r="AF71" s="64">
        <v>4.0427643198707897E-2</v>
      </c>
      <c r="AG71" s="74" t="s">
        <v>21</v>
      </c>
      <c r="AH71" s="76">
        <v>2.7071994090945807E-3</v>
      </c>
      <c r="AI71" s="76">
        <v>6.4087789393626193E-3</v>
      </c>
      <c r="AJ71" s="76">
        <v>8.0481779873944649E-3</v>
      </c>
      <c r="AK71" s="64">
        <v>9.3809534987078936E-3</v>
      </c>
    </row>
    <row r="72" spans="2:37" s="53" customFormat="1" x14ac:dyDescent="0.35">
      <c r="B72" s="79" t="s">
        <v>303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7"/>
      <c r="P72" s="79"/>
      <c r="Q72" s="78"/>
      <c r="R72" s="95"/>
      <c r="S72" s="78"/>
      <c r="T72" s="77"/>
      <c r="V72" s="112"/>
      <c r="W72" s="107"/>
      <c r="X72" s="107"/>
      <c r="Y72" s="107"/>
      <c r="Z72" s="113"/>
      <c r="AB72" s="78"/>
      <c r="AC72" s="78"/>
      <c r="AD72" s="78"/>
      <c r="AE72" s="78"/>
      <c r="AF72" s="78"/>
      <c r="AG72" s="78"/>
      <c r="AH72" s="78"/>
      <c r="AI72" s="78"/>
      <c r="AJ72" s="78"/>
      <c r="AK72" s="77"/>
    </row>
    <row r="73" spans="2:37" s="137" customFormat="1" x14ac:dyDescent="0.35">
      <c r="B73" s="56" t="s">
        <v>305</v>
      </c>
      <c r="C73" s="66" t="s">
        <v>30</v>
      </c>
      <c r="D73" s="66" t="s">
        <v>306</v>
      </c>
      <c r="E73" s="66" t="s">
        <v>21</v>
      </c>
      <c r="F73" s="75">
        <f t="shared" ref="F73:F75" si="36">IF(ISNUMBER(AB73),AB73-((C$4-C$3)/V73),"")</f>
        <v>2.4395241809533459E-2</v>
      </c>
      <c r="G73" s="80">
        <f t="shared" ref="G73:G75" si="37">IF(ISNUMBER(AC73),AC73-((D$4-D$3)/W73),"")</f>
        <v>3.1634516382209613E-2</v>
      </c>
      <c r="H73" s="80">
        <f t="shared" ref="H73:H75" si="38">IF(ISNUMBER(AD73),AD73-((E$4-E$3)/X73),"")</f>
        <v>3.617017283226294E-2</v>
      </c>
      <c r="I73" s="80">
        <f t="shared" ref="I73:I75" si="39">IF(ISNUMBER(AE73),AE73-((F$4-F$3)/Y73),"")</f>
        <v>3.9156173609082308E-2</v>
      </c>
      <c r="J73" s="62">
        <f t="shared" ref="J73:J75" si="40">IF(ISNUMBER(AF73),AF73-((G$4-G$3)/Z73),"")</f>
        <v>4.2381345290902046E-2</v>
      </c>
      <c r="K73" s="75" t="str">
        <f t="shared" ref="K73:K75" si="41">IF(ISNUMBER(AG73),IF(AG73-((C$4-C$3)/V73)&lt;0,"",AG73-((C$4-C$3)/V73)),"")</f>
        <v/>
      </c>
      <c r="L73" s="80">
        <f t="shared" ref="L73:L75" si="42">IF(ISNUMBER(AH73),IF(AH73-((D$4-D$3)/W73)&lt;0,"",AH73-((D$4-D$3)/W73)),"")</f>
        <v>3.3465320822096156E-3</v>
      </c>
      <c r="M73" s="80">
        <f t="shared" ref="M73:M75" si="43">IF(ISNUMBER(AI73),IF(AI73-((E$4-E$3)/X73)&lt;0,"",AI73-((E$4-E$3)/X73)),"")</f>
        <v>7.2616188322629366E-3</v>
      </c>
      <c r="N73" s="80">
        <f t="shared" ref="N73:N75" si="44">IF(ISNUMBER(AJ73),IF(AJ73-((F$4-F$3)/Y73)&lt;0,"",AJ73-((F$4-F$3)/Y73)),"")</f>
        <v>9.4065660090823077E-3</v>
      </c>
      <c r="O73" s="62">
        <f t="shared" ref="O73:O75" si="45">IF(ISNUMBER(AK73),IF(AK73-((G$4-G$3)/Z73)&lt;0,"",AK73-((G$4-G$3)/Z73)),"")</f>
        <v>1.1285941190902045E-2</v>
      </c>
      <c r="P73" s="55" t="s">
        <v>21</v>
      </c>
      <c r="Q73" s="53" t="s">
        <v>21</v>
      </c>
      <c r="R73" s="94" t="s">
        <v>21</v>
      </c>
      <c r="S73" s="71" t="s">
        <v>21</v>
      </c>
      <c r="T73" s="63" t="str">
        <f t="shared" si="14"/>
        <v/>
      </c>
      <c r="U73" s="55"/>
      <c r="V73" s="118">
        <v>1.15239571</v>
      </c>
      <c r="W73" s="61">
        <v>2.9577712599999999</v>
      </c>
      <c r="X73" s="61">
        <v>4.6014935100000001</v>
      </c>
      <c r="Y73" s="61">
        <v>6.0597925899999998</v>
      </c>
      <c r="Z73" s="119">
        <v>7.9392044999999998</v>
      </c>
      <c r="AB73" s="75">
        <v>2.4395241809533459E-2</v>
      </c>
      <c r="AC73" s="80">
        <v>3.1634516382209613E-2</v>
      </c>
      <c r="AD73" s="80">
        <v>3.617017283226294E-2</v>
      </c>
      <c r="AE73" s="80">
        <v>3.9156173609082308E-2</v>
      </c>
      <c r="AF73" s="62">
        <v>4.2381345290902046E-2</v>
      </c>
      <c r="AG73" s="75" t="s">
        <v>21</v>
      </c>
      <c r="AH73" s="80">
        <v>3.3465320822096156E-3</v>
      </c>
      <c r="AI73" s="80">
        <v>7.2616188322629366E-3</v>
      </c>
      <c r="AJ73" s="80">
        <v>9.4065660090823077E-3</v>
      </c>
      <c r="AK73" s="62">
        <v>1.1285941190902045E-2</v>
      </c>
    </row>
    <row r="74" spans="2:37" s="137" customFormat="1" x14ac:dyDescent="0.35">
      <c r="B74" s="55" t="s">
        <v>305</v>
      </c>
      <c r="C74" s="67" t="s">
        <v>35</v>
      </c>
      <c r="D74" s="53" t="s">
        <v>306</v>
      </c>
      <c r="E74" s="53" t="s">
        <v>21</v>
      </c>
      <c r="F74" s="73">
        <f t="shared" si="36"/>
        <v>2.6752768396396669E-2</v>
      </c>
      <c r="G74" s="60">
        <f t="shared" si="37"/>
        <v>3.7662600481320134E-2</v>
      </c>
      <c r="H74" s="71">
        <f t="shared" si="38"/>
        <v>4.6282765568556608E-2</v>
      </c>
      <c r="I74" s="71">
        <f t="shared" si="39"/>
        <v>5.1363632039400635E-2</v>
      </c>
      <c r="J74" s="63">
        <f t="shared" si="40"/>
        <v>5.5247592949145184E-2</v>
      </c>
      <c r="K74" s="73" t="str">
        <f t="shared" si="41"/>
        <v/>
      </c>
      <c r="L74" s="60">
        <f t="shared" si="42"/>
        <v>9.2051513813201369E-3</v>
      </c>
      <c r="M74" s="71">
        <f t="shared" si="43"/>
        <v>1.7058819168556609E-2</v>
      </c>
      <c r="N74" s="71">
        <f t="shared" si="44"/>
        <v>2.1207545939400631E-2</v>
      </c>
      <c r="O74" s="63">
        <f t="shared" si="45"/>
        <v>2.3765210449145188E-2</v>
      </c>
      <c r="P74" s="55" t="s">
        <v>21</v>
      </c>
      <c r="Q74" s="53" t="s">
        <v>21</v>
      </c>
      <c r="R74" s="94" t="s">
        <v>21</v>
      </c>
      <c r="S74" s="71" t="s">
        <v>21</v>
      </c>
      <c r="T74" s="63" t="str">
        <f t="shared" si="14"/>
        <v/>
      </c>
      <c r="U74" s="55"/>
      <c r="V74" s="114">
        <v>1.1496294</v>
      </c>
      <c r="W74" s="72">
        <v>2.9273904499999999</v>
      </c>
      <c r="X74" s="72">
        <v>4.4913771100000002</v>
      </c>
      <c r="Y74" s="72">
        <v>5.8198599599999996</v>
      </c>
      <c r="Z74" s="115">
        <v>7.4606135700000005</v>
      </c>
      <c r="AB74" s="73">
        <v>2.6752768396396669E-2</v>
      </c>
      <c r="AC74" s="71">
        <v>3.7662600481320134E-2</v>
      </c>
      <c r="AD74" s="71">
        <v>4.6282765568556608E-2</v>
      </c>
      <c r="AE74" s="71">
        <v>5.1363632039400635E-2</v>
      </c>
      <c r="AF74" s="63">
        <v>5.5247592949145184E-2</v>
      </c>
      <c r="AG74" s="73" t="s">
        <v>21</v>
      </c>
      <c r="AH74" s="71">
        <v>9.2051513813201369E-3</v>
      </c>
      <c r="AI74" s="71">
        <v>1.7058819168556609E-2</v>
      </c>
      <c r="AJ74" s="71">
        <v>2.1207545939400631E-2</v>
      </c>
      <c r="AK74" s="63">
        <v>2.3765210449145188E-2</v>
      </c>
    </row>
    <row r="75" spans="2:37" s="137" customFormat="1" x14ac:dyDescent="0.35">
      <c r="B75" s="57" t="s">
        <v>305</v>
      </c>
      <c r="C75" s="53" t="s">
        <v>33</v>
      </c>
      <c r="D75" s="67" t="s">
        <v>306</v>
      </c>
      <c r="E75" s="54" t="s">
        <v>21</v>
      </c>
      <c r="F75" s="74">
        <f t="shared" si="36"/>
        <v>2.5209082776333984E-2</v>
      </c>
      <c r="G75" s="76">
        <f t="shared" si="37"/>
        <v>3.4267325765554066E-2</v>
      </c>
      <c r="H75" s="76">
        <f t="shared" si="38"/>
        <v>4.0749926453217934E-2</v>
      </c>
      <c r="I75" s="76">
        <f t="shared" si="39"/>
        <v>4.4488358396633627E-2</v>
      </c>
      <c r="J75" s="64">
        <f t="shared" si="40"/>
        <v>4.8203354169623958E-2</v>
      </c>
      <c r="K75" s="74" t="str">
        <f t="shared" si="41"/>
        <v/>
      </c>
      <c r="L75" s="76">
        <f t="shared" si="42"/>
        <v>5.8919565655540657E-3</v>
      </c>
      <c r="M75" s="76">
        <f t="shared" si="43"/>
        <v>1.1679401753217928E-2</v>
      </c>
      <c r="N75" s="76">
        <f t="shared" si="44"/>
        <v>1.454108899663363E-2</v>
      </c>
      <c r="O75" s="64">
        <f t="shared" si="45"/>
        <v>1.6919758569623952E-2</v>
      </c>
      <c r="P75" s="55" t="s">
        <v>21</v>
      </c>
      <c r="Q75" s="53" t="s">
        <v>21</v>
      </c>
      <c r="R75" s="94" t="s">
        <v>21</v>
      </c>
      <c r="S75" s="71" t="s">
        <v>21</v>
      </c>
      <c r="T75" s="63" t="str">
        <f t="shared" si="14"/>
        <v/>
      </c>
      <c r="U75" s="55"/>
      <c r="V75" s="114">
        <v>1.1507521200000002</v>
      </c>
      <c r="W75" s="108">
        <v>2.9377737599999998</v>
      </c>
      <c r="X75" s="108">
        <v>4.5277884099999994</v>
      </c>
      <c r="Y75" s="108">
        <v>5.8997560599999996</v>
      </c>
      <c r="Z75" s="115">
        <v>7.61370624</v>
      </c>
      <c r="AB75" s="74">
        <v>2.5209082776333984E-2</v>
      </c>
      <c r="AC75" s="76">
        <v>3.4267325765554066E-2</v>
      </c>
      <c r="AD75" s="76">
        <v>4.0749926453217934E-2</v>
      </c>
      <c r="AE75" s="76">
        <v>4.4488358396633627E-2</v>
      </c>
      <c r="AF75" s="64">
        <v>4.8203354169623958E-2</v>
      </c>
      <c r="AG75" s="74" t="s">
        <v>21</v>
      </c>
      <c r="AH75" s="76">
        <v>5.8919565655540657E-3</v>
      </c>
      <c r="AI75" s="76">
        <v>1.1679401753217928E-2</v>
      </c>
      <c r="AJ75" s="76">
        <v>1.454108899663363E-2</v>
      </c>
      <c r="AK75" s="64">
        <v>1.6919758569623952E-2</v>
      </c>
    </row>
    <row r="76" spans="2:37" s="137" customFormat="1" x14ac:dyDescent="0.35">
      <c r="B76" s="79" t="s">
        <v>304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9"/>
      <c r="Q76" s="78"/>
      <c r="R76" s="95"/>
      <c r="S76" s="78"/>
      <c r="T76" s="78"/>
      <c r="U76" s="55"/>
      <c r="V76" s="112"/>
      <c r="W76" s="107"/>
      <c r="X76" s="107"/>
      <c r="Y76" s="107"/>
      <c r="Z76" s="113"/>
      <c r="AB76" s="78"/>
      <c r="AC76" s="78"/>
      <c r="AD76" s="78"/>
      <c r="AE76" s="78"/>
      <c r="AF76" s="78"/>
      <c r="AG76" s="78"/>
      <c r="AH76" s="78"/>
      <c r="AI76" s="78"/>
      <c r="AJ76" s="78"/>
      <c r="AK76" s="77"/>
    </row>
    <row r="77" spans="2:37" s="137" customFormat="1" x14ac:dyDescent="0.35">
      <c r="B77" s="56" t="s">
        <v>307</v>
      </c>
      <c r="C77" s="66" t="s">
        <v>30</v>
      </c>
      <c r="D77" s="66" t="s">
        <v>131</v>
      </c>
      <c r="E77" s="66" t="s">
        <v>21</v>
      </c>
      <c r="F77" s="75">
        <f t="shared" ref="F77:F78" si="46">IF(ISNUMBER(AB77),AB77-((C$4-C$3)/V77),"")</f>
        <v>2.4508161849087617E-2</v>
      </c>
      <c r="G77" s="80">
        <f t="shared" ref="G77:G78" si="47">IF(ISNUMBER(AC77),AC77-((D$4-D$3)/W77),"")</f>
        <v>3.1674864325270433E-2</v>
      </c>
      <c r="H77" s="80">
        <f t="shared" ref="H77:H78" si="48">IF(ISNUMBER(AD77),AD77-((E$4-E$3)/X77),"")</f>
        <v>3.6272662862957328E-2</v>
      </c>
      <c r="I77" s="80">
        <f t="shared" ref="I77:I78" si="49">IF(ISNUMBER(AE77),AE77-((F$4-F$3)/Y77),"")</f>
        <v>3.9009939506847349E-2</v>
      </c>
      <c r="J77" s="62">
        <f t="shared" ref="J77:J78" si="50">IF(ISNUMBER(AF77),AF77-((G$4-G$3)/Z77),"")</f>
        <v>4.1797191425391442E-2</v>
      </c>
      <c r="K77" s="75" t="str">
        <f t="shared" ref="K77:K78" si="51">IF(ISNUMBER(AG77),IF(AG77-((C$4-C$3)/V77)&lt;0,"",AG77-((C$4-C$3)/V77)),"")</f>
        <v/>
      </c>
      <c r="L77" s="80">
        <f t="shared" ref="L77:L78" si="52">IF(ISNUMBER(AH77),IF(AH77-((D$4-D$3)/W77)&lt;0,"",AH77-((D$4-D$3)/W77)),"")</f>
        <v>3.3857334252704345E-3</v>
      </c>
      <c r="M77" s="80">
        <f t="shared" ref="M77:M78" si="53">IF(ISNUMBER(AI77),IF(AI77-((E$4-E$3)/X77)&lt;0,"",AI77-((E$4-E$3)/X77)),"")</f>
        <v>7.3609239629573286E-3</v>
      </c>
      <c r="N77" s="80">
        <f t="shared" ref="N77:N78" si="54">IF(ISNUMBER(AJ77),IF(AJ77-((F$4-F$3)/Y77)&lt;0,"",AJ77-((F$4-F$3)/Y77)),"")</f>
        <v>9.2653408068473515E-3</v>
      </c>
      <c r="O77" s="62">
        <f t="shared" ref="O77:O78" si="55">IF(ISNUMBER(AK77),IF(AK77-((G$4-G$3)/Z77)&lt;0,"",AK77-((G$4-G$3)/Z77)),"")</f>
        <v>1.0717863725391437E-2</v>
      </c>
      <c r="P77" s="56" t="s">
        <v>21</v>
      </c>
      <c r="Q77" s="66" t="s">
        <v>21</v>
      </c>
      <c r="R77" s="100" t="s">
        <v>21</v>
      </c>
      <c r="S77" s="80" t="s">
        <v>21</v>
      </c>
      <c r="T77" s="62" t="str">
        <f t="shared" si="25"/>
        <v/>
      </c>
      <c r="U77" s="55"/>
      <c r="V77" s="118">
        <v>1.1521692100000001</v>
      </c>
      <c r="W77" s="61">
        <v>2.9571035700000001</v>
      </c>
      <c r="X77" s="61">
        <v>4.59966805</v>
      </c>
      <c r="Y77" s="61">
        <v>6.0598488599999998</v>
      </c>
      <c r="Z77" s="119">
        <v>7.95510275</v>
      </c>
      <c r="AB77" s="75">
        <v>2.4508161849087617E-2</v>
      </c>
      <c r="AC77" s="80">
        <v>3.1674864325270433E-2</v>
      </c>
      <c r="AD77" s="80">
        <v>3.6272662862957328E-2</v>
      </c>
      <c r="AE77" s="80">
        <v>3.9009939506847349E-2</v>
      </c>
      <c r="AF77" s="62">
        <v>4.1797191425391442E-2</v>
      </c>
      <c r="AG77" s="75" t="s">
        <v>21</v>
      </c>
      <c r="AH77" s="80">
        <v>3.3857334252704345E-3</v>
      </c>
      <c r="AI77" s="80">
        <v>7.3609239629573286E-3</v>
      </c>
      <c r="AJ77" s="80">
        <v>9.2653408068473515E-3</v>
      </c>
      <c r="AK77" s="62">
        <v>1.0717863725391437E-2</v>
      </c>
    </row>
    <row r="78" spans="2:37" s="137" customFormat="1" x14ac:dyDescent="0.35">
      <c r="B78" s="57" t="s">
        <v>307</v>
      </c>
      <c r="C78" s="67" t="s">
        <v>35</v>
      </c>
      <c r="D78" s="67" t="s">
        <v>131</v>
      </c>
      <c r="E78" s="67" t="s">
        <v>21</v>
      </c>
      <c r="F78" s="74">
        <f t="shared" si="46"/>
        <v>2.6769469103429141E-2</v>
      </c>
      <c r="G78" s="76">
        <f t="shared" si="47"/>
        <v>3.7669092660287527E-2</v>
      </c>
      <c r="H78" s="76">
        <f t="shared" si="48"/>
        <v>4.62869894735458E-2</v>
      </c>
      <c r="I78" s="76">
        <f t="shared" si="49"/>
        <v>5.1366901081921885E-2</v>
      </c>
      <c r="J78" s="64">
        <f t="shared" si="50"/>
        <v>5.5604874875639608E-2</v>
      </c>
      <c r="K78" s="74" t="str">
        <f t="shared" si="51"/>
        <v/>
      </c>
      <c r="L78" s="76">
        <f t="shared" si="52"/>
        <v>9.2093149602875297E-3</v>
      </c>
      <c r="M78" s="76">
        <f t="shared" si="53"/>
        <v>1.7061273673545801E-2</v>
      </c>
      <c r="N78" s="76">
        <f t="shared" si="54"/>
        <v>2.1209312081921887E-2</v>
      </c>
      <c r="O78" s="64">
        <f t="shared" si="55"/>
        <v>2.4105614975639622E-2</v>
      </c>
      <c r="P78" s="57" t="s">
        <v>21</v>
      </c>
      <c r="Q78" s="67" t="s">
        <v>21</v>
      </c>
      <c r="R78" s="96" t="s">
        <v>21</v>
      </c>
      <c r="S78" s="76" t="s">
        <v>21</v>
      </c>
      <c r="T78" s="64" t="str">
        <f t="shared" si="25"/>
        <v/>
      </c>
      <c r="U78" s="55"/>
      <c r="V78" s="116">
        <v>1.1496394999999999</v>
      </c>
      <c r="W78" s="72">
        <v>2.9273867400000002</v>
      </c>
      <c r="X78" s="72">
        <v>4.4913623299999994</v>
      </c>
      <c r="Y78" s="72">
        <v>5.8198353100000002</v>
      </c>
      <c r="Z78" s="115">
        <v>7.4544012199999994</v>
      </c>
      <c r="AB78" s="74">
        <v>2.6769469103429141E-2</v>
      </c>
      <c r="AC78" s="76">
        <v>3.7669092660287527E-2</v>
      </c>
      <c r="AD78" s="76">
        <v>4.62869894735458E-2</v>
      </c>
      <c r="AE78" s="76">
        <v>5.1366901081921885E-2</v>
      </c>
      <c r="AF78" s="64">
        <v>5.5604874875639608E-2</v>
      </c>
      <c r="AG78" s="74" t="s">
        <v>21</v>
      </c>
      <c r="AH78" s="76">
        <v>9.2093149602875297E-3</v>
      </c>
      <c r="AI78" s="76">
        <v>1.7061273673545801E-2</v>
      </c>
      <c r="AJ78" s="76">
        <v>2.1209312081921887E-2</v>
      </c>
      <c r="AK78" s="64">
        <v>2.4105614975639622E-2</v>
      </c>
    </row>
    <row r="79" spans="2:37" x14ac:dyDescent="0.35">
      <c r="B79" s="79" t="s">
        <v>67</v>
      </c>
      <c r="C79" s="78"/>
      <c r="D79" s="78"/>
      <c r="E79" s="78"/>
      <c r="F79" s="78" t="str">
        <f t="shared" si="4"/>
        <v/>
      </c>
      <c r="G79" s="78" t="str">
        <f t="shared" si="5"/>
        <v/>
      </c>
      <c r="H79" s="78" t="str">
        <f t="shared" si="6"/>
        <v/>
      </c>
      <c r="I79" s="78" t="str">
        <f t="shared" si="7"/>
        <v/>
      </c>
      <c r="J79" s="78" t="str">
        <f t="shared" si="8"/>
        <v/>
      </c>
      <c r="K79" s="78" t="str">
        <f t="shared" si="9"/>
        <v/>
      </c>
      <c r="L79" s="78" t="str">
        <f t="shared" si="10"/>
        <v/>
      </c>
      <c r="M79" s="78" t="str">
        <f t="shared" si="11"/>
        <v/>
      </c>
      <c r="N79" s="78" t="str">
        <f t="shared" si="12"/>
        <v/>
      </c>
      <c r="O79" s="77" t="str">
        <f t="shared" si="13"/>
        <v/>
      </c>
      <c r="P79" s="79"/>
      <c r="Q79" s="78"/>
      <c r="R79" s="95"/>
      <c r="S79" s="78"/>
      <c r="T79" s="77" t="str">
        <f t="shared" si="14"/>
        <v/>
      </c>
      <c r="V79" s="112"/>
      <c r="W79" s="107"/>
      <c r="X79" s="107"/>
      <c r="Y79" s="107"/>
      <c r="Z79" s="113"/>
      <c r="AB79" s="78"/>
      <c r="AC79" s="78"/>
      <c r="AD79" s="78"/>
      <c r="AE79" s="78"/>
      <c r="AF79" s="78"/>
      <c r="AG79" s="78"/>
      <c r="AH79" s="78"/>
      <c r="AI79" s="78"/>
      <c r="AJ79" s="78"/>
      <c r="AK79" s="77"/>
    </row>
    <row r="80" spans="2:37" x14ac:dyDescent="0.35">
      <c r="B80" s="56" t="s">
        <v>68</v>
      </c>
      <c r="C80" s="66" t="s">
        <v>61</v>
      </c>
      <c r="D80" s="66" t="s">
        <v>69</v>
      </c>
      <c r="E80" s="66" t="s">
        <v>21</v>
      </c>
      <c r="F80" s="75">
        <f t="shared" si="4"/>
        <v>2.7238361864072146E-2</v>
      </c>
      <c r="G80" s="80">
        <f t="shared" si="5"/>
        <v>3.4720163609481332E-2</v>
      </c>
      <c r="H80" s="80">
        <f t="shared" si="6"/>
        <v>4.0195822057742414E-2</v>
      </c>
      <c r="I80" s="80">
        <f t="shared" si="7"/>
        <v>4.3182972442483127E-2</v>
      </c>
      <c r="J80" s="62">
        <f t="shared" si="8"/>
        <v>4.6411835283370458E-2</v>
      </c>
      <c r="K80" s="75" t="str">
        <f t="shared" si="9"/>
        <v/>
      </c>
      <c r="L80" s="80">
        <f t="shared" si="10"/>
        <v>6.3271323094813365E-3</v>
      </c>
      <c r="M80" s="80">
        <f t="shared" si="11"/>
        <v>1.1145518357742421E-2</v>
      </c>
      <c r="N80" s="80">
        <f t="shared" si="12"/>
        <v>1.3286900242483126E-2</v>
      </c>
      <c r="O80" s="62">
        <f t="shared" si="13"/>
        <v>1.5187738783370467E-2</v>
      </c>
      <c r="P80" s="56" t="s">
        <v>21</v>
      </c>
      <c r="Q80" s="66" t="s">
        <v>21</v>
      </c>
      <c r="R80" s="100" t="s">
        <v>21</v>
      </c>
      <c r="S80" s="80" t="s">
        <v>21</v>
      </c>
      <c r="T80" s="62" t="str">
        <f t="shared" si="14"/>
        <v/>
      </c>
      <c r="V80" s="118">
        <v>1.14676909</v>
      </c>
      <c r="W80" s="61">
        <v>2.9278238999999999</v>
      </c>
      <c r="X80" s="61">
        <v>4.5231117799999998</v>
      </c>
      <c r="Y80" s="61">
        <v>5.9159555699999995</v>
      </c>
      <c r="Z80" s="119">
        <v>7.6816488500000002</v>
      </c>
      <c r="AB80" s="75">
        <v>2.7238361864072146E-2</v>
      </c>
      <c r="AC80" s="80">
        <v>3.4720163609481332E-2</v>
      </c>
      <c r="AD80" s="80">
        <v>4.0195822057742414E-2</v>
      </c>
      <c r="AE80" s="80">
        <v>4.3182972442483127E-2</v>
      </c>
      <c r="AF80" s="62">
        <v>4.6411835283370458E-2</v>
      </c>
      <c r="AG80" s="75" t="s">
        <v>21</v>
      </c>
      <c r="AH80" s="80">
        <v>6.3271323094813365E-3</v>
      </c>
      <c r="AI80" s="80">
        <v>1.1145518357742421E-2</v>
      </c>
      <c r="AJ80" s="80">
        <v>1.3286900242483126E-2</v>
      </c>
      <c r="AK80" s="62">
        <v>1.5187738783370467E-2</v>
      </c>
    </row>
    <row r="81" spans="2:37" x14ac:dyDescent="0.35">
      <c r="B81" s="57" t="s">
        <v>68</v>
      </c>
      <c r="C81" s="67" t="s">
        <v>63</v>
      </c>
      <c r="D81" s="67" t="s">
        <v>69</v>
      </c>
      <c r="E81" s="67" t="s">
        <v>81</v>
      </c>
      <c r="F81" s="74">
        <f t="shared" si="4"/>
        <v>2.8850643258959648E-2</v>
      </c>
      <c r="G81" s="76">
        <f t="shared" si="5"/>
        <v>3.7645147486186997E-2</v>
      </c>
      <c r="H81" s="76">
        <f t="shared" si="6"/>
        <v>4.3727865309930766E-2</v>
      </c>
      <c r="I81" s="76">
        <f t="shared" si="7"/>
        <v>4.705719338817748E-2</v>
      </c>
      <c r="J81" s="64">
        <f t="shared" si="8"/>
        <v>5.0302595695400139E-2</v>
      </c>
      <c r="K81" s="74">
        <f t="shared" si="9"/>
        <v>1.4177407589596441E-3</v>
      </c>
      <c r="L81" s="76">
        <f t="shared" si="10"/>
        <v>9.1912816861870004E-3</v>
      </c>
      <c r="M81" s="76">
        <f t="shared" si="11"/>
        <v>1.4604807809930773E-2</v>
      </c>
      <c r="N81" s="76">
        <f t="shared" si="12"/>
        <v>1.7077192888177488E-2</v>
      </c>
      <c r="O81" s="64">
        <f t="shared" si="13"/>
        <v>1.9000731195400137E-2</v>
      </c>
      <c r="P81" s="57" t="s">
        <v>21</v>
      </c>
      <c r="Q81" s="67" t="s">
        <v>21</v>
      </c>
      <c r="R81" s="96" t="s">
        <v>21</v>
      </c>
      <c r="S81" s="76" t="s">
        <v>21</v>
      </c>
      <c r="T81" s="64" t="str">
        <f t="shared" si="14"/>
        <v/>
      </c>
      <c r="V81" s="116">
        <v>1.14573748</v>
      </c>
      <c r="W81" s="108">
        <v>2.92053539</v>
      </c>
      <c r="X81" s="108">
        <v>4.5054752799999997</v>
      </c>
      <c r="Y81" s="108">
        <v>5.8853711999999998</v>
      </c>
      <c r="Z81" s="117">
        <v>7.6338012499999994</v>
      </c>
      <c r="AB81" s="74">
        <v>2.8850643258959648E-2</v>
      </c>
      <c r="AC81" s="76">
        <v>3.7645147486186997E-2</v>
      </c>
      <c r="AD81" s="76">
        <v>4.3727865309930766E-2</v>
      </c>
      <c r="AE81" s="76">
        <v>4.705719338817748E-2</v>
      </c>
      <c r="AF81" s="64">
        <v>5.0302595695400139E-2</v>
      </c>
      <c r="AG81" s="74">
        <v>1.4177407589596441E-3</v>
      </c>
      <c r="AH81" s="76">
        <v>9.1912816861870004E-3</v>
      </c>
      <c r="AI81" s="76">
        <v>1.4604807809930773E-2</v>
      </c>
      <c r="AJ81" s="76">
        <v>1.7077192888177488E-2</v>
      </c>
      <c r="AK81" s="64">
        <v>1.9000731195400137E-2</v>
      </c>
    </row>
    <row r="82" spans="2:37" x14ac:dyDescent="0.35">
      <c r="B82" s="56" t="s">
        <v>70</v>
      </c>
      <c r="C82" s="66" t="s">
        <v>65</v>
      </c>
      <c r="D82" s="66" t="s">
        <v>69</v>
      </c>
      <c r="E82" s="66" t="s">
        <v>231</v>
      </c>
      <c r="F82" s="75">
        <f t="shared" si="4"/>
        <v>2.7514123726560563E-2</v>
      </c>
      <c r="G82" s="80">
        <f t="shared" si="5"/>
        <v>3.5611125359824532E-2</v>
      </c>
      <c r="H82" s="80">
        <f t="shared" si="6"/>
        <v>4.1379614196466019E-2</v>
      </c>
      <c r="I82" s="80">
        <f t="shared" si="7"/>
        <v>4.486818203865843E-2</v>
      </c>
      <c r="J82" s="62">
        <f t="shared" si="8"/>
        <v>4.840227420850339E-2</v>
      </c>
      <c r="K82" s="75">
        <f t="shared" si="9"/>
        <v>1.1496902656056227E-4</v>
      </c>
      <c r="L82" s="80">
        <f t="shared" si="10"/>
        <v>7.1863825598245355E-3</v>
      </c>
      <c r="M82" s="80">
        <f t="shared" si="11"/>
        <v>1.2283389196466024E-2</v>
      </c>
      <c r="N82" s="80">
        <f t="shared" si="12"/>
        <v>1.4902282338658427E-2</v>
      </c>
      <c r="O82" s="62">
        <f t="shared" si="13"/>
        <v>1.7105310608503389E-2</v>
      </c>
      <c r="P82" s="55" t="s">
        <v>450</v>
      </c>
      <c r="Q82" s="53" t="s">
        <v>451</v>
      </c>
      <c r="R82" s="94">
        <v>47371</v>
      </c>
      <c r="S82" s="71">
        <v>3.7831570000000002E-2</v>
      </c>
      <c r="T82" s="63">
        <f t="shared" si="14"/>
        <v>3.5480441964660173E-3</v>
      </c>
      <c r="V82" s="118">
        <v>1.1460150800000002</v>
      </c>
      <c r="W82" s="61">
        <v>2.9207696099999998</v>
      </c>
      <c r="X82" s="61">
        <v>4.5019793200000002</v>
      </c>
      <c r="Y82" s="61">
        <v>5.8689459800000003</v>
      </c>
      <c r="Z82" s="119">
        <v>7.5799037700000005</v>
      </c>
      <c r="AB82" s="75">
        <v>2.7514123726560563E-2</v>
      </c>
      <c r="AC82" s="80">
        <v>3.5611125359824532E-2</v>
      </c>
      <c r="AD82" s="80">
        <v>4.1379614196466019E-2</v>
      </c>
      <c r="AE82" s="80">
        <v>4.486818203865843E-2</v>
      </c>
      <c r="AF82" s="62">
        <v>4.840227420850339E-2</v>
      </c>
      <c r="AG82" s="75">
        <v>1.1496902656056227E-4</v>
      </c>
      <c r="AH82" s="80">
        <v>7.1863825598245355E-3</v>
      </c>
      <c r="AI82" s="80">
        <v>1.2283389196466024E-2</v>
      </c>
      <c r="AJ82" s="80">
        <v>1.4902282338658427E-2</v>
      </c>
      <c r="AK82" s="62">
        <v>1.7105310608503389E-2</v>
      </c>
    </row>
    <row r="83" spans="2:37" x14ac:dyDescent="0.35">
      <c r="B83" s="55" t="s">
        <v>70</v>
      </c>
      <c r="C83" s="53" t="s">
        <v>66</v>
      </c>
      <c r="D83" s="53" t="s">
        <v>69</v>
      </c>
      <c r="E83" s="53" t="s">
        <v>81</v>
      </c>
      <c r="F83" s="73">
        <f t="shared" si="4"/>
        <v>2.8991501505149061E-2</v>
      </c>
      <c r="G83" s="60">
        <f t="shared" si="5"/>
        <v>3.913734966363281E-2</v>
      </c>
      <c r="H83" s="60">
        <f t="shared" si="6"/>
        <v>4.7174294620027354E-2</v>
      </c>
      <c r="I83" s="60">
        <f t="shared" si="7"/>
        <v>5.2163159197303181E-2</v>
      </c>
      <c r="J83" s="63">
        <f t="shared" si="8"/>
        <v>5.6225043987642082E-2</v>
      </c>
      <c r="K83" s="73">
        <f t="shared" si="9"/>
        <v>1.5506909051490672E-3</v>
      </c>
      <c r="L83" s="60">
        <f t="shared" si="10"/>
        <v>1.0630776563632805E-2</v>
      </c>
      <c r="M83" s="60">
        <f t="shared" si="11"/>
        <v>1.7914142820027346E-2</v>
      </c>
      <c r="N83" s="60">
        <f t="shared" si="12"/>
        <v>2.197030079730318E-2</v>
      </c>
      <c r="O83" s="63">
        <f t="shared" si="13"/>
        <v>2.4697193787642083E-2</v>
      </c>
      <c r="P83" s="55" t="s">
        <v>21</v>
      </c>
      <c r="Q83" s="53" t="s">
        <v>21</v>
      </c>
      <c r="R83" s="94" t="s">
        <v>21</v>
      </c>
      <c r="S83" s="71" t="s">
        <v>21</v>
      </c>
      <c r="T83" s="63" t="str">
        <f t="shared" si="14"/>
        <v/>
      </c>
      <c r="V83" s="116">
        <v>1.1454890400000002</v>
      </c>
      <c r="W83" s="108">
        <v>2.9129311099999997</v>
      </c>
      <c r="X83" s="108">
        <v>4.4678784300000007</v>
      </c>
      <c r="Y83" s="108">
        <v>5.7877762600000002</v>
      </c>
      <c r="Z83" s="117">
        <v>7.4111844600000003</v>
      </c>
      <c r="AB83" s="73">
        <v>2.8991501505149061E-2</v>
      </c>
      <c r="AC83" s="71">
        <v>3.913734966363281E-2</v>
      </c>
      <c r="AD83" s="71">
        <v>4.7174294620027354E-2</v>
      </c>
      <c r="AE83" s="71">
        <v>5.2163159197303181E-2</v>
      </c>
      <c r="AF83" s="63">
        <v>5.6225043987642082E-2</v>
      </c>
      <c r="AG83" s="73">
        <v>1.5506909051490672E-3</v>
      </c>
      <c r="AH83" s="71">
        <v>1.0630776563632805E-2</v>
      </c>
      <c r="AI83" s="71">
        <v>1.7914142820027346E-2</v>
      </c>
      <c r="AJ83" s="71">
        <v>2.197030079730318E-2</v>
      </c>
      <c r="AK83" s="63">
        <v>2.4697193787642083E-2</v>
      </c>
    </row>
    <row r="84" spans="2:37" x14ac:dyDescent="0.35">
      <c r="B84" s="56" t="s">
        <v>71</v>
      </c>
      <c r="C84" s="66" t="s">
        <v>61</v>
      </c>
      <c r="D84" s="66" t="s">
        <v>69</v>
      </c>
      <c r="E84" s="66" t="s">
        <v>21</v>
      </c>
      <c r="F84" s="75">
        <f t="shared" si="4"/>
        <v>2.5218636050193834E-2</v>
      </c>
      <c r="G84" s="80">
        <f t="shared" si="5"/>
        <v>3.2194195035786223E-2</v>
      </c>
      <c r="H84" s="80">
        <f t="shared" si="6"/>
        <v>3.6527825804463877E-2</v>
      </c>
      <c r="I84" s="80">
        <f t="shared" si="7"/>
        <v>3.9114169447639589E-2</v>
      </c>
      <c r="J84" s="62">
        <f t="shared" si="8"/>
        <v>4.1807553554424087E-2</v>
      </c>
      <c r="K84" s="75" t="str">
        <f t="shared" si="9"/>
        <v/>
      </c>
      <c r="L84" s="80">
        <f t="shared" si="10"/>
        <v>3.8902382357862233E-3</v>
      </c>
      <c r="M84" s="80">
        <f t="shared" si="11"/>
        <v>7.6091300044638793E-3</v>
      </c>
      <c r="N84" s="80">
        <f t="shared" si="12"/>
        <v>9.3666054476395956E-3</v>
      </c>
      <c r="O84" s="62">
        <f t="shared" si="13"/>
        <v>1.0726846454424085E-2</v>
      </c>
      <c r="P84" s="56" t="s">
        <v>21</v>
      </c>
      <c r="Q84" s="66" t="s">
        <v>21</v>
      </c>
      <c r="R84" s="100" t="s">
        <v>21</v>
      </c>
      <c r="S84" s="80" t="s">
        <v>21</v>
      </c>
      <c r="T84" s="62" t="str">
        <f t="shared" si="14"/>
        <v/>
      </c>
      <c r="V84" s="118">
        <v>1.15072427</v>
      </c>
      <c r="W84" s="61">
        <v>2.9511374999999997</v>
      </c>
      <c r="X84" s="61">
        <v>4.5899242200000003</v>
      </c>
      <c r="Y84" s="61">
        <v>6.0484344700000001</v>
      </c>
      <c r="Z84" s="119">
        <v>7.9440100299999994</v>
      </c>
      <c r="AB84" s="75">
        <v>2.5218636050193834E-2</v>
      </c>
      <c r="AC84" s="80">
        <v>3.2194195035786223E-2</v>
      </c>
      <c r="AD84" s="80">
        <v>3.6527825804463877E-2</v>
      </c>
      <c r="AE84" s="80">
        <v>3.9114169447639589E-2</v>
      </c>
      <c r="AF84" s="62">
        <v>4.1807553554424087E-2</v>
      </c>
      <c r="AG84" s="75" t="s">
        <v>21</v>
      </c>
      <c r="AH84" s="80">
        <v>3.8902382357862233E-3</v>
      </c>
      <c r="AI84" s="80">
        <v>7.6091300044638793E-3</v>
      </c>
      <c r="AJ84" s="80">
        <v>9.3666054476395956E-3</v>
      </c>
      <c r="AK84" s="62">
        <v>1.0726846454424085E-2</v>
      </c>
    </row>
    <row r="85" spans="2:37" x14ac:dyDescent="0.35">
      <c r="B85" s="57" t="s">
        <v>71</v>
      </c>
      <c r="C85" s="67" t="s">
        <v>63</v>
      </c>
      <c r="D85" s="67" t="s">
        <v>69</v>
      </c>
      <c r="E85" s="67" t="s">
        <v>21</v>
      </c>
      <c r="F85" s="74">
        <f t="shared" si="4"/>
        <v>2.6663826703704593E-2</v>
      </c>
      <c r="G85" s="76">
        <f t="shared" si="5"/>
        <v>3.4426478787198282E-2</v>
      </c>
      <c r="H85" s="76">
        <f t="shared" si="6"/>
        <v>3.9475316634964168E-2</v>
      </c>
      <c r="I85" s="76">
        <f t="shared" si="7"/>
        <v>4.2614822298365822E-2</v>
      </c>
      <c r="J85" s="64">
        <f t="shared" si="8"/>
        <v>4.5467588706546207E-2</v>
      </c>
      <c r="K85" s="74" t="str">
        <f t="shared" si="9"/>
        <v/>
      </c>
      <c r="L85" s="76">
        <f t="shared" si="10"/>
        <v>6.0775043871982883E-3</v>
      </c>
      <c r="M85" s="76">
        <f t="shared" si="11"/>
        <v>1.0497839234964172E-2</v>
      </c>
      <c r="N85" s="76">
        <f t="shared" si="12"/>
        <v>1.2793387298365821E-2</v>
      </c>
      <c r="O85" s="64">
        <f t="shared" si="13"/>
        <v>1.4321085906546209E-2</v>
      </c>
      <c r="P85" s="57" t="s">
        <v>21</v>
      </c>
      <c r="Q85" s="67" t="s">
        <v>21</v>
      </c>
      <c r="R85" s="96" t="s">
        <v>21</v>
      </c>
      <c r="S85" s="76" t="s">
        <v>21</v>
      </c>
      <c r="T85" s="64" t="str">
        <f t="shared" si="14"/>
        <v/>
      </c>
      <c r="V85" s="116">
        <v>1.14965147</v>
      </c>
      <c r="W85" s="108">
        <v>2.9433794400000002</v>
      </c>
      <c r="X85" s="108">
        <v>4.5674996300000004</v>
      </c>
      <c r="Y85" s="108">
        <v>6.00205082</v>
      </c>
      <c r="Z85" s="117">
        <v>7.8545487499999993</v>
      </c>
      <c r="AB85" s="74">
        <v>2.6663826703704593E-2</v>
      </c>
      <c r="AC85" s="76">
        <v>3.4426478787198282E-2</v>
      </c>
      <c r="AD85" s="76">
        <v>3.9475316634964168E-2</v>
      </c>
      <c r="AE85" s="76">
        <v>4.2614822298365822E-2</v>
      </c>
      <c r="AF85" s="64">
        <v>4.5467588706546207E-2</v>
      </c>
      <c r="AG85" s="74" t="s">
        <v>21</v>
      </c>
      <c r="AH85" s="76">
        <v>6.0775043871982883E-3</v>
      </c>
      <c r="AI85" s="76">
        <v>1.0497839234964172E-2</v>
      </c>
      <c r="AJ85" s="76">
        <v>1.2793387298365821E-2</v>
      </c>
      <c r="AK85" s="64">
        <v>1.4321085906546209E-2</v>
      </c>
    </row>
    <row r="86" spans="2:37" x14ac:dyDescent="0.35">
      <c r="B86" s="55" t="s">
        <v>72</v>
      </c>
      <c r="C86" s="53" t="s">
        <v>65</v>
      </c>
      <c r="D86" s="53" t="s">
        <v>69</v>
      </c>
      <c r="E86" s="53" t="s">
        <v>34</v>
      </c>
      <c r="F86" s="73">
        <f t="shared" si="4"/>
        <v>2.5165219058086656E-2</v>
      </c>
      <c r="G86" s="60">
        <f t="shared" si="5"/>
        <v>3.3083629268651077E-2</v>
      </c>
      <c r="H86" s="60">
        <f t="shared" si="6"/>
        <v>3.89529706117374E-2</v>
      </c>
      <c r="I86" s="60">
        <f t="shared" si="7"/>
        <v>4.2159683823889058E-2</v>
      </c>
      <c r="J86" s="63">
        <f t="shared" si="8"/>
        <v>4.5800331440563773E-2</v>
      </c>
      <c r="K86" s="73" t="str">
        <f t="shared" si="9"/>
        <v/>
      </c>
      <c r="L86" s="60">
        <f t="shared" si="10"/>
        <v>4.7476411686510761E-3</v>
      </c>
      <c r="M86" s="60">
        <f t="shared" si="11"/>
        <v>9.9493050117374048E-3</v>
      </c>
      <c r="N86" s="60">
        <f t="shared" si="12"/>
        <v>1.2305046823889054E-2</v>
      </c>
      <c r="O86" s="63">
        <f t="shared" si="13"/>
        <v>1.4600858540563777E-2</v>
      </c>
      <c r="P86" s="55" t="s">
        <v>21</v>
      </c>
      <c r="Q86" s="53" t="s">
        <v>21</v>
      </c>
      <c r="R86" s="94" t="s">
        <v>21</v>
      </c>
      <c r="S86" s="71" t="s">
        <v>21</v>
      </c>
      <c r="T86" s="63" t="str">
        <f t="shared" si="14"/>
        <v/>
      </c>
      <c r="V86" s="118">
        <v>1.1508811299999999</v>
      </c>
      <c r="W86" s="61">
        <v>2.9456688899999999</v>
      </c>
      <c r="X86" s="61">
        <v>4.5570099599999994</v>
      </c>
      <c r="Y86" s="61">
        <v>5.9656816799999994</v>
      </c>
      <c r="Z86" s="119">
        <v>7.7476017999999991</v>
      </c>
      <c r="AB86" s="73">
        <v>2.5165219058086656E-2</v>
      </c>
      <c r="AC86" s="71">
        <v>3.3083629268651077E-2</v>
      </c>
      <c r="AD86" s="71">
        <v>3.89529706117374E-2</v>
      </c>
      <c r="AE86" s="71">
        <v>4.2159683823889058E-2</v>
      </c>
      <c r="AF86" s="63">
        <v>4.5800331440563773E-2</v>
      </c>
      <c r="AG86" s="73" t="s">
        <v>21</v>
      </c>
      <c r="AH86" s="71">
        <v>4.7476411686510761E-3</v>
      </c>
      <c r="AI86" s="71">
        <v>9.9493050117374048E-3</v>
      </c>
      <c r="AJ86" s="71">
        <v>1.2305046823889054E-2</v>
      </c>
      <c r="AK86" s="63">
        <v>1.4600858540563777E-2</v>
      </c>
    </row>
    <row r="87" spans="2:37" x14ac:dyDescent="0.35">
      <c r="B87" s="57" t="s">
        <v>72</v>
      </c>
      <c r="C87" s="67" t="s">
        <v>66</v>
      </c>
      <c r="D87" s="67" t="s">
        <v>69</v>
      </c>
      <c r="E87" s="67" t="s">
        <v>36</v>
      </c>
      <c r="F87" s="74">
        <f t="shared" si="4"/>
        <v>2.6360493016104769E-2</v>
      </c>
      <c r="G87" s="76">
        <f t="shared" si="5"/>
        <v>3.6735223394560534E-2</v>
      </c>
      <c r="H87" s="76">
        <f t="shared" si="6"/>
        <v>4.4619997561609809E-2</v>
      </c>
      <c r="I87" s="76">
        <f t="shared" si="7"/>
        <v>4.9205591906013126E-2</v>
      </c>
      <c r="J87" s="64">
        <f t="shared" si="8"/>
        <v>5.3134170773354215E-2</v>
      </c>
      <c r="K87" s="74" t="str">
        <f t="shared" si="9"/>
        <v/>
      </c>
      <c r="L87" s="76">
        <f t="shared" si="10"/>
        <v>8.3121263945605383E-3</v>
      </c>
      <c r="M87" s="76">
        <f t="shared" si="11"/>
        <v>1.5464584361609818E-2</v>
      </c>
      <c r="N87" s="76">
        <f t="shared" si="12"/>
        <v>1.9143524806013126E-2</v>
      </c>
      <c r="O87" s="64">
        <f t="shared" si="13"/>
        <v>2.1736642573354208E-2</v>
      </c>
      <c r="P87" s="57" t="s">
        <v>21</v>
      </c>
      <c r="Q87" s="67" t="s">
        <v>21</v>
      </c>
      <c r="R87" s="96" t="s">
        <v>21</v>
      </c>
      <c r="S87" s="76" t="s">
        <v>21</v>
      </c>
      <c r="T87" s="64" t="str">
        <f t="shared" si="14"/>
        <v/>
      </c>
      <c r="V87" s="116">
        <v>1.1501481099999999</v>
      </c>
      <c r="W87" s="108">
        <v>2.9327993699999997</v>
      </c>
      <c r="X87" s="108">
        <v>4.5115601200000004</v>
      </c>
      <c r="Y87" s="108">
        <v>5.8655199399999995</v>
      </c>
      <c r="Z87" s="117">
        <v>7.5511871900000003</v>
      </c>
      <c r="AB87" s="74">
        <v>2.6360493016104769E-2</v>
      </c>
      <c r="AC87" s="76">
        <v>3.6735223394560534E-2</v>
      </c>
      <c r="AD87" s="76">
        <v>4.4619997561609809E-2</v>
      </c>
      <c r="AE87" s="76">
        <v>4.9205591906013126E-2</v>
      </c>
      <c r="AF87" s="64">
        <v>5.3134170773354215E-2</v>
      </c>
      <c r="AG87" s="74" t="s">
        <v>21</v>
      </c>
      <c r="AH87" s="76">
        <v>8.3121263945605383E-3</v>
      </c>
      <c r="AI87" s="76">
        <v>1.5464584361609818E-2</v>
      </c>
      <c r="AJ87" s="76">
        <v>1.9143524806013126E-2</v>
      </c>
      <c r="AK87" s="64">
        <v>2.1736642573354208E-2</v>
      </c>
    </row>
    <row r="88" spans="2:37" x14ac:dyDescent="0.35">
      <c r="B88" s="57" t="s">
        <v>74</v>
      </c>
      <c r="C88" s="67" t="s">
        <v>61</v>
      </c>
      <c r="D88" s="67" t="s">
        <v>69</v>
      </c>
      <c r="E88" s="67" t="s">
        <v>314</v>
      </c>
      <c r="F88" s="74">
        <f t="shared" si="4"/>
        <v>2.6060641137749519E-2</v>
      </c>
      <c r="G88" s="76">
        <f t="shared" si="5"/>
        <v>3.3745136672358692E-2</v>
      </c>
      <c r="H88" s="76">
        <f t="shared" si="6"/>
        <v>3.90585106404681E-2</v>
      </c>
      <c r="I88" s="76">
        <f t="shared" si="7"/>
        <v>4.2266545819646235E-2</v>
      </c>
      <c r="J88" s="64">
        <f t="shared" si="8"/>
        <v>4.557813469906416E-2</v>
      </c>
      <c r="K88" s="74" t="str">
        <f t="shared" si="9"/>
        <v/>
      </c>
      <c r="L88" s="76">
        <f t="shared" si="10"/>
        <v>5.3880343723586993E-3</v>
      </c>
      <c r="M88" s="76">
        <f t="shared" si="11"/>
        <v>1.0052096440468098E-2</v>
      </c>
      <c r="N88" s="76">
        <f t="shared" si="12"/>
        <v>1.2407478319646234E-2</v>
      </c>
      <c r="O88" s="64">
        <f t="shared" si="13"/>
        <v>1.4385424299064153E-2</v>
      </c>
      <c r="P88" s="57" t="s">
        <v>21</v>
      </c>
      <c r="Q88" s="67" t="s">
        <v>21</v>
      </c>
      <c r="R88" s="96" t="s">
        <v>21</v>
      </c>
      <c r="S88" s="76" t="s">
        <v>21</v>
      </c>
      <c r="T88" s="64" t="str">
        <f t="shared" si="14"/>
        <v/>
      </c>
      <c r="V88" s="118">
        <v>1.14907582</v>
      </c>
      <c r="W88" s="61">
        <v>2.9381760799999999</v>
      </c>
      <c r="X88" s="61">
        <v>4.54712592</v>
      </c>
      <c r="Y88" s="61">
        <v>5.9548143700000002</v>
      </c>
      <c r="Z88" s="119">
        <v>7.7426749200000007</v>
      </c>
      <c r="AB88" s="74">
        <v>2.6060641137749519E-2</v>
      </c>
      <c r="AC88" s="76">
        <v>3.3745136672358692E-2</v>
      </c>
      <c r="AD88" s="76">
        <v>3.90585106404681E-2</v>
      </c>
      <c r="AE88" s="76">
        <v>4.2266545819646235E-2</v>
      </c>
      <c r="AF88" s="64">
        <v>4.557813469906416E-2</v>
      </c>
      <c r="AG88" s="74" t="s">
        <v>21</v>
      </c>
      <c r="AH88" s="76">
        <v>5.3880343723586993E-3</v>
      </c>
      <c r="AI88" s="76">
        <v>1.0052096440468098E-2</v>
      </c>
      <c r="AJ88" s="76">
        <v>1.2407478319646234E-2</v>
      </c>
      <c r="AK88" s="64">
        <v>1.4385424299064153E-2</v>
      </c>
    </row>
    <row r="89" spans="2:37" x14ac:dyDescent="0.35">
      <c r="B89" s="55" t="s">
        <v>76</v>
      </c>
      <c r="C89" s="53" t="s">
        <v>65</v>
      </c>
      <c r="D89" s="53" t="s">
        <v>69</v>
      </c>
      <c r="E89" s="53" t="s">
        <v>34</v>
      </c>
      <c r="F89" s="73">
        <f t="shared" si="4"/>
        <v>2.6262926505336709E-2</v>
      </c>
      <c r="G89" s="60">
        <f t="shared" si="5"/>
        <v>3.4432131351515856E-2</v>
      </c>
      <c r="H89" s="60">
        <f t="shared" si="6"/>
        <v>4.1004784524363333E-2</v>
      </c>
      <c r="I89" s="60">
        <f t="shared" si="7"/>
        <v>4.4498976750005387E-2</v>
      </c>
      <c r="J89" s="63">
        <f t="shared" si="8"/>
        <v>4.802820580922771E-2</v>
      </c>
      <c r="K89" s="73" t="str">
        <f t="shared" si="9"/>
        <v/>
      </c>
      <c r="L89" s="60">
        <f t="shared" si="10"/>
        <v>6.0509010515158584E-3</v>
      </c>
      <c r="M89" s="60">
        <f t="shared" si="11"/>
        <v>1.1923694424363331E-2</v>
      </c>
      <c r="N89" s="60">
        <f t="shared" si="12"/>
        <v>1.4550757550005386E-2</v>
      </c>
      <c r="O89" s="63">
        <f t="shared" si="13"/>
        <v>1.6749813509227711E-2</v>
      </c>
      <c r="P89" s="55" t="s">
        <v>21</v>
      </c>
      <c r="Q89" s="53" t="s">
        <v>21</v>
      </c>
      <c r="R89" s="94" t="s">
        <v>21</v>
      </c>
      <c r="S89" s="71" t="s">
        <v>21</v>
      </c>
      <c r="T89" s="63" t="str">
        <f t="shared" si="14"/>
        <v/>
      </c>
      <c r="V89" s="118">
        <v>1.14866877</v>
      </c>
      <c r="W89" s="61">
        <v>2.9330249900000003</v>
      </c>
      <c r="X89" s="61">
        <v>4.5202949500000003</v>
      </c>
      <c r="Y89" s="61">
        <v>5.89187774</v>
      </c>
      <c r="Z89" s="119">
        <v>7.6111103599999996</v>
      </c>
      <c r="AB89" s="73">
        <v>2.6262926505336709E-2</v>
      </c>
      <c r="AC89" s="71">
        <v>3.4432131351515856E-2</v>
      </c>
      <c r="AD89" s="71">
        <v>4.1004784524363333E-2</v>
      </c>
      <c r="AE89" s="71">
        <v>4.4498976750005387E-2</v>
      </c>
      <c r="AF89" s="63">
        <v>4.802820580922771E-2</v>
      </c>
      <c r="AG89" s="73" t="s">
        <v>21</v>
      </c>
      <c r="AH89" s="71">
        <v>6.0509010515158584E-3</v>
      </c>
      <c r="AI89" s="71">
        <v>1.1923694424363331E-2</v>
      </c>
      <c r="AJ89" s="71">
        <v>1.4550757550005386E-2</v>
      </c>
      <c r="AK89" s="63">
        <v>1.6749813509227711E-2</v>
      </c>
    </row>
    <row r="90" spans="2:37" x14ac:dyDescent="0.35">
      <c r="B90" s="57" t="s">
        <v>76</v>
      </c>
      <c r="C90" s="67" t="s">
        <v>66</v>
      </c>
      <c r="D90" s="67" t="s">
        <v>69</v>
      </c>
      <c r="E90" s="67" t="s">
        <v>21</v>
      </c>
      <c r="F90" s="74">
        <f t="shared" si="4"/>
        <v>2.73420217631467E-2</v>
      </c>
      <c r="G90" s="76">
        <f t="shared" si="5"/>
        <v>3.8000582116289344E-2</v>
      </c>
      <c r="H90" s="76">
        <f t="shared" si="6"/>
        <v>4.6850198057787444E-2</v>
      </c>
      <c r="I90" s="76">
        <f t="shared" si="7"/>
        <v>5.1654194553742046E-2</v>
      </c>
      <c r="J90" s="64">
        <f t="shared" si="8"/>
        <v>5.5451896955866838E-2</v>
      </c>
      <c r="K90" s="74" t="str">
        <f t="shared" si="9"/>
        <v/>
      </c>
      <c r="L90" s="76">
        <f t="shared" si="10"/>
        <v>9.5400701162893474E-3</v>
      </c>
      <c r="M90" s="76">
        <f t="shared" si="11"/>
        <v>1.7609154657787448E-2</v>
      </c>
      <c r="N90" s="76">
        <f t="shared" si="12"/>
        <v>2.1490566253742051E-2</v>
      </c>
      <c r="O90" s="64">
        <f t="shared" si="13"/>
        <v>2.3964339155866834E-2</v>
      </c>
      <c r="P90" s="57" t="s">
        <v>21</v>
      </c>
      <c r="Q90" s="67" t="s">
        <v>21</v>
      </c>
      <c r="R90" s="96" t="s">
        <v>21</v>
      </c>
      <c r="S90" s="76" t="s">
        <v>21</v>
      </c>
      <c r="T90" s="64" t="str">
        <f t="shared" si="14"/>
        <v/>
      </c>
      <c r="V90" s="116">
        <v>1.14855705</v>
      </c>
      <c r="W90" s="108">
        <v>2.9238145900000001</v>
      </c>
      <c r="X90" s="108">
        <v>4.4827006099999993</v>
      </c>
      <c r="Y90" s="108">
        <v>5.8072409199999999</v>
      </c>
      <c r="Z90" s="117">
        <v>7.4443061500000001</v>
      </c>
      <c r="AB90" s="74">
        <v>2.73420217631467E-2</v>
      </c>
      <c r="AC90" s="76">
        <v>3.8000582116289344E-2</v>
      </c>
      <c r="AD90" s="76">
        <v>4.6850198057787444E-2</v>
      </c>
      <c r="AE90" s="76">
        <v>5.1654194553742046E-2</v>
      </c>
      <c r="AF90" s="64">
        <v>5.5451896955866838E-2</v>
      </c>
      <c r="AG90" s="74" t="s">
        <v>21</v>
      </c>
      <c r="AH90" s="76">
        <v>9.5400701162893474E-3</v>
      </c>
      <c r="AI90" s="76">
        <v>1.7609154657787448E-2</v>
      </c>
      <c r="AJ90" s="76">
        <v>2.1490566253742051E-2</v>
      </c>
      <c r="AK90" s="64">
        <v>2.3964339155866834E-2</v>
      </c>
    </row>
    <row r="91" spans="2:37" x14ac:dyDescent="0.35">
      <c r="B91" s="55" t="s">
        <v>77</v>
      </c>
      <c r="C91" s="53" t="s">
        <v>61</v>
      </c>
      <c r="D91" s="53" t="s">
        <v>69</v>
      </c>
      <c r="E91" s="53" t="s">
        <v>21</v>
      </c>
      <c r="F91" s="73">
        <f t="shared" si="4"/>
        <v>2.5340120271001534E-2</v>
      </c>
      <c r="G91" s="60">
        <f t="shared" si="5"/>
        <v>3.2503677497344736E-2</v>
      </c>
      <c r="H91" s="60">
        <f t="shared" si="6"/>
        <v>3.6996373210638568E-2</v>
      </c>
      <c r="I91" s="60">
        <f t="shared" si="7"/>
        <v>3.9816679560865521E-2</v>
      </c>
      <c r="J91" s="63">
        <f t="shared" si="8"/>
        <v>4.2518794668520557E-2</v>
      </c>
      <c r="K91" s="73" t="str">
        <f t="shared" si="9"/>
        <v/>
      </c>
      <c r="L91" s="60">
        <f t="shared" si="10"/>
        <v>4.1881176973447322E-3</v>
      </c>
      <c r="M91" s="60">
        <f t="shared" si="11"/>
        <v>8.0614541106385669E-3</v>
      </c>
      <c r="N91" s="60">
        <f t="shared" si="12"/>
        <v>1.0045196760865516E-2</v>
      </c>
      <c r="O91" s="63">
        <f t="shared" si="13"/>
        <v>1.1419522768520556E-2</v>
      </c>
      <c r="P91" s="55" t="s">
        <v>21</v>
      </c>
      <c r="Q91" s="53" t="s">
        <v>21</v>
      </c>
      <c r="R91" s="94" t="s">
        <v>21</v>
      </c>
      <c r="S91" s="71" t="s">
        <v>21</v>
      </c>
      <c r="T91" s="63" t="str">
        <f t="shared" si="14"/>
        <v/>
      </c>
      <c r="V91" s="118">
        <v>1.1505151</v>
      </c>
      <c r="W91" s="61">
        <v>2.9487689000000001</v>
      </c>
      <c r="X91" s="61">
        <v>4.5819655799999994</v>
      </c>
      <c r="Y91" s="61">
        <v>6.0292810900000005</v>
      </c>
      <c r="Z91" s="119">
        <v>7.9033218099999996</v>
      </c>
      <c r="AB91" s="73">
        <v>2.5340120271001534E-2</v>
      </c>
      <c r="AC91" s="71">
        <v>3.2503677497344736E-2</v>
      </c>
      <c r="AD91" s="71">
        <v>3.6996373210638568E-2</v>
      </c>
      <c r="AE91" s="71">
        <v>3.9816679560865521E-2</v>
      </c>
      <c r="AF91" s="63">
        <v>4.2518794668520557E-2</v>
      </c>
      <c r="AG91" s="73" t="s">
        <v>21</v>
      </c>
      <c r="AH91" s="71">
        <v>4.1881176973447322E-3</v>
      </c>
      <c r="AI91" s="71">
        <v>8.0614541106385669E-3</v>
      </c>
      <c r="AJ91" s="71">
        <v>1.0045196760865516E-2</v>
      </c>
      <c r="AK91" s="63">
        <v>1.1419522768520556E-2</v>
      </c>
    </row>
    <row r="92" spans="2:37" x14ac:dyDescent="0.35">
      <c r="B92" s="57" t="s">
        <v>77</v>
      </c>
      <c r="C92" s="67" t="s">
        <v>63</v>
      </c>
      <c r="D92" s="67" t="s">
        <v>69</v>
      </c>
      <c r="E92" s="67" t="s">
        <v>21</v>
      </c>
      <c r="F92" s="74">
        <f t="shared" si="4"/>
        <v>2.7160783103012155E-2</v>
      </c>
      <c r="G92" s="76">
        <f t="shared" si="5"/>
        <v>3.497573313442686E-2</v>
      </c>
      <c r="H92" s="76">
        <f t="shared" si="6"/>
        <v>4.0555727369584356E-2</v>
      </c>
      <c r="I92" s="76">
        <f t="shared" si="7"/>
        <v>4.3410984355740444E-2</v>
      </c>
      <c r="J92" s="64">
        <f t="shared" si="8"/>
        <v>4.5992704104323663E-2</v>
      </c>
      <c r="K92" s="74" t="str">
        <f t="shared" si="9"/>
        <v/>
      </c>
      <c r="L92" s="76">
        <f t="shared" si="10"/>
        <v>6.6089784344268605E-3</v>
      </c>
      <c r="M92" s="76">
        <f t="shared" si="11"/>
        <v>1.154372666958435E-2</v>
      </c>
      <c r="N92" s="76">
        <f t="shared" si="12"/>
        <v>1.3563322755740443E-2</v>
      </c>
      <c r="O92" s="64">
        <f t="shared" si="13"/>
        <v>1.4830828104323669E-2</v>
      </c>
      <c r="P92" s="57" t="s">
        <v>21</v>
      </c>
      <c r="Q92" s="67" t="s">
        <v>21</v>
      </c>
      <c r="R92" s="96" t="s">
        <v>21</v>
      </c>
      <c r="S92" s="76" t="s">
        <v>21</v>
      </c>
      <c r="T92" s="64" t="str">
        <f t="shared" si="14"/>
        <v/>
      </c>
      <c r="V92" s="116">
        <v>1.1489422300000001</v>
      </c>
      <c r="W92" s="108">
        <v>2.9391910700000001</v>
      </c>
      <c r="X92" s="108">
        <v>4.55323455</v>
      </c>
      <c r="Y92" s="108">
        <v>5.9772161700000002</v>
      </c>
      <c r="Z92" s="117">
        <v>7.8175020399999999</v>
      </c>
      <c r="AB92" s="74">
        <v>2.7160783103012155E-2</v>
      </c>
      <c r="AC92" s="76">
        <v>3.497573313442686E-2</v>
      </c>
      <c r="AD92" s="76">
        <v>4.0555727369584356E-2</v>
      </c>
      <c r="AE92" s="76">
        <v>4.3410984355740444E-2</v>
      </c>
      <c r="AF92" s="64">
        <v>4.5992704104323663E-2</v>
      </c>
      <c r="AG92" s="74" t="s">
        <v>21</v>
      </c>
      <c r="AH92" s="76">
        <v>6.6089784344268605E-3</v>
      </c>
      <c r="AI92" s="76">
        <v>1.154372666958435E-2</v>
      </c>
      <c r="AJ92" s="76">
        <v>1.3563322755740443E-2</v>
      </c>
      <c r="AK92" s="64">
        <v>1.4830828104323669E-2</v>
      </c>
    </row>
    <row r="93" spans="2:37" x14ac:dyDescent="0.35">
      <c r="B93" s="55" t="s">
        <v>78</v>
      </c>
      <c r="C93" s="53" t="s">
        <v>65</v>
      </c>
      <c r="D93" s="53" t="s">
        <v>69</v>
      </c>
      <c r="E93" s="53" t="s">
        <v>79</v>
      </c>
      <c r="F93" s="73">
        <f t="shared" si="4"/>
        <v>2.5433475194395667E-2</v>
      </c>
      <c r="G93" s="60">
        <f t="shared" si="5"/>
        <v>3.3742427636908767E-2</v>
      </c>
      <c r="H93" s="60">
        <f t="shared" si="6"/>
        <v>4.0028599134848353E-2</v>
      </c>
      <c r="I93" s="60">
        <f t="shared" si="7"/>
        <v>4.3450411963397079E-2</v>
      </c>
      <c r="J93" s="63">
        <f t="shared" si="8"/>
        <v>4.7106422702273013E-2</v>
      </c>
      <c r="K93" s="73" t="str">
        <f t="shared" si="9"/>
        <v/>
      </c>
      <c r="L93" s="60">
        <f t="shared" si="10"/>
        <v>5.3857982369087667E-3</v>
      </c>
      <c r="M93" s="60">
        <f t="shared" si="11"/>
        <v>1.0986111034848348E-2</v>
      </c>
      <c r="N93" s="60">
        <f t="shared" si="12"/>
        <v>1.3546234763397072E-2</v>
      </c>
      <c r="O93" s="63">
        <f t="shared" si="13"/>
        <v>1.5862752702273008E-2</v>
      </c>
      <c r="P93" s="55" t="s">
        <v>21</v>
      </c>
      <c r="Q93" s="53" t="s">
        <v>21</v>
      </c>
      <c r="R93" s="94" t="s">
        <v>21</v>
      </c>
      <c r="S93" s="71" t="s">
        <v>21</v>
      </c>
      <c r="T93" s="63" t="str">
        <f t="shared" si="14"/>
        <v/>
      </c>
      <c r="V93" s="118">
        <v>1.1503065800000001</v>
      </c>
      <c r="W93" s="61">
        <v>2.9403721099999998</v>
      </c>
      <c r="X93" s="61">
        <v>4.5390673599999998</v>
      </c>
      <c r="Y93" s="61">
        <v>5.9271402899999996</v>
      </c>
      <c r="Z93" s="119">
        <v>7.6720001900000003</v>
      </c>
      <c r="AB93" s="73">
        <v>2.5433475194395667E-2</v>
      </c>
      <c r="AC93" s="71">
        <v>3.3742427636908767E-2</v>
      </c>
      <c r="AD93" s="71">
        <v>4.0028599134848353E-2</v>
      </c>
      <c r="AE93" s="71">
        <v>4.3450411963397079E-2</v>
      </c>
      <c r="AF93" s="63">
        <v>4.7106422702273013E-2</v>
      </c>
      <c r="AG93" s="73" t="s">
        <v>21</v>
      </c>
      <c r="AH93" s="71">
        <v>5.3857982369087667E-3</v>
      </c>
      <c r="AI93" s="71">
        <v>1.0986111034848348E-2</v>
      </c>
      <c r="AJ93" s="71">
        <v>1.3546234763397072E-2</v>
      </c>
      <c r="AK93" s="63">
        <v>1.5862752702273008E-2</v>
      </c>
    </row>
    <row r="94" spans="2:37" x14ac:dyDescent="0.35">
      <c r="B94" s="57" t="s">
        <v>78</v>
      </c>
      <c r="C94" s="67" t="s">
        <v>66</v>
      </c>
      <c r="D94" s="67" t="s">
        <v>69</v>
      </c>
      <c r="E94" s="67" t="s">
        <v>133</v>
      </c>
      <c r="F94" s="74">
        <f t="shared" si="4"/>
        <v>2.6847721811353083E-2</v>
      </c>
      <c r="G94" s="76">
        <f t="shared" si="5"/>
        <v>3.7756631652392646E-2</v>
      </c>
      <c r="H94" s="76">
        <f t="shared" si="6"/>
        <v>4.6667129850257651E-2</v>
      </c>
      <c r="I94" s="76">
        <f t="shared" si="7"/>
        <v>5.1467983479445138E-2</v>
      </c>
      <c r="J94" s="64">
        <f t="shared" si="8"/>
        <v>5.5618018324641492E-2</v>
      </c>
      <c r="K94" s="74" t="str">
        <f t="shared" si="9"/>
        <v/>
      </c>
      <c r="L94" s="76">
        <f t="shared" si="10"/>
        <v>9.2971519523926457E-3</v>
      </c>
      <c r="M94" s="76">
        <f t="shared" si="11"/>
        <v>1.7428314750257645E-2</v>
      </c>
      <c r="N94" s="76">
        <f t="shared" si="12"/>
        <v>2.1308394479445138E-2</v>
      </c>
      <c r="O94" s="64">
        <f t="shared" si="13"/>
        <v>2.4119664924641494E-2</v>
      </c>
      <c r="P94" s="57" t="s">
        <v>21</v>
      </c>
      <c r="Q94" s="67" t="s">
        <v>21</v>
      </c>
      <c r="R94" s="96" t="s">
        <v>21</v>
      </c>
      <c r="S94" s="76" t="s">
        <v>21</v>
      </c>
      <c r="T94" s="64" t="str">
        <f t="shared" si="14"/>
        <v/>
      </c>
      <c r="V94" s="116">
        <v>1.14947011</v>
      </c>
      <c r="W94" s="108">
        <v>2.9266468199999998</v>
      </c>
      <c r="X94" s="108">
        <v>4.4874007300000001</v>
      </c>
      <c r="Y94" s="108">
        <v>5.8140698500000001</v>
      </c>
      <c r="Z94" s="117">
        <v>7.4486211299999994</v>
      </c>
      <c r="AB94" s="74">
        <v>2.6847721811353083E-2</v>
      </c>
      <c r="AC94" s="76">
        <v>3.7756631652392646E-2</v>
      </c>
      <c r="AD94" s="76">
        <v>4.6667129850257651E-2</v>
      </c>
      <c r="AE94" s="76">
        <v>5.1467983479445138E-2</v>
      </c>
      <c r="AF94" s="64">
        <v>5.5618018324641492E-2</v>
      </c>
      <c r="AG94" s="74" t="s">
        <v>21</v>
      </c>
      <c r="AH94" s="76">
        <v>9.2971519523926457E-3</v>
      </c>
      <c r="AI94" s="76">
        <v>1.7428314750257645E-2</v>
      </c>
      <c r="AJ94" s="76">
        <v>2.1308394479445138E-2</v>
      </c>
      <c r="AK94" s="64">
        <v>2.4119664924641494E-2</v>
      </c>
    </row>
    <row r="95" spans="2:37" x14ac:dyDescent="0.35">
      <c r="B95" s="55" t="s">
        <v>80</v>
      </c>
      <c r="C95" s="53" t="s">
        <v>61</v>
      </c>
      <c r="D95" s="53" t="s">
        <v>69</v>
      </c>
      <c r="E95" s="53" t="s">
        <v>21</v>
      </c>
      <c r="F95" s="73">
        <f t="shared" si="4"/>
        <v>2.4881740394909018E-2</v>
      </c>
      <c r="G95" s="60">
        <f t="shared" si="5"/>
        <v>3.2159600747156021E-2</v>
      </c>
      <c r="H95" s="71">
        <f t="shared" si="6"/>
        <v>3.7402541408278006E-2</v>
      </c>
      <c r="I95" s="71">
        <f t="shared" si="7"/>
        <v>4.0161551063911241E-2</v>
      </c>
      <c r="J95" s="63">
        <f t="shared" si="8"/>
        <v>4.3255132589883033E-2</v>
      </c>
      <c r="K95" s="73" t="str">
        <f t="shared" si="9"/>
        <v/>
      </c>
      <c r="L95" s="60">
        <f t="shared" si="10"/>
        <v>3.8566839471560238E-3</v>
      </c>
      <c r="M95" s="71">
        <f t="shared" si="11"/>
        <v>8.4550108082780163E-3</v>
      </c>
      <c r="N95" s="71">
        <f t="shared" si="12"/>
        <v>1.0380477563911243E-2</v>
      </c>
      <c r="O95" s="63">
        <f t="shared" si="13"/>
        <v>1.2136595789883029E-2</v>
      </c>
      <c r="P95" s="55" t="s">
        <v>21</v>
      </c>
      <c r="Q95" s="53" t="s">
        <v>21</v>
      </c>
      <c r="R95" s="94" t="s">
        <v>21</v>
      </c>
      <c r="S95" s="71" t="s">
        <v>21</v>
      </c>
      <c r="T95" s="63" t="str">
        <f t="shared" si="14"/>
        <v/>
      </c>
      <c r="V95" s="118">
        <v>1.1513923400000001</v>
      </c>
      <c r="W95" s="61">
        <v>2.9525523099999997</v>
      </c>
      <c r="X95" s="61">
        <v>4.5821237799999999</v>
      </c>
      <c r="Y95" s="61">
        <v>6.0228433999999993</v>
      </c>
      <c r="Z95" s="119">
        <v>7.8764985100000002</v>
      </c>
      <c r="AB95" s="73">
        <v>2.4881740394909018E-2</v>
      </c>
      <c r="AC95" s="71">
        <v>3.2159600747156021E-2</v>
      </c>
      <c r="AD95" s="71">
        <v>3.7402541408278006E-2</v>
      </c>
      <c r="AE95" s="71">
        <v>4.0161551063911241E-2</v>
      </c>
      <c r="AF95" s="63">
        <v>4.3255132589883033E-2</v>
      </c>
      <c r="AG95" s="73" t="s">
        <v>21</v>
      </c>
      <c r="AH95" s="71">
        <v>3.8566839471560238E-3</v>
      </c>
      <c r="AI95" s="71">
        <v>8.4550108082780163E-3</v>
      </c>
      <c r="AJ95" s="71">
        <v>1.0380477563911243E-2</v>
      </c>
      <c r="AK95" s="63">
        <v>1.2136595789883029E-2</v>
      </c>
    </row>
    <row r="96" spans="2:37" x14ac:dyDescent="0.35">
      <c r="B96" s="55" t="s">
        <v>80</v>
      </c>
      <c r="C96" s="53" t="s">
        <v>63</v>
      </c>
      <c r="D96" s="53" t="s">
        <v>69</v>
      </c>
      <c r="E96" s="53" t="s">
        <v>36</v>
      </c>
      <c r="F96" s="73">
        <f t="shared" si="4"/>
        <v>2.7017492946263703E-2</v>
      </c>
      <c r="G96" s="60">
        <f t="shared" si="5"/>
        <v>3.5106540477070382E-2</v>
      </c>
      <c r="H96" s="71">
        <f t="shared" si="6"/>
        <v>4.0613798635985569E-2</v>
      </c>
      <c r="I96" s="71">
        <f t="shared" si="7"/>
        <v>4.4058759589536547E-2</v>
      </c>
      <c r="J96" s="63">
        <f t="shared" si="8"/>
        <v>4.7445075317993662E-2</v>
      </c>
      <c r="K96" s="73" t="str">
        <f t="shared" si="9"/>
        <v/>
      </c>
      <c r="L96" s="60">
        <f t="shared" si="10"/>
        <v>6.7357980770703851E-3</v>
      </c>
      <c r="M96" s="71">
        <f t="shared" si="11"/>
        <v>1.1599838435985563E-2</v>
      </c>
      <c r="N96" s="71">
        <f t="shared" si="12"/>
        <v>1.4189068489536553E-2</v>
      </c>
      <c r="O96" s="63">
        <f t="shared" si="13"/>
        <v>1.6240179617993664E-2</v>
      </c>
      <c r="P96" s="55" t="s">
        <v>21</v>
      </c>
      <c r="Q96" s="53" t="s">
        <v>21</v>
      </c>
      <c r="R96" s="94" t="s">
        <v>21</v>
      </c>
      <c r="S96" s="71" t="s">
        <v>21</v>
      </c>
      <c r="T96" s="63" t="str">
        <f t="shared" si="14"/>
        <v/>
      </c>
      <c r="V96" s="116">
        <v>1.1491545699999999</v>
      </c>
      <c r="W96" s="108">
        <v>2.9389053399999998</v>
      </c>
      <c r="X96" s="108">
        <v>4.5531898699999998</v>
      </c>
      <c r="Y96" s="108">
        <v>5.9699951499999999</v>
      </c>
      <c r="Z96" s="117">
        <v>7.7797570999999994</v>
      </c>
      <c r="AB96" s="73">
        <v>2.7017492946263703E-2</v>
      </c>
      <c r="AC96" s="71">
        <v>3.5106540477070382E-2</v>
      </c>
      <c r="AD96" s="71">
        <v>4.0613798635985569E-2</v>
      </c>
      <c r="AE96" s="71">
        <v>4.4058759589536547E-2</v>
      </c>
      <c r="AF96" s="63">
        <v>4.7445075317993662E-2</v>
      </c>
      <c r="AG96" s="73" t="s">
        <v>21</v>
      </c>
      <c r="AH96" s="71">
        <v>6.7357980770703851E-3</v>
      </c>
      <c r="AI96" s="71">
        <v>1.1599838435985563E-2</v>
      </c>
      <c r="AJ96" s="71">
        <v>1.4189068489536553E-2</v>
      </c>
      <c r="AK96" s="63">
        <v>1.6240179617993664E-2</v>
      </c>
    </row>
    <row r="97" spans="2:37" x14ac:dyDescent="0.35">
      <c r="B97" s="56" t="s">
        <v>82</v>
      </c>
      <c r="C97" s="66" t="s">
        <v>65</v>
      </c>
      <c r="D97" s="66" t="s">
        <v>69</v>
      </c>
      <c r="E97" s="66" t="s">
        <v>34</v>
      </c>
      <c r="F97" s="75">
        <f t="shared" si="4"/>
        <v>2.5857288402992878E-2</v>
      </c>
      <c r="G97" s="80">
        <f t="shared" si="5"/>
        <v>3.4378248403425155E-2</v>
      </c>
      <c r="H97" s="80">
        <f t="shared" si="6"/>
        <v>4.1056852135256158E-2</v>
      </c>
      <c r="I97" s="80">
        <f t="shared" si="7"/>
        <v>4.4548270669360297E-2</v>
      </c>
      <c r="J97" s="62">
        <f t="shared" si="8"/>
        <v>4.812420394313565E-2</v>
      </c>
      <c r="K97" s="75" t="str">
        <f t="shared" si="9"/>
        <v/>
      </c>
      <c r="L97" s="80">
        <f t="shared" si="10"/>
        <v>5.9981098034251612E-3</v>
      </c>
      <c r="M97" s="80">
        <f t="shared" si="11"/>
        <v>1.1973205435256156E-2</v>
      </c>
      <c r="N97" s="80">
        <f t="shared" si="12"/>
        <v>1.4597913069360299E-2</v>
      </c>
      <c r="O97" s="62">
        <f t="shared" si="13"/>
        <v>1.6842333943135661E-2</v>
      </c>
      <c r="P97" s="56" t="s">
        <v>21</v>
      </c>
      <c r="Q97" s="66" t="s">
        <v>21</v>
      </c>
      <c r="R97" s="100" t="s">
        <v>21</v>
      </c>
      <c r="S97" s="80" t="s">
        <v>21</v>
      </c>
      <c r="T97" s="62" t="str">
        <f t="shared" si="14"/>
        <v/>
      </c>
      <c r="V97" s="114">
        <v>1.1494863399999999</v>
      </c>
      <c r="W97" s="72">
        <v>2.9348248799999999</v>
      </c>
      <c r="X97" s="72">
        <v>4.5215887700000001</v>
      </c>
      <c r="Y97" s="72">
        <v>5.8921945000000004</v>
      </c>
      <c r="Z97" s="115">
        <v>7.6087407999999996</v>
      </c>
      <c r="AB97" s="75">
        <v>2.5857288402992878E-2</v>
      </c>
      <c r="AC97" s="80">
        <v>3.4378248403425155E-2</v>
      </c>
      <c r="AD97" s="80">
        <v>4.1056852135256158E-2</v>
      </c>
      <c r="AE97" s="80">
        <v>4.4548270669360297E-2</v>
      </c>
      <c r="AF97" s="62">
        <v>4.812420394313565E-2</v>
      </c>
      <c r="AG97" s="75" t="s">
        <v>21</v>
      </c>
      <c r="AH97" s="80">
        <v>5.9981098034251612E-3</v>
      </c>
      <c r="AI97" s="80">
        <v>1.1973205435256156E-2</v>
      </c>
      <c r="AJ97" s="80">
        <v>1.4597913069360299E-2</v>
      </c>
      <c r="AK97" s="62">
        <v>1.6842333943135661E-2</v>
      </c>
    </row>
    <row r="98" spans="2:37" x14ac:dyDescent="0.35">
      <c r="B98" s="57" t="s">
        <v>82</v>
      </c>
      <c r="C98" s="67" t="s">
        <v>66</v>
      </c>
      <c r="D98" s="67" t="s">
        <v>69</v>
      </c>
      <c r="E98" s="67" t="s">
        <v>21</v>
      </c>
      <c r="F98" s="74">
        <f t="shared" si="4"/>
        <v>2.6905770044469025E-2</v>
      </c>
      <c r="G98" s="76">
        <f t="shared" si="5"/>
        <v>3.8080041723813948E-2</v>
      </c>
      <c r="H98" s="76">
        <f t="shared" si="6"/>
        <v>4.6956888548802582E-2</v>
      </c>
      <c r="I98" s="76">
        <f t="shared" si="7"/>
        <v>5.184930015219312E-2</v>
      </c>
      <c r="J98" s="64">
        <f t="shared" si="8"/>
        <v>5.5999977076839104E-2</v>
      </c>
      <c r="K98" s="74" t="str">
        <f t="shared" si="9"/>
        <v/>
      </c>
      <c r="L98" s="76">
        <f t="shared" si="10"/>
        <v>9.6121335238139576E-3</v>
      </c>
      <c r="M98" s="76">
        <f t="shared" si="11"/>
        <v>1.7708052248802585E-2</v>
      </c>
      <c r="N98" s="76">
        <f t="shared" si="12"/>
        <v>2.1674308152193122E-2</v>
      </c>
      <c r="O98" s="64">
        <f t="shared" si="13"/>
        <v>2.4486816176839107E-2</v>
      </c>
      <c r="P98" s="57" t="s">
        <v>21</v>
      </c>
      <c r="Q98" s="67" t="s">
        <v>21</v>
      </c>
      <c r="R98" s="96" t="s">
        <v>21</v>
      </c>
      <c r="S98" s="76" t="s">
        <v>21</v>
      </c>
      <c r="T98" s="64" t="str">
        <f t="shared" si="14"/>
        <v/>
      </c>
      <c r="V98" s="114">
        <v>1.1493426899999999</v>
      </c>
      <c r="W98" s="72">
        <v>2.9248410799999998</v>
      </c>
      <c r="X98" s="72">
        <v>4.4827264300000005</v>
      </c>
      <c r="Y98" s="72">
        <v>5.8050241299999996</v>
      </c>
      <c r="Z98" s="115">
        <v>7.4317290900000001</v>
      </c>
      <c r="AB98" s="74">
        <v>2.6905770044469025E-2</v>
      </c>
      <c r="AC98" s="76">
        <v>3.8080041723813948E-2</v>
      </c>
      <c r="AD98" s="76">
        <v>4.6956888548802582E-2</v>
      </c>
      <c r="AE98" s="76">
        <v>5.184930015219312E-2</v>
      </c>
      <c r="AF98" s="64">
        <v>5.5999977076839104E-2</v>
      </c>
      <c r="AG98" s="74" t="s">
        <v>21</v>
      </c>
      <c r="AH98" s="76">
        <v>9.6121335238139576E-3</v>
      </c>
      <c r="AI98" s="76">
        <v>1.7708052248802585E-2</v>
      </c>
      <c r="AJ98" s="76">
        <v>2.1674308152193122E-2</v>
      </c>
      <c r="AK98" s="64">
        <v>2.4486816176839107E-2</v>
      </c>
    </row>
    <row r="99" spans="2:37" x14ac:dyDescent="0.35">
      <c r="B99" s="79" t="s">
        <v>452</v>
      </c>
      <c r="C99" s="78"/>
      <c r="D99" s="78"/>
      <c r="E99" s="78"/>
      <c r="F99" s="78" t="str">
        <f t="shared" si="4"/>
        <v/>
      </c>
      <c r="G99" s="78" t="str">
        <f t="shared" si="5"/>
        <v/>
      </c>
      <c r="H99" s="78" t="str">
        <f t="shared" si="6"/>
        <v/>
      </c>
      <c r="I99" s="78" t="str">
        <f t="shared" si="7"/>
        <v/>
      </c>
      <c r="J99" s="78" t="str">
        <f t="shared" si="8"/>
        <v/>
      </c>
      <c r="K99" s="78" t="str">
        <f t="shared" si="9"/>
        <v/>
      </c>
      <c r="L99" s="78" t="str">
        <f t="shared" si="10"/>
        <v/>
      </c>
      <c r="M99" s="78" t="str">
        <f t="shared" si="11"/>
        <v/>
      </c>
      <c r="N99" s="78" t="str">
        <f t="shared" si="12"/>
        <v/>
      </c>
      <c r="O99" s="77" t="str">
        <f t="shared" si="13"/>
        <v/>
      </c>
      <c r="P99" s="79"/>
      <c r="Q99" s="78"/>
      <c r="R99" s="95"/>
      <c r="S99" s="78"/>
      <c r="T99" s="77" t="str">
        <f t="shared" si="14"/>
        <v/>
      </c>
      <c r="V99" s="112"/>
      <c r="W99" s="107"/>
      <c r="X99" s="107"/>
      <c r="Y99" s="107"/>
      <c r="Z99" s="113"/>
      <c r="AB99" s="78"/>
      <c r="AC99" s="78"/>
      <c r="AD99" s="78"/>
      <c r="AE99" s="78"/>
      <c r="AF99" s="78"/>
      <c r="AG99" s="78"/>
      <c r="AH99" s="78"/>
      <c r="AI99" s="78"/>
      <c r="AJ99" s="78"/>
      <c r="AK99" s="77"/>
    </row>
    <row r="100" spans="2:37" x14ac:dyDescent="0.35">
      <c r="B100" s="55" t="s">
        <v>84</v>
      </c>
      <c r="C100" s="53" t="s">
        <v>85</v>
      </c>
      <c r="D100" s="53" t="s">
        <v>20</v>
      </c>
      <c r="E100" s="53" t="s">
        <v>453</v>
      </c>
      <c r="F100" s="73">
        <f t="shared" si="4"/>
        <v>2.6728172681018913E-2</v>
      </c>
      <c r="G100" s="60">
        <f t="shared" si="5"/>
        <v>3.4025263036114584E-2</v>
      </c>
      <c r="H100" s="71">
        <f t="shared" si="6"/>
        <v>3.9297625832438052E-2</v>
      </c>
      <c r="I100" s="71">
        <f t="shared" si="7"/>
        <v>4.220003286506404E-2</v>
      </c>
      <c r="J100" s="63">
        <f t="shared" si="8"/>
        <v>4.5168085300749831E-2</v>
      </c>
      <c r="K100" s="73" t="str">
        <f t="shared" si="9"/>
        <v/>
      </c>
      <c r="L100" s="60">
        <f t="shared" si="10"/>
        <v>5.639286236114583E-3</v>
      </c>
      <c r="M100" s="71">
        <f t="shared" si="11"/>
        <v>1.0262379532438047E-2</v>
      </c>
      <c r="N100" s="71">
        <f t="shared" si="12"/>
        <v>1.2323388165064036E-2</v>
      </c>
      <c r="O100" s="63">
        <f t="shared" si="13"/>
        <v>1.397110460074983E-2</v>
      </c>
      <c r="P100" s="55" t="s">
        <v>21</v>
      </c>
      <c r="Q100" s="53" t="s">
        <v>21</v>
      </c>
      <c r="R100" s="94" t="s">
        <v>21</v>
      </c>
      <c r="S100" s="71" t="s">
        <v>21</v>
      </c>
      <c r="T100" s="63" t="str">
        <f t="shared" si="14"/>
        <v/>
      </c>
      <c r="V100" s="114">
        <v>1.14685288</v>
      </c>
      <c r="W100" s="72">
        <v>2.9291732100000001</v>
      </c>
      <c r="X100" s="72">
        <v>4.5302038400000004</v>
      </c>
      <c r="Y100" s="72">
        <v>5.9299129800000001</v>
      </c>
      <c r="Z100" s="115">
        <v>7.7143990499999999</v>
      </c>
      <c r="AB100" s="73">
        <v>2.6728172681018913E-2</v>
      </c>
      <c r="AC100" s="71">
        <v>3.4025263036114584E-2</v>
      </c>
      <c r="AD100" s="71">
        <v>3.9297625832438052E-2</v>
      </c>
      <c r="AE100" s="71">
        <v>4.220003286506404E-2</v>
      </c>
      <c r="AF100" s="63">
        <v>4.5168085300749831E-2</v>
      </c>
      <c r="AG100" s="73" t="s">
        <v>21</v>
      </c>
      <c r="AH100" s="71">
        <v>5.639286236114583E-3</v>
      </c>
      <c r="AI100" s="71">
        <v>1.0262379532438047E-2</v>
      </c>
      <c r="AJ100" s="71">
        <v>1.2323388165064036E-2</v>
      </c>
      <c r="AK100" s="63">
        <v>1.397110460074983E-2</v>
      </c>
    </row>
    <row r="101" spans="2:37" x14ac:dyDescent="0.35">
      <c r="B101" s="55" t="s">
        <v>86</v>
      </c>
      <c r="C101" s="53" t="s">
        <v>85</v>
      </c>
      <c r="D101" s="53" t="s">
        <v>20</v>
      </c>
      <c r="E101" s="53" t="s">
        <v>453</v>
      </c>
      <c r="F101" s="73">
        <f t="shared" si="4"/>
        <v>2.6779304856812968E-2</v>
      </c>
      <c r="G101" s="60">
        <f t="shared" si="5"/>
        <v>3.4278281281689575E-2</v>
      </c>
      <c r="H101" s="71">
        <f t="shared" si="6"/>
        <v>3.9413336508262634E-2</v>
      </c>
      <c r="I101" s="71">
        <f t="shared" si="7"/>
        <v>4.2317109764883322E-2</v>
      </c>
      <c r="J101" s="63">
        <f t="shared" si="8"/>
        <v>4.5371515071082613E-2</v>
      </c>
      <c r="K101" s="73" t="str">
        <f t="shared" si="9"/>
        <v/>
      </c>
      <c r="L101" s="60">
        <f t="shared" si="10"/>
        <v>5.883313481689573E-3</v>
      </c>
      <c r="M101" s="71">
        <f t="shared" si="11"/>
        <v>1.0373917208262636E-2</v>
      </c>
      <c r="N101" s="71">
        <f t="shared" si="12"/>
        <v>1.2436498464883313E-2</v>
      </c>
      <c r="O101" s="63">
        <f t="shared" si="13"/>
        <v>1.4167309371082617E-2</v>
      </c>
      <c r="P101" s="55" t="s">
        <v>21</v>
      </c>
      <c r="Q101" s="53" t="s">
        <v>21</v>
      </c>
      <c r="R101" s="94" t="s">
        <v>21</v>
      </c>
      <c r="S101" s="71" t="s">
        <v>21</v>
      </c>
      <c r="T101" s="63" t="str">
        <f t="shared" si="14"/>
        <v/>
      </c>
      <c r="V101" s="114">
        <v>1.14673731</v>
      </c>
      <c r="W101" s="72">
        <v>2.9280932599999998</v>
      </c>
      <c r="X101" s="72">
        <v>4.5279578899999997</v>
      </c>
      <c r="Y101" s="72">
        <v>5.9244549200000005</v>
      </c>
      <c r="Z101" s="115">
        <v>7.7040685700000004</v>
      </c>
      <c r="AB101" s="73">
        <v>2.6779304856812968E-2</v>
      </c>
      <c r="AC101" s="71">
        <v>3.4278281281689575E-2</v>
      </c>
      <c r="AD101" s="71">
        <v>3.9413336508262634E-2</v>
      </c>
      <c r="AE101" s="71">
        <v>4.2317109764883322E-2</v>
      </c>
      <c r="AF101" s="63">
        <v>4.5371515071082613E-2</v>
      </c>
      <c r="AG101" s="73" t="s">
        <v>21</v>
      </c>
      <c r="AH101" s="71">
        <v>5.883313481689573E-3</v>
      </c>
      <c r="AI101" s="71">
        <v>1.0373917208262636E-2</v>
      </c>
      <c r="AJ101" s="71">
        <v>1.2436498464883313E-2</v>
      </c>
      <c r="AK101" s="63">
        <v>1.4167309371082617E-2</v>
      </c>
    </row>
    <row r="102" spans="2:37" x14ac:dyDescent="0.35">
      <c r="B102" s="55" t="s">
        <v>87</v>
      </c>
      <c r="C102" s="53" t="s">
        <v>85</v>
      </c>
      <c r="D102" s="53" t="s">
        <v>20</v>
      </c>
      <c r="E102" s="53" t="s">
        <v>88</v>
      </c>
      <c r="F102" s="73">
        <f t="shared" si="4"/>
        <v>2.6583078798892462E-2</v>
      </c>
      <c r="G102" s="60">
        <f t="shared" si="5"/>
        <v>3.4131153867028703E-2</v>
      </c>
      <c r="H102" s="71">
        <f t="shared" si="6"/>
        <v>3.9569660180486042E-2</v>
      </c>
      <c r="I102" s="71">
        <f t="shared" si="7"/>
        <v>4.2200131049658057E-2</v>
      </c>
      <c r="J102" s="63">
        <f t="shared" si="8"/>
        <v>4.5218903535666585E-2</v>
      </c>
      <c r="K102" s="73" t="str">
        <f t="shared" si="9"/>
        <v/>
      </c>
      <c r="L102" s="60">
        <f t="shared" si="10"/>
        <v>5.7422046670287021E-3</v>
      </c>
      <c r="M102" s="71">
        <f t="shared" si="11"/>
        <v>1.0524534780486048E-2</v>
      </c>
      <c r="N102" s="71">
        <f t="shared" si="12"/>
        <v>1.2323619349658053E-2</v>
      </c>
      <c r="O102" s="63">
        <f t="shared" si="13"/>
        <v>1.4020064435666585E-2</v>
      </c>
      <c r="P102" s="55" t="s">
        <v>21</v>
      </c>
      <c r="Q102" s="53" t="s">
        <v>21</v>
      </c>
      <c r="R102" s="94" t="s">
        <v>21</v>
      </c>
      <c r="S102" s="71" t="s">
        <v>21</v>
      </c>
      <c r="T102" s="63" t="str">
        <f t="shared" si="14"/>
        <v/>
      </c>
      <c r="V102" s="114">
        <v>1.1471064399999999</v>
      </c>
      <c r="W102" s="72">
        <v>2.9284838099999999</v>
      </c>
      <c r="X102" s="72">
        <v>4.5269632699999995</v>
      </c>
      <c r="Y102" s="72">
        <v>5.9285927200000001</v>
      </c>
      <c r="Z102" s="115">
        <v>7.7113476200000006</v>
      </c>
      <c r="AB102" s="73">
        <v>2.6583078798892462E-2</v>
      </c>
      <c r="AC102" s="71">
        <v>3.4131153867028703E-2</v>
      </c>
      <c r="AD102" s="71">
        <v>3.9569660180486042E-2</v>
      </c>
      <c r="AE102" s="71">
        <v>4.2200131049658057E-2</v>
      </c>
      <c r="AF102" s="63">
        <v>4.5218903535666585E-2</v>
      </c>
      <c r="AG102" s="73" t="s">
        <v>21</v>
      </c>
      <c r="AH102" s="71">
        <v>5.7422046670287021E-3</v>
      </c>
      <c r="AI102" s="71">
        <v>1.0524534780486048E-2</v>
      </c>
      <c r="AJ102" s="71">
        <v>1.2323619349658053E-2</v>
      </c>
      <c r="AK102" s="63">
        <v>1.4020064435666585E-2</v>
      </c>
    </row>
    <row r="103" spans="2:37" x14ac:dyDescent="0.35">
      <c r="B103" s="55" t="s">
        <v>89</v>
      </c>
      <c r="C103" s="53" t="s">
        <v>85</v>
      </c>
      <c r="D103" s="53" t="s">
        <v>20</v>
      </c>
      <c r="E103" s="53" t="s">
        <v>314</v>
      </c>
      <c r="F103" s="73">
        <f t="shared" si="4"/>
        <v>2.5342477423775031E-2</v>
      </c>
      <c r="G103" s="60">
        <f t="shared" si="5"/>
        <v>3.2669422295781632E-2</v>
      </c>
      <c r="H103" s="71">
        <f t="shared" si="6"/>
        <v>3.7351230615650738E-2</v>
      </c>
      <c r="I103" s="71">
        <f t="shared" si="7"/>
        <v>4.0176515395597009E-2</v>
      </c>
      <c r="J103" s="63">
        <f t="shared" si="8"/>
        <v>4.3117783596467674E-2</v>
      </c>
      <c r="K103" s="73" t="str">
        <f t="shared" si="9"/>
        <v/>
      </c>
      <c r="L103" s="60">
        <f t="shared" si="10"/>
        <v>4.3312718957816375E-3</v>
      </c>
      <c r="M103" s="71">
        <f t="shared" si="11"/>
        <v>8.3870917156507342E-3</v>
      </c>
      <c r="N103" s="71">
        <f t="shared" si="12"/>
        <v>1.0375457795597015E-2</v>
      </c>
      <c r="O103" s="63">
        <f t="shared" si="13"/>
        <v>1.1985835396467675E-2</v>
      </c>
      <c r="P103" s="55" t="s">
        <v>21</v>
      </c>
      <c r="Q103" s="53" t="s">
        <v>21</v>
      </c>
      <c r="R103" s="94" t="s">
        <v>21</v>
      </c>
      <c r="S103" s="71" t="s">
        <v>21</v>
      </c>
      <c r="T103" s="63" t="str">
        <f t="shared" si="14"/>
        <v/>
      </c>
      <c r="V103" s="114">
        <v>1.14952192</v>
      </c>
      <c r="W103" s="72">
        <v>2.9424436200000001</v>
      </c>
      <c r="X103" s="72">
        <v>4.5659997299999997</v>
      </c>
      <c r="Y103" s="72">
        <v>5.9987984000000001</v>
      </c>
      <c r="Z103" s="115">
        <v>7.8426410999999998</v>
      </c>
      <c r="AB103" s="73">
        <v>2.5342477423775031E-2</v>
      </c>
      <c r="AC103" s="71">
        <v>3.2669422295781632E-2</v>
      </c>
      <c r="AD103" s="71">
        <v>3.7351230615650738E-2</v>
      </c>
      <c r="AE103" s="71">
        <v>4.0176515395597009E-2</v>
      </c>
      <c r="AF103" s="63">
        <v>4.3117783596467674E-2</v>
      </c>
      <c r="AG103" s="73" t="s">
        <v>21</v>
      </c>
      <c r="AH103" s="71">
        <v>4.3312718957816375E-3</v>
      </c>
      <c r="AI103" s="71">
        <v>8.3870917156507342E-3</v>
      </c>
      <c r="AJ103" s="71">
        <v>1.0375457795597015E-2</v>
      </c>
      <c r="AK103" s="63">
        <v>1.1985835396467675E-2</v>
      </c>
    </row>
    <row r="104" spans="2:37" s="53" customFormat="1" x14ac:dyDescent="0.35">
      <c r="B104" s="55" t="s">
        <v>90</v>
      </c>
      <c r="C104" s="53" t="s">
        <v>85</v>
      </c>
      <c r="D104" s="53" t="s">
        <v>20</v>
      </c>
      <c r="E104" s="53" t="s">
        <v>75</v>
      </c>
      <c r="F104" s="73">
        <f t="shared" ref="F104:F108" si="56">IF(ISNUMBER(AB104),AB104-((C$4-C$3)/V104),"")</f>
        <v>2.6664434291122325E-2</v>
      </c>
      <c r="G104" s="60">
        <f t="shared" ref="G104:G108" si="57">IF(ISNUMBER(AC104),AC104-((D$4-D$3)/W104),"")</f>
        <v>3.4401106709757968E-2</v>
      </c>
      <c r="H104" s="71">
        <f t="shared" ref="H104:H108" si="58">IF(ISNUMBER(AD104),AD104-((E$4-E$3)/X104),"")</f>
        <v>3.986256511789675E-2</v>
      </c>
      <c r="I104" s="71">
        <f t="shared" ref="I104:I108" si="59">IF(ISNUMBER(AE104),AE104-((F$4-F$3)/Y104),"")</f>
        <v>4.2855342809321913E-2</v>
      </c>
      <c r="J104" s="63">
        <f t="shared" ref="J104:J108" si="60">IF(ISNUMBER(AF104),AF104-((G$4-G$3)/Z104),"")</f>
        <v>4.5732370684323301E-2</v>
      </c>
      <c r="K104" s="73" t="str">
        <f t="shared" ref="K104:K108" si="61">IF(ISNUMBER(AG104),IF(AG104-((C$4-C$3)/V104)&lt;0,"",AG104-((C$4-C$3)/V104)),"")</f>
        <v/>
      </c>
      <c r="L104" s="60">
        <f t="shared" ref="L104:L108" si="62">IF(ISNUMBER(AH104),IF(AH104-((D$4-D$3)/W104)&lt;0,"",AH104-((D$4-D$3)/W104)),"")</f>
        <v>5.9997487097579651E-3</v>
      </c>
      <c r="M104" s="71">
        <f t="shared" ref="M104:M108" si="63">IF(ISNUMBER(AI104),IF(AI104-((E$4-E$3)/X104)&lt;0,"",AI104-((E$4-E$3)/X104)),"")</f>
        <v>1.0804616917896746E-2</v>
      </c>
      <c r="N104" s="71">
        <f t="shared" ref="N104:N108" si="64">IF(ISNUMBER(AJ104),IF(AJ104-((F$4-F$3)/Y104)&lt;0,"",AJ104-((F$4-F$3)/Y104)),"")</f>
        <v>1.295204060932191E-2</v>
      </c>
      <c r="O104" s="63">
        <f t="shared" ref="O104:O108" si="65">IF(ISNUMBER(AK104),IF(AK104-((G$4-G$3)/Z104)&lt;0,"",AK104-((G$4-G$3)/Z104)),"")</f>
        <v>1.4516327784323303E-2</v>
      </c>
      <c r="P104" s="55" t="s">
        <v>21</v>
      </c>
      <c r="Q104" s="53" t="s">
        <v>21</v>
      </c>
      <c r="R104" s="94" t="s">
        <v>21</v>
      </c>
      <c r="S104" s="71" t="s">
        <v>21</v>
      </c>
      <c r="T104" s="63" t="str">
        <f t="shared" ref="T104:T108" si="66">IF(S104="","",H104-S104)</f>
        <v/>
      </c>
      <c r="V104" s="114">
        <v>1.1469542699999999</v>
      </c>
      <c r="W104" s="72">
        <v>2.92762228</v>
      </c>
      <c r="X104" s="72">
        <v>4.5217831899999998</v>
      </c>
      <c r="Y104" s="72">
        <v>5.9110097599999998</v>
      </c>
      <c r="Z104" s="115">
        <v>7.6791706</v>
      </c>
      <c r="AB104" s="73">
        <v>2.6664434291122325E-2</v>
      </c>
      <c r="AC104" s="71">
        <v>3.4401106709757968E-2</v>
      </c>
      <c r="AD104" s="71">
        <v>3.986256511789675E-2</v>
      </c>
      <c r="AE104" s="71">
        <v>4.2855342809321913E-2</v>
      </c>
      <c r="AF104" s="63">
        <v>4.5732370684323301E-2</v>
      </c>
      <c r="AG104" s="73" t="s">
        <v>21</v>
      </c>
      <c r="AH104" s="71">
        <v>5.9997487097579651E-3</v>
      </c>
      <c r="AI104" s="71">
        <v>1.0804616917896746E-2</v>
      </c>
      <c r="AJ104" s="71">
        <v>1.295204060932191E-2</v>
      </c>
      <c r="AK104" s="63">
        <v>1.4516327784323303E-2</v>
      </c>
    </row>
    <row r="105" spans="2:37" s="53" customFormat="1" x14ac:dyDescent="0.35">
      <c r="B105" s="55" t="s">
        <v>91</v>
      </c>
      <c r="C105" s="53" t="s">
        <v>85</v>
      </c>
      <c r="D105" s="53" t="s">
        <v>20</v>
      </c>
      <c r="E105" s="53" t="s">
        <v>92</v>
      </c>
      <c r="F105" s="73">
        <f t="shared" si="56"/>
        <v>2.5971843125731909E-2</v>
      </c>
      <c r="G105" s="60">
        <f t="shared" si="57"/>
        <v>3.3369992277403462E-2</v>
      </c>
      <c r="H105" s="71">
        <f t="shared" si="58"/>
        <v>3.8647108720066402E-2</v>
      </c>
      <c r="I105" s="71">
        <f t="shared" si="59"/>
        <v>4.1454896608944997E-2</v>
      </c>
      <c r="J105" s="63">
        <f t="shared" si="60"/>
        <v>4.4438977474448992E-2</v>
      </c>
      <c r="K105" s="73" t="str">
        <f t="shared" si="61"/>
        <v/>
      </c>
      <c r="L105" s="60">
        <f t="shared" si="62"/>
        <v>5.0060758774034594E-3</v>
      </c>
      <c r="M105" s="71">
        <f t="shared" si="63"/>
        <v>9.6355297200664044E-3</v>
      </c>
      <c r="N105" s="71">
        <f t="shared" si="64"/>
        <v>1.1607198808944995E-2</v>
      </c>
      <c r="O105" s="63">
        <f t="shared" si="65"/>
        <v>1.3266680874448995E-2</v>
      </c>
      <c r="P105" s="55" t="s">
        <v>21</v>
      </c>
      <c r="Q105" s="53" t="s">
        <v>21</v>
      </c>
      <c r="R105" s="94" t="s">
        <v>21</v>
      </c>
      <c r="S105" s="71" t="s">
        <v>21</v>
      </c>
      <c r="T105" s="63" t="str">
        <f t="shared" si="66"/>
        <v/>
      </c>
      <c r="V105" s="114">
        <v>1.14831869</v>
      </c>
      <c r="W105" s="72">
        <v>2.93622038</v>
      </c>
      <c r="X105" s="72">
        <v>4.5446994499999995</v>
      </c>
      <c r="Y105" s="72">
        <v>5.9550016100000001</v>
      </c>
      <c r="Z105" s="115">
        <v>7.7594349300000003</v>
      </c>
      <c r="AB105" s="73">
        <v>2.5971843125731909E-2</v>
      </c>
      <c r="AC105" s="71">
        <v>3.3369992277403462E-2</v>
      </c>
      <c r="AD105" s="71">
        <v>3.8647108720066402E-2</v>
      </c>
      <c r="AE105" s="71">
        <v>4.1454896608944997E-2</v>
      </c>
      <c r="AF105" s="63">
        <v>4.4438977474448992E-2</v>
      </c>
      <c r="AG105" s="73" t="s">
        <v>21</v>
      </c>
      <c r="AH105" s="71">
        <v>5.0060758774034594E-3</v>
      </c>
      <c r="AI105" s="71">
        <v>9.6355297200664044E-3</v>
      </c>
      <c r="AJ105" s="71">
        <v>1.1607198808944995E-2</v>
      </c>
      <c r="AK105" s="63">
        <v>1.3266680874448995E-2</v>
      </c>
    </row>
    <row r="106" spans="2:37" s="53" customFormat="1" x14ac:dyDescent="0.35">
      <c r="B106" s="55" t="s">
        <v>309</v>
      </c>
      <c r="C106" s="53" t="s">
        <v>85</v>
      </c>
      <c r="D106" s="53" t="s">
        <v>20</v>
      </c>
      <c r="E106" s="53" t="s">
        <v>315</v>
      </c>
      <c r="F106" s="73">
        <f t="shared" si="56"/>
        <v>2.4078181093103168E-2</v>
      </c>
      <c r="G106" s="60">
        <f t="shared" si="57"/>
        <v>3.1717895760862813E-2</v>
      </c>
      <c r="H106" s="71">
        <f t="shared" si="58"/>
        <v>3.6696840493858324E-2</v>
      </c>
      <c r="I106" s="71">
        <f t="shared" si="59"/>
        <v>3.9527011510489991E-2</v>
      </c>
      <c r="J106" s="63">
        <f t="shared" si="60"/>
        <v>4.2503919980893694E-2</v>
      </c>
      <c r="K106" s="73" t="str">
        <f t="shared" si="61"/>
        <v/>
      </c>
      <c r="L106" s="60">
        <f t="shared" si="62"/>
        <v>3.4096169608628202E-3</v>
      </c>
      <c r="M106" s="71">
        <f t="shared" si="63"/>
        <v>7.7538732938583314E-3</v>
      </c>
      <c r="N106" s="71">
        <f t="shared" si="64"/>
        <v>9.748892610489987E-3</v>
      </c>
      <c r="O106" s="63">
        <f t="shared" si="65"/>
        <v>1.1393572880893699E-2</v>
      </c>
      <c r="P106" s="55" t="s">
        <v>21</v>
      </c>
      <c r="Q106" s="53" t="s">
        <v>21</v>
      </c>
      <c r="R106" s="94" t="s">
        <v>21</v>
      </c>
      <c r="S106" s="71" t="s">
        <v>21</v>
      </c>
      <c r="T106" s="63" t="str">
        <f t="shared" si="66"/>
        <v/>
      </c>
      <c r="V106" s="114">
        <v>1.1520700500000001</v>
      </c>
      <c r="W106" s="72">
        <v>2.9535584799999999</v>
      </c>
      <c r="X106" s="72">
        <v>4.5859140600000003</v>
      </c>
      <c r="Y106" s="72">
        <v>6.0283035199999997</v>
      </c>
      <c r="Z106" s="115">
        <v>7.8853800900000008</v>
      </c>
      <c r="AB106" s="73">
        <v>2.4078181093103168E-2</v>
      </c>
      <c r="AC106" s="71">
        <v>3.1717895760862813E-2</v>
      </c>
      <c r="AD106" s="71">
        <v>3.6696840493858324E-2</v>
      </c>
      <c r="AE106" s="71">
        <v>3.9527011510489991E-2</v>
      </c>
      <c r="AF106" s="63">
        <v>4.2503919980893694E-2</v>
      </c>
      <c r="AG106" s="73" t="s">
        <v>21</v>
      </c>
      <c r="AH106" s="71">
        <v>3.4096169608628202E-3</v>
      </c>
      <c r="AI106" s="71">
        <v>7.7538732938583314E-3</v>
      </c>
      <c r="AJ106" s="71">
        <v>9.748892610489987E-3</v>
      </c>
      <c r="AK106" s="63">
        <v>1.1393572880893699E-2</v>
      </c>
    </row>
    <row r="107" spans="2:37" s="53" customFormat="1" x14ac:dyDescent="0.35">
      <c r="B107" s="55" t="s">
        <v>310</v>
      </c>
      <c r="C107" s="53" t="s">
        <v>85</v>
      </c>
      <c r="D107" s="53" t="s">
        <v>20</v>
      </c>
      <c r="E107" s="53" t="s">
        <v>73</v>
      </c>
      <c r="F107" s="73">
        <f t="shared" si="56"/>
        <v>2.6527586787001955E-2</v>
      </c>
      <c r="G107" s="60">
        <f t="shared" si="57"/>
        <v>3.557026520038483E-2</v>
      </c>
      <c r="H107" s="71">
        <f t="shared" si="58"/>
        <v>4.2720260623774424E-2</v>
      </c>
      <c r="I107" s="71">
        <f t="shared" si="59"/>
        <v>4.6114676534142154E-2</v>
      </c>
      <c r="J107" s="63">
        <f t="shared" si="60"/>
        <v>4.9958503175654027E-2</v>
      </c>
      <c r="K107" s="73" t="str">
        <f t="shared" si="61"/>
        <v/>
      </c>
      <c r="L107" s="60">
        <f t="shared" si="62"/>
        <v>7.1239052003848353E-3</v>
      </c>
      <c r="M107" s="71">
        <f t="shared" si="63"/>
        <v>1.354269432377442E-2</v>
      </c>
      <c r="N107" s="71">
        <f t="shared" si="64"/>
        <v>1.6071506634142151E-2</v>
      </c>
      <c r="O107" s="63">
        <f t="shared" si="65"/>
        <v>1.8582271275654025E-2</v>
      </c>
      <c r="P107" s="55" t="s">
        <v>21</v>
      </c>
      <c r="Q107" s="53" t="s">
        <v>21</v>
      </c>
      <c r="R107" s="94" t="s">
        <v>21</v>
      </c>
      <c r="S107" s="71" t="s">
        <v>21</v>
      </c>
      <c r="T107" s="63" t="str">
        <f t="shared" si="66"/>
        <v/>
      </c>
      <c r="V107" s="114">
        <v>1.1472296799999999</v>
      </c>
      <c r="W107" s="72">
        <v>2.9204553199999999</v>
      </c>
      <c r="X107" s="72">
        <v>4.4821183200000005</v>
      </c>
      <c r="Y107" s="72">
        <v>5.8181672899999999</v>
      </c>
      <c r="Z107" s="115">
        <v>7.46720206</v>
      </c>
      <c r="AB107" s="73">
        <v>2.6527586787001955E-2</v>
      </c>
      <c r="AC107" s="71">
        <v>3.557026520038483E-2</v>
      </c>
      <c r="AD107" s="71">
        <v>4.2720260623774424E-2</v>
      </c>
      <c r="AE107" s="71">
        <v>4.6114676534142154E-2</v>
      </c>
      <c r="AF107" s="63">
        <v>4.9958503175654027E-2</v>
      </c>
      <c r="AG107" s="73" t="s">
        <v>21</v>
      </c>
      <c r="AH107" s="71">
        <v>7.1239052003848353E-3</v>
      </c>
      <c r="AI107" s="71">
        <v>1.354269432377442E-2</v>
      </c>
      <c r="AJ107" s="71">
        <v>1.6071506634142151E-2</v>
      </c>
      <c r="AK107" s="63">
        <v>1.8582271275654025E-2</v>
      </c>
    </row>
    <row r="108" spans="2:37" s="53" customFormat="1" x14ac:dyDescent="0.35">
      <c r="B108" s="55" t="s">
        <v>311</v>
      </c>
      <c r="C108" s="53" t="s">
        <v>85</v>
      </c>
      <c r="D108" s="53" t="s">
        <v>20</v>
      </c>
      <c r="E108" s="53" t="s">
        <v>48</v>
      </c>
      <c r="F108" s="73">
        <f t="shared" si="56"/>
        <v>2.8414733799972308E-2</v>
      </c>
      <c r="G108" s="60">
        <f t="shared" si="57"/>
        <v>4.1298071705934587E-2</v>
      </c>
      <c r="H108" s="71">
        <f t="shared" si="58"/>
        <v>5.0990805990416915E-2</v>
      </c>
      <c r="I108" s="71">
        <f t="shared" si="59"/>
        <v>5.6840998266932632E-2</v>
      </c>
      <c r="J108" s="63">
        <f t="shared" si="60"/>
        <v>6.0906235939357733E-2</v>
      </c>
      <c r="K108" s="73">
        <f t="shared" si="61"/>
        <v>9.4249219997230918E-4</v>
      </c>
      <c r="L108" s="60">
        <f t="shared" si="62"/>
        <v>1.2597950105934579E-2</v>
      </c>
      <c r="M108" s="71">
        <f t="shared" si="63"/>
        <v>2.1385164890416909E-2</v>
      </c>
      <c r="N108" s="71">
        <f t="shared" si="64"/>
        <v>2.6209544666932628E-2</v>
      </c>
      <c r="O108" s="63">
        <f t="shared" si="65"/>
        <v>2.8964011939357739E-2</v>
      </c>
      <c r="P108" s="55" t="s">
        <v>21</v>
      </c>
      <c r="Q108" s="53" t="s">
        <v>21</v>
      </c>
      <c r="R108" s="94" t="s">
        <v>21</v>
      </c>
      <c r="S108" s="71" t="s">
        <v>21</v>
      </c>
      <c r="T108" s="63" t="str">
        <f t="shared" si="66"/>
        <v/>
      </c>
      <c r="V108" s="114">
        <v>1.1425005800000001</v>
      </c>
      <c r="W108" s="72">
        <v>2.8742467300000003</v>
      </c>
      <c r="X108" s="72">
        <v>4.3416661300000001</v>
      </c>
      <c r="Y108" s="72">
        <v>5.52253156</v>
      </c>
      <c r="Z108" s="115">
        <v>6.9144829899999998</v>
      </c>
      <c r="AB108" s="73">
        <v>2.8414733799972308E-2</v>
      </c>
      <c r="AC108" s="71">
        <v>4.1298071705934587E-2</v>
      </c>
      <c r="AD108" s="71">
        <v>5.0990805990416915E-2</v>
      </c>
      <c r="AE108" s="71">
        <v>5.6840998266932632E-2</v>
      </c>
      <c r="AF108" s="63">
        <v>6.0906235939357733E-2</v>
      </c>
      <c r="AG108" s="73">
        <v>9.4249219997230918E-4</v>
      </c>
      <c r="AH108" s="71">
        <v>1.2597950105934579E-2</v>
      </c>
      <c r="AI108" s="71">
        <v>2.1385164890416909E-2</v>
      </c>
      <c r="AJ108" s="71">
        <v>2.6209544666932628E-2</v>
      </c>
      <c r="AK108" s="63">
        <v>2.8964011939357739E-2</v>
      </c>
    </row>
    <row r="109" spans="2:37" x14ac:dyDescent="0.35">
      <c r="B109" s="55" t="s">
        <v>312</v>
      </c>
      <c r="C109" s="53" t="s">
        <v>85</v>
      </c>
      <c r="D109" s="53" t="s">
        <v>20</v>
      </c>
      <c r="E109" s="53" t="s">
        <v>161</v>
      </c>
      <c r="F109" s="73">
        <f t="shared" si="4"/>
        <v>2.4193019069932774E-2</v>
      </c>
      <c r="G109" s="60">
        <f t="shared" si="5"/>
        <v>3.2116555357223235E-2</v>
      </c>
      <c r="H109" s="71">
        <f t="shared" si="6"/>
        <v>3.7236165827887018E-2</v>
      </c>
      <c r="I109" s="71">
        <f t="shared" si="7"/>
        <v>4.1138792620056659E-2</v>
      </c>
      <c r="J109" s="63">
        <f t="shared" si="8"/>
        <v>4.3745208483652737E-2</v>
      </c>
      <c r="K109" s="73" t="str">
        <f t="shared" si="9"/>
        <v/>
      </c>
      <c r="L109" s="60">
        <f t="shared" si="10"/>
        <v>3.7965374572232393E-3</v>
      </c>
      <c r="M109" s="71">
        <f t="shared" si="11"/>
        <v>8.2760930278870139E-3</v>
      </c>
      <c r="N109" s="71">
        <f t="shared" si="12"/>
        <v>1.1303433020056658E-2</v>
      </c>
      <c r="O109" s="63">
        <f t="shared" si="13"/>
        <v>1.2602697683652729E-2</v>
      </c>
      <c r="P109" s="55" t="s">
        <v>316</v>
      </c>
      <c r="Q109" s="53" t="s">
        <v>317</v>
      </c>
      <c r="R109" s="94">
        <v>47788</v>
      </c>
      <c r="S109" s="71">
        <v>3.5864319999999998E-2</v>
      </c>
      <c r="T109" s="63">
        <f t="shared" si="14"/>
        <v>1.3718458278870194E-3</v>
      </c>
      <c r="V109" s="114">
        <v>1.1518157</v>
      </c>
      <c r="W109" s="72">
        <v>2.9502589000000001</v>
      </c>
      <c r="X109" s="72">
        <v>4.5751663699999998</v>
      </c>
      <c r="Y109" s="72">
        <v>5.9924254699999997</v>
      </c>
      <c r="Z109" s="115">
        <v>7.8109691199999993</v>
      </c>
      <c r="AB109" s="73">
        <v>2.4193019069932774E-2</v>
      </c>
      <c r="AC109" s="71">
        <v>3.2116555357223235E-2</v>
      </c>
      <c r="AD109" s="71">
        <v>3.7236165827887018E-2</v>
      </c>
      <c r="AE109" s="71">
        <v>4.1138792620056659E-2</v>
      </c>
      <c r="AF109" s="63">
        <v>4.3745208483652737E-2</v>
      </c>
      <c r="AG109" s="73" t="s">
        <v>21</v>
      </c>
      <c r="AH109" s="71">
        <v>3.7965374572232393E-3</v>
      </c>
      <c r="AI109" s="71">
        <v>8.2760930278870139E-3</v>
      </c>
      <c r="AJ109" s="71">
        <v>1.1303433020056658E-2</v>
      </c>
      <c r="AK109" s="63">
        <v>1.2602697683652729E-2</v>
      </c>
    </row>
    <row r="110" spans="2:37" x14ac:dyDescent="0.35">
      <c r="B110" s="57" t="s">
        <v>313</v>
      </c>
      <c r="C110" s="53" t="s">
        <v>85</v>
      </c>
      <c r="D110" s="67" t="s">
        <v>20</v>
      </c>
      <c r="E110" s="67" t="s">
        <v>276</v>
      </c>
      <c r="F110" s="74">
        <f t="shared" si="4"/>
        <v>2.5312903831855249E-2</v>
      </c>
      <c r="G110" s="76">
        <f t="shared" si="5"/>
        <v>3.3967917513007255E-2</v>
      </c>
      <c r="H110" s="76">
        <f t="shared" si="6"/>
        <v>4.0942505429924704E-2</v>
      </c>
      <c r="I110" s="76">
        <f t="shared" si="7"/>
        <v>4.5262990428883057E-2</v>
      </c>
      <c r="J110" s="64">
        <f t="shared" si="8"/>
        <v>4.9200300857604427E-2</v>
      </c>
      <c r="K110" s="74" t="str">
        <f t="shared" si="9"/>
        <v/>
      </c>
      <c r="L110" s="76">
        <f t="shared" si="10"/>
        <v>5.5841537130072501E-3</v>
      </c>
      <c r="M110" s="76">
        <f t="shared" si="11"/>
        <v>1.1843009329924699E-2</v>
      </c>
      <c r="N110" s="76">
        <f t="shared" si="12"/>
        <v>1.5259810728883053E-2</v>
      </c>
      <c r="O110" s="64">
        <f t="shared" si="13"/>
        <v>1.7859990357604421E-2</v>
      </c>
      <c r="P110" s="57" t="s">
        <v>21</v>
      </c>
      <c r="Q110" s="67" t="s">
        <v>21</v>
      </c>
      <c r="R110" s="96" t="s">
        <v>21</v>
      </c>
      <c r="S110" s="76" t="s">
        <v>21</v>
      </c>
      <c r="T110" s="64" t="str">
        <f t="shared" si="14"/>
        <v/>
      </c>
      <c r="V110" s="116">
        <v>1.1495840900000001</v>
      </c>
      <c r="W110" s="108">
        <v>2.9344325200000001</v>
      </c>
      <c r="X110" s="108">
        <v>4.5170916099999996</v>
      </c>
      <c r="Y110" s="108">
        <v>5.8679022400000003</v>
      </c>
      <c r="Z110" s="117">
        <v>7.5374514000000001</v>
      </c>
      <c r="AB110" s="74">
        <v>2.5312903831855249E-2</v>
      </c>
      <c r="AC110" s="76">
        <v>3.3967917513007255E-2</v>
      </c>
      <c r="AD110" s="76">
        <v>4.0942505429924704E-2</v>
      </c>
      <c r="AE110" s="76">
        <v>4.5262990428883057E-2</v>
      </c>
      <c r="AF110" s="64">
        <v>4.9200300857604427E-2</v>
      </c>
      <c r="AG110" s="74" t="s">
        <v>21</v>
      </c>
      <c r="AH110" s="76">
        <v>5.5841537130072501E-3</v>
      </c>
      <c r="AI110" s="76">
        <v>1.1843009329924699E-2</v>
      </c>
      <c r="AJ110" s="76">
        <v>1.5259810728883053E-2</v>
      </c>
      <c r="AK110" s="64">
        <v>1.7859990357604421E-2</v>
      </c>
    </row>
    <row r="111" spans="2:37" x14ac:dyDescent="0.35">
      <c r="B111" s="53" t="s">
        <v>21</v>
      </c>
      <c r="C111" s="53" t="s">
        <v>21</v>
      </c>
      <c r="D111" s="53"/>
      <c r="E111" s="53" t="s">
        <v>21</v>
      </c>
      <c r="F111" s="22" t="s">
        <v>21</v>
      </c>
      <c r="G111" s="22"/>
      <c r="H111" s="22" t="s">
        <v>21</v>
      </c>
      <c r="I111" s="22"/>
      <c r="J111" s="22" t="s">
        <v>21</v>
      </c>
      <c r="K111" s="22" t="s">
        <v>21</v>
      </c>
      <c r="L111" s="22"/>
      <c r="M111" s="22" t="s">
        <v>21</v>
      </c>
      <c r="N111" s="22"/>
      <c r="O111" s="22" t="s">
        <v>21</v>
      </c>
      <c r="P111" s="53"/>
      <c r="Q111" s="53"/>
      <c r="R111" s="94"/>
      <c r="S111" s="53"/>
      <c r="T111" s="53"/>
      <c r="V111" s="72"/>
      <c r="W111" s="72"/>
      <c r="X111" s="72"/>
      <c r="Y111" s="72"/>
      <c r="Z111" s="72"/>
      <c r="AB111" s="71" t="s">
        <v>21</v>
      </c>
      <c r="AC111" s="71"/>
      <c r="AD111" s="71" t="s">
        <v>21</v>
      </c>
      <c r="AE111" s="71"/>
      <c r="AF111" s="71" t="s">
        <v>21</v>
      </c>
      <c r="AG111" s="71" t="s">
        <v>21</v>
      </c>
      <c r="AH111" s="71"/>
      <c r="AI111" s="71" t="s">
        <v>21</v>
      </c>
      <c r="AJ111" s="71"/>
      <c r="AK111" s="71" t="s">
        <v>21</v>
      </c>
    </row>
    <row r="112" spans="2:37" ht="15.5" x14ac:dyDescent="0.35">
      <c r="B112" s="122" t="s">
        <v>93</v>
      </c>
      <c r="C112" s="53" t="s">
        <v>21</v>
      </c>
      <c r="D112" s="53"/>
      <c r="E112" s="53" t="s">
        <v>21</v>
      </c>
      <c r="F112" s="22" t="s">
        <v>21</v>
      </c>
      <c r="G112" s="22"/>
      <c r="H112" s="22" t="s">
        <v>21</v>
      </c>
      <c r="I112" s="22"/>
      <c r="J112" s="22" t="s">
        <v>21</v>
      </c>
      <c r="K112" s="22" t="s">
        <v>21</v>
      </c>
      <c r="L112" s="22"/>
      <c r="M112" s="22" t="s">
        <v>21</v>
      </c>
      <c r="N112" s="22"/>
      <c r="O112" s="22" t="s">
        <v>21</v>
      </c>
      <c r="P112" s="53"/>
      <c r="Q112" s="53"/>
      <c r="R112" s="94"/>
      <c r="S112" s="53"/>
      <c r="T112" s="53"/>
      <c r="V112" s="72"/>
      <c r="W112" s="72"/>
      <c r="X112" s="72"/>
      <c r="Y112" s="72"/>
      <c r="Z112" s="72"/>
      <c r="AB112" s="71" t="s">
        <v>21</v>
      </c>
      <c r="AC112" s="71"/>
      <c r="AD112" s="71" t="s">
        <v>21</v>
      </c>
      <c r="AE112" s="71"/>
      <c r="AF112" s="71" t="s">
        <v>21</v>
      </c>
      <c r="AG112" s="71" t="s">
        <v>21</v>
      </c>
      <c r="AH112" s="71"/>
      <c r="AI112" s="71" t="s">
        <v>21</v>
      </c>
      <c r="AJ112" s="71"/>
      <c r="AK112" s="71" t="s">
        <v>21</v>
      </c>
    </row>
    <row r="113" spans="2:37" x14ac:dyDescent="0.35">
      <c r="B113" s="85" t="s">
        <v>5</v>
      </c>
      <c r="C113" s="84" t="s">
        <v>6</v>
      </c>
      <c r="D113" s="84" t="s">
        <v>7</v>
      </c>
      <c r="E113" s="84" t="s">
        <v>8</v>
      </c>
      <c r="F113" s="6" t="s">
        <v>9</v>
      </c>
      <c r="G113" s="7" t="s">
        <v>10</v>
      </c>
      <c r="H113" s="7" t="s">
        <v>11</v>
      </c>
      <c r="I113" s="7" t="s">
        <v>12</v>
      </c>
      <c r="J113" s="8" t="s">
        <v>13</v>
      </c>
      <c r="K113" s="6" t="s">
        <v>9</v>
      </c>
      <c r="L113" s="7" t="s">
        <v>10</v>
      </c>
      <c r="M113" s="7" t="s">
        <v>11</v>
      </c>
      <c r="N113" s="7" t="s">
        <v>12</v>
      </c>
      <c r="O113" s="8" t="s">
        <v>13</v>
      </c>
      <c r="P113" s="70" t="s">
        <v>14</v>
      </c>
      <c r="Q113" s="58" t="s">
        <v>15</v>
      </c>
      <c r="R113" s="58" t="s">
        <v>16</v>
      </c>
      <c r="S113" s="58" t="s">
        <v>17</v>
      </c>
      <c r="T113" s="58" t="s">
        <v>18</v>
      </c>
      <c r="V113" s="110" t="s">
        <v>9</v>
      </c>
      <c r="W113" s="106" t="s">
        <v>10</v>
      </c>
      <c r="X113" s="106" t="s">
        <v>11</v>
      </c>
      <c r="Y113" s="106" t="s">
        <v>12</v>
      </c>
      <c r="Z113" s="111" t="s">
        <v>13</v>
      </c>
      <c r="AB113" s="83" t="s">
        <v>9</v>
      </c>
      <c r="AC113" s="82" t="s">
        <v>10</v>
      </c>
      <c r="AD113" s="82" t="s">
        <v>11</v>
      </c>
      <c r="AE113" s="82" t="s">
        <v>12</v>
      </c>
      <c r="AF113" s="81" t="s">
        <v>13</v>
      </c>
      <c r="AG113" s="83" t="s">
        <v>9</v>
      </c>
      <c r="AH113" s="82" t="s">
        <v>10</v>
      </c>
      <c r="AI113" s="82" t="s">
        <v>11</v>
      </c>
      <c r="AJ113" s="82" t="s">
        <v>12</v>
      </c>
      <c r="AK113" s="81" t="s">
        <v>13</v>
      </c>
    </row>
    <row r="114" spans="2:37" x14ac:dyDescent="0.35">
      <c r="B114" s="79" t="s">
        <v>94</v>
      </c>
      <c r="C114" s="78"/>
      <c r="D114" s="78"/>
      <c r="E114" s="78"/>
      <c r="F114" s="41"/>
      <c r="G114" s="42"/>
      <c r="H114" s="42"/>
      <c r="I114" s="42"/>
      <c r="J114" s="42"/>
      <c r="K114" s="42"/>
      <c r="L114" s="42"/>
      <c r="M114" s="42"/>
      <c r="N114" s="42"/>
      <c r="O114" s="43"/>
      <c r="P114" s="79"/>
      <c r="Q114" s="78"/>
      <c r="R114" s="95"/>
      <c r="S114" s="78"/>
      <c r="T114" s="77"/>
      <c r="V114" s="112"/>
      <c r="W114" s="107"/>
      <c r="X114" s="107"/>
      <c r="Y114" s="107"/>
      <c r="Z114" s="113"/>
      <c r="AB114" s="78"/>
      <c r="AC114" s="78"/>
      <c r="AD114" s="78"/>
      <c r="AE114" s="78"/>
      <c r="AF114" s="78"/>
      <c r="AG114" s="78"/>
      <c r="AH114" s="78"/>
      <c r="AI114" s="78"/>
      <c r="AJ114" s="78"/>
      <c r="AK114" s="77"/>
    </row>
    <row r="115" spans="2:37" x14ac:dyDescent="0.35">
      <c r="B115" s="56" t="s">
        <v>95</v>
      </c>
      <c r="C115" s="66" t="s">
        <v>85</v>
      </c>
      <c r="D115" s="66" t="s">
        <v>43</v>
      </c>
      <c r="E115" s="66" t="s">
        <v>232</v>
      </c>
      <c r="F115" s="75">
        <f t="shared" ref="F115" si="67">IF(ISNUMBER(AB115),AB115-((C$4-C$3)/V115),"")</f>
        <v>2.4677510398351157E-2</v>
      </c>
      <c r="G115" s="80">
        <f t="shared" ref="G115" si="68">IF(ISNUMBER(AC115),AC115-((D$4-D$3)/W115),"")</f>
        <v>3.2632574556267176E-2</v>
      </c>
      <c r="H115" s="80">
        <f t="shared" ref="H115" si="69">IF(ISNUMBER(AD115),AD115-((E$4-E$3)/X115),"")</f>
        <v>3.8179417598639909E-2</v>
      </c>
      <c r="I115" s="80">
        <f t="shared" ref="I115" si="70">IF(ISNUMBER(AE115),AE115-((F$4-F$3)/Y115),"")</f>
        <v>4.0966997956778314E-2</v>
      </c>
      <c r="J115" s="62">
        <f t="shared" ref="J115" si="71">IF(ISNUMBER(AF115),AF115-((G$4-G$3)/Z115),"")</f>
        <v>4.3829384195884169E-2</v>
      </c>
      <c r="K115" s="75" t="str">
        <f t="shared" ref="K115" si="72">IF(ISNUMBER(AG115),IF(AG115-((C$4-C$3)/V115)&lt;0,"",AG115-((C$4-C$3)/V115)),"")</f>
        <v/>
      </c>
      <c r="L115" s="80">
        <f t="shared" ref="L115" si="73">IF(ISNUMBER(AH115),IF(AH115-((D$4-D$3)/W115)&lt;0,"",AH115-((D$4-D$3)/W115)),"")</f>
        <v>4.3130430562671749E-3</v>
      </c>
      <c r="M115" s="80">
        <f t="shared" ref="M115" si="74">IF(ISNUMBER(AI115),IF(AI115-((E$4-E$3)/X115)&lt;0,"",AI115-((E$4-E$3)/X115)),"")</f>
        <v>9.2045570986399091E-3</v>
      </c>
      <c r="N115" s="80">
        <f t="shared" ref="N115" si="75">IF(ISNUMBER(AJ115),IF(AJ115-((F$4-F$3)/Y115)&lt;0,"",AJ115-((F$4-F$3)/Y115)),"")</f>
        <v>1.1157691056778326E-2</v>
      </c>
      <c r="O115" s="62">
        <f t="shared" ref="O115" si="76">IF(ISNUMBER(AK115),IF(AK115-((G$4-G$3)/Z115)&lt;0,"",AK115-((G$4-G$3)/Z115)),"")</f>
        <v>1.2695108695884173E-2</v>
      </c>
      <c r="P115" s="56" t="s">
        <v>21</v>
      </c>
      <c r="Q115" s="66" t="s">
        <v>21</v>
      </c>
      <c r="R115" s="100" t="s">
        <v>21</v>
      </c>
      <c r="S115" s="80" t="s">
        <v>21</v>
      </c>
      <c r="T115" s="63" t="str">
        <f t="shared" ref="T115:T138" si="77">IF(S115="","",H115-S115)</f>
        <v/>
      </c>
      <c r="V115" s="118">
        <v>1.15181976</v>
      </c>
      <c r="W115" s="61">
        <v>2.9502504999999997</v>
      </c>
      <c r="X115" s="61">
        <v>4.5705678800000005</v>
      </c>
      <c r="Y115" s="61">
        <v>5.9978993300000001</v>
      </c>
      <c r="Z115" s="119">
        <v>7.8336777199999998</v>
      </c>
      <c r="AB115" s="75">
        <v>2.4677510398351157E-2</v>
      </c>
      <c r="AC115" s="80">
        <v>3.2632574556267176E-2</v>
      </c>
      <c r="AD115" s="80">
        <v>3.8179417598639909E-2</v>
      </c>
      <c r="AE115" s="80">
        <v>4.0966997956778314E-2</v>
      </c>
      <c r="AF115" s="62">
        <v>4.3829384195884169E-2</v>
      </c>
      <c r="AG115" s="75" t="s">
        <v>21</v>
      </c>
      <c r="AH115" s="80">
        <v>4.3130430562671749E-3</v>
      </c>
      <c r="AI115" s="80">
        <v>9.2045570986399091E-3</v>
      </c>
      <c r="AJ115" s="80">
        <v>1.1157691056778326E-2</v>
      </c>
      <c r="AK115" s="62">
        <v>1.2695108695884173E-2</v>
      </c>
    </row>
    <row r="116" spans="2:37" x14ac:dyDescent="0.35">
      <c r="B116" s="57" t="s">
        <v>95</v>
      </c>
      <c r="C116" s="67" t="s">
        <v>35</v>
      </c>
      <c r="D116" s="67" t="s">
        <v>43</v>
      </c>
      <c r="E116" s="67" t="s">
        <v>233</v>
      </c>
      <c r="F116" s="74">
        <f t="shared" ref="F116:F138" si="78">IF(ISNUMBER(AB116),AB116-((C$4-C$3)/V116),"")</f>
        <v>2.6134443638470853E-2</v>
      </c>
      <c r="G116" s="76">
        <f t="shared" ref="G116:G138" si="79">IF(ISNUMBER(AC116),AC116-((D$4-D$3)/W116),"")</f>
        <v>3.6245914332553628E-2</v>
      </c>
      <c r="H116" s="76">
        <f t="shared" ref="H116:H138" si="80">IF(ISNUMBER(AD116),AD116-((E$4-E$3)/X116),"")</f>
        <v>4.4034715169489889E-2</v>
      </c>
      <c r="I116" s="76">
        <f t="shared" ref="I116:I138" si="81">IF(ISNUMBER(AE116),AE116-((F$4-F$3)/Y116),"")</f>
        <v>4.7827835374476969E-2</v>
      </c>
      <c r="J116" s="64">
        <f t="shared" ref="J116:J138" si="82">IF(ISNUMBER(AF116),AF116-((G$4-G$3)/Z116),"")</f>
        <v>5.153070173616988E-2</v>
      </c>
      <c r="K116" s="74" t="str">
        <f t="shared" ref="K116:K138" si="83">IF(ISNUMBER(AG116),IF(AG116-((C$4-C$3)/V116)&lt;0,"",AG116-((C$4-C$3)/V116)),"")</f>
        <v/>
      </c>
      <c r="L116" s="76">
        <f t="shared" ref="L116:L138" si="84">IF(ISNUMBER(AH116),IF(AH116-((D$4-D$3)/W116)&lt;0,"",AH116-((D$4-D$3)/W116)),"")</f>
        <v>7.8374271325536218E-3</v>
      </c>
      <c r="M116" s="76">
        <f t="shared" ref="M116:M138" si="85">IF(ISNUMBER(AI116),IF(AI116-((E$4-E$3)/X116)&lt;0,"",AI116-((E$4-E$3)/X116)),"")</f>
        <v>1.4900744669489888E-2</v>
      </c>
      <c r="N116" s="76">
        <f t="shared" ref="N116:N138" si="86">IF(ISNUMBER(AJ116),IF(AJ116-((F$4-F$3)/Y116)&lt;0,"",AJ116-((F$4-F$3)/Y116)),"")</f>
        <v>1.7821033774476969E-2</v>
      </c>
      <c r="O116" s="64">
        <f t="shared" ref="O116:O138" si="87">IF(ISNUMBER(AK116),IF(AK116-((G$4-G$3)/Z116)&lt;0,"",AK116-((G$4-G$3)/Z116)),"")</f>
        <v>2.0191552736169877E-2</v>
      </c>
      <c r="P116" s="57" t="s">
        <v>21</v>
      </c>
      <c r="Q116" s="67" t="s">
        <v>21</v>
      </c>
      <c r="R116" s="96" t="s">
        <v>21</v>
      </c>
      <c r="S116" s="76" t="s">
        <v>21</v>
      </c>
      <c r="T116" s="64" t="str">
        <f t="shared" si="77"/>
        <v/>
      </c>
      <c r="V116" s="116">
        <v>1.1505018900000001</v>
      </c>
      <c r="W116" s="108">
        <v>2.9358159399999999</v>
      </c>
      <c r="X116" s="108">
        <v>4.52009711</v>
      </c>
      <c r="Y116" s="108">
        <v>5.88958928</v>
      </c>
      <c r="Z116" s="117">
        <v>7.6099759099999993</v>
      </c>
      <c r="AB116" s="74">
        <v>2.6134443638470853E-2</v>
      </c>
      <c r="AC116" s="76">
        <v>3.6245914332553628E-2</v>
      </c>
      <c r="AD116" s="76">
        <v>4.4034715169489889E-2</v>
      </c>
      <c r="AE116" s="76">
        <v>4.7827835374476969E-2</v>
      </c>
      <c r="AF116" s="64">
        <v>5.153070173616988E-2</v>
      </c>
      <c r="AG116" s="74" t="s">
        <v>21</v>
      </c>
      <c r="AH116" s="76">
        <v>7.8374271325536218E-3</v>
      </c>
      <c r="AI116" s="76">
        <v>1.4900744669489888E-2</v>
      </c>
      <c r="AJ116" s="76">
        <v>1.7821033774476969E-2</v>
      </c>
      <c r="AK116" s="64">
        <v>2.0191552736169877E-2</v>
      </c>
    </row>
    <row r="117" spans="2:37" x14ac:dyDescent="0.35">
      <c r="B117" s="55" t="s">
        <v>96</v>
      </c>
      <c r="C117" s="53" t="s">
        <v>85</v>
      </c>
      <c r="D117" s="53" t="s">
        <v>97</v>
      </c>
      <c r="E117" s="53" t="s">
        <v>21</v>
      </c>
      <c r="F117" s="73">
        <f t="shared" si="78"/>
        <v>2.5076904198651714E-2</v>
      </c>
      <c r="G117" s="60">
        <f t="shared" si="79"/>
        <v>3.2965140359833431E-2</v>
      </c>
      <c r="H117" s="60">
        <f t="shared" si="80"/>
        <v>3.8437781705682642E-2</v>
      </c>
      <c r="I117" s="60">
        <f t="shared" si="81"/>
        <v>4.1609996398764067E-2</v>
      </c>
      <c r="J117" s="63">
        <f t="shared" si="82"/>
        <v>4.4721298938620167E-2</v>
      </c>
      <c r="K117" s="73" t="str">
        <f t="shared" si="83"/>
        <v/>
      </c>
      <c r="L117" s="60">
        <f t="shared" si="84"/>
        <v>4.6343579598334302E-3</v>
      </c>
      <c r="M117" s="60">
        <f t="shared" si="85"/>
        <v>9.4534912056826424E-3</v>
      </c>
      <c r="N117" s="60">
        <f t="shared" si="86"/>
        <v>1.1776339298764064E-2</v>
      </c>
      <c r="O117" s="63">
        <f t="shared" si="87"/>
        <v>1.3559085338620176E-2</v>
      </c>
      <c r="P117" s="55" t="s">
        <v>21</v>
      </c>
      <c r="Q117" s="53" t="s">
        <v>21</v>
      </c>
      <c r="R117" s="94" t="s">
        <v>21</v>
      </c>
      <c r="S117" s="71" t="s">
        <v>21</v>
      </c>
      <c r="T117" s="63" t="str">
        <f t="shared" si="77"/>
        <v/>
      </c>
      <c r="V117" s="114">
        <v>1.1510315900000001</v>
      </c>
      <c r="W117" s="72">
        <v>2.9465197600000002</v>
      </c>
      <c r="X117" s="72">
        <v>4.5641177900000001</v>
      </c>
      <c r="Y117" s="72">
        <v>5.9818701399999998</v>
      </c>
      <c r="Z117" s="115">
        <v>7.7923049300000002</v>
      </c>
      <c r="AB117" s="73">
        <v>2.5076904198651714E-2</v>
      </c>
      <c r="AC117" s="71">
        <v>3.2965140359833431E-2</v>
      </c>
      <c r="AD117" s="71">
        <v>3.8437781705682642E-2</v>
      </c>
      <c r="AE117" s="71">
        <v>4.1609996398764067E-2</v>
      </c>
      <c r="AF117" s="63">
        <v>4.4721298938620167E-2</v>
      </c>
      <c r="AG117" s="73" t="s">
        <v>21</v>
      </c>
      <c r="AH117" s="71">
        <v>4.6343579598334302E-3</v>
      </c>
      <c r="AI117" s="71">
        <v>9.4534912056826424E-3</v>
      </c>
      <c r="AJ117" s="71">
        <v>1.1776339298764064E-2</v>
      </c>
      <c r="AK117" s="63">
        <v>1.3559085338620176E-2</v>
      </c>
    </row>
    <row r="118" spans="2:37" x14ac:dyDescent="0.35">
      <c r="B118" s="57" t="s">
        <v>96</v>
      </c>
      <c r="C118" s="67" t="s">
        <v>35</v>
      </c>
      <c r="D118" s="67" t="s">
        <v>97</v>
      </c>
      <c r="E118" s="67" t="s">
        <v>44</v>
      </c>
      <c r="F118" s="74">
        <f t="shared" si="78"/>
        <v>2.7367316198291136E-2</v>
      </c>
      <c r="G118" s="76">
        <f t="shared" si="79"/>
        <v>3.6454581251988936E-2</v>
      </c>
      <c r="H118" s="76">
        <f t="shared" si="80"/>
        <v>4.3644122453925203E-2</v>
      </c>
      <c r="I118" s="76">
        <f t="shared" si="81"/>
        <v>4.8101259930770149E-2</v>
      </c>
      <c r="J118" s="64">
        <f t="shared" si="82"/>
        <v>5.1715496079037235E-2</v>
      </c>
      <c r="K118" s="74" t="str">
        <f t="shared" si="83"/>
        <v/>
      </c>
      <c r="L118" s="76">
        <f t="shared" si="84"/>
        <v>8.0416402519889341E-3</v>
      </c>
      <c r="M118" s="76">
        <f t="shared" si="85"/>
        <v>1.4525891953925197E-2</v>
      </c>
      <c r="N118" s="76">
        <f t="shared" si="86"/>
        <v>1.8083165130770143E-2</v>
      </c>
      <c r="O118" s="64">
        <f t="shared" si="87"/>
        <v>2.0370389879037231E-2</v>
      </c>
      <c r="P118" s="57" t="s">
        <v>21</v>
      </c>
      <c r="Q118" s="67" t="s">
        <v>21</v>
      </c>
      <c r="R118" s="96" t="s">
        <v>21</v>
      </c>
      <c r="S118" s="76" t="s">
        <v>21</v>
      </c>
      <c r="T118" s="64" t="str">
        <f t="shared" si="77"/>
        <v/>
      </c>
      <c r="V118" s="116">
        <v>1.1485773799999999</v>
      </c>
      <c r="W118" s="108">
        <v>2.9310964099999999</v>
      </c>
      <c r="X118" s="108">
        <v>4.5186272000000001</v>
      </c>
      <c r="Y118" s="108">
        <v>5.8864011400000003</v>
      </c>
      <c r="Z118" s="117">
        <v>7.6017610599999994</v>
      </c>
      <c r="AB118" s="74">
        <v>2.7367316198291136E-2</v>
      </c>
      <c r="AC118" s="76">
        <v>3.6454581251988936E-2</v>
      </c>
      <c r="AD118" s="76">
        <v>4.3644122453925203E-2</v>
      </c>
      <c r="AE118" s="76">
        <v>4.8101259930770149E-2</v>
      </c>
      <c r="AF118" s="64">
        <v>5.1715496079037235E-2</v>
      </c>
      <c r="AG118" s="74" t="s">
        <v>21</v>
      </c>
      <c r="AH118" s="76">
        <v>8.0416402519889341E-3</v>
      </c>
      <c r="AI118" s="76">
        <v>1.4525891953925197E-2</v>
      </c>
      <c r="AJ118" s="76">
        <v>1.8083165130770143E-2</v>
      </c>
      <c r="AK118" s="64">
        <v>2.0370389879037231E-2</v>
      </c>
    </row>
    <row r="119" spans="2:37" x14ac:dyDescent="0.35">
      <c r="B119" s="55" t="s">
        <v>98</v>
      </c>
      <c r="C119" s="53" t="s">
        <v>85</v>
      </c>
      <c r="D119" s="53" t="s">
        <v>47</v>
      </c>
      <c r="E119" s="53" t="s">
        <v>21</v>
      </c>
      <c r="F119" s="73">
        <f t="shared" si="78"/>
        <v>2.5293728549606362E-2</v>
      </c>
      <c r="G119" s="60">
        <f t="shared" si="79"/>
        <v>3.3494752905916109E-2</v>
      </c>
      <c r="H119" s="60">
        <f t="shared" si="80"/>
        <v>3.9617522040560307E-2</v>
      </c>
      <c r="I119" s="60">
        <f t="shared" si="81"/>
        <v>4.2808231828669857E-2</v>
      </c>
      <c r="J119" s="63">
        <f t="shared" si="82"/>
        <v>4.6078798681996366E-2</v>
      </c>
      <c r="K119" s="73" t="str">
        <f t="shared" si="83"/>
        <v/>
      </c>
      <c r="L119" s="60">
        <f t="shared" si="84"/>
        <v>5.1468080059161071E-3</v>
      </c>
      <c r="M119" s="60">
        <f t="shared" si="85"/>
        <v>1.059074264056031E-2</v>
      </c>
      <c r="N119" s="60">
        <f t="shared" si="86"/>
        <v>1.2929935828669855E-2</v>
      </c>
      <c r="O119" s="63">
        <f t="shared" si="87"/>
        <v>1.4872181681996366E-2</v>
      </c>
      <c r="P119" s="55" t="s">
        <v>21</v>
      </c>
      <c r="Q119" s="53" t="s">
        <v>21</v>
      </c>
      <c r="R119" s="94" t="s">
        <v>21</v>
      </c>
      <c r="S119" s="71" t="s">
        <v>21</v>
      </c>
      <c r="T119" s="63" t="str">
        <f t="shared" si="77"/>
        <v/>
      </c>
      <c r="V119" s="114">
        <v>1.15058203</v>
      </c>
      <c r="W119" s="72">
        <v>2.9424606999999998</v>
      </c>
      <c r="X119" s="72">
        <v>4.5459454299999997</v>
      </c>
      <c r="Y119" s="72">
        <v>5.9439580799999998</v>
      </c>
      <c r="Z119" s="115">
        <v>7.7165289999999995</v>
      </c>
      <c r="AB119" s="73">
        <v>2.5293728549606362E-2</v>
      </c>
      <c r="AC119" s="71">
        <v>3.3494752905916109E-2</v>
      </c>
      <c r="AD119" s="71">
        <v>3.9617522040560307E-2</v>
      </c>
      <c r="AE119" s="71">
        <v>4.2808231828669857E-2</v>
      </c>
      <c r="AF119" s="63">
        <v>4.6078798681996366E-2</v>
      </c>
      <c r="AG119" s="73" t="s">
        <v>21</v>
      </c>
      <c r="AH119" s="71">
        <v>5.1468080059161071E-3</v>
      </c>
      <c r="AI119" s="71">
        <v>1.059074264056031E-2</v>
      </c>
      <c r="AJ119" s="71">
        <v>1.2929935828669855E-2</v>
      </c>
      <c r="AK119" s="63">
        <v>1.4872181681996366E-2</v>
      </c>
    </row>
    <row r="120" spans="2:37" x14ac:dyDescent="0.35">
      <c r="B120" s="57" t="s">
        <v>98</v>
      </c>
      <c r="C120" s="67" t="s">
        <v>35</v>
      </c>
      <c r="D120" s="67" t="s">
        <v>47</v>
      </c>
      <c r="E120" s="67" t="s">
        <v>454</v>
      </c>
      <c r="F120" s="74">
        <f t="shared" si="78"/>
        <v>2.6925544236229119E-2</v>
      </c>
      <c r="G120" s="76">
        <f t="shared" si="79"/>
        <v>3.7026910774411254E-2</v>
      </c>
      <c r="H120" s="76">
        <f t="shared" si="80"/>
        <v>4.5295298516397853E-2</v>
      </c>
      <c r="I120" s="76">
        <f t="shared" si="81"/>
        <v>5.0110133926637428E-2</v>
      </c>
      <c r="J120" s="64">
        <f t="shared" si="82"/>
        <v>5.4174026612898711E-2</v>
      </c>
      <c r="K120" s="74" t="str">
        <f t="shared" si="83"/>
        <v/>
      </c>
      <c r="L120" s="76">
        <f t="shared" si="84"/>
        <v>8.5968161744112547E-3</v>
      </c>
      <c r="M120" s="76">
        <f t="shared" si="85"/>
        <v>1.6115368716397856E-2</v>
      </c>
      <c r="N120" s="76">
        <f t="shared" si="86"/>
        <v>2.0011775326637428E-2</v>
      </c>
      <c r="O120" s="64">
        <f t="shared" si="87"/>
        <v>2.2737088112898703E-2</v>
      </c>
      <c r="P120" s="57" t="s">
        <v>455</v>
      </c>
      <c r="Q120" s="67" t="s">
        <v>456</v>
      </c>
      <c r="R120" s="96" t="s">
        <v>32</v>
      </c>
      <c r="S120" s="76">
        <v>3.7455639999999998E-2</v>
      </c>
      <c r="T120" s="64">
        <f t="shared" si="77"/>
        <v>7.8396585163978544E-3</v>
      </c>
      <c r="V120" s="116">
        <v>1.14926952</v>
      </c>
      <c r="W120" s="108">
        <v>2.9298106599999998</v>
      </c>
      <c r="X120" s="108">
        <v>4.5027080499999999</v>
      </c>
      <c r="Y120" s="108">
        <v>5.8459477399999997</v>
      </c>
      <c r="Z120" s="117">
        <v>7.5098771800000002</v>
      </c>
      <c r="AB120" s="74">
        <v>2.6925544236229119E-2</v>
      </c>
      <c r="AC120" s="76">
        <v>3.7026910774411254E-2</v>
      </c>
      <c r="AD120" s="76">
        <v>4.5295298516397853E-2</v>
      </c>
      <c r="AE120" s="76">
        <v>5.0110133926637428E-2</v>
      </c>
      <c r="AF120" s="64">
        <v>5.4174026612898711E-2</v>
      </c>
      <c r="AG120" s="74" t="s">
        <v>21</v>
      </c>
      <c r="AH120" s="76">
        <v>8.5968161744112547E-3</v>
      </c>
      <c r="AI120" s="76">
        <v>1.6115368716397856E-2</v>
      </c>
      <c r="AJ120" s="76">
        <v>2.0011775326637428E-2</v>
      </c>
      <c r="AK120" s="64">
        <v>2.2737088112898703E-2</v>
      </c>
    </row>
    <row r="121" spans="2:37" x14ac:dyDescent="0.35">
      <c r="B121" s="55" t="s">
        <v>99</v>
      </c>
      <c r="C121" s="53" t="s">
        <v>85</v>
      </c>
      <c r="D121" s="53" t="s">
        <v>69</v>
      </c>
      <c r="E121" s="53" t="s">
        <v>100</v>
      </c>
      <c r="F121" s="73">
        <f t="shared" si="78"/>
        <v>2.5042490819451674E-2</v>
      </c>
      <c r="G121" s="60">
        <f t="shared" si="79"/>
        <v>3.4022598032997342E-2</v>
      </c>
      <c r="H121" s="60">
        <f t="shared" si="80"/>
        <v>4.0489573635415846E-2</v>
      </c>
      <c r="I121" s="60">
        <f t="shared" si="81"/>
        <v>4.3898798851365418E-2</v>
      </c>
      <c r="J121" s="63">
        <f t="shared" si="82"/>
        <v>4.7513123507013796E-2</v>
      </c>
      <c r="K121" s="73" t="str">
        <f t="shared" si="83"/>
        <v/>
      </c>
      <c r="L121" s="60">
        <f t="shared" si="84"/>
        <v>5.6572489329973497E-3</v>
      </c>
      <c r="M121" s="60">
        <f t="shared" si="85"/>
        <v>1.143026533541585E-2</v>
      </c>
      <c r="N121" s="60">
        <f t="shared" si="86"/>
        <v>1.3977497951365419E-2</v>
      </c>
      <c r="O121" s="63">
        <f t="shared" si="87"/>
        <v>1.6255832507013786E-2</v>
      </c>
      <c r="P121" s="55" t="s">
        <v>21</v>
      </c>
      <c r="Q121" s="53" t="s">
        <v>21</v>
      </c>
      <c r="R121" s="94" t="s">
        <v>21</v>
      </c>
      <c r="S121" s="71" t="s">
        <v>21</v>
      </c>
      <c r="T121" s="63" t="str">
        <f t="shared" si="77"/>
        <v/>
      </c>
      <c r="V121" s="114">
        <v>1.15105609</v>
      </c>
      <c r="W121" s="72">
        <v>2.93988154</v>
      </c>
      <c r="X121" s="72">
        <v>4.5330631300000004</v>
      </c>
      <c r="Y121" s="72">
        <v>5.9137239699999995</v>
      </c>
      <c r="Z121" s="115">
        <v>7.6470682400000003</v>
      </c>
      <c r="AB121" s="73">
        <v>2.5042490819451674E-2</v>
      </c>
      <c r="AC121" s="71">
        <v>3.4022598032997342E-2</v>
      </c>
      <c r="AD121" s="71">
        <v>4.0489573635415846E-2</v>
      </c>
      <c r="AE121" s="71">
        <v>4.3898798851365418E-2</v>
      </c>
      <c r="AF121" s="63">
        <v>4.7513123507013796E-2</v>
      </c>
      <c r="AG121" s="73" t="s">
        <v>21</v>
      </c>
      <c r="AH121" s="71">
        <v>5.6572489329973497E-3</v>
      </c>
      <c r="AI121" s="71">
        <v>1.143026533541585E-2</v>
      </c>
      <c r="AJ121" s="71">
        <v>1.3977497951365419E-2</v>
      </c>
      <c r="AK121" s="63">
        <v>1.6255832507013786E-2</v>
      </c>
    </row>
    <row r="122" spans="2:37" x14ac:dyDescent="0.35">
      <c r="B122" s="57" t="s">
        <v>99</v>
      </c>
      <c r="C122" s="67" t="s">
        <v>35</v>
      </c>
      <c r="D122" s="67" t="s">
        <v>69</v>
      </c>
      <c r="E122" s="67" t="s">
        <v>226</v>
      </c>
      <c r="F122" s="74">
        <f t="shared" si="78"/>
        <v>2.5830539996544201E-2</v>
      </c>
      <c r="G122" s="76">
        <f t="shared" si="79"/>
        <v>3.7079023643217926E-2</v>
      </c>
      <c r="H122" s="76">
        <f t="shared" si="80"/>
        <v>4.5495073590994181E-2</v>
      </c>
      <c r="I122" s="76">
        <f t="shared" si="81"/>
        <v>5.039710688557137E-2</v>
      </c>
      <c r="J122" s="64">
        <f t="shared" si="82"/>
        <v>5.4146945387519435E-2</v>
      </c>
      <c r="K122" s="74" t="str">
        <f t="shared" si="83"/>
        <v/>
      </c>
      <c r="L122" s="76">
        <f t="shared" si="84"/>
        <v>8.6445733432179307E-3</v>
      </c>
      <c r="M122" s="76">
        <f t="shared" si="85"/>
        <v>1.6305678590994174E-2</v>
      </c>
      <c r="N122" s="76">
        <f t="shared" si="86"/>
        <v>2.0285694285571365E-2</v>
      </c>
      <c r="O122" s="64">
        <f t="shared" si="87"/>
        <v>2.271202228751943E-2</v>
      </c>
      <c r="P122" s="57" t="s">
        <v>457</v>
      </c>
      <c r="Q122" s="67" t="s">
        <v>458</v>
      </c>
      <c r="R122" s="96" t="s">
        <v>32</v>
      </c>
      <c r="S122" s="76">
        <v>4.049647E-2</v>
      </c>
      <c r="T122" s="64">
        <f t="shared" si="77"/>
        <v>4.9986035909941814E-3</v>
      </c>
      <c r="V122" s="116">
        <v>1.1509361</v>
      </c>
      <c r="W122" s="108">
        <v>2.9325242299999998</v>
      </c>
      <c r="X122" s="108">
        <v>4.5035800999999998</v>
      </c>
      <c r="Y122" s="108">
        <v>5.8432324500000004</v>
      </c>
      <c r="Z122" s="117">
        <v>7.5061911400000003</v>
      </c>
      <c r="AB122" s="74">
        <v>2.5830539996544201E-2</v>
      </c>
      <c r="AC122" s="76">
        <v>3.7079023643217926E-2</v>
      </c>
      <c r="AD122" s="76">
        <v>4.5495073590994181E-2</v>
      </c>
      <c r="AE122" s="76">
        <v>5.039710688557137E-2</v>
      </c>
      <c r="AF122" s="64">
        <v>5.4146945387519435E-2</v>
      </c>
      <c r="AG122" s="74" t="s">
        <v>21</v>
      </c>
      <c r="AH122" s="76">
        <v>8.6445733432179307E-3</v>
      </c>
      <c r="AI122" s="76">
        <v>1.6305678590994174E-2</v>
      </c>
      <c r="AJ122" s="76">
        <v>2.0285694285571365E-2</v>
      </c>
      <c r="AK122" s="64">
        <v>2.271202228751943E-2</v>
      </c>
    </row>
    <row r="123" spans="2:37" x14ac:dyDescent="0.35">
      <c r="B123" s="55" t="s">
        <v>101</v>
      </c>
      <c r="C123" s="53" t="s">
        <v>85</v>
      </c>
      <c r="D123" s="53" t="s">
        <v>31</v>
      </c>
      <c r="E123" s="53" t="s">
        <v>21</v>
      </c>
      <c r="F123" s="73">
        <f t="shared" si="78"/>
        <v>2.4684206353271516E-2</v>
      </c>
      <c r="G123" s="60">
        <f t="shared" si="79"/>
        <v>3.3288380290710691E-2</v>
      </c>
      <c r="H123" s="60">
        <f t="shared" si="80"/>
        <v>3.9262406447375442E-2</v>
      </c>
      <c r="I123" s="60">
        <f t="shared" si="81"/>
        <v>4.2605454936710342E-2</v>
      </c>
      <c r="J123" s="63">
        <f t="shared" si="82"/>
        <v>4.6014132343575202E-2</v>
      </c>
      <c r="K123" s="73" t="str">
        <f t="shared" si="83"/>
        <v/>
      </c>
      <c r="L123" s="60">
        <f t="shared" si="84"/>
        <v>4.9459269907106921E-3</v>
      </c>
      <c r="M123" s="60">
        <f t="shared" si="85"/>
        <v>1.0247985947375443E-2</v>
      </c>
      <c r="N123" s="60">
        <f t="shared" si="86"/>
        <v>1.2734325136710339E-2</v>
      </c>
      <c r="O123" s="63">
        <f t="shared" si="87"/>
        <v>1.4809641843575205E-2</v>
      </c>
      <c r="P123" s="55" t="s">
        <v>21</v>
      </c>
      <c r="Q123" s="53" t="s">
        <v>21</v>
      </c>
      <c r="R123" s="94" t="s">
        <v>21</v>
      </c>
      <c r="S123" s="71" t="s">
        <v>21</v>
      </c>
      <c r="T123" s="63" t="str">
        <f t="shared" si="77"/>
        <v/>
      </c>
      <c r="V123" s="114">
        <v>1.1518221500000001</v>
      </c>
      <c r="W123" s="72">
        <v>2.9460092100000002</v>
      </c>
      <c r="X123" s="72">
        <v>4.5535459100000004</v>
      </c>
      <c r="Y123" s="72">
        <v>5.9550886800000002</v>
      </c>
      <c r="Z123" s="115">
        <v>7.7293957499999992</v>
      </c>
      <c r="AB123" s="73">
        <v>2.4684206353271516E-2</v>
      </c>
      <c r="AC123" s="71">
        <v>3.3288380290710691E-2</v>
      </c>
      <c r="AD123" s="71">
        <v>3.9262406447375442E-2</v>
      </c>
      <c r="AE123" s="71">
        <v>4.2605454936710342E-2</v>
      </c>
      <c r="AF123" s="63">
        <v>4.6014132343575202E-2</v>
      </c>
      <c r="AG123" s="73" t="s">
        <v>21</v>
      </c>
      <c r="AH123" s="71">
        <v>4.9459269907106921E-3</v>
      </c>
      <c r="AI123" s="71">
        <v>1.0247985947375443E-2</v>
      </c>
      <c r="AJ123" s="71">
        <v>1.2734325136710339E-2</v>
      </c>
      <c r="AK123" s="63">
        <v>1.4809641843575205E-2</v>
      </c>
    </row>
    <row r="124" spans="2:37" x14ac:dyDescent="0.35">
      <c r="B124" s="57" t="s">
        <v>101</v>
      </c>
      <c r="C124" s="67" t="s">
        <v>35</v>
      </c>
      <c r="D124" s="67" t="s">
        <v>31</v>
      </c>
      <c r="E124" s="67" t="s">
        <v>21</v>
      </c>
      <c r="F124" s="74">
        <f t="shared" si="78"/>
        <v>2.6108496411652284E-2</v>
      </c>
      <c r="G124" s="76">
        <f t="shared" si="79"/>
        <v>3.6184678218304622E-2</v>
      </c>
      <c r="H124" s="76">
        <f t="shared" si="80"/>
        <v>4.393707797522136E-2</v>
      </c>
      <c r="I124" s="76">
        <f t="shared" si="81"/>
        <v>4.8012172738132589E-2</v>
      </c>
      <c r="J124" s="64">
        <f t="shared" si="82"/>
        <v>5.16244599270465E-2</v>
      </c>
      <c r="K124" s="74" t="str">
        <f t="shared" si="83"/>
        <v/>
      </c>
      <c r="L124" s="76">
        <f t="shared" si="84"/>
        <v>7.77813441830462E-3</v>
      </c>
      <c r="M124" s="76">
        <f t="shared" si="85"/>
        <v>1.4806774075221353E-2</v>
      </c>
      <c r="N124" s="76">
        <f t="shared" si="86"/>
        <v>1.7997907538132591E-2</v>
      </c>
      <c r="O124" s="64">
        <f t="shared" si="87"/>
        <v>2.0282889727046501E-2</v>
      </c>
      <c r="P124" s="57" t="s">
        <v>21</v>
      </c>
      <c r="Q124" s="67" t="s">
        <v>21</v>
      </c>
      <c r="R124" s="96" t="s">
        <v>21</v>
      </c>
      <c r="S124" s="76" t="s">
        <v>21</v>
      </c>
      <c r="T124" s="64" t="str">
        <f t="shared" si="77"/>
        <v/>
      </c>
      <c r="V124" s="116">
        <v>1.1505404000000001</v>
      </c>
      <c r="W124" s="108">
        <v>2.9361828699999997</v>
      </c>
      <c r="X124" s="108">
        <v>4.5213517699999999</v>
      </c>
      <c r="Y124" s="108">
        <v>5.8890454000000005</v>
      </c>
      <c r="Z124" s="117">
        <v>7.6064662000000007</v>
      </c>
      <c r="AB124" s="74">
        <v>2.6108496411652284E-2</v>
      </c>
      <c r="AC124" s="76">
        <v>3.6184678218304622E-2</v>
      </c>
      <c r="AD124" s="76">
        <v>4.393707797522136E-2</v>
      </c>
      <c r="AE124" s="76">
        <v>4.8012172738132589E-2</v>
      </c>
      <c r="AF124" s="64">
        <v>5.16244599270465E-2</v>
      </c>
      <c r="AG124" s="74" t="s">
        <v>21</v>
      </c>
      <c r="AH124" s="76">
        <v>7.77813441830462E-3</v>
      </c>
      <c r="AI124" s="76">
        <v>1.4806774075221353E-2</v>
      </c>
      <c r="AJ124" s="76">
        <v>1.7997907538132591E-2</v>
      </c>
      <c r="AK124" s="64">
        <v>2.0282889727046501E-2</v>
      </c>
    </row>
    <row r="125" spans="2:37" x14ac:dyDescent="0.35">
      <c r="B125" s="55" t="s">
        <v>102</v>
      </c>
      <c r="C125" s="53" t="s">
        <v>85</v>
      </c>
      <c r="D125" s="53" t="s">
        <v>69</v>
      </c>
      <c r="E125" s="53" t="s">
        <v>459</v>
      </c>
      <c r="F125" s="73">
        <f t="shared" si="78"/>
        <v>2.5603376708471362E-2</v>
      </c>
      <c r="G125" s="60">
        <f t="shared" si="79"/>
        <v>3.4022748388309751E-2</v>
      </c>
      <c r="H125" s="60">
        <f t="shared" si="80"/>
        <v>4.0491897703891916E-2</v>
      </c>
      <c r="I125" s="60">
        <f t="shared" si="81"/>
        <v>4.3949706922259642E-2</v>
      </c>
      <c r="J125" s="63">
        <f t="shared" si="82"/>
        <v>4.7377215954916542E-2</v>
      </c>
      <c r="K125" s="73" t="str">
        <f t="shared" si="83"/>
        <v/>
      </c>
      <c r="L125" s="60">
        <f t="shared" si="84"/>
        <v>5.6555797883097569E-3</v>
      </c>
      <c r="M125" s="60">
        <f t="shared" si="85"/>
        <v>1.1430918803891906E-2</v>
      </c>
      <c r="N125" s="60">
        <f t="shared" si="86"/>
        <v>1.4024682122259637E-2</v>
      </c>
      <c r="O125" s="63">
        <f t="shared" si="87"/>
        <v>1.6124184154916545E-2</v>
      </c>
      <c r="P125" s="55" t="s">
        <v>21</v>
      </c>
      <c r="Q125" s="53" t="s">
        <v>21</v>
      </c>
      <c r="R125" s="94" t="s">
        <v>21</v>
      </c>
      <c r="S125" s="71" t="s">
        <v>21</v>
      </c>
      <c r="T125" s="63" t="str">
        <f t="shared" si="77"/>
        <v/>
      </c>
      <c r="V125" s="114">
        <v>1.14998361</v>
      </c>
      <c r="W125" s="72">
        <v>2.9379952399999998</v>
      </c>
      <c r="X125" s="72">
        <v>4.5313180800000001</v>
      </c>
      <c r="Y125" s="72">
        <v>5.9114247000000004</v>
      </c>
      <c r="Z125" s="115">
        <v>7.6478405799999996</v>
      </c>
      <c r="AB125" s="73">
        <v>2.5603376708471362E-2</v>
      </c>
      <c r="AC125" s="71">
        <v>3.4022748388309751E-2</v>
      </c>
      <c r="AD125" s="71">
        <v>4.0491897703891916E-2</v>
      </c>
      <c r="AE125" s="71">
        <v>4.3949706922259642E-2</v>
      </c>
      <c r="AF125" s="63">
        <v>4.7377215954916542E-2</v>
      </c>
      <c r="AG125" s="73" t="s">
        <v>21</v>
      </c>
      <c r="AH125" s="71">
        <v>5.6555797883097569E-3</v>
      </c>
      <c r="AI125" s="71">
        <v>1.1430918803891906E-2</v>
      </c>
      <c r="AJ125" s="71">
        <v>1.4024682122259637E-2</v>
      </c>
      <c r="AK125" s="63">
        <v>1.6124184154916545E-2</v>
      </c>
    </row>
    <row r="126" spans="2:37" x14ac:dyDescent="0.35">
      <c r="B126" s="57" t="s">
        <v>102</v>
      </c>
      <c r="C126" s="67" t="s">
        <v>35</v>
      </c>
      <c r="D126" s="67" t="s">
        <v>69</v>
      </c>
      <c r="E126" s="67" t="s">
        <v>161</v>
      </c>
      <c r="F126" s="74">
        <f t="shared" si="78"/>
        <v>2.6512945158616595E-2</v>
      </c>
      <c r="G126" s="76">
        <f t="shared" si="79"/>
        <v>3.7072320209782857E-2</v>
      </c>
      <c r="H126" s="76">
        <f t="shared" si="80"/>
        <v>4.549371835735723E-2</v>
      </c>
      <c r="I126" s="76">
        <f t="shared" si="81"/>
        <v>5.0026056825296053E-2</v>
      </c>
      <c r="J126" s="64">
        <f t="shared" si="82"/>
        <v>5.4088580557391852E-2</v>
      </c>
      <c r="K126" s="74" t="str">
        <f t="shared" si="83"/>
        <v/>
      </c>
      <c r="L126" s="76">
        <f t="shared" si="84"/>
        <v>8.6384937097828546E-3</v>
      </c>
      <c r="M126" s="76">
        <f t="shared" si="85"/>
        <v>1.6304438357357232E-2</v>
      </c>
      <c r="N126" s="76">
        <f t="shared" si="86"/>
        <v>1.9930412125296053E-2</v>
      </c>
      <c r="O126" s="64">
        <f t="shared" si="87"/>
        <v>2.2653726357391865E-2</v>
      </c>
      <c r="P126" s="57" t="s">
        <v>21</v>
      </c>
      <c r="Q126" s="67" t="s">
        <v>21</v>
      </c>
      <c r="R126" s="96" t="s">
        <v>21</v>
      </c>
      <c r="S126" s="76" t="s">
        <v>21</v>
      </c>
      <c r="T126" s="64" t="str">
        <f t="shared" si="77"/>
        <v/>
      </c>
      <c r="V126" s="114">
        <v>1.1499178400000001</v>
      </c>
      <c r="W126" s="72">
        <v>2.93074995</v>
      </c>
      <c r="X126" s="72">
        <v>4.5019390399999999</v>
      </c>
      <c r="Y126" s="72">
        <v>5.8456317000000002</v>
      </c>
      <c r="Z126" s="115">
        <v>7.5118483500000002</v>
      </c>
      <c r="AB126" s="74">
        <v>2.6512945158616595E-2</v>
      </c>
      <c r="AC126" s="76">
        <v>3.7072320209782857E-2</v>
      </c>
      <c r="AD126" s="76">
        <v>4.549371835735723E-2</v>
      </c>
      <c r="AE126" s="76">
        <v>5.0026056825296053E-2</v>
      </c>
      <c r="AF126" s="64">
        <v>5.4088580557391852E-2</v>
      </c>
      <c r="AG126" s="74" t="s">
        <v>21</v>
      </c>
      <c r="AH126" s="76">
        <v>8.6384937097828546E-3</v>
      </c>
      <c r="AI126" s="76">
        <v>1.6304438357357232E-2</v>
      </c>
      <c r="AJ126" s="76">
        <v>1.9930412125296053E-2</v>
      </c>
      <c r="AK126" s="64">
        <v>2.2653726357391865E-2</v>
      </c>
    </row>
    <row r="127" spans="2:37" x14ac:dyDescent="0.35">
      <c r="B127" s="56" t="s">
        <v>104</v>
      </c>
      <c r="C127" s="66" t="s">
        <v>85</v>
      </c>
      <c r="D127" s="66" t="s">
        <v>43</v>
      </c>
      <c r="E127" s="65" t="s">
        <v>417</v>
      </c>
      <c r="F127" s="80">
        <f t="shared" si="78"/>
        <v>2.4705552785197565E-2</v>
      </c>
      <c r="G127" s="80">
        <f t="shared" si="79"/>
        <v>3.2516708222766193E-2</v>
      </c>
      <c r="H127" s="80">
        <f t="shared" si="80"/>
        <v>3.8179458223024862E-2</v>
      </c>
      <c r="I127" s="80">
        <f t="shared" si="81"/>
        <v>4.0966409390318662E-2</v>
      </c>
      <c r="J127" s="62">
        <f t="shared" si="82"/>
        <v>4.3876611466822826E-2</v>
      </c>
      <c r="K127" s="80" t="str">
        <f t="shared" si="83"/>
        <v/>
      </c>
      <c r="L127" s="80">
        <f t="shared" si="84"/>
        <v>4.1999144227661918E-3</v>
      </c>
      <c r="M127" s="80">
        <f t="shared" si="85"/>
        <v>9.2038458230248726E-3</v>
      </c>
      <c r="N127" s="80">
        <f t="shared" si="86"/>
        <v>1.1156712190318665E-2</v>
      </c>
      <c r="O127" s="62">
        <f t="shared" si="87"/>
        <v>1.2740655966822828E-2</v>
      </c>
      <c r="P127" s="56" t="s">
        <v>21</v>
      </c>
      <c r="Q127" s="66" t="s">
        <v>21</v>
      </c>
      <c r="R127" s="100" t="s">
        <v>21</v>
      </c>
      <c r="S127" s="80" t="s">
        <v>21</v>
      </c>
      <c r="T127" s="62" t="str">
        <f t="shared" si="77"/>
        <v/>
      </c>
      <c r="V127" s="118">
        <v>1.15178644</v>
      </c>
      <c r="W127" s="61">
        <v>2.9514340900000002</v>
      </c>
      <c r="X127" s="61">
        <v>4.5718037899999997</v>
      </c>
      <c r="Y127" s="61">
        <v>5.9990300000000003</v>
      </c>
      <c r="Z127" s="119">
        <v>7.8335106099999994</v>
      </c>
      <c r="AB127" s="80">
        <v>2.4705552785197565E-2</v>
      </c>
      <c r="AC127" s="80">
        <v>3.2516708222766193E-2</v>
      </c>
      <c r="AD127" s="80">
        <v>3.8179458223024862E-2</v>
      </c>
      <c r="AE127" s="80">
        <v>4.0966409390318662E-2</v>
      </c>
      <c r="AF127" s="62">
        <v>4.3876611466822826E-2</v>
      </c>
      <c r="AG127" s="80" t="s">
        <v>21</v>
      </c>
      <c r="AH127" s="80">
        <v>4.1999144227661918E-3</v>
      </c>
      <c r="AI127" s="80">
        <v>9.2038458230248726E-3</v>
      </c>
      <c r="AJ127" s="80">
        <v>1.1156712190318665E-2</v>
      </c>
      <c r="AK127" s="62">
        <v>1.2740655966822828E-2</v>
      </c>
    </row>
    <row r="128" spans="2:37" x14ac:dyDescent="0.35">
      <c r="B128" s="57" t="s">
        <v>104</v>
      </c>
      <c r="C128" s="67" t="s">
        <v>35</v>
      </c>
      <c r="D128" s="67" t="s">
        <v>43</v>
      </c>
      <c r="E128" s="54" t="s">
        <v>417</v>
      </c>
      <c r="F128" s="76">
        <f t="shared" si="78"/>
        <v>2.6402234305902529E-2</v>
      </c>
      <c r="G128" s="76">
        <f t="shared" si="79"/>
        <v>3.6861482091223634E-2</v>
      </c>
      <c r="H128" s="76">
        <f t="shared" si="80"/>
        <v>4.501257547618235E-2</v>
      </c>
      <c r="I128" s="76">
        <f t="shared" si="81"/>
        <v>4.9080981547076061E-2</v>
      </c>
      <c r="J128" s="64">
        <f t="shared" si="82"/>
        <v>5.2603059351799736E-2</v>
      </c>
      <c r="K128" s="76" t="str">
        <f t="shared" si="83"/>
        <v/>
      </c>
      <c r="L128" s="76">
        <f t="shared" si="84"/>
        <v>8.4321725912236342E-3</v>
      </c>
      <c r="M128" s="76">
        <f t="shared" si="85"/>
        <v>1.5840407376182346E-2</v>
      </c>
      <c r="N128" s="76">
        <f t="shared" si="86"/>
        <v>1.9023254647076059E-2</v>
      </c>
      <c r="O128" s="64">
        <f t="shared" si="87"/>
        <v>2.1224664551799732E-2</v>
      </c>
      <c r="P128" s="67" t="s">
        <v>21</v>
      </c>
      <c r="Q128" s="67" t="s">
        <v>21</v>
      </c>
      <c r="R128" s="96" t="s">
        <v>21</v>
      </c>
      <c r="S128" s="76" t="s">
        <v>21</v>
      </c>
      <c r="T128" s="64" t="str">
        <f t="shared" si="77"/>
        <v/>
      </c>
      <c r="V128" s="116">
        <v>1.1501218400000002</v>
      </c>
      <c r="W128" s="108">
        <v>2.9321485099999998</v>
      </c>
      <c r="X128" s="108">
        <v>4.5075743900000003</v>
      </c>
      <c r="Y128" s="108">
        <v>5.8621409599999996</v>
      </c>
      <c r="Z128" s="117">
        <v>7.5587560900000001</v>
      </c>
      <c r="AB128" s="76">
        <v>2.6402234305902529E-2</v>
      </c>
      <c r="AC128" s="76">
        <v>3.6861482091223634E-2</v>
      </c>
      <c r="AD128" s="76">
        <v>4.501257547618235E-2</v>
      </c>
      <c r="AE128" s="76">
        <v>4.9080981547076061E-2</v>
      </c>
      <c r="AF128" s="64">
        <v>5.2603059351799736E-2</v>
      </c>
      <c r="AG128" s="76" t="s">
        <v>21</v>
      </c>
      <c r="AH128" s="76">
        <v>8.4321725912236342E-3</v>
      </c>
      <c r="AI128" s="76">
        <v>1.5840407376182346E-2</v>
      </c>
      <c r="AJ128" s="76">
        <v>1.9023254647076059E-2</v>
      </c>
      <c r="AK128" s="64">
        <v>2.1224664551799732E-2</v>
      </c>
    </row>
    <row r="129" spans="2:37" x14ac:dyDescent="0.35">
      <c r="B129" s="55" t="s">
        <v>105</v>
      </c>
      <c r="C129" s="53" t="s">
        <v>85</v>
      </c>
      <c r="D129" s="53" t="s">
        <v>43</v>
      </c>
      <c r="E129" s="53" t="s">
        <v>417</v>
      </c>
      <c r="F129" s="73">
        <f t="shared" si="78"/>
        <v>2.4658287725708911E-2</v>
      </c>
      <c r="G129" s="60">
        <f t="shared" si="79"/>
        <v>3.2571209094390312E-2</v>
      </c>
      <c r="H129" s="60">
        <f t="shared" si="80"/>
        <v>3.8076810409188144E-2</v>
      </c>
      <c r="I129" s="60">
        <f t="shared" si="81"/>
        <v>4.0866795680733724E-2</v>
      </c>
      <c r="J129" s="63">
        <f t="shared" si="82"/>
        <v>4.3679513903099883E-2</v>
      </c>
      <c r="K129" s="73" t="str">
        <f t="shared" si="83"/>
        <v/>
      </c>
      <c r="L129" s="60">
        <f t="shared" si="84"/>
        <v>4.2535019943903104E-3</v>
      </c>
      <c r="M129" s="60">
        <f t="shared" si="85"/>
        <v>9.1053936091881459E-3</v>
      </c>
      <c r="N129" s="60">
        <f t="shared" si="86"/>
        <v>1.1060903680733727E-2</v>
      </c>
      <c r="O129" s="63">
        <f t="shared" si="87"/>
        <v>1.2549773703099875E-2</v>
      </c>
      <c r="P129" s="55" t="s">
        <v>21</v>
      </c>
      <c r="Q129" s="53" t="s">
        <v>21</v>
      </c>
      <c r="R129" s="94" t="s">
        <v>21</v>
      </c>
      <c r="S129" s="71" t="s">
        <v>21</v>
      </c>
      <c r="T129" s="63" t="str">
        <f t="shared" si="77"/>
        <v/>
      </c>
      <c r="V129" s="114">
        <v>1.15186232</v>
      </c>
      <c r="W129" s="72">
        <v>2.9507261900000001</v>
      </c>
      <c r="X129" s="72">
        <v>4.5722582999999997</v>
      </c>
      <c r="Y129" s="72">
        <v>6.0012601600000002</v>
      </c>
      <c r="Z129" s="115">
        <v>7.84112294</v>
      </c>
      <c r="AB129" s="73">
        <v>2.4658287725708911E-2</v>
      </c>
      <c r="AC129" s="71">
        <v>3.2571209094390312E-2</v>
      </c>
      <c r="AD129" s="71">
        <v>3.8076810409188144E-2</v>
      </c>
      <c r="AE129" s="71">
        <v>4.0866795680733724E-2</v>
      </c>
      <c r="AF129" s="63">
        <v>4.3679513903099883E-2</v>
      </c>
      <c r="AG129" s="73" t="s">
        <v>21</v>
      </c>
      <c r="AH129" s="71">
        <v>4.2535019943903104E-3</v>
      </c>
      <c r="AI129" s="71">
        <v>9.1053936091881459E-3</v>
      </c>
      <c r="AJ129" s="71">
        <v>1.1060903680733727E-2</v>
      </c>
      <c r="AK129" s="63">
        <v>1.2549773703099875E-2</v>
      </c>
    </row>
    <row r="130" spans="2:37" x14ac:dyDescent="0.35">
      <c r="B130" s="57" t="s">
        <v>105</v>
      </c>
      <c r="C130" s="67" t="s">
        <v>35</v>
      </c>
      <c r="D130" s="67" t="s">
        <v>43</v>
      </c>
      <c r="E130" s="67" t="s">
        <v>21</v>
      </c>
      <c r="F130" s="74">
        <f t="shared" si="78"/>
        <v>2.631339269342128E-2</v>
      </c>
      <c r="G130" s="76">
        <f t="shared" si="79"/>
        <v>3.6673514677006615E-2</v>
      </c>
      <c r="H130" s="76">
        <f t="shared" si="80"/>
        <v>4.4717190849585704E-2</v>
      </c>
      <c r="I130" s="76">
        <f t="shared" si="81"/>
        <v>4.8694343700921232E-2</v>
      </c>
      <c r="J130" s="64">
        <f t="shared" si="82"/>
        <v>5.230684377729089E-2</v>
      </c>
      <c r="K130" s="74" t="str">
        <f t="shared" si="83"/>
        <v/>
      </c>
      <c r="L130" s="76">
        <f t="shared" si="84"/>
        <v>8.2516583770066119E-3</v>
      </c>
      <c r="M130" s="76">
        <f t="shared" si="85"/>
        <v>1.5557481649585708E-2</v>
      </c>
      <c r="N130" s="76">
        <f t="shared" si="86"/>
        <v>1.8653208900921227E-2</v>
      </c>
      <c r="O130" s="64">
        <f t="shared" si="87"/>
        <v>2.0939858577290894E-2</v>
      </c>
      <c r="P130" s="57" t="s">
        <v>21</v>
      </c>
      <c r="Q130" s="67" t="s">
        <v>21</v>
      </c>
      <c r="R130" s="96" t="s">
        <v>21</v>
      </c>
      <c r="S130" s="76" t="s">
        <v>21</v>
      </c>
      <c r="T130" s="64" t="str">
        <f t="shared" si="77"/>
        <v/>
      </c>
      <c r="V130" s="114">
        <v>1.1502307000000001</v>
      </c>
      <c r="W130" s="72">
        <v>2.9332499200000002</v>
      </c>
      <c r="X130" s="72">
        <v>4.51133279</v>
      </c>
      <c r="Y130" s="72">
        <v>5.8704648399999995</v>
      </c>
      <c r="Z130" s="115">
        <v>7.5737636500000001</v>
      </c>
      <c r="AB130" s="74">
        <v>2.631339269342128E-2</v>
      </c>
      <c r="AC130" s="76">
        <v>3.6673514677006615E-2</v>
      </c>
      <c r="AD130" s="76">
        <v>4.4717190849585704E-2</v>
      </c>
      <c r="AE130" s="76">
        <v>4.8694343700921232E-2</v>
      </c>
      <c r="AF130" s="64">
        <v>5.230684377729089E-2</v>
      </c>
      <c r="AG130" s="74" t="s">
        <v>21</v>
      </c>
      <c r="AH130" s="76">
        <v>8.2516583770066119E-3</v>
      </c>
      <c r="AI130" s="76">
        <v>1.5557481649585708E-2</v>
      </c>
      <c r="AJ130" s="76">
        <v>1.8653208900921227E-2</v>
      </c>
      <c r="AK130" s="64">
        <v>2.0939858577290894E-2</v>
      </c>
    </row>
    <row r="131" spans="2:37" x14ac:dyDescent="0.35">
      <c r="B131" s="56" t="s">
        <v>106</v>
      </c>
      <c r="C131" s="66" t="s">
        <v>85</v>
      </c>
      <c r="D131" s="66" t="s">
        <v>62</v>
      </c>
      <c r="E131" s="66" t="s">
        <v>460</v>
      </c>
      <c r="F131" s="75">
        <f t="shared" si="78"/>
        <v>2.5070862784397682E-2</v>
      </c>
      <c r="G131" s="80">
        <f t="shared" si="79"/>
        <v>3.3437956256865187E-2</v>
      </c>
      <c r="H131" s="80">
        <f t="shared" si="80"/>
        <v>3.9517263231853061E-2</v>
      </c>
      <c r="I131" s="80">
        <f t="shared" si="81"/>
        <v>4.2661179044131928E-2</v>
      </c>
      <c r="J131" s="62">
        <f t="shared" si="82"/>
        <v>4.5786802804221378E-2</v>
      </c>
      <c r="K131" s="75" t="str">
        <f t="shared" si="83"/>
        <v/>
      </c>
      <c r="L131" s="80">
        <f t="shared" si="84"/>
        <v>5.0909711568651881E-3</v>
      </c>
      <c r="M131" s="80">
        <f t="shared" si="85"/>
        <v>1.0493624731853064E-2</v>
      </c>
      <c r="N131" s="80">
        <f t="shared" si="86"/>
        <v>1.2788255444131926E-2</v>
      </c>
      <c r="O131" s="62">
        <f t="shared" si="87"/>
        <v>1.4590297804221383E-2</v>
      </c>
      <c r="P131" s="56" t="s">
        <v>461</v>
      </c>
      <c r="Q131" s="66" t="s">
        <v>462</v>
      </c>
      <c r="R131" s="100" t="s">
        <v>32</v>
      </c>
      <c r="S131" s="80">
        <v>3.7119900000000004E-2</v>
      </c>
      <c r="T131" s="62">
        <f t="shared" si="77"/>
        <v>2.3973632318530572E-3</v>
      </c>
      <c r="V131" s="118">
        <v>1.1510436100000001</v>
      </c>
      <c r="W131" s="61">
        <v>2.9436547200000001</v>
      </c>
      <c r="X131" s="61">
        <v>4.5482778000000001</v>
      </c>
      <c r="Y131" s="61">
        <v>5.9485597699999992</v>
      </c>
      <c r="Z131" s="119">
        <v>7.7287972700000003</v>
      </c>
      <c r="AB131" s="75">
        <v>2.5070862784397682E-2</v>
      </c>
      <c r="AC131" s="80">
        <v>3.3437956256865187E-2</v>
      </c>
      <c r="AD131" s="80">
        <v>3.9517263231853061E-2</v>
      </c>
      <c r="AE131" s="80">
        <v>4.2661179044131928E-2</v>
      </c>
      <c r="AF131" s="62">
        <v>4.5786802804221378E-2</v>
      </c>
      <c r="AG131" s="75" t="s">
        <v>21</v>
      </c>
      <c r="AH131" s="80">
        <v>5.0909711568651881E-3</v>
      </c>
      <c r="AI131" s="80">
        <v>1.0493624731853064E-2</v>
      </c>
      <c r="AJ131" s="80">
        <v>1.2788255444131926E-2</v>
      </c>
      <c r="AK131" s="62">
        <v>1.4590297804221383E-2</v>
      </c>
    </row>
    <row r="132" spans="2:37" x14ac:dyDescent="0.35">
      <c r="B132" s="57" t="s">
        <v>106</v>
      </c>
      <c r="C132" s="67" t="s">
        <v>35</v>
      </c>
      <c r="D132" s="67" t="s">
        <v>62</v>
      </c>
      <c r="E132" s="67" t="s">
        <v>463</v>
      </c>
      <c r="F132" s="74">
        <f t="shared" si="78"/>
        <v>2.6386067212377778E-2</v>
      </c>
      <c r="G132" s="76">
        <f t="shared" si="79"/>
        <v>3.7101187982040949E-2</v>
      </c>
      <c r="H132" s="76">
        <f t="shared" si="80"/>
        <v>4.5398734795900467E-2</v>
      </c>
      <c r="I132" s="76">
        <f t="shared" si="81"/>
        <v>4.9372408035132022E-2</v>
      </c>
      <c r="J132" s="64">
        <f t="shared" si="82"/>
        <v>5.325526069247799E-2</v>
      </c>
      <c r="K132" s="76" t="str">
        <f t="shared" si="83"/>
        <v/>
      </c>
      <c r="L132" s="76">
        <f t="shared" si="84"/>
        <v>8.665978382040947E-3</v>
      </c>
      <c r="M132" s="76">
        <f t="shared" si="85"/>
        <v>1.6212926895900454E-2</v>
      </c>
      <c r="N132" s="76">
        <f t="shared" si="86"/>
        <v>1.930409383513202E-2</v>
      </c>
      <c r="O132" s="76">
        <f t="shared" si="87"/>
        <v>2.1851772092477989E-2</v>
      </c>
      <c r="P132" s="67" t="s">
        <v>21</v>
      </c>
      <c r="Q132" s="67" t="s">
        <v>21</v>
      </c>
      <c r="R132" s="96" t="s">
        <v>21</v>
      </c>
      <c r="S132" s="76" t="s">
        <v>21</v>
      </c>
      <c r="T132" s="76" t="str">
        <f t="shared" si="77"/>
        <v/>
      </c>
      <c r="V132" s="116">
        <v>1.1501130700000002</v>
      </c>
      <c r="W132" s="108">
        <v>2.9309577099999999</v>
      </c>
      <c r="X132" s="108">
        <v>4.5028479800000003</v>
      </c>
      <c r="Y132" s="108">
        <v>5.8536509700000003</v>
      </c>
      <c r="Z132" s="117">
        <v>7.5380037699999995</v>
      </c>
      <c r="AB132" s="74">
        <v>2.6386067212377778E-2</v>
      </c>
      <c r="AC132" s="76">
        <v>3.7101187982040949E-2</v>
      </c>
      <c r="AD132" s="76">
        <v>4.5398734795900467E-2</v>
      </c>
      <c r="AE132" s="76">
        <v>4.9372408035132022E-2</v>
      </c>
      <c r="AF132" s="64">
        <v>5.325526069247799E-2</v>
      </c>
      <c r="AG132" s="76" t="s">
        <v>21</v>
      </c>
      <c r="AH132" s="76">
        <v>8.665978382040947E-3</v>
      </c>
      <c r="AI132" s="76">
        <v>1.6212926895900454E-2</v>
      </c>
      <c r="AJ132" s="76">
        <v>1.930409383513202E-2</v>
      </c>
      <c r="AK132" s="76">
        <v>2.1851772092477989E-2</v>
      </c>
    </row>
    <row r="133" spans="2:37" x14ac:dyDescent="0.35">
      <c r="B133" s="55" t="s">
        <v>107</v>
      </c>
      <c r="C133" s="53" t="s">
        <v>85</v>
      </c>
      <c r="D133" s="53" t="s">
        <v>62</v>
      </c>
      <c r="E133" s="53" t="s">
        <v>266</v>
      </c>
      <c r="F133" s="73">
        <f t="shared" si="78"/>
        <v>2.5261522991828097E-2</v>
      </c>
      <c r="G133" s="60">
        <f t="shared" si="79"/>
        <v>3.3373862195252027E-2</v>
      </c>
      <c r="H133" s="60">
        <f t="shared" si="80"/>
        <v>3.941390268847754E-2</v>
      </c>
      <c r="I133" s="60">
        <f t="shared" si="81"/>
        <v>4.2706199364642226E-2</v>
      </c>
      <c r="J133" s="63">
        <f t="shared" si="82"/>
        <v>4.5785378678801822E-2</v>
      </c>
      <c r="K133" s="73" t="str">
        <f t="shared" si="83"/>
        <v/>
      </c>
      <c r="L133" s="60">
        <f t="shared" si="84"/>
        <v>5.0290556952520262E-3</v>
      </c>
      <c r="M133" s="60">
        <f t="shared" si="85"/>
        <v>1.0394012088477549E-2</v>
      </c>
      <c r="N133" s="60">
        <f t="shared" si="86"/>
        <v>1.2831116264642228E-2</v>
      </c>
      <c r="O133" s="63">
        <f t="shared" si="87"/>
        <v>1.4589310678801818E-2</v>
      </c>
      <c r="P133" s="55" t="s">
        <v>21</v>
      </c>
      <c r="Q133" s="53" t="s">
        <v>21</v>
      </c>
      <c r="R133" s="94" t="s">
        <v>21</v>
      </c>
      <c r="S133" s="71" t="s">
        <v>21</v>
      </c>
      <c r="T133" s="63" t="str">
        <f t="shared" si="77"/>
        <v/>
      </c>
      <c r="V133" s="114">
        <v>1.1506672099999999</v>
      </c>
      <c r="W133" s="72">
        <v>2.9434018200000001</v>
      </c>
      <c r="X133" s="72">
        <v>4.5492880399999995</v>
      </c>
      <c r="Y133" s="72">
        <v>5.9491973700000003</v>
      </c>
      <c r="Z133" s="115">
        <v>7.7288631100000007</v>
      </c>
      <c r="AB133" s="73">
        <v>2.5261522991828097E-2</v>
      </c>
      <c r="AC133" s="71">
        <v>3.3373862195252027E-2</v>
      </c>
      <c r="AD133" s="71">
        <v>3.941390268847754E-2</v>
      </c>
      <c r="AE133" s="71">
        <v>4.2706199364642226E-2</v>
      </c>
      <c r="AF133" s="63">
        <v>4.5785378678801822E-2</v>
      </c>
      <c r="AG133" s="73" t="s">
        <v>21</v>
      </c>
      <c r="AH133" s="71">
        <v>5.0290556952520262E-3</v>
      </c>
      <c r="AI133" s="71">
        <v>1.0394012088477549E-2</v>
      </c>
      <c r="AJ133" s="71">
        <v>1.2831116264642228E-2</v>
      </c>
      <c r="AK133" s="63">
        <v>1.4589310678801818E-2</v>
      </c>
    </row>
    <row r="134" spans="2:37" x14ac:dyDescent="0.35">
      <c r="B134" s="55" t="s">
        <v>107</v>
      </c>
      <c r="C134" s="53" t="s">
        <v>35</v>
      </c>
      <c r="D134" s="53" t="s">
        <v>62</v>
      </c>
      <c r="E134" s="53" t="s">
        <v>291</v>
      </c>
      <c r="F134" s="73">
        <f t="shared" si="78"/>
        <v>2.6314283507115246E-2</v>
      </c>
      <c r="G134" s="60">
        <f t="shared" si="79"/>
        <v>3.6425984028983928E-2</v>
      </c>
      <c r="H134" s="60">
        <f t="shared" si="80"/>
        <v>4.4325649549068181E-2</v>
      </c>
      <c r="I134" s="60">
        <f t="shared" si="81"/>
        <v>4.8024119268536225E-2</v>
      </c>
      <c r="J134" s="63">
        <f t="shared" si="82"/>
        <v>5.1908374947392324E-2</v>
      </c>
      <c r="K134" s="73" t="str">
        <f t="shared" si="83"/>
        <v/>
      </c>
      <c r="L134" s="60">
        <f t="shared" si="84"/>
        <v>8.0126116289839372E-3</v>
      </c>
      <c r="M134" s="60">
        <f t="shared" si="85"/>
        <v>1.518127824906818E-2</v>
      </c>
      <c r="N134" s="60">
        <f t="shared" si="86"/>
        <v>1.8010155568536225E-2</v>
      </c>
      <c r="O134" s="63">
        <f t="shared" si="87"/>
        <v>2.0554969747392324E-2</v>
      </c>
      <c r="P134" s="55" t="s">
        <v>21</v>
      </c>
      <c r="Q134" s="53" t="s">
        <v>21</v>
      </c>
      <c r="R134" s="94" t="s">
        <v>21</v>
      </c>
      <c r="S134" s="71" t="s">
        <v>21</v>
      </c>
      <c r="T134" s="63" t="str">
        <f t="shared" si="77"/>
        <v/>
      </c>
      <c r="V134" s="114">
        <v>1.15022063</v>
      </c>
      <c r="W134" s="72">
        <v>2.9344349200000002</v>
      </c>
      <c r="X134" s="72">
        <v>4.5160813900000001</v>
      </c>
      <c r="Y134" s="72">
        <v>5.8829987200000007</v>
      </c>
      <c r="Z134" s="115">
        <v>7.5962547199999992</v>
      </c>
      <c r="AB134" s="73">
        <v>2.6314283507115246E-2</v>
      </c>
      <c r="AC134" s="71">
        <v>3.6425984028983928E-2</v>
      </c>
      <c r="AD134" s="71">
        <v>4.4325649549068181E-2</v>
      </c>
      <c r="AE134" s="71">
        <v>4.8024119268536225E-2</v>
      </c>
      <c r="AF134" s="63">
        <v>5.1908374947392324E-2</v>
      </c>
      <c r="AG134" s="73" t="s">
        <v>21</v>
      </c>
      <c r="AH134" s="71">
        <v>8.0126116289839372E-3</v>
      </c>
      <c r="AI134" s="71">
        <v>1.518127824906818E-2</v>
      </c>
      <c r="AJ134" s="71">
        <v>1.8010155568536225E-2</v>
      </c>
      <c r="AK134" s="63">
        <v>2.0554969747392324E-2</v>
      </c>
    </row>
    <row r="135" spans="2:37" x14ac:dyDescent="0.35">
      <c r="B135" s="97" t="s">
        <v>83</v>
      </c>
      <c r="C135" s="98"/>
      <c r="D135" s="98"/>
      <c r="E135" s="98"/>
      <c r="F135" s="98" t="str">
        <f t="shared" si="78"/>
        <v/>
      </c>
      <c r="G135" s="98" t="str">
        <f t="shared" si="79"/>
        <v/>
      </c>
      <c r="H135" s="98" t="str">
        <f t="shared" si="80"/>
        <v/>
      </c>
      <c r="I135" s="98" t="str">
        <f t="shared" si="81"/>
        <v/>
      </c>
      <c r="J135" s="98" t="str">
        <f t="shared" si="82"/>
        <v/>
      </c>
      <c r="K135" s="98" t="str">
        <f t="shared" si="83"/>
        <v/>
      </c>
      <c r="L135" s="98" t="str">
        <f t="shared" si="84"/>
        <v/>
      </c>
      <c r="M135" s="98" t="str">
        <f t="shared" si="85"/>
        <v/>
      </c>
      <c r="N135" s="98" t="str">
        <f t="shared" si="86"/>
        <v/>
      </c>
      <c r="O135" s="77" t="str">
        <f t="shared" si="87"/>
        <v/>
      </c>
      <c r="P135" s="97"/>
      <c r="Q135" s="98"/>
      <c r="R135" s="101"/>
      <c r="S135" s="98"/>
      <c r="T135" s="99" t="str">
        <f t="shared" si="77"/>
        <v/>
      </c>
      <c r="V135" s="120"/>
      <c r="W135" s="109"/>
      <c r="X135" s="109"/>
      <c r="Y135" s="109"/>
      <c r="Z135" s="121"/>
      <c r="AB135" s="98"/>
      <c r="AC135" s="98"/>
      <c r="AD135" s="98"/>
      <c r="AE135" s="98"/>
      <c r="AF135" s="98"/>
      <c r="AG135" s="98"/>
      <c r="AH135" s="98"/>
      <c r="AI135" s="98"/>
      <c r="AJ135" s="98"/>
      <c r="AK135" s="77"/>
    </row>
    <row r="136" spans="2:37" x14ac:dyDescent="0.35">
      <c r="B136" s="56" t="s">
        <v>108</v>
      </c>
      <c r="C136" s="66" t="s">
        <v>85</v>
      </c>
      <c r="D136" s="66" t="s">
        <v>20</v>
      </c>
      <c r="E136" s="65" t="s">
        <v>58</v>
      </c>
      <c r="F136" s="80">
        <f t="shared" si="78"/>
        <v>2.4786925694202253E-2</v>
      </c>
      <c r="G136" s="80">
        <f t="shared" si="79"/>
        <v>3.2831142336903707E-2</v>
      </c>
      <c r="H136" s="80">
        <f t="shared" si="80"/>
        <v>3.8470679098760709E-2</v>
      </c>
      <c r="I136" s="80">
        <f t="shared" si="81"/>
        <v>4.253174846762043E-2</v>
      </c>
      <c r="J136" s="62">
        <f t="shared" si="82"/>
        <v>4.5955432715374944E-2</v>
      </c>
      <c r="K136" s="80" t="str">
        <f t="shared" si="83"/>
        <v/>
      </c>
      <c r="L136" s="80">
        <f t="shared" si="84"/>
        <v>4.4882077369037109E-3</v>
      </c>
      <c r="M136" s="80">
        <f t="shared" si="85"/>
        <v>9.4673865987607072E-3</v>
      </c>
      <c r="N136" s="80">
        <f t="shared" si="86"/>
        <v>1.2643563467620429E-2</v>
      </c>
      <c r="O136" s="62">
        <f t="shared" si="87"/>
        <v>1.4738242615374948E-2</v>
      </c>
      <c r="P136" s="56" t="s">
        <v>464</v>
      </c>
      <c r="Q136" s="66" t="s">
        <v>465</v>
      </c>
      <c r="R136" s="100">
        <v>47580</v>
      </c>
      <c r="S136" s="80">
        <v>3.6302769999999998E-2</v>
      </c>
      <c r="T136" s="62">
        <f t="shared" si="77"/>
        <v>2.1679090987607105E-3</v>
      </c>
      <c r="V136" s="118">
        <v>1.1505904300000001</v>
      </c>
      <c r="W136" s="61">
        <v>2.9438703900000003</v>
      </c>
      <c r="X136" s="61">
        <v>4.5555462599999998</v>
      </c>
      <c r="Y136" s="61">
        <v>5.9504941699999998</v>
      </c>
      <c r="Z136" s="119">
        <v>7.7098983100000007</v>
      </c>
      <c r="AB136" s="80">
        <v>2.4786925694202253E-2</v>
      </c>
      <c r="AC136" s="80">
        <v>3.2831142336903707E-2</v>
      </c>
      <c r="AD136" s="80">
        <v>3.8470679098760709E-2</v>
      </c>
      <c r="AE136" s="80">
        <v>4.253174846762043E-2</v>
      </c>
      <c r="AF136" s="62">
        <v>4.5955432715374944E-2</v>
      </c>
      <c r="AG136" s="80" t="s">
        <v>21</v>
      </c>
      <c r="AH136" s="80">
        <v>4.4882077369037109E-3</v>
      </c>
      <c r="AI136" s="80">
        <v>9.4673865987607072E-3</v>
      </c>
      <c r="AJ136" s="80">
        <v>1.2643563467620429E-2</v>
      </c>
      <c r="AK136" s="62">
        <v>1.4738242615374948E-2</v>
      </c>
    </row>
    <row r="137" spans="2:37" x14ac:dyDescent="0.35">
      <c r="B137" s="55" t="s">
        <v>109</v>
      </c>
      <c r="C137" s="53" t="s">
        <v>85</v>
      </c>
      <c r="D137" s="53" t="s">
        <v>20</v>
      </c>
      <c r="E137" s="59" t="s">
        <v>54</v>
      </c>
      <c r="F137" s="60">
        <f t="shared" si="78"/>
        <v>2.7630653121117593E-2</v>
      </c>
      <c r="G137" s="60">
        <f t="shared" si="79"/>
        <v>3.9064240455114689E-2</v>
      </c>
      <c r="H137" s="60">
        <f t="shared" si="80"/>
        <v>4.8872976574811974E-2</v>
      </c>
      <c r="I137" s="60">
        <f t="shared" si="81"/>
        <v>5.5050316467789406E-2</v>
      </c>
      <c r="J137" s="63">
        <f t="shared" si="82"/>
        <v>5.7050639496067777E-2</v>
      </c>
      <c r="K137" s="60">
        <f t="shared" si="83"/>
        <v>2.1373682111759055E-4</v>
      </c>
      <c r="L137" s="60">
        <f t="shared" si="84"/>
        <v>1.0480954455114686E-2</v>
      </c>
      <c r="M137" s="60">
        <f t="shared" si="85"/>
        <v>1.9393244674811974E-2</v>
      </c>
      <c r="N137" s="60">
        <f t="shared" si="86"/>
        <v>2.4533155967789416E-2</v>
      </c>
      <c r="O137" s="63">
        <f t="shared" si="87"/>
        <v>2.5339916796067785E-2</v>
      </c>
      <c r="P137" s="55" t="s">
        <v>466</v>
      </c>
      <c r="Q137" s="53" t="s">
        <v>467</v>
      </c>
      <c r="R137" s="94">
        <v>47618</v>
      </c>
      <c r="S137" s="71">
        <v>3.9451050000000001E-2</v>
      </c>
      <c r="T137" s="63">
        <f t="shared" si="77"/>
        <v>9.4219265748119729E-3</v>
      </c>
      <c r="V137" s="114">
        <v>1.1443626199999999</v>
      </c>
      <c r="W137" s="72">
        <v>2.8944059800000002</v>
      </c>
      <c r="X137" s="72">
        <v>4.3847028200000002</v>
      </c>
      <c r="Y137" s="72">
        <v>5.5904649600000003</v>
      </c>
      <c r="Z137" s="115">
        <v>7.0691181500000004</v>
      </c>
      <c r="AB137" s="71">
        <v>2.7630653121117593E-2</v>
      </c>
      <c r="AC137" s="71">
        <v>3.9064240455114689E-2</v>
      </c>
      <c r="AD137" s="71">
        <v>4.8872976574811974E-2</v>
      </c>
      <c r="AE137" s="71">
        <v>5.5050316467789406E-2</v>
      </c>
      <c r="AF137" s="63">
        <v>5.7050639496067777E-2</v>
      </c>
      <c r="AG137" s="71">
        <v>2.1373682111759055E-4</v>
      </c>
      <c r="AH137" s="71">
        <v>1.0480954455114686E-2</v>
      </c>
      <c r="AI137" s="71">
        <v>1.9393244674811974E-2</v>
      </c>
      <c r="AJ137" s="71">
        <v>2.4533155967789416E-2</v>
      </c>
      <c r="AK137" s="63">
        <v>2.5339916796067785E-2</v>
      </c>
    </row>
    <row r="138" spans="2:37" x14ac:dyDescent="0.35">
      <c r="B138" s="57" t="s">
        <v>111</v>
      </c>
      <c r="C138" s="67" t="s">
        <v>85</v>
      </c>
      <c r="D138" s="67" t="s">
        <v>20</v>
      </c>
      <c r="E138" s="54" t="s">
        <v>112</v>
      </c>
      <c r="F138" s="76">
        <f t="shared" si="78"/>
        <v>2.584519360906045E-2</v>
      </c>
      <c r="G138" s="76">
        <f t="shared" si="79"/>
        <v>3.5062215411835254E-2</v>
      </c>
      <c r="H138" s="76">
        <f t="shared" si="80"/>
        <v>4.1539185051702648E-2</v>
      </c>
      <c r="I138" s="76">
        <f t="shared" si="81"/>
        <v>4.5022241264034937E-2</v>
      </c>
      <c r="J138" s="64">
        <f t="shared" si="82"/>
        <v>4.8444661773440797E-2</v>
      </c>
      <c r="K138" s="76" t="str">
        <f t="shared" si="83"/>
        <v/>
      </c>
      <c r="L138" s="76">
        <f t="shared" si="84"/>
        <v>6.6361420118352457E-3</v>
      </c>
      <c r="M138" s="76">
        <f t="shared" si="85"/>
        <v>1.2413696851702648E-2</v>
      </c>
      <c r="N138" s="76">
        <f t="shared" si="86"/>
        <v>1.5028377964034939E-2</v>
      </c>
      <c r="O138" s="64">
        <f t="shared" si="87"/>
        <v>1.7132344073440796E-2</v>
      </c>
      <c r="P138" s="57" t="s">
        <v>21</v>
      </c>
      <c r="Q138" s="67" t="s">
        <v>21</v>
      </c>
      <c r="R138" s="96" t="s">
        <v>21</v>
      </c>
      <c r="S138" s="76" t="s">
        <v>21</v>
      </c>
      <c r="T138" s="64" t="str">
        <f t="shared" si="77"/>
        <v/>
      </c>
      <c r="V138" s="116">
        <v>1.1485798300000001</v>
      </c>
      <c r="W138" s="108">
        <v>2.9260559900000001</v>
      </c>
      <c r="X138" s="108">
        <v>4.5017898799999996</v>
      </c>
      <c r="Y138" s="108">
        <v>5.8565280699999995</v>
      </c>
      <c r="Z138" s="117">
        <v>7.5451473599999996</v>
      </c>
      <c r="AB138" s="76">
        <v>2.584519360906045E-2</v>
      </c>
      <c r="AC138" s="76">
        <v>3.5062215411835254E-2</v>
      </c>
      <c r="AD138" s="76">
        <v>4.1539185051702648E-2</v>
      </c>
      <c r="AE138" s="76">
        <v>4.5022241264034937E-2</v>
      </c>
      <c r="AF138" s="64">
        <v>4.8444661773440797E-2</v>
      </c>
      <c r="AG138" s="76" t="s">
        <v>21</v>
      </c>
      <c r="AH138" s="76">
        <v>6.6361420118352457E-3</v>
      </c>
      <c r="AI138" s="76">
        <v>1.2413696851702648E-2</v>
      </c>
      <c r="AJ138" s="76">
        <v>1.5028377964034939E-2</v>
      </c>
      <c r="AK138" s="64">
        <v>1.7132344073440796E-2</v>
      </c>
    </row>
    <row r="139" spans="2:37" x14ac:dyDescent="0.35">
      <c r="B139" s="53"/>
      <c r="C139" s="53"/>
      <c r="D139" s="53"/>
      <c r="E139" s="53"/>
      <c r="P139" s="128"/>
      <c r="Q139" s="128"/>
      <c r="R139" s="44"/>
      <c r="S139" s="128"/>
      <c r="T139" s="128"/>
      <c r="V139" s="72"/>
      <c r="W139" s="72"/>
      <c r="X139" s="72"/>
      <c r="Y139" s="72"/>
      <c r="Z139" s="72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</row>
    <row r="140" spans="2:37" ht="15.5" x14ac:dyDescent="0.35">
      <c r="B140" s="122" t="s">
        <v>113</v>
      </c>
      <c r="C140" s="53"/>
      <c r="D140" s="53"/>
      <c r="E140" s="53"/>
      <c r="P140" s="53"/>
      <c r="Q140" s="53"/>
      <c r="R140" s="94"/>
      <c r="S140" s="71"/>
      <c r="T140" s="71"/>
      <c r="V140" s="72"/>
      <c r="W140" s="72"/>
      <c r="X140" s="72"/>
      <c r="Y140" s="72"/>
      <c r="Z140" s="72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</row>
    <row r="141" spans="2:37" x14ac:dyDescent="0.35">
      <c r="B141" s="85" t="s">
        <v>5</v>
      </c>
      <c r="C141" s="84" t="s">
        <v>6</v>
      </c>
      <c r="D141" s="84" t="s">
        <v>7</v>
      </c>
      <c r="E141" s="84" t="s">
        <v>8</v>
      </c>
      <c r="F141" s="6" t="s">
        <v>9</v>
      </c>
      <c r="G141" s="7" t="s">
        <v>10</v>
      </c>
      <c r="H141" s="7" t="s">
        <v>11</v>
      </c>
      <c r="I141" s="7" t="s">
        <v>12</v>
      </c>
      <c r="J141" s="8" t="s">
        <v>13</v>
      </c>
      <c r="K141" s="6" t="s">
        <v>9</v>
      </c>
      <c r="L141" s="7" t="s">
        <v>10</v>
      </c>
      <c r="M141" s="7" t="s">
        <v>11</v>
      </c>
      <c r="N141" s="7" t="s">
        <v>12</v>
      </c>
      <c r="O141" s="8" t="s">
        <v>13</v>
      </c>
      <c r="P141" s="70" t="s">
        <v>14</v>
      </c>
      <c r="Q141" s="58" t="s">
        <v>15</v>
      </c>
      <c r="R141" s="58" t="s">
        <v>16</v>
      </c>
      <c r="S141" s="58" t="s">
        <v>17</v>
      </c>
      <c r="T141" s="58" t="s">
        <v>18</v>
      </c>
      <c r="V141" s="110" t="s">
        <v>9</v>
      </c>
      <c r="W141" s="106" t="s">
        <v>10</v>
      </c>
      <c r="X141" s="106" t="s">
        <v>11</v>
      </c>
      <c r="Y141" s="106" t="s">
        <v>12</v>
      </c>
      <c r="Z141" s="111" t="s">
        <v>13</v>
      </c>
      <c r="AB141" s="83" t="s">
        <v>9</v>
      </c>
      <c r="AC141" s="82" t="s">
        <v>10</v>
      </c>
      <c r="AD141" s="82" t="s">
        <v>11</v>
      </c>
      <c r="AE141" s="82" t="s">
        <v>12</v>
      </c>
      <c r="AF141" s="81" t="s">
        <v>13</v>
      </c>
      <c r="AG141" s="83" t="s">
        <v>9</v>
      </c>
      <c r="AH141" s="82" t="s">
        <v>10</v>
      </c>
      <c r="AI141" s="82" t="s">
        <v>11</v>
      </c>
      <c r="AJ141" s="82" t="s">
        <v>12</v>
      </c>
      <c r="AK141" s="81" t="s">
        <v>13</v>
      </c>
    </row>
    <row r="142" spans="2:37" x14ac:dyDescent="0.35">
      <c r="B142" s="79" t="s">
        <v>114</v>
      </c>
      <c r="C142" s="9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7"/>
      <c r="P142" s="79"/>
      <c r="Q142" s="78"/>
      <c r="R142" s="95"/>
      <c r="S142" s="78"/>
      <c r="T142" s="77"/>
      <c r="V142" s="112"/>
      <c r="W142" s="107"/>
      <c r="X142" s="107"/>
      <c r="Y142" s="107"/>
      <c r="Z142" s="113"/>
      <c r="AB142" s="78"/>
      <c r="AC142" s="78"/>
      <c r="AD142" s="78"/>
      <c r="AE142" s="78"/>
      <c r="AF142" s="78"/>
      <c r="AG142" s="78"/>
      <c r="AH142" s="78"/>
      <c r="AI142" s="78"/>
      <c r="AJ142" s="78"/>
      <c r="AK142" s="77"/>
    </row>
    <row r="143" spans="2:37" x14ac:dyDescent="0.35">
      <c r="B143" s="56" t="s">
        <v>319</v>
      </c>
      <c r="C143" s="66" t="s">
        <v>234</v>
      </c>
      <c r="D143" s="66" t="s">
        <v>20</v>
      </c>
      <c r="E143" s="66" t="s">
        <v>21</v>
      </c>
      <c r="F143" s="75">
        <f t="shared" ref="F143:F173" si="88">IF(ISNUMBER(AB143),AB143-((C$4-C$3)/V143),"")</f>
        <v>2.7274203424689114E-2</v>
      </c>
      <c r="G143" s="80">
        <f t="shared" ref="G143:G173" si="89">IF(ISNUMBER(AC143),AC143-((D$4-D$3)/W143),"")</f>
        <v>4.1192657147696488E-2</v>
      </c>
      <c r="H143" s="80">
        <f t="shared" ref="H143:H173" si="90">IF(ISNUMBER(AD143),AD143-((E$4-E$3)/X143),"")</f>
        <v>5.6332070453569118E-2</v>
      </c>
      <c r="I143" s="80">
        <f t="shared" ref="I143:I173" si="91">IF(ISNUMBER(AE143),AE143-((F$4-F$3)/Y143),"")</f>
        <v>6.2736293582123501E-2</v>
      </c>
      <c r="J143" s="62">
        <f t="shared" ref="J143:J173" si="92">IF(ISNUMBER(AF143),AF143-((G$4-G$3)/Z143),"")</f>
        <v>6.767606406834524E-2</v>
      </c>
      <c r="K143" s="80" t="str">
        <f t="shared" ref="K143:K173" si="93">IF(ISNUMBER(AG143),IF(AG143-((C$4-C$3)/V143)&lt;0,"",AG143-((C$4-C$3)/V143)),"")</f>
        <v/>
      </c>
      <c r="L143" s="80">
        <f t="shared" ref="L143:L173" si="94">IF(ISNUMBER(AH143),IF(AH143-((D$4-D$3)/W143)&lt;0,"",AH143-((D$4-D$3)/W143)),"")</f>
        <v>1.2497535147696493E-2</v>
      </c>
      <c r="M143" s="80">
        <f t="shared" ref="M143:M173" si="95">IF(ISNUMBER(AI143),IF(AI143-((E$4-E$3)/X143)&lt;0,"",AI143-((E$4-E$3)/X143)),"")</f>
        <v>2.63984382535691E-2</v>
      </c>
      <c r="N143" s="80">
        <f t="shared" ref="N143:N173" si="96">IF(ISNUMBER(AJ143),IF(AJ143-((F$4-F$3)/Y143)&lt;0,"",AJ143-((F$4-F$3)/Y143)),"")</f>
        <v>3.1718217982123501E-2</v>
      </c>
      <c r="O143" s="62">
        <f t="shared" ref="O143:O173" si="97">IF(ISNUMBER(AK143),IF(AK143-((G$4-G$3)/Z143)&lt;0,"",AK143-((G$4-G$3)/Z143)),"")</f>
        <v>3.5313960768345212E-2</v>
      </c>
      <c r="P143" s="56" t="s">
        <v>21</v>
      </c>
      <c r="Q143" s="66" t="s">
        <v>21</v>
      </c>
      <c r="R143" s="100" t="s">
        <v>21</v>
      </c>
      <c r="S143" s="80" t="s">
        <v>21</v>
      </c>
      <c r="T143" s="62" t="str">
        <f t="shared" ref="T143:T276" si="98">IF(S143="","",H143-S143)</f>
        <v/>
      </c>
      <c r="V143" s="114">
        <v>1.1455302999999999</v>
      </c>
      <c r="W143" s="72">
        <v>2.8823068599999999</v>
      </c>
      <c r="X143" s="72">
        <v>4.2953784299999995</v>
      </c>
      <c r="Y143" s="72">
        <v>5.3891586499999997</v>
      </c>
      <c r="Z143" s="115">
        <v>6.6188211299999997</v>
      </c>
      <c r="AB143" s="75">
        <v>2.7274203424689114E-2</v>
      </c>
      <c r="AC143" s="80">
        <v>4.1192657147696488E-2</v>
      </c>
      <c r="AD143" s="80">
        <v>5.6332070453569118E-2</v>
      </c>
      <c r="AE143" s="80">
        <v>6.2736293582123501E-2</v>
      </c>
      <c r="AF143" s="62">
        <v>6.767606406834524E-2</v>
      </c>
      <c r="AG143" s="80" t="s">
        <v>21</v>
      </c>
      <c r="AH143" s="80">
        <v>1.2497535147696493E-2</v>
      </c>
      <c r="AI143" s="80">
        <v>2.63984382535691E-2</v>
      </c>
      <c r="AJ143" s="80">
        <v>3.1718217982123501E-2</v>
      </c>
      <c r="AK143" s="62">
        <v>3.5313960768345212E-2</v>
      </c>
    </row>
    <row r="144" spans="2:37" x14ac:dyDescent="0.35">
      <c r="B144" s="55" t="s">
        <v>177</v>
      </c>
      <c r="C144" s="53" t="s">
        <v>234</v>
      </c>
      <c r="D144" s="53" t="s">
        <v>43</v>
      </c>
      <c r="E144" s="53" t="s">
        <v>21</v>
      </c>
      <c r="F144" s="73">
        <f t="shared" si="88"/>
        <v>2.7415444743133562E-2</v>
      </c>
      <c r="G144" s="60">
        <f t="shared" si="89"/>
        <v>4.2395020484212183E-2</v>
      </c>
      <c r="H144" s="60">
        <f t="shared" si="90"/>
        <v>5.5066904713040363E-2</v>
      </c>
      <c r="I144" s="60">
        <f t="shared" si="91"/>
        <v>6.3433748580936186E-2</v>
      </c>
      <c r="J144" s="63">
        <f t="shared" si="92"/>
        <v>6.7592243262003207E-2</v>
      </c>
      <c r="K144" s="60">
        <f t="shared" si="93"/>
        <v>1.4767443133565164E-5</v>
      </c>
      <c r="L144" s="60">
        <f t="shared" si="94"/>
        <v>1.3667594784212186E-2</v>
      </c>
      <c r="M144" s="60">
        <f t="shared" si="95"/>
        <v>2.5248001913040365E-2</v>
      </c>
      <c r="N144" s="60">
        <f t="shared" si="96"/>
        <v>3.2397654380936176E-2</v>
      </c>
      <c r="O144" s="63">
        <f t="shared" si="97"/>
        <v>3.527278666200321E-2</v>
      </c>
      <c r="P144" s="55" t="s">
        <v>21</v>
      </c>
      <c r="Q144" s="53" t="s">
        <v>21</v>
      </c>
      <c r="R144" s="94" t="s">
        <v>21</v>
      </c>
      <c r="S144" s="71" t="s">
        <v>21</v>
      </c>
      <c r="T144" s="63" t="str">
        <f t="shared" si="98"/>
        <v/>
      </c>
      <c r="V144" s="114">
        <v>1.1463524600000001</v>
      </c>
      <c r="W144" s="72">
        <v>2.8772161199999999</v>
      </c>
      <c r="X144" s="72">
        <v>4.3054355199999996</v>
      </c>
      <c r="Y144" s="72">
        <v>5.4046761800000001</v>
      </c>
      <c r="Z144" s="115">
        <v>6.6444284399999995</v>
      </c>
      <c r="AB144" s="73">
        <v>2.7415444743133562E-2</v>
      </c>
      <c r="AC144" s="71">
        <v>4.2395020484212183E-2</v>
      </c>
      <c r="AD144" s="71">
        <v>5.5066904713040363E-2</v>
      </c>
      <c r="AE144" s="71">
        <v>6.3433748580936186E-2</v>
      </c>
      <c r="AF144" s="63">
        <v>6.7592243262003207E-2</v>
      </c>
      <c r="AG144" s="71">
        <v>1.4767443133565164E-5</v>
      </c>
      <c r="AH144" s="71">
        <v>1.3667594784212186E-2</v>
      </c>
      <c r="AI144" s="71">
        <v>2.5248001913040365E-2</v>
      </c>
      <c r="AJ144" s="71">
        <v>3.2397654380936176E-2</v>
      </c>
      <c r="AK144" s="63">
        <v>3.527278666200321E-2</v>
      </c>
    </row>
    <row r="145" spans="2:37" x14ac:dyDescent="0.35">
      <c r="B145" s="55" t="s">
        <v>122</v>
      </c>
      <c r="C145" s="53" t="s">
        <v>234</v>
      </c>
      <c r="D145" s="53" t="s">
        <v>97</v>
      </c>
      <c r="E145" s="53" t="s">
        <v>269</v>
      </c>
      <c r="F145" s="73">
        <f t="shared" si="88"/>
        <v>2.6914853402490561E-2</v>
      </c>
      <c r="G145" s="60">
        <f t="shared" si="89"/>
        <v>4.189859870194395E-2</v>
      </c>
      <c r="H145" s="60">
        <f t="shared" si="90"/>
        <v>5.4242898025610893E-2</v>
      </c>
      <c r="I145" s="60">
        <f t="shared" si="91"/>
        <v>6.2413673310640412E-2</v>
      </c>
      <c r="J145" s="63">
        <f t="shared" si="92"/>
        <v>6.8862032433734122E-2</v>
      </c>
      <c r="K145" s="60" t="str">
        <f t="shared" si="93"/>
        <v/>
      </c>
      <c r="L145" s="60">
        <f t="shared" si="94"/>
        <v>1.3199772701943944E-2</v>
      </c>
      <c r="M145" s="60">
        <f t="shared" si="95"/>
        <v>2.4478819625610892E-2</v>
      </c>
      <c r="N145" s="60">
        <f t="shared" si="96"/>
        <v>3.145302071064042E-2</v>
      </c>
      <c r="O145" s="63">
        <f t="shared" si="97"/>
        <v>3.6452165433734127E-2</v>
      </c>
      <c r="P145" s="55" t="s">
        <v>21</v>
      </c>
      <c r="Q145" s="53" t="s">
        <v>21</v>
      </c>
      <c r="R145" s="94" t="s">
        <v>21</v>
      </c>
      <c r="S145" s="71" t="s">
        <v>21</v>
      </c>
      <c r="T145" s="63" t="str">
        <f t="shared" si="98"/>
        <v/>
      </c>
      <c r="V145" s="114">
        <v>1.1473766200000002</v>
      </c>
      <c r="W145" s="72">
        <v>2.8828363700000001</v>
      </c>
      <c r="X145" s="72">
        <v>4.3198857200000003</v>
      </c>
      <c r="Y145" s="72">
        <v>5.4325367399999998</v>
      </c>
      <c r="Z145" s="115">
        <v>6.6485232199999995</v>
      </c>
      <c r="AB145" s="73">
        <v>2.6914853402490561E-2</v>
      </c>
      <c r="AC145" s="71">
        <v>4.189859870194395E-2</v>
      </c>
      <c r="AD145" s="71">
        <v>5.4242898025610893E-2</v>
      </c>
      <c r="AE145" s="71">
        <v>6.2413673310640412E-2</v>
      </c>
      <c r="AF145" s="63">
        <v>6.8862032433734122E-2</v>
      </c>
      <c r="AG145" s="71" t="s">
        <v>21</v>
      </c>
      <c r="AH145" s="71">
        <v>1.3199772701943944E-2</v>
      </c>
      <c r="AI145" s="71">
        <v>2.4478819625610892E-2</v>
      </c>
      <c r="AJ145" s="71">
        <v>3.145302071064042E-2</v>
      </c>
      <c r="AK145" s="63">
        <v>3.6452165433734127E-2</v>
      </c>
    </row>
    <row r="146" spans="2:37" s="53" customFormat="1" x14ac:dyDescent="0.35">
      <c r="B146" s="55" t="s">
        <v>170</v>
      </c>
      <c r="C146" s="53" t="s">
        <v>234</v>
      </c>
      <c r="D146" s="53" t="s">
        <v>20</v>
      </c>
      <c r="E146" s="53" t="s">
        <v>21</v>
      </c>
      <c r="F146" s="73">
        <f t="shared" ref="F146:F147" si="99">IF(ISNUMBER(AB146),AB146-((C$4-C$3)/V146),"")</f>
        <v>2.9563374803912988E-2</v>
      </c>
      <c r="G146" s="60">
        <f t="shared" ref="G146:G147" si="100">IF(ISNUMBER(AC146),AC146-((D$4-D$3)/W146),"")</f>
        <v>4.1829763492618931E-2</v>
      </c>
      <c r="H146" s="60">
        <f t="shared" ref="H146:H147" si="101">IF(ISNUMBER(AD146),AD146-((E$4-E$3)/X146),"")</f>
        <v>5.2537462848198137E-2</v>
      </c>
      <c r="I146" s="60">
        <f t="shared" ref="I146:I147" si="102">IF(ISNUMBER(AE146),AE146-((F$4-F$3)/Y146),"")</f>
        <v>5.7534560034958895E-2</v>
      </c>
      <c r="J146" s="63">
        <f t="shared" ref="J146:J147" si="103">IF(ISNUMBER(AF146),AF146-((G$4-G$3)/Z146),"")</f>
        <v>6.2394060058929376E-2</v>
      </c>
      <c r="K146" s="60">
        <f t="shared" ref="K146:K147" si="104">IF(ISNUMBER(AG146),IF(AG146-((C$4-C$3)/V146)&lt;0,"",AG146-((C$4-C$3)/V146)),"")</f>
        <v>2.0491659039129934E-3</v>
      </c>
      <c r="L146" s="60">
        <f t="shared" ref="L146:L147" si="105">IF(ISNUMBER(AH146),IF(AH146-((D$4-D$3)/W146)&lt;0,"",AH146-((D$4-D$3)/W146)),"")</f>
        <v>1.3109310892618931E-2</v>
      </c>
      <c r="M146" s="60">
        <f t="shared" ref="M146:M147" si="106">IF(ISNUMBER(AI146),IF(AI146-((E$4-E$3)/X146)&lt;0,"",AI146-((E$4-E$3)/X146)),"")</f>
        <v>2.2844670948198132E-2</v>
      </c>
      <c r="N146" s="60">
        <f t="shared" ref="N146:N147" si="107">IF(ISNUMBER(AJ146),IF(AJ146-((F$4-F$3)/Y146)&lt;0,"",AJ146-((F$4-F$3)/Y146)),"")</f>
        <v>2.6866750034958906E-2</v>
      </c>
      <c r="O146" s="63">
        <f t="shared" ref="O146:O147" si="108">IF(ISNUMBER(AK146),IF(AK146-((G$4-G$3)/Z146)&lt;0,"",AK146-((G$4-G$3)/Z146)),"")</f>
        <v>3.0365536158929375E-2</v>
      </c>
      <c r="P146" s="55" t="s">
        <v>468</v>
      </c>
      <c r="Q146" s="53" t="s">
        <v>469</v>
      </c>
      <c r="R146" s="94">
        <v>47505</v>
      </c>
      <c r="S146" s="71">
        <v>4.6046719999999999E-2</v>
      </c>
      <c r="T146" s="63">
        <f t="shared" ref="T146:T147" si="109">IF(S146="","",H146-S146)</f>
        <v>6.4907428481981375E-3</v>
      </c>
      <c r="V146" s="114">
        <v>1.13943167</v>
      </c>
      <c r="W146" s="72">
        <v>2.86615669</v>
      </c>
      <c r="X146" s="72">
        <v>4.32030023</v>
      </c>
      <c r="Y146" s="72">
        <v>5.48159054</v>
      </c>
      <c r="Z146" s="115">
        <v>6.83600998</v>
      </c>
      <c r="AB146" s="73">
        <v>2.9563374803912988E-2</v>
      </c>
      <c r="AC146" s="71">
        <v>4.1829763492618931E-2</v>
      </c>
      <c r="AD146" s="71">
        <v>5.2537462848198137E-2</v>
      </c>
      <c r="AE146" s="71">
        <v>5.7534560034958895E-2</v>
      </c>
      <c r="AF146" s="63">
        <v>6.2394060058929376E-2</v>
      </c>
      <c r="AG146" s="71">
        <v>2.0491659039129934E-3</v>
      </c>
      <c r="AH146" s="71">
        <v>1.3109310892618931E-2</v>
      </c>
      <c r="AI146" s="71">
        <v>2.2844670948198132E-2</v>
      </c>
      <c r="AJ146" s="71">
        <v>2.6866750034958906E-2</v>
      </c>
      <c r="AK146" s="63">
        <v>3.0365536158929375E-2</v>
      </c>
    </row>
    <row r="147" spans="2:37" s="53" customFormat="1" x14ac:dyDescent="0.35">
      <c r="B147" s="55" t="s">
        <v>153</v>
      </c>
      <c r="C147" s="53" t="s">
        <v>234</v>
      </c>
      <c r="D147" s="53" t="s">
        <v>20</v>
      </c>
      <c r="E147" s="53" t="s">
        <v>123</v>
      </c>
      <c r="F147" s="73">
        <f t="shared" si="99"/>
        <v>2.8847953688823855E-2</v>
      </c>
      <c r="G147" s="60">
        <f t="shared" si="100"/>
        <v>4.3662718875936327E-2</v>
      </c>
      <c r="H147" s="60">
        <f t="shared" si="101"/>
        <v>5.1858304328914168E-2</v>
      </c>
      <c r="I147" s="60">
        <f t="shared" si="102"/>
        <v>5.6893662932731515E-2</v>
      </c>
      <c r="J147" s="63">
        <f t="shared" si="103"/>
        <v>6.0393715218515151E-2</v>
      </c>
      <c r="K147" s="60">
        <f t="shared" si="104"/>
        <v>1.3638278888238545E-3</v>
      </c>
      <c r="L147" s="60">
        <f t="shared" si="105"/>
        <v>1.4843405075936317E-2</v>
      </c>
      <c r="M147" s="60">
        <f t="shared" si="106"/>
        <v>2.220211812891416E-2</v>
      </c>
      <c r="N147" s="60">
        <f t="shared" si="107"/>
        <v>2.6255347732731509E-2</v>
      </c>
      <c r="O147" s="63">
        <f t="shared" si="108"/>
        <v>2.847591901851515E-2</v>
      </c>
      <c r="P147" s="55" t="s">
        <v>470</v>
      </c>
      <c r="Q147" s="53" t="s">
        <v>471</v>
      </c>
      <c r="R147" s="94">
        <v>47484</v>
      </c>
      <c r="S147" s="71">
        <v>4.3067469999999997E-2</v>
      </c>
      <c r="T147" s="63">
        <f t="shared" si="109"/>
        <v>8.790834328914171E-3</v>
      </c>
      <c r="V147" s="114">
        <v>1.1412917899999999</v>
      </c>
      <c r="W147" s="72">
        <v>2.8579528999999999</v>
      </c>
      <c r="X147" s="72">
        <v>4.3121529999999995</v>
      </c>
      <c r="Y147" s="72">
        <v>5.4910821600000004</v>
      </c>
      <c r="Z147" s="115">
        <v>6.8924334099999998</v>
      </c>
      <c r="AB147" s="73">
        <v>2.8847953688823855E-2</v>
      </c>
      <c r="AC147" s="71">
        <v>4.3662718875936327E-2</v>
      </c>
      <c r="AD147" s="71">
        <v>5.1858304328914168E-2</v>
      </c>
      <c r="AE147" s="71">
        <v>5.6893662932731515E-2</v>
      </c>
      <c r="AF147" s="63">
        <v>6.0393715218515151E-2</v>
      </c>
      <c r="AG147" s="71">
        <v>1.3638278888238545E-3</v>
      </c>
      <c r="AH147" s="71">
        <v>1.4843405075936317E-2</v>
      </c>
      <c r="AI147" s="71">
        <v>2.220211812891416E-2</v>
      </c>
      <c r="AJ147" s="71">
        <v>2.6255347732731509E-2</v>
      </c>
      <c r="AK147" s="63">
        <v>2.847591901851515E-2</v>
      </c>
    </row>
    <row r="148" spans="2:37" x14ac:dyDescent="0.35">
      <c r="B148" s="55" t="s">
        <v>176</v>
      </c>
      <c r="C148" s="53" t="s">
        <v>234</v>
      </c>
      <c r="D148" s="53" t="s">
        <v>47</v>
      </c>
      <c r="E148" s="53" t="s">
        <v>21</v>
      </c>
      <c r="F148" s="73">
        <f t="shared" si="88"/>
        <v>2.9799758131007905E-2</v>
      </c>
      <c r="G148" s="60">
        <f t="shared" si="89"/>
        <v>4.0367981534897679E-2</v>
      </c>
      <c r="H148" s="60">
        <f t="shared" si="90"/>
        <v>4.9205850907251936E-2</v>
      </c>
      <c r="I148" s="60">
        <f t="shared" si="91"/>
        <v>5.2599048107511495E-2</v>
      </c>
      <c r="J148" s="63">
        <f t="shared" si="92"/>
        <v>5.5957226894809857E-2</v>
      </c>
      <c r="K148" s="60">
        <f t="shared" si="93"/>
        <v>2.2868991310079139E-3</v>
      </c>
      <c r="L148" s="60">
        <f t="shared" si="94"/>
        <v>1.1737365034897671E-2</v>
      </c>
      <c r="M148" s="60">
        <f t="shared" si="95"/>
        <v>1.9726804407251934E-2</v>
      </c>
      <c r="N148" s="60">
        <f t="shared" si="96"/>
        <v>2.22461174075115E-2</v>
      </c>
      <c r="O148" s="63">
        <f t="shared" si="97"/>
        <v>2.4311901894809852E-2</v>
      </c>
      <c r="P148" s="55" t="s">
        <v>21</v>
      </c>
      <c r="Q148" s="53" t="s">
        <v>21</v>
      </c>
      <c r="R148" s="94" t="s">
        <v>21</v>
      </c>
      <c r="S148" s="71" t="s">
        <v>21</v>
      </c>
      <c r="T148" s="63" t="str">
        <f t="shared" si="98"/>
        <v/>
      </c>
      <c r="V148" s="114">
        <v>1.14022461</v>
      </c>
      <c r="W148" s="72">
        <v>2.88212818</v>
      </c>
      <c r="X148" s="72">
        <v>4.3732209600000003</v>
      </c>
      <c r="Y148" s="72">
        <v>5.6213047199999995</v>
      </c>
      <c r="Z148" s="115">
        <v>7.1398716099999993</v>
      </c>
      <c r="AB148" s="73">
        <v>2.9799758131007905E-2</v>
      </c>
      <c r="AC148" s="71">
        <v>4.0367981534897679E-2</v>
      </c>
      <c r="AD148" s="71">
        <v>4.9205850907251936E-2</v>
      </c>
      <c r="AE148" s="71">
        <v>5.2599048107511495E-2</v>
      </c>
      <c r="AF148" s="63">
        <v>5.5957226894809857E-2</v>
      </c>
      <c r="AG148" s="71">
        <v>2.2868991310079139E-3</v>
      </c>
      <c r="AH148" s="71">
        <v>1.1737365034897671E-2</v>
      </c>
      <c r="AI148" s="71">
        <v>1.9726804407251934E-2</v>
      </c>
      <c r="AJ148" s="71">
        <v>2.22461174075115E-2</v>
      </c>
      <c r="AK148" s="63">
        <v>2.4311901894809852E-2</v>
      </c>
    </row>
    <row r="149" spans="2:37" x14ac:dyDescent="0.35">
      <c r="B149" s="55" t="s">
        <v>325</v>
      </c>
      <c r="C149" s="53" t="s">
        <v>234</v>
      </c>
      <c r="D149" s="53" t="s">
        <v>69</v>
      </c>
      <c r="E149" s="53" t="s">
        <v>116</v>
      </c>
      <c r="F149" s="73">
        <f t="shared" si="88"/>
        <v>2.7269437474449452E-2</v>
      </c>
      <c r="G149" s="60">
        <f t="shared" si="89"/>
        <v>3.842238820947156E-2</v>
      </c>
      <c r="H149" s="60">
        <f t="shared" si="90"/>
        <v>4.893595425512328E-2</v>
      </c>
      <c r="I149" s="60">
        <f t="shared" si="91"/>
        <v>5.4631449460708241E-2</v>
      </c>
      <c r="J149" s="63">
        <f t="shared" si="92"/>
        <v>5.9387438458895304E-2</v>
      </c>
      <c r="K149" s="60" t="str">
        <f t="shared" si="93"/>
        <v/>
      </c>
      <c r="L149" s="60">
        <f t="shared" si="94"/>
        <v>9.8824825094715636E-3</v>
      </c>
      <c r="M149" s="60">
        <f t="shared" si="95"/>
        <v>1.947491895512328E-2</v>
      </c>
      <c r="N149" s="60">
        <f t="shared" si="96"/>
        <v>2.416576146070825E-2</v>
      </c>
      <c r="O149" s="63">
        <f t="shared" si="97"/>
        <v>2.7569681158895291E-2</v>
      </c>
      <c r="P149" s="55" t="s">
        <v>376</v>
      </c>
      <c r="Q149" s="53" t="s">
        <v>377</v>
      </c>
      <c r="R149" s="94" t="s">
        <v>32</v>
      </c>
      <c r="S149" s="71">
        <v>3.9476480000000001E-2</v>
      </c>
      <c r="T149" s="63">
        <f t="shared" si="98"/>
        <v>9.4594742551232791E-3</v>
      </c>
      <c r="V149" s="114">
        <v>1.14668711</v>
      </c>
      <c r="W149" s="72">
        <v>2.9040475999999997</v>
      </c>
      <c r="X149" s="72">
        <v>4.4008321800000001</v>
      </c>
      <c r="Y149" s="72">
        <v>5.6192480500000004</v>
      </c>
      <c r="Z149" s="115">
        <v>7.0464433899999994</v>
      </c>
      <c r="AB149" s="73">
        <v>2.7269437474449452E-2</v>
      </c>
      <c r="AC149" s="71">
        <v>3.842238820947156E-2</v>
      </c>
      <c r="AD149" s="71">
        <v>4.893595425512328E-2</v>
      </c>
      <c r="AE149" s="71">
        <v>5.4631449460708241E-2</v>
      </c>
      <c r="AF149" s="63">
        <v>5.9387438458895304E-2</v>
      </c>
      <c r="AG149" s="71" t="s">
        <v>21</v>
      </c>
      <c r="AH149" s="71">
        <v>9.8824825094715636E-3</v>
      </c>
      <c r="AI149" s="71">
        <v>1.947491895512328E-2</v>
      </c>
      <c r="AJ149" s="71">
        <v>2.416576146070825E-2</v>
      </c>
      <c r="AK149" s="63">
        <v>2.7569681158895291E-2</v>
      </c>
    </row>
    <row r="150" spans="2:37" x14ac:dyDescent="0.35">
      <c r="B150" s="55" t="s">
        <v>173</v>
      </c>
      <c r="C150" s="53" t="s">
        <v>234</v>
      </c>
      <c r="D150" s="53" t="s">
        <v>20</v>
      </c>
      <c r="E150" s="53" t="s">
        <v>290</v>
      </c>
      <c r="F150" s="73">
        <f t="shared" si="88"/>
        <v>2.7850805465490507E-2</v>
      </c>
      <c r="G150" s="60">
        <f t="shared" si="89"/>
        <v>3.8485185087308568E-2</v>
      </c>
      <c r="H150" s="60">
        <f t="shared" si="90"/>
        <v>4.7252697971855266E-2</v>
      </c>
      <c r="I150" s="60">
        <f t="shared" si="91"/>
        <v>5.181382623100788E-2</v>
      </c>
      <c r="J150" s="63">
        <f t="shared" si="92"/>
        <v>5.6318752160950142E-2</v>
      </c>
      <c r="K150" s="60">
        <f t="shared" si="93"/>
        <v>4.0901836549050129E-4</v>
      </c>
      <c r="L150" s="60">
        <f t="shared" si="94"/>
        <v>9.9201065873085713E-3</v>
      </c>
      <c r="M150" s="60">
        <f t="shared" si="95"/>
        <v>1.7856207671855258E-2</v>
      </c>
      <c r="N150" s="60">
        <f t="shared" si="96"/>
        <v>2.1483728531007877E-2</v>
      </c>
      <c r="O150" s="63">
        <f t="shared" si="97"/>
        <v>2.4640140760950145E-2</v>
      </c>
      <c r="P150" s="55" t="s">
        <v>472</v>
      </c>
      <c r="Q150" s="53" t="s">
        <v>473</v>
      </c>
      <c r="R150" s="94">
        <v>47644</v>
      </c>
      <c r="S150" s="71">
        <v>4.0232869999999997E-2</v>
      </c>
      <c r="T150" s="63">
        <f t="shared" si="98"/>
        <v>7.0198279718552692E-3</v>
      </c>
      <c r="V150" s="114">
        <v>1.1438827899999999</v>
      </c>
      <c r="W150" s="72">
        <v>2.8980386</v>
      </c>
      <c r="X150" s="72">
        <v>4.4067175599999997</v>
      </c>
      <c r="Y150" s="72">
        <v>5.6566123699999995</v>
      </c>
      <c r="Z150" s="115">
        <v>7.1498226799999998</v>
      </c>
      <c r="AB150" s="73">
        <v>2.7850805465490507E-2</v>
      </c>
      <c r="AC150" s="71">
        <v>3.8485185087308568E-2</v>
      </c>
      <c r="AD150" s="71">
        <v>4.7252697971855266E-2</v>
      </c>
      <c r="AE150" s="71">
        <v>5.181382623100788E-2</v>
      </c>
      <c r="AF150" s="63">
        <v>5.6318752160950142E-2</v>
      </c>
      <c r="AG150" s="71">
        <v>4.0901836549050129E-4</v>
      </c>
      <c r="AH150" s="71">
        <v>9.9201065873085713E-3</v>
      </c>
      <c r="AI150" s="71">
        <v>1.7856207671855258E-2</v>
      </c>
      <c r="AJ150" s="71">
        <v>2.1483728531007877E-2</v>
      </c>
      <c r="AK150" s="63">
        <v>2.4640140760950145E-2</v>
      </c>
    </row>
    <row r="151" spans="2:37" x14ac:dyDescent="0.35">
      <c r="B151" s="55" t="s">
        <v>130</v>
      </c>
      <c r="C151" s="53" t="s">
        <v>234</v>
      </c>
      <c r="D151" s="53" t="s">
        <v>131</v>
      </c>
      <c r="E151" s="53" t="s">
        <v>21</v>
      </c>
      <c r="F151" s="73">
        <f t="shared" si="88"/>
        <v>2.6878449604538342E-2</v>
      </c>
      <c r="G151" s="60">
        <f t="shared" si="89"/>
        <v>3.7813480572753869E-2</v>
      </c>
      <c r="H151" s="60">
        <f t="shared" si="90"/>
        <v>4.7089135746303606E-2</v>
      </c>
      <c r="I151" s="60">
        <f t="shared" si="91"/>
        <v>5.3244966295713403E-2</v>
      </c>
      <c r="J151" s="63">
        <f t="shared" si="92"/>
        <v>5.7723325502892567E-2</v>
      </c>
      <c r="K151" s="60" t="str">
        <f t="shared" si="93"/>
        <v/>
      </c>
      <c r="L151" s="60">
        <f t="shared" si="94"/>
        <v>9.2976517727538701E-3</v>
      </c>
      <c r="M151" s="60">
        <f t="shared" si="95"/>
        <v>1.7724890846303604E-2</v>
      </c>
      <c r="N151" s="60">
        <f t="shared" si="96"/>
        <v>2.2857487795713394E-2</v>
      </c>
      <c r="O151" s="63">
        <f t="shared" si="97"/>
        <v>2.5999189302892564E-2</v>
      </c>
      <c r="P151" s="55" t="s">
        <v>474</v>
      </c>
      <c r="Q151" s="53" t="s">
        <v>475</v>
      </c>
      <c r="R151" s="94">
        <v>47532</v>
      </c>
      <c r="S151" s="71">
        <v>3.8647859999999999E-2</v>
      </c>
      <c r="T151" s="63">
        <f t="shared" si="98"/>
        <v>8.4412757463036073E-3</v>
      </c>
      <c r="V151" s="114">
        <v>1.1475089399999998</v>
      </c>
      <c r="W151" s="72">
        <v>2.9093655900000002</v>
      </c>
      <c r="X151" s="72">
        <v>4.4263553999999994</v>
      </c>
      <c r="Y151" s="72">
        <v>5.6665965300000005</v>
      </c>
      <c r="Z151" s="115">
        <v>7.1313714400000006</v>
      </c>
      <c r="AB151" s="73">
        <v>2.6878449604538342E-2</v>
      </c>
      <c r="AC151" s="71">
        <v>3.7813480572753869E-2</v>
      </c>
      <c r="AD151" s="71">
        <v>4.7089135746303606E-2</v>
      </c>
      <c r="AE151" s="71">
        <v>5.3244966295713403E-2</v>
      </c>
      <c r="AF151" s="63">
        <v>5.7723325502892567E-2</v>
      </c>
      <c r="AG151" s="71" t="s">
        <v>21</v>
      </c>
      <c r="AH151" s="71">
        <v>9.2976517727538701E-3</v>
      </c>
      <c r="AI151" s="71">
        <v>1.7724890846303604E-2</v>
      </c>
      <c r="AJ151" s="71">
        <v>2.2857487795713394E-2</v>
      </c>
      <c r="AK151" s="63">
        <v>2.5999189302892564E-2</v>
      </c>
    </row>
    <row r="152" spans="2:37" x14ac:dyDescent="0.35">
      <c r="B152" s="55" t="s">
        <v>118</v>
      </c>
      <c r="C152" s="53" t="s">
        <v>234</v>
      </c>
      <c r="D152" s="53" t="s">
        <v>20</v>
      </c>
      <c r="E152" s="53" t="s">
        <v>21</v>
      </c>
      <c r="F152" s="73">
        <f t="shared" si="88"/>
        <v>2.665188053729195E-2</v>
      </c>
      <c r="G152" s="60">
        <f t="shared" si="89"/>
        <v>3.7296911478824003E-2</v>
      </c>
      <c r="H152" s="60">
        <f t="shared" si="90"/>
        <v>4.6310528169144237E-2</v>
      </c>
      <c r="I152" s="60">
        <f t="shared" si="91"/>
        <v>5.1614351879474316E-2</v>
      </c>
      <c r="J152" s="63">
        <f t="shared" si="92"/>
        <v>5.5421296647914293E-2</v>
      </c>
      <c r="K152" s="60" t="str">
        <f t="shared" si="93"/>
        <v/>
      </c>
      <c r="L152" s="60">
        <f t="shared" si="94"/>
        <v>8.7828348788240064E-3</v>
      </c>
      <c r="M152" s="60">
        <f t="shared" si="95"/>
        <v>1.6963617269144235E-2</v>
      </c>
      <c r="N152" s="60">
        <f t="shared" si="96"/>
        <v>2.1294636979474313E-2</v>
      </c>
      <c r="O152" s="63">
        <f t="shared" si="97"/>
        <v>2.3795338047914286E-2</v>
      </c>
      <c r="P152" s="55" t="s">
        <v>476</v>
      </c>
      <c r="Q152" s="53" t="s">
        <v>477</v>
      </c>
      <c r="R152" s="94">
        <v>47557</v>
      </c>
      <c r="S152" s="71">
        <v>3.8473939999999998E-2</v>
      </c>
      <c r="T152" s="63">
        <f t="shared" si="98"/>
        <v>7.8365881691442388E-3</v>
      </c>
      <c r="V152" s="114">
        <v>1.1469526299999999</v>
      </c>
      <c r="W152" s="72">
        <v>2.90856526</v>
      </c>
      <c r="X152" s="72">
        <v>4.4284105499999997</v>
      </c>
      <c r="Y152" s="72">
        <v>5.6883667200000003</v>
      </c>
      <c r="Z152" s="115">
        <v>7.2004389500000006</v>
      </c>
      <c r="AB152" s="73">
        <v>2.665188053729195E-2</v>
      </c>
      <c r="AC152" s="71">
        <v>3.7296911478824003E-2</v>
      </c>
      <c r="AD152" s="71">
        <v>4.6310528169144237E-2</v>
      </c>
      <c r="AE152" s="71">
        <v>5.1614351879474316E-2</v>
      </c>
      <c r="AF152" s="63">
        <v>5.5421296647914293E-2</v>
      </c>
      <c r="AG152" s="71" t="s">
        <v>21</v>
      </c>
      <c r="AH152" s="71">
        <v>8.7828348788240064E-3</v>
      </c>
      <c r="AI152" s="71">
        <v>1.6963617269144235E-2</v>
      </c>
      <c r="AJ152" s="71">
        <v>2.1294636979474313E-2</v>
      </c>
      <c r="AK152" s="63">
        <v>2.3795338047914286E-2</v>
      </c>
    </row>
    <row r="153" spans="2:37" x14ac:dyDescent="0.35">
      <c r="B153" s="55" t="s">
        <v>320</v>
      </c>
      <c r="C153" s="53" t="s">
        <v>234</v>
      </c>
      <c r="D153" s="53" t="s">
        <v>20</v>
      </c>
      <c r="E153" s="53" t="s">
        <v>123</v>
      </c>
      <c r="F153" s="73">
        <f t="shared" si="88"/>
        <v>2.6602486992961617E-2</v>
      </c>
      <c r="G153" s="60">
        <f t="shared" si="89"/>
        <v>3.748463245690406E-2</v>
      </c>
      <c r="H153" s="60">
        <f t="shared" si="90"/>
        <v>4.5431656840105701E-2</v>
      </c>
      <c r="I153" s="60">
        <f t="shared" si="91"/>
        <v>4.9581809922780294E-2</v>
      </c>
      <c r="J153" s="63">
        <f t="shared" si="92"/>
        <v>5.3195224501398297E-2</v>
      </c>
      <c r="K153" s="60" t="str">
        <f t="shared" si="93"/>
        <v/>
      </c>
      <c r="L153" s="60">
        <f t="shared" si="94"/>
        <v>8.9631417569040646E-3</v>
      </c>
      <c r="M153" s="60">
        <f t="shared" si="95"/>
        <v>1.6127155440105696E-2</v>
      </c>
      <c r="N153" s="60">
        <f t="shared" si="96"/>
        <v>1.9368790022780295E-2</v>
      </c>
      <c r="O153" s="63">
        <f t="shared" si="97"/>
        <v>2.1672743501398292E-2</v>
      </c>
      <c r="P153" s="55" t="s">
        <v>21</v>
      </c>
      <c r="Q153" s="53" t="s">
        <v>21</v>
      </c>
      <c r="R153" s="94" t="s">
        <v>21</v>
      </c>
      <c r="S153" s="71" t="s">
        <v>21</v>
      </c>
      <c r="T153" s="63" t="str">
        <f t="shared" si="98"/>
        <v/>
      </c>
      <c r="V153" s="114">
        <v>1.1470406900000001</v>
      </c>
      <c r="W153" s="72">
        <v>2.90614025</v>
      </c>
      <c r="X153" s="72">
        <v>4.4353457399999998</v>
      </c>
      <c r="Y153" s="72">
        <v>5.71968823</v>
      </c>
      <c r="Z153" s="115">
        <v>7.2880319599999996</v>
      </c>
      <c r="AB153" s="73">
        <v>2.6602486992961617E-2</v>
      </c>
      <c r="AC153" s="71">
        <v>3.748463245690406E-2</v>
      </c>
      <c r="AD153" s="71">
        <v>4.5431656840105701E-2</v>
      </c>
      <c r="AE153" s="71">
        <v>4.9581809922780294E-2</v>
      </c>
      <c r="AF153" s="63">
        <v>5.3195224501398297E-2</v>
      </c>
      <c r="AG153" s="71" t="s">
        <v>21</v>
      </c>
      <c r="AH153" s="71">
        <v>8.9631417569040646E-3</v>
      </c>
      <c r="AI153" s="71">
        <v>1.6127155440105696E-2</v>
      </c>
      <c r="AJ153" s="71">
        <v>1.9368790022780295E-2</v>
      </c>
      <c r="AK153" s="63">
        <v>2.1672743501398292E-2</v>
      </c>
    </row>
    <row r="154" spans="2:37" x14ac:dyDescent="0.35">
      <c r="B154" s="55" t="s">
        <v>334</v>
      </c>
      <c r="C154" s="53" t="s">
        <v>234</v>
      </c>
      <c r="D154" s="53" t="s">
        <v>20</v>
      </c>
      <c r="E154" s="53" t="s">
        <v>318</v>
      </c>
      <c r="F154" s="73">
        <f t="shared" si="88"/>
        <v>2.5900701856199342E-2</v>
      </c>
      <c r="G154" s="60">
        <f t="shared" si="89"/>
        <v>3.5797485611630625E-2</v>
      </c>
      <c r="H154" s="60">
        <f t="shared" si="90"/>
        <v>4.511258357421255E-2</v>
      </c>
      <c r="I154" s="60">
        <f t="shared" si="91"/>
        <v>4.9393140618203296E-2</v>
      </c>
      <c r="J154" s="63">
        <f t="shared" si="92"/>
        <v>5.3705238980637303E-2</v>
      </c>
      <c r="K154" s="60" t="str">
        <f t="shared" si="93"/>
        <v/>
      </c>
      <c r="L154" s="60">
        <f t="shared" si="94"/>
        <v>7.3420651116306301E-3</v>
      </c>
      <c r="M154" s="60">
        <f t="shared" si="95"/>
        <v>1.5821990874212544E-2</v>
      </c>
      <c r="N154" s="60">
        <f t="shared" si="96"/>
        <v>1.9191916318203297E-2</v>
      </c>
      <c r="O154" s="63">
        <f t="shared" si="97"/>
        <v>2.2160335980637297E-2</v>
      </c>
      <c r="P154" s="55" t="s">
        <v>21</v>
      </c>
      <c r="Q154" s="53" t="s">
        <v>21</v>
      </c>
      <c r="R154" s="94" t="s">
        <v>21</v>
      </c>
      <c r="S154" s="71" t="s">
        <v>21</v>
      </c>
      <c r="T154" s="63" t="str">
        <f t="shared" si="98"/>
        <v/>
      </c>
      <c r="V154" s="114">
        <v>1.1485346999999999</v>
      </c>
      <c r="W154" s="72">
        <v>2.9195630800000001</v>
      </c>
      <c r="X154" s="72">
        <v>4.4556860599999997</v>
      </c>
      <c r="Y154" s="72">
        <v>5.7379108499999996</v>
      </c>
      <c r="Z154" s="115">
        <v>7.2932667699999998</v>
      </c>
      <c r="AB154" s="73">
        <v>2.5900701856199342E-2</v>
      </c>
      <c r="AC154" s="71">
        <v>3.5797485611630625E-2</v>
      </c>
      <c r="AD154" s="71">
        <v>4.511258357421255E-2</v>
      </c>
      <c r="AE154" s="71">
        <v>4.9393140618203296E-2</v>
      </c>
      <c r="AF154" s="63">
        <v>5.3705238980637303E-2</v>
      </c>
      <c r="AG154" s="71" t="s">
        <v>21</v>
      </c>
      <c r="AH154" s="71">
        <v>7.3420651116306301E-3</v>
      </c>
      <c r="AI154" s="71">
        <v>1.5821990874212544E-2</v>
      </c>
      <c r="AJ154" s="71">
        <v>1.9191916318203297E-2</v>
      </c>
      <c r="AK154" s="63">
        <v>2.2160335980637297E-2</v>
      </c>
    </row>
    <row r="155" spans="2:37" x14ac:dyDescent="0.35">
      <c r="B155" s="55" t="s">
        <v>119</v>
      </c>
      <c r="C155" s="53" t="s">
        <v>234</v>
      </c>
      <c r="D155" s="53" t="s">
        <v>120</v>
      </c>
      <c r="E155" s="53" t="s">
        <v>21</v>
      </c>
      <c r="F155" s="73">
        <f t="shared" si="88"/>
        <v>2.5582077527282865E-2</v>
      </c>
      <c r="G155" s="60">
        <f t="shared" si="89"/>
        <v>3.625983962800982E-2</v>
      </c>
      <c r="H155" s="60">
        <f t="shared" si="90"/>
        <v>4.4991456816743776E-2</v>
      </c>
      <c r="I155" s="60">
        <f t="shared" si="91"/>
        <v>5.0656706581520557E-2</v>
      </c>
      <c r="J155" s="63">
        <f t="shared" si="92"/>
        <v>5.6672879094564178E-2</v>
      </c>
      <c r="K155" s="60" t="str">
        <f t="shared" si="93"/>
        <v/>
      </c>
      <c r="L155" s="60">
        <f t="shared" si="94"/>
        <v>7.8086964280098189E-3</v>
      </c>
      <c r="M155" s="60">
        <f t="shared" si="95"/>
        <v>1.5735557216743776E-2</v>
      </c>
      <c r="N155" s="60">
        <f t="shared" si="96"/>
        <v>2.0417964181520563E-2</v>
      </c>
      <c r="O155" s="63">
        <f t="shared" si="97"/>
        <v>2.5007416994564182E-2</v>
      </c>
      <c r="P155" s="55" t="s">
        <v>21</v>
      </c>
      <c r="Q155" s="53" t="s">
        <v>21</v>
      </c>
      <c r="R155" s="94" t="s">
        <v>21</v>
      </c>
      <c r="S155" s="71" t="s">
        <v>21</v>
      </c>
      <c r="T155" s="63" t="str">
        <f t="shared" si="98"/>
        <v/>
      </c>
      <c r="V155" s="114">
        <v>1.15003546</v>
      </c>
      <c r="W155" s="72">
        <v>2.9248340900000001</v>
      </c>
      <c r="X155" s="72">
        <v>4.4668663799999999</v>
      </c>
      <c r="Y155" s="72">
        <v>5.7459365700000005</v>
      </c>
      <c r="Z155" s="115">
        <v>7.2433579600000009</v>
      </c>
      <c r="AB155" s="73">
        <v>2.5582077527282865E-2</v>
      </c>
      <c r="AC155" s="71">
        <v>3.625983962800982E-2</v>
      </c>
      <c r="AD155" s="71">
        <v>4.4991456816743776E-2</v>
      </c>
      <c r="AE155" s="71">
        <v>5.0656706581520557E-2</v>
      </c>
      <c r="AF155" s="63">
        <v>5.6672879094564178E-2</v>
      </c>
      <c r="AG155" s="71" t="s">
        <v>21</v>
      </c>
      <c r="AH155" s="71">
        <v>7.8086964280098189E-3</v>
      </c>
      <c r="AI155" s="71">
        <v>1.5735557216743776E-2</v>
      </c>
      <c r="AJ155" s="71">
        <v>2.0417964181520563E-2</v>
      </c>
      <c r="AK155" s="63">
        <v>2.5007416994564182E-2</v>
      </c>
    </row>
    <row r="156" spans="2:37" x14ac:dyDescent="0.35">
      <c r="B156" s="55" t="s">
        <v>321</v>
      </c>
      <c r="C156" s="53" t="s">
        <v>234</v>
      </c>
      <c r="D156" s="53" t="s">
        <v>97</v>
      </c>
      <c r="E156" s="53" t="s">
        <v>21</v>
      </c>
      <c r="F156" s="73">
        <f t="shared" si="88"/>
        <v>2.6110148452057787E-2</v>
      </c>
      <c r="G156" s="60">
        <f t="shared" si="89"/>
        <v>3.6140356705286134E-2</v>
      </c>
      <c r="H156" s="60">
        <f t="shared" si="90"/>
        <v>4.4759380286291631E-2</v>
      </c>
      <c r="I156" s="60">
        <f t="shared" si="91"/>
        <v>4.9998586564608906E-2</v>
      </c>
      <c r="J156" s="63">
        <f t="shared" si="92"/>
        <v>5.5933268931533622E-2</v>
      </c>
      <c r="K156" s="60" t="str">
        <f t="shared" si="93"/>
        <v/>
      </c>
      <c r="L156" s="60">
        <f t="shared" si="94"/>
        <v>7.6944764052861341E-3</v>
      </c>
      <c r="M156" s="60">
        <f t="shared" si="95"/>
        <v>1.5514560486291629E-2</v>
      </c>
      <c r="N156" s="60">
        <f t="shared" si="96"/>
        <v>1.9793882164608909E-2</v>
      </c>
      <c r="O156" s="63">
        <f t="shared" si="97"/>
        <v>2.4303831731533616E-2</v>
      </c>
      <c r="P156" s="55" t="s">
        <v>21</v>
      </c>
      <c r="Q156" s="53" t="s">
        <v>21</v>
      </c>
      <c r="R156" s="94" t="s">
        <v>21</v>
      </c>
      <c r="S156" s="71" t="s">
        <v>21</v>
      </c>
      <c r="T156" s="63" t="str">
        <f t="shared" si="98"/>
        <v/>
      </c>
      <c r="V156" s="114">
        <v>1.1489814300000001</v>
      </c>
      <c r="W156" s="72">
        <v>2.92271159</v>
      </c>
      <c r="X156" s="72">
        <v>4.4676361499999997</v>
      </c>
      <c r="Y156" s="72">
        <v>5.75630752</v>
      </c>
      <c r="Z156" s="115">
        <v>7.2736017999999998</v>
      </c>
      <c r="AB156" s="73">
        <v>2.6110148452057787E-2</v>
      </c>
      <c r="AC156" s="71">
        <v>3.6140356705286134E-2</v>
      </c>
      <c r="AD156" s="71">
        <v>4.4759380286291631E-2</v>
      </c>
      <c r="AE156" s="71">
        <v>4.9998586564608906E-2</v>
      </c>
      <c r="AF156" s="63">
        <v>5.5933268931533622E-2</v>
      </c>
      <c r="AG156" s="71" t="s">
        <v>21</v>
      </c>
      <c r="AH156" s="71">
        <v>7.6944764052861341E-3</v>
      </c>
      <c r="AI156" s="71">
        <v>1.5514560486291629E-2</v>
      </c>
      <c r="AJ156" s="71">
        <v>1.9793882164608909E-2</v>
      </c>
      <c r="AK156" s="63">
        <v>2.4303831731533616E-2</v>
      </c>
    </row>
    <row r="157" spans="2:37" x14ac:dyDescent="0.35">
      <c r="B157" s="55" t="s">
        <v>115</v>
      </c>
      <c r="C157" s="53" t="s">
        <v>234</v>
      </c>
      <c r="D157" s="53" t="s">
        <v>31</v>
      </c>
      <c r="E157" s="53" t="s">
        <v>36</v>
      </c>
      <c r="F157" s="73">
        <f t="shared" si="88"/>
        <v>2.6111921404865249E-2</v>
      </c>
      <c r="G157" s="60">
        <f t="shared" si="89"/>
        <v>3.5673925734101074E-2</v>
      </c>
      <c r="H157" s="60">
        <f t="shared" si="90"/>
        <v>4.4502714958351577E-2</v>
      </c>
      <c r="I157" s="60">
        <f t="shared" si="91"/>
        <v>4.9746153054294598E-2</v>
      </c>
      <c r="J157" s="63">
        <f t="shared" si="92"/>
        <v>5.5057697057354443E-2</v>
      </c>
      <c r="K157" s="60" t="str">
        <f t="shared" si="93"/>
        <v/>
      </c>
      <c r="L157" s="60">
        <f t="shared" si="94"/>
        <v>7.2464666341010816E-3</v>
      </c>
      <c r="M157" s="60">
        <f t="shared" si="95"/>
        <v>1.5268663858351577E-2</v>
      </c>
      <c r="N157" s="60">
        <f t="shared" si="96"/>
        <v>1.9551934354294597E-2</v>
      </c>
      <c r="O157" s="63">
        <f t="shared" si="97"/>
        <v>2.3471474357354437E-2</v>
      </c>
      <c r="P157" s="55" t="s">
        <v>478</v>
      </c>
      <c r="Q157" s="53" t="s">
        <v>479</v>
      </c>
      <c r="R157" s="94">
        <v>47492</v>
      </c>
      <c r="S157" s="71">
        <v>3.6364460000000001E-2</v>
      </c>
      <c r="T157" s="63">
        <f t="shared" si="98"/>
        <v>8.1382549583515762E-3</v>
      </c>
      <c r="V157" s="114">
        <v>1.1489654499999999</v>
      </c>
      <c r="W157" s="72">
        <v>2.9258776100000001</v>
      </c>
      <c r="X157" s="72">
        <v>4.4738751299999997</v>
      </c>
      <c r="Y157" s="72">
        <v>5.7649378799999997</v>
      </c>
      <c r="Z157" s="115">
        <v>7.2988461600000001</v>
      </c>
      <c r="AB157" s="73">
        <v>2.6111921404865249E-2</v>
      </c>
      <c r="AC157" s="71">
        <v>3.5673925734101074E-2</v>
      </c>
      <c r="AD157" s="71">
        <v>4.4502714958351577E-2</v>
      </c>
      <c r="AE157" s="71">
        <v>4.9746153054294598E-2</v>
      </c>
      <c r="AF157" s="63">
        <v>5.5057697057354443E-2</v>
      </c>
      <c r="AG157" s="71" t="s">
        <v>21</v>
      </c>
      <c r="AH157" s="71">
        <v>7.2464666341010816E-3</v>
      </c>
      <c r="AI157" s="71">
        <v>1.5268663858351577E-2</v>
      </c>
      <c r="AJ157" s="71">
        <v>1.9551934354294597E-2</v>
      </c>
      <c r="AK157" s="63">
        <v>2.3471474357354437E-2</v>
      </c>
    </row>
    <row r="158" spans="2:37" x14ac:dyDescent="0.35">
      <c r="B158" s="55" t="s">
        <v>328</v>
      </c>
      <c r="C158" s="53" t="s">
        <v>234</v>
      </c>
      <c r="D158" s="53" t="s">
        <v>257</v>
      </c>
      <c r="E158" s="53" t="s">
        <v>480</v>
      </c>
      <c r="F158" s="73">
        <f t="shared" si="88"/>
        <v>2.7039603254404517E-2</v>
      </c>
      <c r="G158" s="60">
        <f t="shared" si="89"/>
        <v>3.6460924966085037E-2</v>
      </c>
      <c r="H158" s="60">
        <f t="shared" si="90"/>
        <v>4.4038418999170138E-2</v>
      </c>
      <c r="I158" s="60">
        <f t="shared" si="91"/>
        <v>4.7783827396639028E-2</v>
      </c>
      <c r="J158" s="63">
        <f t="shared" si="92"/>
        <v>5.1724752016600546E-2</v>
      </c>
      <c r="K158" s="60" t="str">
        <f t="shared" si="93"/>
        <v/>
      </c>
      <c r="L158" s="60">
        <f t="shared" si="94"/>
        <v>8.0015752660850415E-3</v>
      </c>
      <c r="M158" s="60">
        <f t="shared" si="95"/>
        <v>1.4824937599170133E-2</v>
      </c>
      <c r="N158" s="60">
        <f t="shared" si="96"/>
        <v>1.7685721596639031E-2</v>
      </c>
      <c r="O158" s="63">
        <f t="shared" si="97"/>
        <v>2.0290835016600544E-2</v>
      </c>
      <c r="P158" s="55" t="s">
        <v>21</v>
      </c>
      <c r="Q158" s="53" t="s">
        <v>21</v>
      </c>
      <c r="R158" s="94" t="s">
        <v>21</v>
      </c>
      <c r="S158" s="71" t="s">
        <v>21</v>
      </c>
      <c r="T158" s="63" t="str">
        <f t="shared" si="98"/>
        <v/>
      </c>
      <c r="V158" s="114">
        <v>1.14716204</v>
      </c>
      <c r="W158" s="72">
        <v>2.9173679899999998</v>
      </c>
      <c r="X158" s="72">
        <v>4.4689676900000004</v>
      </c>
      <c r="Y158" s="72">
        <v>5.7893516200000006</v>
      </c>
      <c r="Z158" s="115">
        <v>7.4115804399999998</v>
      </c>
      <c r="AB158" s="73">
        <v>2.7039603254404517E-2</v>
      </c>
      <c r="AC158" s="71">
        <v>3.6460924966085037E-2</v>
      </c>
      <c r="AD158" s="71">
        <v>4.4038418999170138E-2</v>
      </c>
      <c r="AE158" s="71">
        <v>4.7783827396639028E-2</v>
      </c>
      <c r="AF158" s="63">
        <v>5.1724752016600546E-2</v>
      </c>
      <c r="AG158" s="71" t="s">
        <v>21</v>
      </c>
      <c r="AH158" s="71">
        <v>8.0015752660850415E-3</v>
      </c>
      <c r="AI158" s="71">
        <v>1.4824937599170133E-2</v>
      </c>
      <c r="AJ158" s="71">
        <v>1.7685721596639031E-2</v>
      </c>
      <c r="AK158" s="63">
        <v>2.0290835016600544E-2</v>
      </c>
    </row>
    <row r="159" spans="2:37" x14ac:dyDescent="0.35">
      <c r="B159" s="55" t="s">
        <v>134</v>
      </c>
      <c r="C159" s="53" t="s">
        <v>234</v>
      </c>
      <c r="D159" s="53" t="s">
        <v>43</v>
      </c>
      <c r="E159" s="53" t="s">
        <v>21</v>
      </c>
      <c r="F159" s="73">
        <f t="shared" si="88"/>
        <v>2.5852562447189899E-2</v>
      </c>
      <c r="G159" s="60">
        <f t="shared" si="89"/>
        <v>3.5576060393949525E-2</v>
      </c>
      <c r="H159" s="60">
        <f t="shared" si="90"/>
        <v>4.3910945691420018E-2</v>
      </c>
      <c r="I159" s="60">
        <f t="shared" si="91"/>
        <v>4.8970180581096576E-2</v>
      </c>
      <c r="J159" s="63">
        <f t="shared" si="92"/>
        <v>5.4541356521378051E-2</v>
      </c>
      <c r="K159" s="60" t="str">
        <f t="shared" si="93"/>
        <v/>
      </c>
      <c r="L159" s="60">
        <f t="shared" si="94"/>
        <v>7.154676993949523E-3</v>
      </c>
      <c r="M159" s="60">
        <f t="shared" si="95"/>
        <v>1.4706537491420013E-2</v>
      </c>
      <c r="N159" s="60">
        <f t="shared" si="96"/>
        <v>1.8816833381096576E-2</v>
      </c>
      <c r="O159" s="63">
        <f t="shared" si="97"/>
        <v>2.2980285021378055E-2</v>
      </c>
      <c r="P159" s="55" t="s">
        <v>481</v>
      </c>
      <c r="Q159" s="53" t="s">
        <v>482</v>
      </c>
      <c r="R159" s="94" t="s">
        <v>32</v>
      </c>
      <c r="S159" s="71">
        <v>3.9560909999999998E-2</v>
      </c>
      <c r="T159" s="63">
        <f t="shared" si="98"/>
        <v>4.3500356914200206E-3</v>
      </c>
      <c r="V159" s="114">
        <v>1.1494316900000001</v>
      </c>
      <c r="W159" s="72">
        <v>2.9276029599999998</v>
      </c>
      <c r="X159" s="72">
        <v>4.48189876</v>
      </c>
      <c r="Y159" s="72">
        <v>5.7848322799999998</v>
      </c>
      <c r="Z159" s="115">
        <v>7.3332561399999996</v>
      </c>
      <c r="AB159" s="73">
        <v>2.5852562447189899E-2</v>
      </c>
      <c r="AC159" s="71">
        <v>3.5576060393949525E-2</v>
      </c>
      <c r="AD159" s="71">
        <v>4.3910945691420018E-2</v>
      </c>
      <c r="AE159" s="71">
        <v>4.8970180581096576E-2</v>
      </c>
      <c r="AF159" s="63">
        <v>5.4541356521378051E-2</v>
      </c>
      <c r="AG159" s="71" t="s">
        <v>21</v>
      </c>
      <c r="AH159" s="71">
        <v>7.154676993949523E-3</v>
      </c>
      <c r="AI159" s="71">
        <v>1.4706537491420013E-2</v>
      </c>
      <c r="AJ159" s="71">
        <v>1.8816833381096576E-2</v>
      </c>
      <c r="AK159" s="63">
        <v>2.2980285021378055E-2</v>
      </c>
    </row>
    <row r="160" spans="2:37" x14ac:dyDescent="0.35">
      <c r="B160" s="55" t="s">
        <v>132</v>
      </c>
      <c r="C160" s="53" t="s">
        <v>234</v>
      </c>
      <c r="D160" s="53" t="s">
        <v>20</v>
      </c>
      <c r="E160" s="53" t="s">
        <v>21</v>
      </c>
      <c r="F160" s="73">
        <f t="shared" si="88"/>
        <v>2.5542544825355489E-2</v>
      </c>
      <c r="G160" s="60">
        <f t="shared" si="89"/>
        <v>3.5944445423279521E-2</v>
      </c>
      <c r="H160" s="60">
        <f t="shared" si="90"/>
        <v>4.3732991126054145E-2</v>
      </c>
      <c r="I160" s="60">
        <f t="shared" si="91"/>
        <v>4.7001406008030336E-2</v>
      </c>
      <c r="J160" s="63">
        <f t="shared" si="92"/>
        <v>5.1018453666615102E-2</v>
      </c>
      <c r="K160" s="60" t="str">
        <f t="shared" si="93"/>
        <v/>
      </c>
      <c r="L160" s="60">
        <f t="shared" si="94"/>
        <v>7.4841282232795282E-3</v>
      </c>
      <c r="M160" s="60">
        <f t="shared" si="95"/>
        <v>1.4509995026054143E-2</v>
      </c>
      <c r="N160" s="60">
        <f t="shared" si="96"/>
        <v>1.6920026408030326E-2</v>
      </c>
      <c r="O160" s="63">
        <f t="shared" si="97"/>
        <v>1.9595260766615104E-2</v>
      </c>
      <c r="P160" s="55" t="s">
        <v>483</v>
      </c>
      <c r="Q160" s="53" t="s">
        <v>484</v>
      </c>
      <c r="R160" s="94">
        <v>47567</v>
      </c>
      <c r="S160" s="71">
        <v>3.8418100000000004E-2</v>
      </c>
      <c r="T160" s="63">
        <f t="shared" si="98"/>
        <v>5.3148911260541415E-3</v>
      </c>
      <c r="V160" s="114">
        <v>1.1492016199999999</v>
      </c>
      <c r="W160" s="72">
        <v>2.92172046</v>
      </c>
      <c r="X160" s="72">
        <v>4.4708309600000007</v>
      </c>
      <c r="Y160" s="72">
        <v>5.78851008</v>
      </c>
      <c r="Z160" s="115">
        <v>7.4154264200000002</v>
      </c>
      <c r="AB160" s="73">
        <v>2.5542544825355489E-2</v>
      </c>
      <c r="AC160" s="71">
        <v>3.5944445423279521E-2</v>
      </c>
      <c r="AD160" s="71">
        <v>4.3732991126054145E-2</v>
      </c>
      <c r="AE160" s="71">
        <v>4.7001406008030336E-2</v>
      </c>
      <c r="AF160" s="63">
        <v>5.1018453666615102E-2</v>
      </c>
      <c r="AG160" s="71" t="s">
        <v>21</v>
      </c>
      <c r="AH160" s="71">
        <v>7.4841282232795282E-3</v>
      </c>
      <c r="AI160" s="71">
        <v>1.4509995026054143E-2</v>
      </c>
      <c r="AJ160" s="71">
        <v>1.6920026408030326E-2</v>
      </c>
      <c r="AK160" s="63">
        <v>1.9595260766615104E-2</v>
      </c>
    </row>
    <row r="161" spans="2:37" x14ac:dyDescent="0.35">
      <c r="B161" s="55" t="s">
        <v>335</v>
      </c>
      <c r="C161" s="53" t="s">
        <v>234</v>
      </c>
      <c r="D161" s="53" t="s">
        <v>20</v>
      </c>
      <c r="E161" s="53" t="s">
        <v>133</v>
      </c>
      <c r="F161" s="73">
        <f t="shared" si="88"/>
        <v>2.5859151915190254E-2</v>
      </c>
      <c r="G161" s="60">
        <f t="shared" si="89"/>
        <v>3.5585288815941044E-2</v>
      </c>
      <c r="H161" s="60">
        <f t="shared" si="90"/>
        <v>4.3679304309726046E-2</v>
      </c>
      <c r="I161" s="60">
        <f t="shared" si="91"/>
        <v>4.7289427903701053E-2</v>
      </c>
      <c r="J161" s="63">
        <f t="shared" si="92"/>
        <v>5.0911271894524324E-2</v>
      </c>
      <c r="K161" s="60" t="str">
        <f t="shared" si="93"/>
        <v/>
      </c>
      <c r="L161" s="60">
        <f t="shared" si="94"/>
        <v>7.1430916159410445E-3</v>
      </c>
      <c r="M161" s="60">
        <f t="shared" si="95"/>
        <v>1.4461491809726057E-2</v>
      </c>
      <c r="N161" s="60">
        <f t="shared" si="96"/>
        <v>1.7195290603701056E-2</v>
      </c>
      <c r="O161" s="63">
        <f t="shared" si="97"/>
        <v>1.9498089094524315E-2</v>
      </c>
      <c r="P161" s="55" t="s">
        <v>21</v>
      </c>
      <c r="Q161" s="53" t="s">
        <v>21</v>
      </c>
      <c r="R161" s="94" t="s">
        <v>21</v>
      </c>
      <c r="S161" s="71" t="s">
        <v>21</v>
      </c>
      <c r="T161" s="63" t="str">
        <f t="shared" si="98"/>
        <v/>
      </c>
      <c r="V161" s="114">
        <v>1.1484697699999999</v>
      </c>
      <c r="W161" s="72">
        <v>2.9233103300000001</v>
      </c>
      <c r="X161" s="72">
        <v>4.4749069199999996</v>
      </c>
      <c r="Y161" s="72">
        <v>5.7921075000000002</v>
      </c>
      <c r="Z161" s="115">
        <v>7.4183731799999997</v>
      </c>
      <c r="AB161" s="73">
        <v>2.5859151915190254E-2</v>
      </c>
      <c r="AC161" s="71">
        <v>3.5585288815941044E-2</v>
      </c>
      <c r="AD161" s="71">
        <v>4.3679304309726046E-2</v>
      </c>
      <c r="AE161" s="71">
        <v>4.7289427903701053E-2</v>
      </c>
      <c r="AF161" s="63">
        <v>5.0911271894524324E-2</v>
      </c>
      <c r="AG161" s="71" t="s">
        <v>21</v>
      </c>
      <c r="AH161" s="71">
        <v>7.1430916159410445E-3</v>
      </c>
      <c r="AI161" s="71">
        <v>1.4461491809726057E-2</v>
      </c>
      <c r="AJ161" s="71">
        <v>1.7195290603701056E-2</v>
      </c>
      <c r="AK161" s="63">
        <v>1.9498089094524315E-2</v>
      </c>
    </row>
    <row r="162" spans="2:37" x14ac:dyDescent="0.35">
      <c r="B162" s="55" t="s">
        <v>126</v>
      </c>
      <c r="C162" s="53" t="s">
        <v>234</v>
      </c>
      <c r="D162" s="53" t="s">
        <v>69</v>
      </c>
      <c r="E162" s="53" t="s">
        <v>135</v>
      </c>
      <c r="F162" s="73">
        <f t="shared" si="88"/>
        <v>2.5144864780546519E-2</v>
      </c>
      <c r="G162" s="60">
        <f t="shared" si="89"/>
        <v>3.5483486723782938E-2</v>
      </c>
      <c r="H162" s="60">
        <f t="shared" si="90"/>
        <v>4.3638197463691533E-2</v>
      </c>
      <c r="I162" s="60">
        <f t="shared" si="91"/>
        <v>4.8660499854520013E-2</v>
      </c>
      <c r="J162" s="63">
        <f t="shared" si="92"/>
        <v>5.4378819379468465E-2</v>
      </c>
      <c r="K162" s="60" t="str">
        <f t="shared" si="93"/>
        <v/>
      </c>
      <c r="L162" s="60">
        <f t="shared" si="94"/>
        <v>7.0633739237829403E-3</v>
      </c>
      <c r="M162" s="60">
        <f t="shared" si="95"/>
        <v>1.4446773963691536E-2</v>
      </c>
      <c r="N162" s="60">
        <f t="shared" si="96"/>
        <v>1.8525012354520018E-2</v>
      </c>
      <c r="O162" s="63">
        <f t="shared" si="97"/>
        <v>2.2829540479468471E-2</v>
      </c>
      <c r="P162" s="55" t="s">
        <v>485</v>
      </c>
      <c r="Q162" s="53" t="s">
        <v>486</v>
      </c>
      <c r="R162" s="94">
        <v>47484</v>
      </c>
      <c r="S162" s="71">
        <v>3.7563439999999997E-2</v>
      </c>
      <c r="T162" s="63">
        <f t="shared" si="98"/>
        <v>6.0747574636915366E-3</v>
      </c>
      <c r="V162" s="114">
        <v>1.1508763900000001</v>
      </c>
      <c r="W162" s="72">
        <v>2.93291945</v>
      </c>
      <c r="X162" s="72">
        <v>4.4904296199999996</v>
      </c>
      <c r="Y162" s="72">
        <v>5.7988634499999998</v>
      </c>
      <c r="Z162" s="115">
        <v>7.3542663900000003</v>
      </c>
      <c r="AB162" s="73">
        <v>2.5144864780546519E-2</v>
      </c>
      <c r="AC162" s="71">
        <v>3.5483486723782938E-2</v>
      </c>
      <c r="AD162" s="71">
        <v>4.3638197463691533E-2</v>
      </c>
      <c r="AE162" s="71">
        <v>4.8660499854520013E-2</v>
      </c>
      <c r="AF162" s="63">
        <v>5.4378819379468465E-2</v>
      </c>
      <c r="AG162" s="71" t="s">
        <v>21</v>
      </c>
      <c r="AH162" s="71">
        <v>7.0633739237829403E-3</v>
      </c>
      <c r="AI162" s="71">
        <v>1.4446773963691536E-2</v>
      </c>
      <c r="AJ162" s="71">
        <v>1.8525012354520018E-2</v>
      </c>
      <c r="AK162" s="63">
        <v>2.2829540479468471E-2</v>
      </c>
    </row>
    <row r="163" spans="2:37" x14ac:dyDescent="0.35">
      <c r="B163" s="55" t="s">
        <v>127</v>
      </c>
      <c r="C163" s="53" t="s">
        <v>234</v>
      </c>
      <c r="D163" s="53" t="s">
        <v>62</v>
      </c>
      <c r="E163" s="53" t="s">
        <v>487</v>
      </c>
      <c r="F163" s="73">
        <f t="shared" si="88"/>
        <v>2.5929096472730638E-2</v>
      </c>
      <c r="G163" s="60">
        <f t="shared" si="89"/>
        <v>3.5371921711684948E-2</v>
      </c>
      <c r="H163" s="60">
        <f t="shared" si="90"/>
        <v>4.3395998986639636E-2</v>
      </c>
      <c r="I163" s="60">
        <f t="shared" si="91"/>
        <v>4.8103208437737521E-2</v>
      </c>
      <c r="J163" s="63">
        <f t="shared" si="92"/>
        <v>5.3176393984153046E-2</v>
      </c>
      <c r="K163" s="60" t="str">
        <f t="shared" si="93"/>
        <v/>
      </c>
      <c r="L163" s="60">
        <f t="shared" si="94"/>
        <v>6.95749741168495E-3</v>
      </c>
      <c r="M163" s="60">
        <f t="shared" si="95"/>
        <v>1.4216141986639636E-2</v>
      </c>
      <c r="N163" s="60">
        <f t="shared" si="96"/>
        <v>1.7995055337737518E-2</v>
      </c>
      <c r="O163" s="63">
        <f t="shared" si="97"/>
        <v>2.1684407084153048E-2</v>
      </c>
      <c r="P163" s="55" t="s">
        <v>488</v>
      </c>
      <c r="Q163" s="53" t="s">
        <v>489</v>
      </c>
      <c r="R163" s="94">
        <v>47635</v>
      </c>
      <c r="S163" s="71">
        <v>3.7474340000000002E-2</v>
      </c>
      <c r="T163" s="63">
        <f t="shared" si="98"/>
        <v>5.9216589866396344E-3</v>
      </c>
      <c r="V163" s="114">
        <v>1.1492971299999999</v>
      </c>
      <c r="W163" s="72">
        <v>2.93002735</v>
      </c>
      <c r="X163" s="72">
        <v>4.4905489799999998</v>
      </c>
      <c r="Y163" s="72">
        <v>5.8073807300000002</v>
      </c>
      <c r="Z163" s="115">
        <v>7.3928578399999996</v>
      </c>
      <c r="AB163" s="73">
        <v>2.5929096472730638E-2</v>
      </c>
      <c r="AC163" s="71">
        <v>3.5371921711684948E-2</v>
      </c>
      <c r="AD163" s="71">
        <v>4.3395998986639636E-2</v>
      </c>
      <c r="AE163" s="71">
        <v>4.8103208437737521E-2</v>
      </c>
      <c r="AF163" s="63">
        <v>5.3176393984153046E-2</v>
      </c>
      <c r="AG163" s="71" t="s">
        <v>21</v>
      </c>
      <c r="AH163" s="71">
        <v>6.95749741168495E-3</v>
      </c>
      <c r="AI163" s="71">
        <v>1.4216141986639636E-2</v>
      </c>
      <c r="AJ163" s="71">
        <v>1.7995055337737518E-2</v>
      </c>
      <c r="AK163" s="63">
        <v>2.1684407084153048E-2</v>
      </c>
    </row>
    <row r="164" spans="2:37" x14ac:dyDescent="0.35">
      <c r="B164" s="55" t="s">
        <v>330</v>
      </c>
      <c r="C164" s="53" t="s">
        <v>234</v>
      </c>
      <c r="D164" s="53" t="s">
        <v>31</v>
      </c>
      <c r="E164" s="53" t="s">
        <v>21</v>
      </c>
      <c r="F164" s="73">
        <f t="shared" si="88"/>
        <v>2.5903697963188511E-2</v>
      </c>
      <c r="G164" s="60">
        <f t="shared" si="89"/>
        <v>3.5809620061888356E-2</v>
      </c>
      <c r="H164" s="60">
        <f t="shared" si="90"/>
        <v>4.309513669421098E-2</v>
      </c>
      <c r="I164" s="60">
        <f t="shared" si="91"/>
        <v>4.7308601178695758E-2</v>
      </c>
      <c r="J164" s="63">
        <f t="shared" si="92"/>
        <v>5.1699844017665239E-2</v>
      </c>
      <c r="K164" s="60" t="str">
        <f t="shared" si="93"/>
        <v/>
      </c>
      <c r="L164" s="60">
        <f t="shared" si="94"/>
        <v>7.3751249618883557E-3</v>
      </c>
      <c r="M164" s="60">
        <f t="shared" si="95"/>
        <v>1.3924849294210978E-2</v>
      </c>
      <c r="N164" s="60">
        <f t="shared" si="96"/>
        <v>1.7233112978695758E-2</v>
      </c>
      <c r="O164" s="63">
        <f t="shared" si="97"/>
        <v>2.0268497417665239E-2</v>
      </c>
      <c r="P164" s="55" t="s">
        <v>21</v>
      </c>
      <c r="Q164" s="53" t="s">
        <v>21</v>
      </c>
      <c r="R164" s="94" t="s">
        <v>21</v>
      </c>
      <c r="S164" s="71" t="s">
        <v>21</v>
      </c>
      <c r="T164" s="63" t="str">
        <f t="shared" si="98"/>
        <v/>
      </c>
      <c r="V164" s="114">
        <v>1.1494123999999999</v>
      </c>
      <c r="W164" s="72">
        <v>2.9255015799999997</v>
      </c>
      <c r="X164" s="72">
        <v>4.4880971499999998</v>
      </c>
      <c r="Y164" s="72">
        <v>5.8164412199999997</v>
      </c>
      <c r="Z164" s="115">
        <v>7.4384856299999997</v>
      </c>
      <c r="AB164" s="73">
        <v>2.5903697963188511E-2</v>
      </c>
      <c r="AC164" s="71">
        <v>3.5809620061888356E-2</v>
      </c>
      <c r="AD164" s="71">
        <v>4.309513669421098E-2</v>
      </c>
      <c r="AE164" s="71">
        <v>4.7308601178695758E-2</v>
      </c>
      <c r="AF164" s="63">
        <v>5.1699844017665239E-2</v>
      </c>
      <c r="AG164" s="71" t="s">
        <v>21</v>
      </c>
      <c r="AH164" s="71">
        <v>7.3751249618883557E-3</v>
      </c>
      <c r="AI164" s="71">
        <v>1.3924849294210978E-2</v>
      </c>
      <c r="AJ164" s="71">
        <v>1.7233112978695758E-2</v>
      </c>
      <c r="AK164" s="63">
        <v>2.0268497417665239E-2</v>
      </c>
    </row>
    <row r="165" spans="2:37" x14ac:dyDescent="0.35">
      <c r="B165" s="55" t="s">
        <v>332</v>
      </c>
      <c r="C165" s="53" t="s">
        <v>234</v>
      </c>
      <c r="D165" s="53" t="s">
        <v>97</v>
      </c>
      <c r="E165" s="53" t="s">
        <v>21</v>
      </c>
      <c r="F165" s="73">
        <f t="shared" si="88"/>
        <v>2.6637340528906303E-2</v>
      </c>
      <c r="G165" s="60">
        <f t="shared" si="89"/>
        <v>3.538230317638337E-2</v>
      </c>
      <c r="H165" s="60">
        <f t="shared" si="90"/>
        <v>4.3032416682695453E-2</v>
      </c>
      <c r="I165" s="60">
        <f t="shared" si="91"/>
        <v>4.6868748379487041E-2</v>
      </c>
      <c r="J165" s="63">
        <f t="shared" si="92"/>
        <v>5.0155870748374867E-2</v>
      </c>
      <c r="K165" s="60" t="str">
        <f t="shared" si="93"/>
        <v/>
      </c>
      <c r="L165" s="60">
        <f t="shared" si="94"/>
        <v>6.9646504763833748E-3</v>
      </c>
      <c r="M165" s="60">
        <f t="shared" si="95"/>
        <v>1.3865030182695455E-2</v>
      </c>
      <c r="N165" s="60">
        <f t="shared" si="96"/>
        <v>1.6814791779487043E-2</v>
      </c>
      <c r="O165" s="63">
        <f t="shared" si="97"/>
        <v>1.8794848148374864E-2</v>
      </c>
      <c r="P165" s="55" t="s">
        <v>380</v>
      </c>
      <c r="Q165" s="53" t="s">
        <v>381</v>
      </c>
      <c r="R165" s="94">
        <v>47497</v>
      </c>
      <c r="S165" s="71">
        <v>3.7493390000000001E-2</v>
      </c>
      <c r="T165" s="63">
        <f t="shared" si="98"/>
        <v>5.5390266826954512E-3</v>
      </c>
      <c r="V165" s="114">
        <v>1.1479526499999999</v>
      </c>
      <c r="W165" s="72">
        <v>2.9268184600000002</v>
      </c>
      <c r="X165" s="72">
        <v>4.4910063999999998</v>
      </c>
      <c r="Y165" s="72">
        <v>5.8252127799999993</v>
      </c>
      <c r="Z165" s="115">
        <v>7.48487686</v>
      </c>
      <c r="AB165" s="73">
        <v>2.6637340528906303E-2</v>
      </c>
      <c r="AC165" s="71">
        <v>3.538230317638337E-2</v>
      </c>
      <c r="AD165" s="71">
        <v>4.3032416682695453E-2</v>
      </c>
      <c r="AE165" s="71">
        <v>4.6868748379487041E-2</v>
      </c>
      <c r="AF165" s="63">
        <v>5.0155870748374867E-2</v>
      </c>
      <c r="AG165" s="71" t="s">
        <v>21</v>
      </c>
      <c r="AH165" s="71">
        <v>6.9646504763833748E-3</v>
      </c>
      <c r="AI165" s="71">
        <v>1.3865030182695455E-2</v>
      </c>
      <c r="AJ165" s="71">
        <v>1.6814791779487043E-2</v>
      </c>
      <c r="AK165" s="63">
        <v>1.8794848148374864E-2</v>
      </c>
    </row>
    <row r="166" spans="2:37" x14ac:dyDescent="0.35">
      <c r="B166" s="55" t="s">
        <v>121</v>
      </c>
      <c r="C166" s="53" t="s">
        <v>234</v>
      </c>
      <c r="D166" s="53" t="s">
        <v>69</v>
      </c>
      <c r="E166" s="53" t="s">
        <v>133</v>
      </c>
      <c r="F166" s="73">
        <f t="shared" si="88"/>
        <v>2.5397593626920765E-2</v>
      </c>
      <c r="G166" s="60">
        <f t="shared" si="89"/>
        <v>3.4771013262597426E-2</v>
      </c>
      <c r="H166" s="60">
        <f t="shared" si="90"/>
        <v>4.2949033201367295E-2</v>
      </c>
      <c r="I166" s="60">
        <f t="shared" si="91"/>
        <v>4.8766199306602101E-2</v>
      </c>
      <c r="J166" s="63">
        <f t="shared" si="92"/>
        <v>5.3331923566258189E-2</v>
      </c>
      <c r="K166" s="60" t="str">
        <f t="shared" si="93"/>
        <v/>
      </c>
      <c r="L166" s="60">
        <f t="shared" si="94"/>
        <v>6.3756804625974325E-3</v>
      </c>
      <c r="M166" s="60">
        <f t="shared" si="95"/>
        <v>1.3786476001367291E-2</v>
      </c>
      <c r="N166" s="60">
        <f t="shared" si="96"/>
        <v>1.8623076506602106E-2</v>
      </c>
      <c r="O166" s="63">
        <f t="shared" si="97"/>
        <v>2.1837336866258189E-2</v>
      </c>
      <c r="P166" s="55" t="s">
        <v>21</v>
      </c>
      <c r="Q166" s="53" t="s">
        <v>21</v>
      </c>
      <c r="R166" s="94" t="s">
        <v>21</v>
      </c>
      <c r="S166" s="71" t="s">
        <v>21</v>
      </c>
      <c r="T166" s="63" t="str">
        <f t="shared" si="98"/>
        <v/>
      </c>
      <c r="V166" s="114">
        <v>1.15041506</v>
      </c>
      <c r="W166" s="72">
        <v>2.9340279800000002</v>
      </c>
      <c r="X166" s="72">
        <v>4.5006056399999999</v>
      </c>
      <c r="Y166" s="72">
        <v>5.8089911299999999</v>
      </c>
      <c r="Z166" s="115">
        <v>7.3847677099999993</v>
      </c>
      <c r="AB166" s="73">
        <v>2.5397593626920765E-2</v>
      </c>
      <c r="AC166" s="71">
        <v>3.4771013262597426E-2</v>
      </c>
      <c r="AD166" s="71">
        <v>4.2949033201367295E-2</v>
      </c>
      <c r="AE166" s="71">
        <v>4.8766199306602101E-2</v>
      </c>
      <c r="AF166" s="63">
        <v>5.3331923566258189E-2</v>
      </c>
      <c r="AG166" s="71" t="s">
        <v>21</v>
      </c>
      <c r="AH166" s="71">
        <v>6.3756804625974325E-3</v>
      </c>
      <c r="AI166" s="71">
        <v>1.3786476001367291E-2</v>
      </c>
      <c r="AJ166" s="71">
        <v>1.8623076506602106E-2</v>
      </c>
      <c r="AK166" s="63">
        <v>2.1837336866258189E-2</v>
      </c>
    </row>
    <row r="167" spans="2:37" x14ac:dyDescent="0.35">
      <c r="B167" s="55" t="s">
        <v>333</v>
      </c>
      <c r="C167" s="53" t="s">
        <v>234</v>
      </c>
      <c r="D167" s="53" t="s">
        <v>20</v>
      </c>
      <c r="E167" s="53" t="s">
        <v>238</v>
      </c>
      <c r="F167" s="73">
        <f t="shared" si="88"/>
        <v>2.5206829458479282E-2</v>
      </c>
      <c r="G167" s="60">
        <f t="shared" si="89"/>
        <v>3.4846420947890214E-2</v>
      </c>
      <c r="H167" s="60">
        <f t="shared" si="90"/>
        <v>4.2674512227274357E-2</v>
      </c>
      <c r="I167" s="60">
        <f t="shared" si="91"/>
        <v>4.6852921078754717E-2</v>
      </c>
      <c r="J167" s="63">
        <f t="shared" si="92"/>
        <v>5.0436997902971938E-2</v>
      </c>
      <c r="K167" s="60" t="str">
        <f t="shared" si="93"/>
        <v/>
      </c>
      <c r="L167" s="60">
        <f t="shared" si="94"/>
        <v>6.4290733478902084E-3</v>
      </c>
      <c r="M167" s="60">
        <f t="shared" si="95"/>
        <v>1.350050342727435E-2</v>
      </c>
      <c r="N167" s="60">
        <f t="shared" si="96"/>
        <v>1.6777071078754712E-2</v>
      </c>
      <c r="O167" s="63">
        <f t="shared" si="97"/>
        <v>1.9045546102971933E-2</v>
      </c>
      <c r="P167" s="55" t="s">
        <v>21</v>
      </c>
      <c r="Q167" s="53" t="s">
        <v>21</v>
      </c>
      <c r="R167" s="94" t="s">
        <v>21</v>
      </c>
      <c r="S167" s="71" t="s">
        <v>21</v>
      </c>
      <c r="T167" s="63" t="str">
        <f t="shared" si="98"/>
        <v/>
      </c>
      <c r="V167" s="114">
        <v>1.14981248</v>
      </c>
      <c r="W167" s="72">
        <v>2.9298514500000001</v>
      </c>
      <c r="X167" s="72">
        <v>4.4924963499999997</v>
      </c>
      <c r="Y167" s="72">
        <v>5.8175696099999996</v>
      </c>
      <c r="Z167" s="115">
        <v>7.4539118200000001</v>
      </c>
      <c r="AB167" s="73">
        <v>2.5206829458479282E-2</v>
      </c>
      <c r="AC167" s="71">
        <v>3.4846420947890214E-2</v>
      </c>
      <c r="AD167" s="71">
        <v>4.2674512227274357E-2</v>
      </c>
      <c r="AE167" s="71">
        <v>4.6852921078754717E-2</v>
      </c>
      <c r="AF167" s="63">
        <v>5.0436997902971938E-2</v>
      </c>
      <c r="AG167" s="71" t="s">
        <v>21</v>
      </c>
      <c r="AH167" s="71">
        <v>6.4290733478902084E-3</v>
      </c>
      <c r="AI167" s="71">
        <v>1.350050342727435E-2</v>
      </c>
      <c r="AJ167" s="71">
        <v>1.6777071078754712E-2</v>
      </c>
      <c r="AK167" s="63">
        <v>1.9045546102971933E-2</v>
      </c>
    </row>
    <row r="168" spans="2:37" x14ac:dyDescent="0.35">
      <c r="B168" s="55" t="s">
        <v>329</v>
      </c>
      <c r="C168" s="53" t="s">
        <v>234</v>
      </c>
      <c r="D168" s="53" t="s">
        <v>43</v>
      </c>
      <c r="E168" s="53" t="s">
        <v>21</v>
      </c>
      <c r="F168" s="73">
        <f t="shared" si="88"/>
        <v>2.5714125347094455E-2</v>
      </c>
      <c r="G168" s="60">
        <f t="shared" si="89"/>
        <v>3.4975621038510436E-2</v>
      </c>
      <c r="H168" s="60">
        <f t="shared" si="90"/>
        <v>4.2368120291314704E-2</v>
      </c>
      <c r="I168" s="60">
        <f t="shared" si="91"/>
        <v>4.6897065409955897E-2</v>
      </c>
      <c r="J168" s="63">
        <f t="shared" si="92"/>
        <v>5.142206588557189E-2</v>
      </c>
      <c r="K168" s="60" t="str">
        <f t="shared" si="93"/>
        <v/>
      </c>
      <c r="L168" s="60">
        <f t="shared" si="94"/>
        <v>6.5727782385104367E-3</v>
      </c>
      <c r="M168" s="60">
        <f t="shared" si="95"/>
        <v>1.3230348191314703E-2</v>
      </c>
      <c r="N168" s="60">
        <f t="shared" si="96"/>
        <v>1.6843294809955896E-2</v>
      </c>
      <c r="O168" s="63">
        <f t="shared" si="97"/>
        <v>2.0007607185571881E-2</v>
      </c>
      <c r="P168" s="55" t="s">
        <v>21</v>
      </c>
      <c r="Q168" s="53" t="s">
        <v>21</v>
      </c>
      <c r="R168" s="94" t="s">
        <v>21</v>
      </c>
      <c r="S168" s="71" t="s">
        <v>21</v>
      </c>
      <c r="T168" s="63" t="str">
        <f t="shared" si="98"/>
        <v/>
      </c>
      <c r="V168" s="114">
        <v>1.14978808</v>
      </c>
      <c r="W168" s="72">
        <v>2.9316017199999997</v>
      </c>
      <c r="X168" s="72">
        <v>4.5037806099999997</v>
      </c>
      <c r="Y168" s="72">
        <v>5.8395934299999999</v>
      </c>
      <c r="Z168" s="115">
        <v>7.4697440300000002</v>
      </c>
      <c r="AB168" s="73">
        <v>2.5714125347094455E-2</v>
      </c>
      <c r="AC168" s="71">
        <v>3.4975621038510436E-2</v>
      </c>
      <c r="AD168" s="71">
        <v>4.2368120291314704E-2</v>
      </c>
      <c r="AE168" s="71">
        <v>4.6897065409955897E-2</v>
      </c>
      <c r="AF168" s="63">
        <v>5.142206588557189E-2</v>
      </c>
      <c r="AG168" s="71" t="s">
        <v>21</v>
      </c>
      <c r="AH168" s="71">
        <v>6.5727782385104367E-3</v>
      </c>
      <c r="AI168" s="71">
        <v>1.3230348191314703E-2</v>
      </c>
      <c r="AJ168" s="71">
        <v>1.6843294809955896E-2</v>
      </c>
      <c r="AK168" s="63">
        <v>2.0007607185571881E-2</v>
      </c>
    </row>
    <row r="169" spans="2:37" x14ac:dyDescent="0.35">
      <c r="B169" s="55" t="s">
        <v>242</v>
      </c>
      <c r="C169" s="53" t="s">
        <v>234</v>
      </c>
      <c r="D169" s="53" t="s">
        <v>20</v>
      </c>
      <c r="E169" s="53" t="s">
        <v>21</v>
      </c>
      <c r="F169" s="73">
        <f t="shared" si="88"/>
        <v>2.4612923446689992E-2</v>
      </c>
      <c r="G169" s="60">
        <f t="shared" si="89"/>
        <v>3.397647888810898E-2</v>
      </c>
      <c r="H169" s="60">
        <f t="shared" si="90"/>
        <v>4.2218655993925096E-2</v>
      </c>
      <c r="I169" s="60">
        <f t="shared" si="91"/>
        <v>4.5864846832838001E-2</v>
      </c>
      <c r="J169" s="63">
        <f t="shared" si="92"/>
        <v>4.984654097265015E-2</v>
      </c>
      <c r="K169" s="60" t="str">
        <f t="shared" si="93"/>
        <v/>
      </c>
      <c r="L169" s="60">
        <f t="shared" si="94"/>
        <v>5.5923483881089846E-3</v>
      </c>
      <c r="M169" s="60">
        <f t="shared" si="95"/>
        <v>1.3065628693925095E-2</v>
      </c>
      <c r="N169" s="60">
        <f t="shared" si="96"/>
        <v>1.5837209632838006E-2</v>
      </c>
      <c r="O169" s="63">
        <f t="shared" si="97"/>
        <v>1.8480706872650153E-2</v>
      </c>
      <c r="P169" s="55" t="s">
        <v>21</v>
      </c>
      <c r="Q169" s="53" t="s">
        <v>21</v>
      </c>
      <c r="R169" s="94" t="s">
        <v>21</v>
      </c>
      <c r="S169" s="71" t="s">
        <v>21</v>
      </c>
      <c r="T169" s="63" t="str">
        <f t="shared" si="98"/>
        <v/>
      </c>
      <c r="V169" s="114">
        <v>1.15096362</v>
      </c>
      <c r="W169" s="72">
        <v>2.9374459399999999</v>
      </c>
      <c r="X169" s="72">
        <v>4.5078033400000006</v>
      </c>
      <c r="Y169" s="72">
        <v>5.8468980200000003</v>
      </c>
      <c r="Z169" s="115">
        <v>7.4998753599999999</v>
      </c>
      <c r="AB169" s="73">
        <v>2.4612923446689992E-2</v>
      </c>
      <c r="AC169" s="71">
        <v>3.397647888810898E-2</v>
      </c>
      <c r="AD169" s="71">
        <v>4.2218655993925096E-2</v>
      </c>
      <c r="AE169" s="71">
        <v>4.5864846832838001E-2</v>
      </c>
      <c r="AF169" s="63">
        <v>4.984654097265015E-2</v>
      </c>
      <c r="AG169" s="71" t="s">
        <v>21</v>
      </c>
      <c r="AH169" s="71">
        <v>5.5923483881089846E-3</v>
      </c>
      <c r="AI169" s="71">
        <v>1.3065628693925095E-2</v>
      </c>
      <c r="AJ169" s="71">
        <v>1.5837209632838006E-2</v>
      </c>
      <c r="AK169" s="63">
        <v>1.8480706872650153E-2</v>
      </c>
    </row>
    <row r="170" spans="2:37" x14ac:dyDescent="0.35">
      <c r="B170" s="55" t="s">
        <v>237</v>
      </c>
      <c r="C170" s="53" t="s">
        <v>234</v>
      </c>
      <c r="D170" s="53" t="s">
        <v>31</v>
      </c>
      <c r="E170" s="53" t="s">
        <v>143</v>
      </c>
      <c r="F170" s="73">
        <f t="shared" si="88"/>
        <v>2.5387109489411364E-2</v>
      </c>
      <c r="G170" s="60">
        <f t="shared" si="89"/>
        <v>3.5081786147126523E-2</v>
      </c>
      <c r="H170" s="60">
        <f t="shared" si="90"/>
        <v>4.2190452804980322E-2</v>
      </c>
      <c r="I170" s="60">
        <f t="shared" si="91"/>
        <v>4.6979160902847039E-2</v>
      </c>
      <c r="J170" s="63">
        <f t="shared" si="92"/>
        <v>5.209056311289996E-2</v>
      </c>
      <c r="K170" s="60" t="str">
        <f t="shared" si="93"/>
        <v/>
      </c>
      <c r="L170" s="60">
        <f t="shared" si="94"/>
        <v>6.6725500471265208E-3</v>
      </c>
      <c r="M170" s="60">
        <f t="shared" si="95"/>
        <v>1.3058121404980323E-2</v>
      </c>
      <c r="N170" s="60">
        <f t="shared" si="96"/>
        <v>1.6917600302847034E-2</v>
      </c>
      <c r="O170" s="63">
        <f t="shared" si="97"/>
        <v>2.0641271612899959E-2</v>
      </c>
      <c r="P170" s="55" t="s">
        <v>21</v>
      </c>
      <c r="Q170" s="53" t="s">
        <v>21</v>
      </c>
      <c r="R170" s="94" t="s">
        <v>21</v>
      </c>
      <c r="S170" s="71" t="s">
        <v>21</v>
      </c>
      <c r="T170" s="63" t="str">
        <f t="shared" si="98"/>
        <v/>
      </c>
      <c r="V170" s="114">
        <v>1.1504785499999999</v>
      </c>
      <c r="W170" s="72">
        <v>2.93250791</v>
      </c>
      <c r="X170" s="72">
        <v>4.5059587399999996</v>
      </c>
      <c r="Y170" s="72">
        <v>5.8402438800000001</v>
      </c>
      <c r="Z170" s="115">
        <v>7.4518242600000004</v>
      </c>
      <c r="AB170" s="73">
        <v>2.5387109489411364E-2</v>
      </c>
      <c r="AC170" s="71">
        <v>3.5081786147126523E-2</v>
      </c>
      <c r="AD170" s="71">
        <v>4.2190452804980322E-2</v>
      </c>
      <c r="AE170" s="71">
        <v>4.6979160902847039E-2</v>
      </c>
      <c r="AF170" s="63">
        <v>5.209056311289996E-2</v>
      </c>
      <c r="AG170" s="71" t="s">
        <v>21</v>
      </c>
      <c r="AH170" s="71">
        <v>6.6725500471265208E-3</v>
      </c>
      <c r="AI170" s="71">
        <v>1.3058121404980323E-2</v>
      </c>
      <c r="AJ170" s="71">
        <v>1.6917600302847034E-2</v>
      </c>
      <c r="AK170" s="63">
        <v>2.0641271612899959E-2</v>
      </c>
    </row>
    <row r="171" spans="2:37" x14ac:dyDescent="0.35">
      <c r="B171" s="55" t="s">
        <v>237</v>
      </c>
      <c r="C171" s="53" t="s">
        <v>234</v>
      </c>
      <c r="D171" s="53" t="s">
        <v>31</v>
      </c>
      <c r="E171" s="53" t="s">
        <v>21</v>
      </c>
      <c r="F171" s="73">
        <f t="shared" si="88"/>
        <v>2.5387109489411364E-2</v>
      </c>
      <c r="G171" s="60">
        <f t="shared" si="89"/>
        <v>3.5081786147126523E-2</v>
      </c>
      <c r="H171" s="60">
        <f t="shared" si="90"/>
        <v>4.2190452804980322E-2</v>
      </c>
      <c r="I171" s="60">
        <f t="shared" si="91"/>
        <v>4.6979160902847039E-2</v>
      </c>
      <c r="J171" s="63">
        <f t="shared" si="92"/>
        <v>5.209056311289996E-2</v>
      </c>
      <c r="K171" s="60" t="str">
        <f t="shared" si="93"/>
        <v/>
      </c>
      <c r="L171" s="60">
        <f t="shared" si="94"/>
        <v>6.6725500471265208E-3</v>
      </c>
      <c r="M171" s="60">
        <f t="shared" si="95"/>
        <v>1.3058121404980323E-2</v>
      </c>
      <c r="N171" s="60">
        <f t="shared" si="96"/>
        <v>1.6917600302847034E-2</v>
      </c>
      <c r="O171" s="63">
        <f t="shared" si="97"/>
        <v>2.0641271612899959E-2</v>
      </c>
      <c r="P171" s="55" t="s">
        <v>21</v>
      </c>
      <c r="Q171" s="53" t="s">
        <v>21</v>
      </c>
      <c r="R171" s="94" t="s">
        <v>21</v>
      </c>
      <c r="S171" s="71" t="s">
        <v>21</v>
      </c>
      <c r="T171" s="63" t="str">
        <f t="shared" si="98"/>
        <v/>
      </c>
      <c r="V171" s="114">
        <v>1.1504785499999999</v>
      </c>
      <c r="W171" s="72">
        <v>2.93250791</v>
      </c>
      <c r="X171" s="72">
        <v>4.5059587399999996</v>
      </c>
      <c r="Y171" s="72">
        <v>5.8402438800000001</v>
      </c>
      <c r="Z171" s="115">
        <v>7.4518242600000004</v>
      </c>
      <c r="AB171" s="73">
        <v>2.5387109489411364E-2</v>
      </c>
      <c r="AC171" s="71">
        <v>3.5081786147126523E-2</v>
      </c>
      <c r="AD171" s="71">
        <v>4.2190452804980322E-2</v>
      </c>
      <c r="AE171" s="71">
        <v>4.6979160902847039E-2</v>
      </c>
      <c r="AF171" s="63">
        <v>5.209056311289996E-2</v>
      </c>
      <c r="AG171" s="71" t="s">
        <v>21</v>
      </c>
      <c r="AH171" s="71">
        <v>6.6725500471265208E-3</v>
      </c>
      <c r="AI171" s="71">
        <v>1.3058121404980323E-2</v>
      </c>
      <c r="AJ171" s="71">
        <v>1.6917600302847034E-2</v>
      </c>
      <c r="AK171" s="63">
        <v>2.0641271612899959E-2</v>
      </c>
    </row>
    <row r="172" spans="2:37" x14ac:dyDescent="0.35">
      <c r="B172" s="55" t="s">
        <v>239</v>
      </c>
      <c r="C172" s="53" t="s">
        <v>234</v>
      </c>
      <c r="D172" s="53" t="s">
        <v>43</v>
      </c>
      <c r="E172" s="53" t="s">
        <v>110</v>
      </c>
      <c r="F172" s="73">
        <f t="shared" si="88"/>
        <v>2.5284815870360734E-2</v>
      </c>
      <c r="G172" s="60">
        <f t="shared" si="89"/>
        <v>3.4772613908453716E-2</v>
      </c>
      <c r="H172" s="60">
        <f t="shared" si="90"/>
        <v>4.2030124966705017E-2</v>
      </c>
      <c r="I172" s="60">
        <f t="shared" si="91"/>
        <v>4.6445452939182792E-2</v>
      </c>
      <c r="J172" s="63">
        <f t="shared" si="92"/>
        <v>5.0645698536583995E-2</v>
      </c>
      <c r="K172" s="60" t="str">
        <f t="shared" si="93"/>
        <v/>
      </c>
      <c r="L172" s="60">
        <f t="shared" si="94"/>
        <v>6.376762008453718E-3</v>
      </c>
      <c r="M172" s="60">
        <f t="shared" si="95"/>
        <v>1.2905850866705013E-2</v>
      </c>
      <c r="N172" s="60">
        <f t="shared" si="96"/>
        <v>1.6410403539182793E-2</v>
      </c>
      <c r="O172" s="63">
        <f t="shared" si="97"/>
        <v>1.9263408336583996E-2</v>
      </c>
      <c r="P172" s="55" t="s">
        <v>21</v>
      </c>
      <c r="Q172" s="53" t="s">
        <v>21</v>
      </c>
      <c r="R172" s="94" t="s">
        <v>21</v>
      </c>
      <c r="S172" s="71" t="s">
        <v>21</v>
      </c>
      <c r="T172" s="63" t="str">
        <f t="shared" si="98"/>
        <v/>
      </c>
      <c r="V172" s="114">
        <v>1.1506440099999999</v>
      </c>
      <c r="W172" s="72">
        <v>2.9343417999999999</v>
      </c>
      <c r="X172" s="72">
        <v>4.5100862800000003</v>
      </c>
      <c r="Y172" s="72">
        <v>5.8518793200000001</v>
      </c>
      <c r="Z172" s="115">
        <v>7.4993760099999998</v>
      </c>
      <c r="AB172" s="73">
        <v>2.5284815870360734E-2</v>
      </c>
      <c r="AC172" s="71">
        <v>3.4772613908453716E-2</v>
      </c>
      <c r="AD172" s="71">
        <v>4.2030124966705017E-2</v>
      </c>
      <c r="AE172" s="71">
        <v>4.6445452939182792E-2</v>
      </c>
      <c r="AF172" s="63">
        <v>5.0645698536583995E-2</v>
      </c>
      <c r="AG172" s="71" t="s">
        <v>21</v>
      </c>
      <c r="AH172" s="71">
        <v>6.376762008453718E-3</v>
      </c>
      <c r="AI172" s="71">
        <v>1.2905850866705013E-2</v>
      </c>
      <c r="AJ172" s="71">
        <v>1.6410403539182793E-2</v>
      </c>
      <c r="AK172" s="63">
        <v>1.9263408336583996E-2</v>
      </c>
    </row>
    <row r="173" spans="2:37" x14ac:dyDescent="0.35">
      <c r="B173" s="55" t="s">
        <v>331</v>
      </c>
      <c r="C173" s="53" t="s">
        <v>234</v>
      </c>
      <c r="D173" s="53" t="s">
        <v>62</v>
      </c>
      <c r="E173" s="53" t="s">
        <v>21</v>
      </c>
      <c r="F173" s="73">
        <f t="shared" si="88"/>
        <v>2.5607337099625736E-2</v>
      </c>
      <c r="G173" s="60">
        <f t="shared" si="89"/>
        <v>3.4603592201752409E-2</v>
      </c>
      <c r="H173" s="60">
        <f t="shared" si="90"/>
        <v>4.1824377698255054E-2</v>
      </c>
      <c r="I173" s="60">
        <f t="shared" si="91"/>
        <v>4.5882464505328929E-2</v>
      </c>
      <c r="J173" s="63">
        <f t="shared" si="92"/>
        <v>5.0603773933399168E-2</v>
      </c>
      <c r="K173" s="60" t="str">
        <f t="shared" si="93"/>
        <v/>
      </c>
      <c r="L173" s="60">
        <f t="shared" si="94"/>
        <v>6.2137849017524028E-3</v>
      </c>
      <c r="M173" s="60">
        <f t="shared" si="95"/>
        <v>1.2708380298255049E-2</v>
      </c>
      <c r="N173" s="60">
        <f t="shared" si="96"/>
        <v>1.5875562705328923E-2</v>
      </c>
      <c r="O173" s="63">
        <f t="shared" si="97"/>
        <v>1.9237475533399176E-2</v>
      </c>
      <c r="P173" s="55" t="s">
        <v>21</v>
      </c>
      <c r="Q173" s="53" t="s">
        <v>21</v>
      </c>
      <c r="R173" s="94" t="s">
        <v>21</v>
      </c>
      <c r="S173" s="71" t="s">
        <v>21</v>
      </c>
      <c r="T173" s="63" t="str">
        <f t="shared" si="98"/>
        <v/>
      </c>
      <c r="V173" s="114">
        <v>1.1500094199999999</v>
      </c>
      <c r="W173" s="72">
        <v>2.9343098099999998</v>
      </c>
      <c r="X173" s="72">
        <v>4.5126188799999998</v>
      </c>
      <c r="Y173" s="72">
        <v>5.8553811599999994</v>
      </c>
      <c r="Z173" s="115">
        <v>7.4762888599999995</v>
      </c>
      <c r="AB173" s="73">
        <v>2.5607337099625736E-2</v>
      </c>
      <c r="AC173" s="71">
        <v>3.4603592201752409E-2</v>
      </c>
      <c r="AD173" s="71">
        <v>4.1824377698255054E-2</v>
      </c>
      <c r="AE173" s="71">
        <v>4.5882464505328929E-2</v>
      </c>
      <c r="AF173" s="63">
        <v>5.0603773933399168E-2</v>
      </c>
      <c r="AG173" s="71" t="s">
        <v>21</v>
      </c>
      <c r="AH173" s="71">
        <v>6.2137849017524028E-3</v>
      </c>
      <c r="AI173" s="71">
        <v>1.2708380298255049E-2</v>
      </c>
      <c r="AJ173" s="71">
        <v>1.5875562705328923E-2</v>
      </c>
      <c r="AK173" s="63">
        <v>1.9237475533399176E-2</v>
      </c>
    </row>
    <row r="174" spans="2:37" x14ac:dyDescent="0.35">
      <c r="B174" s="55" t="s">
        <v>373</v>
      </c>
      <c r="C174" s="53" t="s">
        <v>234</v>
      </c>
      <c r="D174" s="53" t="s">
        <v>20</v>
      </c>
      <c r="E174" s="53" t="s">
        <v>21</v>
      </c>
      <c r="F174" s="73">
        <f t="shared" ref="F174:F276" si="110">IF(ISNUMBER(AB174),AB174-((C$4-C$3)/V174),"")</f>
        <v>2.3529383449985741E-2</v>
      </c>
      <c r="G174" s="60">
        <f t="shared" ref="G174:G276" si="111">IF(ISNUMBER(AC174),AC174-((D$4-D$3)/W174),"")</f>
        <v>3.0341900943928145E-2</v>
      </c>
      <c r="H174" s="60">
        <f t="shared" ref="H174:H276" si="112">IF(ISNUMBER(AD174),AD174-((E$4-E$3)/X174),"")</f>
        <v>3.4446093418967427E-2</v>
      </c>
      <c r="I174" s="60">
        <f t="shared" ref="I174:I276" si="113">IF(ISNUMBER(AE174),AE174-((F$4-F$3)/Y174),"")</f>
        <v>3.6798437279522249E-2</v>
      </c>
      <c r="J174" s="63">
        <f t="shared" ref="J174:J276" si="114">IF(ISNUMBER(AF174),AF174-((G$4-G$3)/Z174),"")</f>
        <v>3.935824004163499E-2</v>
      </c>
      <c r="K174" s="60" t="str">
        <f t="shared" ref="K174:K276" si="115">IF(ISNUMBER(AG174),IF(AG174-((C$4-C$3)/V174)&lt;0,"",AG174-((C$4-C$3)/V174)),"")</f>
        <v/>
      </c>
      <c r="L174" s="60">
        <f t="shared" ref="L174:L276" si="116">IF(ISNUMBER(AH174),IF(AH174-((D$4-D$3)/W174)&lt;0,"",AH174-((D$4-D$3)/W174)),"")</f>
        <v>2.0781818439281523E-3</v>
      </c>
      <c r="M174" s="60">
        <f t="shared" ref="M174:M276" si="117">IF(ISNUMBER(AI174),IF(AI174-((E$4-E$3)/X174)&lt;0,"",AI174-((E$4-E$3)/X174)),"")</f>
        <v>5.5742890189674306E-3</v>
      </c>
      <c r="N174" s="60">
        <f t="shared" ref="N174:N276" si="118">IF(ISNUMBER(AJ174),IF(AJ174-((F$4-F$3)/Y174)&lt;0,"",AJ174-((F$4-F$3)/Y174)),"")</f>
        <v>7.104848479522253E-3</v>
      </c>
      <c r="O174" s="63">
        <f t="shared" ref="O174:O276" si="119">IF(ISNUMBER(AK174),IF(AK174-((G$4-G$3)/Z174)&lt;0,"",AK174-((G$4-G$3)/Z174)),"")</f>
        <v>8.3241670416349927E-3</v>
      </c>
      <c r="P174" s="55" t="s">
        <v>21</v>
      </c>
      <c r="Q174" s="53" t="s">
        <v>21</v>
      </c>
      <c r="R174" s="94" t="s">
        <v>21</v>
      </c>
      <c r="S174" s="71" t="s">
        <v>21</v>
      </c>
      <c r="T174" s="63" t="str">
        <f t="shared" si="98"/>
        <v/>
      </c>
      <c r="V174" s="114">
        <v>1.1531235500000001</v>
      </c>
      <c r="W174" s="72">
        <v>2.96416258</v>
      </c>
      <c r="X174" s="72">
        <v>4.6226725399999999</v>
      </c>
      <c r="Y174" s="72">
        <v>6.1111435300000005</v>
      </c>
      <c r="Z174" s="115">
        <v>8.0629374000000009</v>
      </c>
      <c r="AB174" s="73">
        <v>2.3529383449985741E-2</v>
      </c>
      <c r="AC174" s="71">
        <v>3.0341900943928145E-2</v>
      </c>
      <c r="AD174" s="71">
        <v>3.4446093418967427E-2</v>
      </c>
      <c r="AE174" s="71">
        <v>3.6798437279522249E-2</v>
      </c>
      <c r="AF174" s="63">
        <v>3.935824004163499E-2</v>
      </c>
      <c r="AG174" s="71" t="s">
        <v>21</v>
      </c>
      <c r="AH174" s="71">
        <v>2.0781818439281523E-3</v>
      </c>
      <c r="AI174" s="71">
        <v>5.5742890189674306E-3</v>
      </c>
      <c r="AJ174" s="71">
        <v>7.104848479522253E-3</v>
      </c>
      <c r="AK174" s="63">
        <v>8.3241670416349927E-3</v>
      </c>
    </row>
    <row r="175" spans="2:37" x14ac:dyDescent="0.35">
      <c r="B175" s="55" t="s">
        <v>137</v>
      </c>
      <c r="C175" s="53" t="s">
        <v>234</v>
      </c>
      <c r="D175" s="53" t="s">
        <v>31</v>
      </c>
      <c r="E175" s="53" t="s">
        <v>81</v>
      </c>
      <c r="F175" s="73">
        <f t="shared" si="110"/>
        <v>2.537403093106912E-2</v>
      </c>
      <c r="G175" s="60">
        <f t="shared" si="111"/>
        <v>3.3768577340734324E-2</v>
      </c>
      <c r="H175" s="60">
        <f t="shared" si="112"/>
        <v>4.0485285598380244E-2</v>
      </c>
      <c r="I175" s="60">
        <f t="shared" si="113"/>
        <v>4.4183144208538028E-2</v>
      </c>
      <c r="J175" s="63">
        <f t="shared" si="114"/>
        <v>4.8638521932703724E-2</v>
      </c>
      <c r="K175" s="60" t="str">
        <f t="shared" si="115"/>
        <v/>
      </c>
      <c r="L175" s="60">
        <f t="shared" si="116"/>
        <v>5.4118061407343199E-3</v>
      </c>
      <c r="M175" s="60">
        <f t="shared" si="117"/>
        <v>1.1425610598380247E-2</v>
      </c>
      <c r="N175" s="60">
        <f t="shared" si="118"/>
        <v>1.424944990853803E-2</v>
      </c>
      <c r="O175" s="63">
        <f t="shared" si="119"/>
        <v>1.7336354732703722E-2</v>
      </c>
      <c r="P175" s="55" t="s">
        <v>490</v>
      </c>
      <c r="Q175" s="53" t="s">
        <v>491</v>
      </c>
      <c r="R175" s="94" t="s">
        <v>32</v>
      </c>
      <c r="S175" s="71">
        <v>3.4731619999999998E-2</v>
      </c>
      <c r="T175" s="63">
        <f t="shared" si="98"/>
        <v>5.7536655983802462E-3</v>
      </c>
      <c r="V175" s="114">
        <v>1.15040827</v>
      </c>
      <c r="W175" s="72">
        <v>2.9403774</v>
      </c>
      <c r="X175" s="72">
        <v>4.5342362700000001</v>
      </c>
      <c r="Y175" s="72">
        <v>5.9107280600000003</v>
      </c>
      <c r="Z175" s="115">
        <v>7.6153487000000002</v>
      </c>
      <c r="AB175" s="73">
        <v>2.537403093106912E-2</v>
      </c>
      <c r="AC175" s="71">
        <v>3.3768577340734324E-2</v>
      </c>
      <c r="AD175" s="71">
        <v>4.0485285598380244E-2</v>
      </c>
      <c r="AE175" s="71">
        <v>4.4183144208538028E-2</v>
      </c>
      <c r="AF175" s="63">
        <v>4.8638521932703724E-2</v>
      </c>
      <c r="AG175" s="71" t="s">
        <v>21</v>
      </c>
      <c r="AH175" s="71">
        <v>5.4118061407343199E-3</v>
      </c>
      <c r="AI175" s="71">
        <v>1.1425610598380247E-2</v>
      </c>
      <c r="AJ175" s="71">
        <v>1.424944990853803E-2</v>
      </c>
      <c r="AK175" s="63">
        <v>1.7336354732703722E-2</v>
      </c>
    </row>
    <row r="176" spans="2:37" x14ac:dyDescent="0.35">
      <c r="B176" s="55" t="s">
        <v>242</v>
      </c>
      <c r="C176" s="53" t="s">
        <v>234</v>
      </c>
      <c r="D176" s="53" t="s">
        <v>20</v>
      </c>
      <c r="E176" s="53" t="s">
        <v>21</v>
      </c>
      <c r="F176" s="73">
        <f t="shared" si="110"/>
        <v>2.4612923446689992E-2</v>
      </c>
      <c r="G176" s="60">
        <f t="shared" si="111"/>
        <v>3.397647888810898E-2</v>
      </c>
      <c r="H176" s="60">
        <f t="shared" si="112"/>
        <v>4.2218655993925096E-2</v>
      </c>
      <c r="I176" s="60">
        <f t="shared" si="113"/>
        <v>4.5864846832838001E-2</v>
      </c>
      <c r="J176" s="63">
        <f t="shared" si="114"/>
        <v>4.984654097265015E-2</v>
      </c>
      <c r="K176" s="60" t="str">
        <f t="shared" si="115"/>
        <v/>
      </c>
      <c r="L176" s="60">
        <f t="shared" si="116"/>
        <v>5.5923483881089846E-3</v>
      </c>
      <c r="M176" s="60">
        <f t="shared" si="117"/>
        <v>1.3065628693925095E-2</v>
      </c>
      <c r="N176" s="60">
        <f t="shared" si="118"/>
        <v>1.5837209632838006E-2</v>
      </c>
      <c r="O176" s="63">
        <f t="shared" si="119"/>
        <v>1.8480706872650153E-2</v>
      </c>
      <c r="P176" s="55" t="s">
        <v>21</v>
      </c>
      <c r="Q176" s="53" t="s">
        <v>21</v>
      </c>
      <c r="R176" s="94" t="s">
        <v>21</v>
      </c>
      <c r="S176" s="71" t="s">
        <v>21</v>
      </c>
      <c r="T176" s="63" t="str">
        <f t="shared" si="98"/>
        <v/>
      </c>
      <c r="V176" s="114">
        <v>1.15096362</v>
      </c>
      <c r="W176" s="72">
        <v>2.9374459399999999</v>
      </c>
      <c r="X176" s="72">
        <v>4.5078033400000006</v>
      </c>
      <c r="Y176" s="72">
        <v>5.8468980200000003</v>
      </c>
      <c r="Z176" s="115">
        <v>7.4998753599999999</v>
      </c>
      <c r="AB176" s="73">
        <v>2.4612923446689992E-2</v>
      </c>
      <c r="AC176" s="71">
        <v>3.397647888810898E-2</v>
      </c>
      <c r="AD176" s="71">
        <v>4.2218655993925096E-2</v>
      </c>
      <c r="AE176" s="71">
        <v>4.5864846832838001E-2</v>
      </c>
      <c r="AF176" s="63">
        <v>4.984654097265015E-2</v>
      </c>
      <c r="AG176" s="71" t="s">
        <v>21</v>
      </c>
      <c r="AH176" s="71">
        <v>5.5923483881089846E-3</v>
      </c>
      <c r="AI176" s="71">
        <v>1.3065628693925095E-2</v>
      </c>
      <c r="AJ176" s="71">
        <v>1.5837209632838006E-2</v>
      </c>
      <c r="AK176" s="63">
        <v>1.8480706872650153E-2</v>
      </c>
    </row>
    <row r="177" spans="2:37" x14ac:dyDescent="0.35">
      <c r="B177" s="55" t="s">
        <v>151</v>
      </c>
      <c r="C177" s="53" t="s">
        <v>234</v>
      </c>
      <c r="D177" s="53" t="s">
        <v>43</v>
      </c>
      <c r="E177" s="53" t="s">
        <v>21</v>
      </c>
      <c r="F177" s="73">
        <f t="shared" si="110"/>
        <v>2.5595236677143803E-2</v>
      </c>
      <c r="G177" s="60">
        <f t="shared" si="111"/>
        <v>3.3920082125781577E-2</v>
      </c>
      <c r="H177" s="60">
        <f t="shared" si="112"/>
        <v>4.0191156898906059E-2</v>
      </c>
      <c r="I177" s="60">
        <f t="shared" si="113"/>
        <v>4.4088593190388443E-2</v>
      </c>
      <c r="J177" s="63">
        <f t="shared" si="114"/>
        <v>4.9095171134233707E-2</v>
      </c>
      <c r="K177" s="60" t="str">
        <f t="shared" si="115"/>
        <v/>
      </c>
      <c r="L177" s="60">
        <f t="shared" si="116"/>
        <v>5.5533488257815782E-3</v>
      </c>
      <c r="M177" s="60">
        <f t="shared" si="117"/>
        <v>1.113958839890606E-2</v>
      </c>
      <c r="N177" s="60">
        <f t="shared" si="118"/>
        <v>1.4155181190388458E-2</v>
      </c>
      <c r="O177" s="63">
        <f t="shared" si="119"/>
        <v>1.7770084634233706E-2</v>
      </c>
      <c r="P177" s="55" t="s">
        <v>21</v>
      </c>
      <c r="Q177" s="53" t="s">
        <v>21</v>
      </c>
      <c r="R177" s="94" t="s">
        <v>21</v>
      </c>
      <c r="S177" s="71" t="s">
        <v>21</v>
      </c>
      <c r="T177" s="63" t="str">
        <f t="shared" si="98"/>
        <v/>
      </c>
      <c r="V177" s="114">
        <v>1.1500647500000001</v>
      </c>
      <c r="W177" s="72">
        <v>2.9388263299999999</v>
      </c>
      <c r="X177" s="72">
        <v>4.5355542899999994</v>
      </c>
      <c r="Y177" s="72">
        <v>5.9144470499999997</v>
      </c>
      <c r="Z177" s="115">
        <v>7.6086873299999995</v>
      </c>
      <c r="AB177" s="73">
        <v>2.5595236677143803E-2</v>
      </c>
      <c r="AC177" s="71">
        <v>3.3920082125781577E-2</v>
      </c>
      <c r="AD177" s="71">
        <v>4.0191156898906059E-2</v>
      </c>
      <c r="AE177" s="71">
        <v>4.4088593190388443E-2</v>
      </c>
      <c r="AF177" s="63">
        <v>4.9095171134233707E-2</v>
      </c>
      <c r="AG177" s="71" t="s">
        <v>21</v>
      </c>
      <c r="AH177" s="71">
        <v>5.5533488257815782E-3</v>
      </c>
      <c r="AI177" s="71">
        <v>1.113958839890606E-2</v>
      </c>
      <c r="AJ177" s="71">
        <v>1.4155181190388458E-2</v>
      </c>
      <c r="AK177" s="63">
        <v>1.7770084634233706E-2</v>
      </c>
    </row>
    <row r="178" spans="2:37" x14ac:dyDescent="0.35">
      <c r="B178" s="55" t="s">
        <v>142</v>
      </c>
      <c r="C178" s="53" t="s">
        <v>234</v>
      </c>
      <c r="D178" s="53" t="s">
        <v>53</v>
      </c>
      <c r="E178" s="53" t="s">
        <v>123</v>
      </c>
      <c r="F178" s="73">
        <f t="shared" si="110"/>
        <v>2.5016639538473308E-2</v>
      </c>
      <c r="G178" s="60">
        <f t="shared" si="111"/>
        <v>3.3773567377601947E-2</v>
      </c>
      <c r="H178" s="60">
        <f t="shared" si="112"/>
        <v>4.0134188816776536E-2</v>
      </c>
      <c r="I178" s="60">
        <f t="shared" si="113"/>
        <v>4.4128977542898323E-2</v>
      </c>
      <c r="J178" s="63">
        <f t="shared" si="114"/>
        <v>4.8951742832803763E-2</v>
      </c>
      <c r="K178" s="60" t="str">
        <f t="shared" si="115"/>
        <v/>
      </c>
      <c r="L178" s="60">
        <f t="shared" si="116"/>
        <v>5.41533657760194E-3</v>
      </c>
      <c r="M178" s="60">
        <f t="shared" si="117"/>
        <v>1.1087362116776538E-2</v>
      </c>
      <c r="N178" s="60">
        <f t="shared" si="118"/>
        <v>1.4196200142898335E-2</v>
      </c>
      <c r="O178" s="63">
        <f t="shared" si="119"/>
        <v>1.763584113280376E-2</v>
      </c>
      <c r="P178" s="55" t="s">
        <v>492</v>
      </c>
      <c r="Q178" s="53" t="s">
        <v>493</v>
      </c>
      <c r="R178" s="94" t="s">
        <v>32</v>
      </c>
      <c r="S178" s="71">
        <v>4.0181550000000003E-2</v>
      </c>
      <c r="T178" s="63">
        <f t="shared" si="98"/>
        <v>-4.7361183223466885E-5</v>
      </c>
      <c r="V178" s="114">
        <v>1.1511428699999999</v>
      </c>
      <c r="W178" s="72">
        <v>2.9409841400000003</v>
      </c>
      <c r="X178" s="72">
        <v>4.5384966899999997</v>
      </c>
      <c r="Y178" s="72">
        <v>5.9166950800000002</v>
      </c>
      <c r="Z178" s="115">
        <v>7.61347548</v>
      </c>
      <c r="AB178" s="73">
        <v>2.5016639538473308E-2</v>
      </c>
      <c r="AC178" s="71">
        <v>3.3773567377601947E-2</v>
      </c>
      <c r="AD178" s="71">
        <v>4.0134188816776536E-2</v>
      </c>
      <c r="AE178" s="71">
        <v>4.4128977542898323E-2</v>
      </c>
      <c r="AF178" s="63">
        <v>4.8951742832803763E-2</v>
      </c>
      <c r="AG178" s="71" t="s">
        <v>21</v>
      </c>
      <c r="AH178" s="71">
        <v>5.41533657760194E-3</v>
      </c>
      <c r="AI178" s="71">
        <v>1.1087362116776538E-2</v>
      </c>
      <c r="AJ178" s="71">
        <v>1.4196200142898335E-2</v>
      </c>
      <c r="AK178" s="63">
        <v>1.763584113280376E-2</v>
      </c>
    </row>
    <row r="179" spans="2:37" s="53" customFormat="1" x14ac:dyDescent="0.35">
      <c r="B179" s="55" t="s">
        <v>341</v>
      </c>
      <c r="C179" s="53" t="s">
        <v>234</v>
      </c>
      <c r="D179" s="53" t="s">
        <v>69</v>
      </c>
      <c r="E179" s="53" t="s">
        <v>21</v>
      </c>
      <c r="F179" s="73">
        <f t="shared" ref="F179:F194" si="120">IF(ISNUMBER(AB179),AB179-((C$4-C$3)/V179),"")</f>
        <v>2.5003486188334308E-2</v>
      </c>
      <c r="G179" s="60">
        <f t="shared" ref="G179:G194" si="121">IF(ISNUMBER(AC179),AC179-((D$4-D$3)/W179),"")</f>
        <v>3.3736110181906545E-2</v>
      </c>
      <c r="H179" s="60">
        <f t="shared" ref="H179:H194" si="122">IF(ISNUMBER(AD179),AD179-((E$4-E$3)/X179),"")</f>
        <v>4.0088169181119397E-2</v>
      </c>
      <c r="I179" s="60">
        <f t="shared" ref="I179:I194" si="123">IF(ISNUMBER(AE179),AE179-((F$4-F$3)/Y179),"")</f>
        <v>4.3505558964068276E-2</v>
      </c>
      <c r="J179" s="63">
        <f t="shared" ref="J179:J194" si="124">IF(ISNUMBER(AF179),AF179-((G$4-G$3)/Z179),"")</f>
        <v>4.7861048646738416E-2</v>
      </c>
      <c r="K179" s="60" t="str">
        <f t="shared" ref="K179:K194" si="125">IF(ISNUMBER(AG179),IF(AG179-((C$4-C$3)/V179)&lt;0,"",AG179-((C$4-C$3)/V179)),"")</f>
        <v/>
      </c>
      <c r="L179" s="60">
        <f t="shared" ref="L179:L194" si="126">IF(ISNUMBER(AH179),IF(AH179-((D$4-D$3)/W179)&lt;0,"",AH179-((D$4-D$3)/W179)),"")</f>
        <v>5.3756297819065411E-3</v>
      </c>
      <c r="M179" s="60">
        <f t="shared" ref="M179:M194" si="127">IF(ISNUMBER(AI179),IF(AI179-((E$4-E$3)/X179)&lt;0,"",AI179-((E$4-E$3)/X179)),"")</f>
        <v>1.1040622081119399E-2</v>
      </c>
      <c r="N179" s="60">
        <f t="shared" ref="N179:N194" si="128">IF(ISNUMBER(AJ179),IF(AJ179-((F$4-F$3)/Y179)&lt;0,"",AJ179-((F$4-F$3)/Y179)),"")</f>
        <v>1.3597178164068281E-2</v>
      </c>
      <c r="O179" s="63">
        <f t="shared" ref="O179:O194" si="129">IF(ISNUMBER(AK179),IF(AK179-((G$4-G$3)/Z179)&lt;0,"",AK179-((G$4-G$3)/Z179)),"")</f>
        <v>1.6585584746738411E-2</v>
      </c>
      <c r="P179" s="55" t="s">
        <v>494</v>
      </c>
      <c r="Q179" s="53" t="s">
        <v>495</v>
      </c>
      <c r="R179" s="94" t="s">
        <v>32</v>
      </c>
      <c r="S179" s="71">
        <v>3.7145410000000004E-2</v>
      </c>
      <c r="T179" s="63">
        <f t="shared" ref="T179:T194" si="130">IF(S179="","",H179-S179)</f>
        <v>2.9427591811193934E-3</v>
      </c>
      <c r="V179" s="114">
        <v>1.15124026</v>
      </c>
      <c r="W179" s="72">
        <v>2.9420995799999998</v>
      </c>
      <c r="X179" s="72">
        <v>4.5401644999999995</v>
      </c>
      <c r="Y179" s="72">
        <v>5.9272463100000001</v>
      </c>
      <c r="Z179" s="115">
        <v>7.6539524100000005</v>
      </c>
      <c r="AB179" s="73">
        <v>2.5003486188334308E-2</v>
      </c>
      <c r="AC179" s="71">
        <v>3.3736110181906545E-2</v>
      </c>
      <c r="AD179" s="71">
        <v>4.0088169181119397E-2</v>
      </c>
      <c r="AE179" s="71">
        <v>4.3505558964068276E-2</v>
      </c>
      <c r="AF179" s="63">
        <v>4.7861048646738416E-2</v>
      </c>
      <c r="AG179" s="71" t="s">
        <v>21</v>
      </c>
      <c r="AH179" s="71">
        <v>5.3756297819065411E-3</v>
      </c>
      <c r="AI179" s="71">
        <v>1.1040622081119399E-2</v>
      </c>
      <c r="AJ179" s="71">
        <v>1.3597178164068281E-2</v>
      </c>
      <c r="AK179" s="63">
        <v>1.6585584746738411E-2</v>
      </c>
    </row>
    <row r="180" spans="2:37" s="53" customFormat="1" x14ac:dyDescent="0.35">
      <c r="B180" s="55" t="s">
        <v>343</v>
      </c>
      <c r="C180" s="53" t="s">
        <v>234</v>
      </c>
      <c r="D180" s="53" t="s">
        <v>20</v>
      </c>
      <c r="E180" s="53" t="s">
        <v>339</v>
      </c>
      <c r="F180" s="73">
        <f t="shared" si="120"/>
        <v>2.4712442088050138E-2</v>
      </c>
      <c r="G180" s="60">
        <f t="shared" si="121"/>
        <v>3.3385189940249277E-2</v>
      </c>
      <c r="H180" s="60">
        <f t="shared" si="122"/>
        <v>3.9877305845584701E-2</v>
      </c>
      <c r="I180" s="60">
        <f t="shared" si="123"/>
        <v>4.349554492286932E-2</v>
      </c>
      <c r="J180" s="63">
        <f t="shared" si="124"/>
        <v>4.7843709126134733E-2</v>
      </c>
      <c r="K180" s="60" t="str">
        <f t="shared" si="125"/>
        <v/>
      </c>
      <c r="L180" s="60">
        <f t="shared" si="126"/>
        <v>5.0237745402492741E-3</v>
      </c>
      <c r="M180" s="60">
        <f t="shared" si="127"/>
        <v>1.0821490645584698E-2</v>
      </c>
      <c r="N180" s="60">
        <f t="shared" si="128"/>
        <v>1.3570066122869314E-2</v>
      </c>
      <c r="O180" s="63">
        <f t="shared" si="129"/>
        <v>1.6552998226134742E-2</v>
      </c>
      <c r="P180" s="55" t="s">
        <v>21</v>
      </c>
      <c r="Q180" s="53" t="s">
        <v>21</v>
      </c>
      <c r="R180" s="94" t="s">
        <v>21</v>
      </c>
      <c r="S180" s="71" t="s">
        <v>21</v>
      </c>
      <c r="T180" s="63" t="str">
        <f t="shared" si="130"/>
        <v/>
      </c>
      <c r="V180" s="114">
        <v>1.15074539</v>
      </c>
      <c r="W180" s="72">
        <v>2.9401720099999999</v>
      </c>
      <c r="X180" s="72">
        <v>4.5357432599999994</v>
      </c>
      <c r="Y180" s="72">
        <v>5.9138158000000001</v>
      </c>
      <c r="Z180" s="115">
        <v>7.6271188700000003</v>
      </c>
      <c r="AB180" s="73">
        <v>2.4712442088050138E-2</v>
      </c>
      <c r="AC180" s="71">
        <v>3.3385189940249277E-2</v>
      </c>
      <c r="AD180" s="71">
        <v>3.9877305845584701E-2</v>
      </c>
      <c r="AE180" s="71">
        <v>4.349554492286932E-2</v>
      </c>
      <c r="AF180" s="63">
        <v>4.7843709126134733E-2</v>
      </c>
      <c r="AG180" s="71" t="s">
        <v>21</v>
      </c>
      <c r="AH180" s="71">
        <v>5.0237745402492741E-3</v>
      </c>
      <c r="AI180" s="71">
        <v>1.0821490645584698E-2</v>
      </c>
      <c r="AJ180" s="71">
        <v>1.3570066122869314E-2</v>
      </c>
      <c r="AK180" s="63">
        <v>1.6552998226134742E-2</v>
      </c>
    </row>
    <row r="181" spans="2:37" s="53" customFormat="1" x14ac:dyDescent="0.35">
      <c r="B181" s="55" t="s">
        <v>150</v>
      </c>
      <c r="C181" s="53" t="s">
        <v>234</v>
      </c>
      <c r="D181" s="53" t="s">
        <v>53</v>
      </c>
      <c r="E181" s="53" t="s">
        <v>21</v>
      </c>
      <c r="F181" s="73">
        <f t="shared" si="120"/>
        <v>2.5394584839572857E-2</v>
      </c>
      <c r="G181" s="60">
        <f t="shared" si="121"/>
        <v>3.3731608395797794E-2</v>
      </c>
      <c r="H181" s="60">
        <f t="shared" si="122"/>
        <v>3.982754828373343E-2</v>
      </c>
      <c r="I181" s="60">
        <f t="shared" si="123"/>
        <v>4.3543530185145535E-2</v>
      </c>
      <c r="J181" s="63">
        <f t="shared" si="124"/>
        <v>4.7900548788526766E-2</v>
      </c>
      <c r="K181" s="60" t="str">
        <f t="shared" si="125"/>
        <v/>
      </c>
      <c r="L181" s="60">
        <f t="shared" si="126"/>
        <v>5.373956195797799E-3</v>
      </c>
      <c r="M181" s="60">
        <f t="shared" si="127"/>
        <v>1.0791784683733437E-2</v>
      </c>
      <c r="N181" s="60">
        <f t="shared" si="128"/>
        <v>1.363423538514553E-2</v>
      </c>
      <c r="O181" s="63">
        <f t="shared" si="129"/>
        <v>1.6624925188526773E-2</v>
      </c>
      <c r="P181" s="55" t="s">
        <v>496</v>
      </c>
      <c r="Q181" s="53" t="s">
        <v>497</v>
      </c>
      <c r="R181" s="94">
        <v>47498</v>
      </c>
      <c r="S181" s="71">
        <v>3.3672279999999999E-2</v>
      </c>
      <c r="T181" s="63">
        <f t="shared" si="130"/>
        <v>6.155268283733431E-3</v>
      </c>
      <c r="V181" s="114">
        <v>1.1504120600000001</v>
      </c>
      <c r="W181" s="72">
        <v>2.9406398899999999</v>
      </c>
      <c r="X181" s="72">
        <v>4.5414696399999999</v>
      </c>
      <c r="Y181" s="72">
        <v>5.9287682400000001</v>
      </c>
      <c r="Z181" s="115">
        <v>7.6537168099999997</v>
      </c>
      <c r="AB181" s="73">
        <v>2.5394584839572857E-2</v>
      </c>
      <c r="AC181" s="71">
        <v>3.3731608395797794E-2</v>
      </c>
      <c r="AD181" s="71">
        <v>3.982754828373343E-2</v>
      </c>
      <c r="AE181" s="71">
        <v>4.3543530185145535E-2</v>
      </c>
      <c r="AF181" s="63">
        <v>4.7900548788526766E-2</v>
      </c>
      <c r="AG181" s="71" t="s">
        <v>21</v>
      </c>
      <c r="AH181" s="71">
        <v>5.373956195797799E-3</v>
      </c>
      <c r="AI181" s="71">
        <v>1.0791784683733437E-2</v>
      </c>
      <c r="AJ181" s="71">
        <v>1.363423538514553E-2</v>
      </c>
      <c r="AK181" s="63">
        <v>1.6624925188526773E-2</v>
      </c>
    </row>
    <row r="182" spans="2:37" s="53" customFormat="1" x14ac:dyDescent="0.35">
      <c r="B182" s="55" t="s">
        <v>138</v>
      </c>
      <c r="C182" s="53" t="s">
        <v>234</v>
      </c>
      <c r="D182" s="53" t="s">
        <v>20</v>
      </c>
      <c r="E182" s="53" t="s">
        <v>21</v>
      </c>
      <c r="F182" s="73">
        <f t="shared" si="120"/>
        <v>2.5869692359293893E-2</v>
      </c>
      <c r="G182" s="60">
        <f t="shared" si="121"/>
        <v>3.4203684722769911E-2</v>
      </c>
      <c r="H182" s="60">
        <f t="shared" si="122"/>
        <v>3.9795618892531706E-2</v>
      </c>
      <c r="I182" s="60">
        <f t="shared" si="123"/>
        <v>4.2706765011963174E-2</v>
      </c>
      <c r="J182" s="63">
        <f t="shared" si="124"/>
        <v>4.5988261484149327E-2</v>
      </c>
      <c r="K182" s="60" t="str">
        <f t="shared" si="125"/>
        <v/>
      </c>
      <c r="L182" s="60">
        <f t="shared" si="126"/>
        <v>5.8108984227699051E-3</v>
      </c>
      <c r="M182" s="60">
        <f t="shared" si="127"/>
        <v>1.0741298492531715E-2</v>
      </c>
      <c r="N182" s="60">
        <f t="shared" si="128"/>
        <v>1.2811849911963179E-2</v>
      </c>
      <c r="O182" s="63">
        <f t="shared" si="129"/>
        <v>1.4772070984149333E-2</v>
      </c>
      <c r="P182" s="55" t="s">
        <v>498</v>
      </c>
      <c r="Q182" s="53" t="s">
        <v>499</v>
      </c>
      <c r="R182" s="94">
        <v>47423</v>
      </c>
      <c r="S182" s="71">
        <v>3.634362E-2</v>
      </c>
      <c r="T182" s="63">
        <f t="shared" si="130"/>
        <v>3.4519988925317061E-3</v>
      </c>
      <c r="V182" s="114">
        <v>1.14851024</v>
      </c>
      <c r="W182" s="72">
        <v>2.9311312700000003</v>
      </c>
      <c r="X182" s="72">
        <v>4.5269051999999999</v>
      </c>
      <c r="Y182" s="72">
        <v>5.91547818</v>
      </c>
      <c r="Z182" s="115">
        <v>7.6618990999999994</v>
      </c>
      <c r="AB182" s="73">
        <v>2.5869692359293893E-2</v>
      </c>
      <c r="AC182" s="71">
        <v>3.4203684722769911E-2</v>
      </c>
      <c r="AD182" s="71">
        <v>3.9795618892531706E-2</v>
      </c>
      <c r="AE182" s="71">
        <v>4.2706765011963174E-2</v>
      </c>
      <c r="AF182" s="63">
        <v>4.5988261484149327E-2</v>
      </c>
      <c r="AG182" s="71" t="s">
        <v>21</v>
      </c>
      <c r="AH182" s="71">
        <v>5.8108984227699051E-3</v>
      </c>
      <c r="AI182" s="71">
        <v>1.0741298492531715E-2</v>
      </c>
      <c r="AJ182" s="71">
        <v>1.2811849911963179E-2</v>
      </c>
      <c r="AK182" s="63">
        <v>1.4772070984149333E-2</v>
      </c>
    </row>
    <row r="183" spans="2:37" s="53" customFormat="1" x14ac:dyDescent="0.35">
      <c r="B183" s="55" t="s">
        <v>159</v>
      </c>
      <c r="C183" s="53" t="s">
        <v>234</v>
      </c>
      <c r="D183" s="53" t="s">
        <v>20</v>
      </c>
      <c r="E183" s="53" t="s">
        <v>290</v>
      </c>
      <c r="F183" s="73">
        <f t="shared" si="120"/>
        <v>2.5207757247278133E-2</v>
      </c>
      <c r="G183" s="60">
        <f t="shared" si="121"/>
        <v>3.3788940644777075E-2</v>
      </c>
      <c r="H183" s="60">
        <f t="shared" si="122"/>
        <v>3.9794224602848163E-2</v>
      </c>
      <c r="I183" s="60">
        <f t="shared" si="123"/>
        <v>4.2727817479781299E-2</v>
      </c>
      <c r="J183" s="63">
        <f t="shared" si="124"/>
        <v>4.6068438699299448E-2</v>
      </c>
      <c r="K183" s="60" t="str">
        <f t="shared" si="125"/>
        <v/>
      </c>
      <c r="L183" s="60">
        <f t="shared" si="126"/>
        <v>5.4107147447770738E-3</v>
      </c>
      <c r="M183" s="60">
        <f t="shared" si="127"/>
        <v>1.0739882502848165E-2</v>
      </c>
      <c r="N183" s="60">
        <f t="shared" si="128"/>
        <v>1.2833530979781297E-2</v>
      </c>
      <c r="O183" s="63">
        <f t="shared" si="129"/>
        <v>1.4843417799299454E-2</v>
      </c>
      <c r="P183" s="55" t="s">
        <v>500</v>
      </c>
      <c r="Q183" s="53" t="s">
        <v>501</v>
      </c>
      <c r="R183" s="94">
        <v>47543</v>
      </c>
      <c r="S183" s="71">
        <v>3.6800260000000001E-2</v>
      </c>
      <c r="T183" s="63">
        <f t="shared" si="130"/>
        <v>2.993964602848162E-3</v>
      </c>
      <c r="V183" s="114">
        <v>1.1498187</v>
      </c>
      <c r="W183" s="72">
        <v>2.9366876399999997</v>
      </c>
      <c r="X183" s="72">
        <v>4.5326743500000006</v>
      </c>
      <c r="Y183" s="72">
        <v>5.91855756</v>
      </c>
      <c r="Z183" s="115">
        <v>7.6775222799999998</v>
      </c>
      <c r="AB183" s="73">
        <v>2.5207757247278133E-2</v>
      </c>
      <c r="AC183" s="71">
        <v>3.3788940644777075E-2</v>
      </c>
      <c r="AD183" s="71">
        <v>3.9794224602848163E-2</v>
      </c>
      <c r="AE183" s="71">
        <v>4.2727817479781299E-2</v>
      </c>
      <c r="AF183" s="63">
        <v>4.6068438699299448E-2</v>
      </c>
      <c r="AG183" s="71" t="s">
        <v>21</v>
      </c>
      <c r="AH183" s="71">
        <v>5.4107147447770738E-3</v>
      </c>
      <c r="AI183" s="71">
        <v>1.0739882502848165E-2</v>
      </c>
      <c r="AJ183" s="71">
        <v>1.2833530979781297E-2</v>
      </c>
      <c r="AK183" s="63">
        <v>1.4843417799299454E-2</v>
      </c>
    </row>
    <row r="184" spans="2:37" s="53" customFormat="1" x14ac:dyDescent="0.35">
      <c r="B184" s="55" t="s">
        <v>367</v>
      </c>
      <c r="C184" s="53" t="s">
        <v>234</v>
      </c>
      <c r="D184" s="53" t="s">
        <v>20</v>
      </c>
      <c r="E184" s="53" t="s">
        <v>21</v>
      </c>
      <c r="F184" s="73">
        <f t="shared" si="120"/>
        <v>2.4383808340982305E-2</v>
      </c>
      <c r="G184" s="60">
        <f t="shared" si="121"/>
        <v>3.1580552937810091E-2</v>
      </c>
      <c r="H184" s="60">
        <f t="shared" si="122"/>
        <v>3.6098078566707145E-2</v>
      </c>
      <c r="I184" s="60">
        <f t="shared" si="123"/>
        <v>3.8603895567642682E-2</v>
      </c>
      <c r="J184" s="63">
        <f t="shared" si="124"/>
        <v>4.1207156743191434E-2</v>
      </c>
      <c r="K184" s="60" t="str">
        <f t="shared" si="125"/>
        <v/>
      </c>
      <c r="L184" s="60">
        <f t="shared" si="126"/>
        <v>3.2781362378100994E-3</v>
      </c>
      <c r="M184" s="60">
        <f t="shared" si="127"/>
        <v>7.1757200667071485E-3</v>
      </c>
      <c r="N184" s="60">
        <f t="shared" si="128"/>
        <v>8.8565077676426816E-3</v>
      </c>
      <c r="O184" s="63">
        <f t="shared" si="129"/>
        <v>1.0130149343191439E-2</v>
      </c>
      <c r="P184" s="55" t="s">
        <v>394</v>
      </c>
      <c r="Q184" s="53" t="s">
        <v>395</v>
      </c>
      <c r="R184" s="94">
        <v>47270</v>
      </c>
      <c r="S184" s="71">
        <v>3.1669889999999999E-2</v>
      </c>
      <c r="T184" s="63">
        <f t="shared" si="130"/>
        <v>4.4281885667071461E-3</v>
      </c>
      <c r="V184" s="114">
        <v>1.15142685</v>
      </c>
      <c r="W184" s="72">
        <v>2.9535397400000001</v>
      </c>
      <c r="X184" s="72">
        <v>4.59217415</v>
      </c>
      <c r="Y184" s="72">
        <v>6.04966618</v>
      </c>
      <c r="Z184" s="115">
        <v>7.94625731</v>
      </c>
      <c r="AB184" s="73">
        <v>2.4383808340982305E-2</v>
      </c>
      <c r="AC184" s="71">
        <v>3.1580552937810091E-2</v>
      </c>
      <c r="AD184" s="71">
        <v>3.6098078566707145E-2</v>
      </c>
      <c r="AE184" s="71">
        <v>3.8603895567642682E-2</v>
      </c>
      <c r="AF184" s="63">
        <v>4.1207156743191434E-2</v>
      </c>
      <c r="AG184" s="71" t="s">
        <v>21</v>
      </c>
      <c r="AH184" s="71">
        <v>3.2781362378100994E-3</v>
      </c>
      <c r="AI184" s="71">
        <v>7.1757200667071485E-3</v>
      </c>
      <c r="AJ184" s="71">
        <v>8.8565077676426816E-3</v>
      </c>
      <c r="AK184" s="63">
        <v>1.0130149343191439E-2</v>
      </c>
    </row>
    <row r="185" spans="2:37" s="53" customFormat="1" x14ac:dyDescent="0.35">
      <c r="B185" s="55" t="s">
        <v>359</v>
      </c>
      <c r="C185" s="53" t="s">
        <v>234</v>
      </c>
      <c r="D185" s="53" t="s">
        <v>20</v>
      </c>
      <c r="E185" s="53" t="s">
        <v>128</v>
      </c>
      <c r="F185" s="73">
        <f t="shared" si="120"/>
        <v>2.4821988457290018E-2</v>
      </c>
      <c r="G185" s="60">
        <f t="shared" si="121"/>
        <v>3.3148162437461569E-2</v>
      </c>
      <c r="H185" s="60">
        <f t="shared" si="122"/>
        <v>3.9384070598215845E-2</v>
      </c>
      <c r="I185" s="60">
        <f t="shared" si="123"/>
        <v>4.2200355653668718E-2</v>
      </c>
      <c r="J185" s="63">
        <f t="shared" si="124"/>
        <v>4.5523126570479674E-2</v>
      </c>
      <c r="K185" s="60" t="str">
        <f t="shared" si="125"/>
        <v/>
      </c>
      <c r="L185" s="60">
        <f t="shared" si="126"/>
        <v>4.7928773374615683E-3</v>
      </c>
      <c r="M185" s="60">
        <f t="shared" si="127"/>
        <v>1.034561099821584E-2</v>
      </c>
      <c r="N185" s="60">
        <f t="shared" si="128"/>
        <v>1.2326543253668717E-2</v>
      </c>
      <c r="O185" s="63">
        <f t="shared" si="129"/>
        <v>1.4318605770479668E-2</v>
      </c>
      <c r="P185" s="55" t="s">
        <v>21</v>
      </c>
      <c r="Q185" s="53" t="s">
        <v>21</v>
      </c>
      <c r="R185" s="94" t="s">
        <v>21</v>
      </c>
      <c r="S185" s="71" t="s">
        <v>21</v>
      </c>
      <c r="T185" s="63" t="str">
        <f t="shared" si="130"/>
        <v/>
      </c>
      <c r="V185" s="114">
        <v>1.1505663399999999</v>
      </c>
      <c r="W185" s="72">
        <v>2.9427384700000001</v>
      </c>
      <c r="X185" s="72">
        <v>4.54502279</v>
      </c>
      <c r="Y185" s="72">
        <v>5.9427651199999998</v>
      </c>
      <c r="Z185" s="115">
        <v>7.7155852799999991</v>
      </c>
      <c r="AB185" s="73">
        <v>2.4821988457290018E-2</v>
      </c>
      <c r="AC185" s="71">
        <v>3.3148162437461569E-2</v>
      </c>
      <c r="AD185" s="71">
        <v>3.9384070598215845E-2</v>
      </c>
      <c r="AE185" s="71">
        <v>4.2200355653668718E-2</v>
      </c>
      <c r="AF185" s="63">
        <v>4.5523126570479674E-2</v>
      </c>
      <c r="AG185" s="71" t="s">
        <v>21</v>
      </c>
      <c r="AH185" s="71">
        <v>4.7928773374615683E-3</v>
      </c>
      <c r="AI185" s="71">
        <v>1.034561099821584E-2</v>
      </c>
      <c r="AJ185" s="71">
        <v>1.2326543253668717E-2</v>
      </c>
      <c r="AK185" s="63">
        <v>1.4318605770479668E-2</v>
      </c>
    </row>
    <row r="186" spans="2:37" s="53" customFormat="1" x14ac:dyDescent="0.35">
      <c r="B186" s="55" t="s">
        <v>155</v>
      </c>
      <c r="C186" s="53" t="s">
        <v>234</v>
      </c>
      <c r="D186" s="53" t="s">
        <v>43</v>
      </c>
      <c r="E186" s="53" t="s">
        <v>21</v>
      </c>
      <c r="F186" s="73">
        <f t="shared" si="120"/>
        <v>2.5230931663738947E-2</v>
      </c>
      <c r="G186" s="60">
        <f t="shared" si="121"/>
        <v>3.315207639149232E-2</v>
      </c>
      <c r="H186" s="60">
        <f t="shared" si="122"/>
        <v>3.9358752803101658E-2</v>
      </c>
      <c r="I186" s="60">
        <f t="shared" si="123"/>
        <v>4.2990634433124043E-2</v>
      </c>
      <c r="J186" s="63">
        <f t="shared" si="124"/>
        <v>4.6782081740006781E-2</v>
      </c>
      <c r="K186" s="60" t="str">
        <f t="shared" si="125"/>
        <v/>
      </c>
      <c r="L186" s="60">
        <f t="shared" si="126"/>
        <v>4.8153474914923115E-3</v>
      </c>
      <c r="M186" s="60">
        <f t="shared" si="127"/>
        <v>1.0341189403101659E-2</v>
      </c>
      <c r="N186" s="60">
        <f t="shared" si="128"/>
        <v>1.3104443733124041E-2</v>
      </c>
      <c r="O186" s="63">
        <f t="shared" si="129"/>
        <v>1.5550662640006775E-2</v>
      </c>
      <c r="P186" s="55" t="s">
        <v>502</v>
      </c>
      <c r="Q186" s="53" t="s">
        <v>503</v>
      </c>
      <c r="R186" s="94">
        <v>47536</v>
      </c>
      <c r="S186" s="71">
        <v>3.1985E-2</v>
      </c>
      <c r="T186" s="63">
        <f t="shared" si="130"/>
        <v>7.3737528031016589E-3</v>
      </c>
      <c r="V186" s="114">
        <v>1.1507181</v>
      </c>
      <c r="W186" s="72">
        <v>2.9449235899999997</v>
      </c>
      <c r="X186" s="72">
        <v>4.5518556299999995</v>
      </c>
      <c r="Y186" s="72">
        <v>5.9476374999999999</v>
      </c>
      <c r="Z186" s="115">
        <v>7.7010451099999999</v>
      </c>
      <c r="AB186" s="73">
        <v>2.5230931663738947E-2</v>
      </c>
      <c r="AC186" s="71">
        <v>3.315207639149232E-2</v>
      </c>
      <c r="AD186" s="71">
        <v>3.9358752803101658E-2</v>
      </c>
      <c r="AE186" s="71">
        <v>4.2990634433124043E-2</v>
      </c>
      <c r="AF186" s="63">
        <v>4.6782081740006781E-2</v>
      </c>
      <c r="AG186" s="71" t="s">
        <v>21</v>
      </c>
      <c r="AH186" s="71">
        <v>4.8153474914923115E-3</v>
      </c>
      <c r="AI186" s="71">
        <v>1.0341189403101659E-2</v>
      </c>
      <c r="AJ186" s="71">
        <v>1.3104443733124041E-2</v>
      </c>
      <c r="AK186" s="63">
        <v>1.5550662640006775E-2</v>
      </c>
    </row>
    <row r="187" spans="2:37" s="53" customFormat="1" x14ac:dyDescent="0.35">
      <c r="B187" s="55" t="s">
        <v>136</v>
      </c>
      <c r="C187" s="53" t="s">
        <v>234</v>
      </c>
      <c r="D187" s="53" t="s">
        <v>47</v>
      </c>
      <c r="E187" s="53" t="s">
        <v>21</v>
      </c>
      <c r="F187" s="73">
        <f t="shared" si="120"/>
        <v>2.5258755492815182E-2</v>
      </c>
      <c r="G187" s="60">
        <f t="shared" si="121"/>
        <v>3.3176303858668245E-2</v>
      </c>
      <c r="H187" s="60">
        <f t="shared" si="122"/>
        <v>3.9303273898879533E-2</v>
      </c>
      <c r="I187" s="60">
        <f t="shared" si="123"/>
        <v>4.2744323918999197E-2</v>
      </c>
      <c r="J187" s="63">
        <f t="shared" si="124"/>
        <v>4.6721971453439266E-2</v>
      </c>
      <c r="K187" s="60" t="str">
        <f t="shared" si="125"/>
        <v/>
      </c>
      <c r="L187" s="60">
        <f t="shared" si="126"/>
        <v>4.8405800586682427E-3</v>
      </c>
      <c r="M187" s="60">
        <f t="shared" si="127"/>
        <v>1.0289187998879531E-2</v>
      </c>
      <c r="N187" s="60">
        <f t="shared" si="128"/>
        <v>1.2869189618999188E-2</v>
      </c>
      <c r="O187" s="63">
        <f t="shared" si="129"/>
        <v>1.5492282553439261E-2</v>
      </c>
      <c r="P187" s="55" t="s">
        <v>504</v>
      </c>
      <c r="Q187" s="53" t="s">
        <v>505</v>
      </c>
      <c r="R187" s="94">
        <v>47559</v>
      </c>
      <c r="S187" s="71">
        <v>3.5481569999999997E-2</v>
      </c>
      <c r="T187" s="63">
        <f t="shared" si="130"/>
        <v>3.821703898879536E-3</v>
      </c>
      <c r="V187" s="114">
        <v>1.15062372</v>
      </c>
      <c r="W187" s="72">
        <v>2.9452129500000002</v>
      </c>
      <c r="X187" s="72">
        <v>4.5525775099999999</v>
      </c>
      <c r="Y187" s="72">
        <v>5.9519491200000001</v>
      </c>
      <c r="Z187" s="115">
        <v>7.7083910000000007</v>
      </c>
      <c r="AB187" s="73">
        <v>2.5258755492815182E-2</v>
      </c>
      <c r="AC187" s="71">
        <v>3.3176303858668245E-2</v>
      </c>
      <c r="AD187" s="71">
        <v>3.9303273898879533E-2</v>
      </c>
      <c r="AE187" s="71">
        <v>4.2744323918999197E-2</v>
      </c>
      <c r="AF187" s="63">
        <v>4.6721971453439266E-2</v>
      </c>
      <c r="AG187" s="71" t="s">
        <v>21</v>
      </c>
      <c r="AH187" s="71">
        <v>4.8405800586682427E-3</v>
      </c>
      <c r="AI187" s="71">
        <v>1.0289187998879531E-2</v>
      </c>
      <c r="AJ187" s="71">
        <v>1.2869189618999188E-2</v>
      </c>
      <c r="AK187" s="63">
        <v>1.5492282553439261E-2</v>
      </c>
    </row>
    <row r="188" spans="2:37" s="53" customFormat="1" x14ac:dyDescent="0.35">
      <c r="B188" s="55" t="s">
        <v>322</v>
      </c>
      <c r="C188" s="53" t="s">
        <v>234</v>
      </c>
      <c r="D188" s="53" t="s">
        <v>69</v>
      </c>
      <c r="E188" s="53" t="s">
        <v>423</v>
      </c>
      <c r="F188" s="73">
        <f t="shared" si="120"/>
        <v>2.4940461484017677E-2</v>
      </c>
      <c r="G188" s="60">
        <f t="shared" si="121"/>
        <v>3.3191989916310005E-2</v>
      </c>
      <c r="H188" s="60">
        <f t="shared" si="122"/>
        <v>3.9209917172702044E-2</v>
      </c>
      <c r="I188" s="60">
        <f t="shared" si="123"/>
        <v>4.323072042098141E-2</v>
      </c>
      <c r="J188" s="63">
        <f t="shared" si="124"/>
        <v>4.6930075479678458E-2</v>
      </c>
      <c r="K188" s="60" t="str">
        <f t="shared" si="125"/>
        <v/>
      </c>
      <c r="L188" s="60">
        <f t="shared" si="126"/>
        <v>4.8525067163100125E-3</v>
      </c>
      <c r="M188" s="60">
        <f t="shared" si="127"/>
        <v>1.0197051472702043E-2</v>
      </c>
      <c r="N188" s="60">
        <f t="shared" si="128"/>
        <v>1.3333737220981402E-2</v>
      </c>
      <c r="O188" s="63">
        <f t="shared" si="129"/>
        <v>1.569434607967846E-2</v>
      </c>
      <c r="P188" s="55" t="s">
        <v>21</v>
      </c>
      <c r="Q188" s="53" t="s">
        <v>21</v>
      </c>
      <c r="R188" s="94" t="s">
        <v>21</v>
      </c>
      <c r="S188" s="71" t="s">
        <v>21</v>
      </c>
      <c r="T188" s="63" t="str">
        <f t="shared" si="130"/>
        <v/>
      </c>
      <c r="V188" s="114">
        <v>1.15132163</v>
      </c>
      <c r="W188" s="72">
        <v>2.9457476800000002</v>
      </c>
      <c r="X188" s="72">
        <v>4.5541088299999997</v>
      </c>
      <c r="Y188" s="72">
        <v>5.9468727499999998</v>
      </c>
      <c r="Z188" s="115">
        <v>7.6946099300000004</v>
      </c>
      <c r="AB188" s="73">
        <v>2.4940461484017677E-2</v>
      </c>
      <c r="AC188" s="71">
        <v>3.3191989916310005E-2</v>
      </c>
      <c r="AD188" s="71">
        <v>3.9209917172702044E-2</v>
      </c>
      <c r="AE188" s="71">
        <v>4.323072042098141E-2</v>
      </c>
      <c r="AF188" s="63">
        <v>4.6930075479678458E-2</v>
      </c>
      <c r="AG188" s="71" t="s">
        <v>21</v>
      </c>
      <c r="AH188" s="71">
        <v>4.8525067163100125E-3</v>
      </c>
      <c r="AI188" s="71">
        <v>1.0197051472702043E-2</v>
      </c>
      <c r="AJ188" s="71">
        <v>1.3333737220981402E-2</v>
      </c>
      <c r="AK188" s="63">
        <v>1.569434607967846E-2</v>
      </c>
    </row>
    <row r="189" spans="2:37" s="53" customFormat="1" x14ac:dyDescent="0.35">
      <c r="B189" s="55" t="s">
        <v>156</v>
      </c>
      <c r="C189" s="53" t="s">
        <v>234</v>
      </c>
      <c r="D189" s="53" t="s">
        <v>131</v>
      </c>
      <c r="E189" s="53" t="s">
        <v>75</v>
      </c>
      <c r="F189" s="73">
        <f t="shared" si="120"/>
        <v>2.5099708879079717E-2</v>
      </c>
      <c r="G189" s="60">
        <f t="shared" si="121"/>
        <v>3.3168090242422697E-2</v>
      </c>
      <c r="H189" s="60">
        <f t="shared" si="122"/>
        <v>3.9208896677528325E-2</v>
      </c>
      <c r="I189" s="60">
        <f t="shared" si="123"/>
        <v>4.2940879020706979E-2</v>
      </c>
      <c r="J189" s="63">
        <f t="shared" si="124"/>
        <v>4.7105929624631011E-2</v>
      </c>
      <c r="K189" s="60" t="str">
        <f t="shared" si="125"/>
        <v/>
      </c>
      <c r="L189" s="60">
        <f t="shared" si="126"/>
        <v>4.829535142422705E-3</v>
      </c>
      <c r="M189" s="60">
        <f t="shared" si="127"/>
        <v>1.0196065677528324E-2</v>
      </c>
      <c r="N189" s="60">
        <f t="shared" si="128"/>
        <v>1.3055720920706976E-2</v>
      </c>
      <c r="O189" s="63">
        <f t="shared" si="129"/>
        <v>1.5861050724631006E-2</v>
      </c>
      <c r="P189" s="55" t="s">
        <v>506</v>
      </c>
      <c r="Q189" s="53" t="s">
        <v>507</v>
      </c>
      <c r="R189" s="94">
        <v>47534</v>
      </c>
      <c r="S189" s="71">
        <v>3.5843430000000003E-2</v>
      </c>
      <c r="T189" s="63">
        <f t="shared" si="130"/>
        <v>3.3654666775283226E-3</v>
      </c>
      <c r="V189" s="114">
        <v>1.1510041800000002</v>
      </c>
      <c r="W189" s="72">
        <v>2.9453379900000001</v>
      </c>
      <c r="X189" s="72">
        <v>4.5537960000000002</v>
      </c>
      <c r="Y189" s="72">
        <v>5.9506986499999996</v>
      </c>
      <c r="Z189" s="115">
        <v>7.69642816</v>
      </c>
      <c r="AB189" s="73">
        <v>2.5099708879079717E-2</v>
      </c>
      <c r="AC189" s="71">
        <v>3.3168090242422697E-2</v>
      </c>
      <c r="AD189" s="71">
        <v>3.9208896677528325E-2</v>
      </c>
      <c r="AE189" s="71">
        <v>4.2940879020706979E-2</v>
      </c>
      <c r="AF189" s="63">
        <v>4.7105929624631011E-2</v>
      </c>
      <c r="AG189" s="71" t="s">
        <v>21</v>
      </c>
      <c r="AH189" s="71">
        <v>4.829535142422705E-3</v>
      </c>
      <c r="AI189" s="71">
        <v>1.0196065677528324E-2</v>
      </c>
      <c r="AJ189" s="71">
        <v>1.3055720920706976E-2</v>
      </c>
      <c r="AK189" s="63">
        <v>1.5861050724631006E-2</v>
      </c>
    </row>
    <row r="190" spans="2:37" s="53" customFormat="1" x14ac:dyDescent="0.35">
      <c r="B190" s="55" t="s">
        <v>326</v>
      </c>
      <c r="C190" s="53" t="s">
        <v>234</v>
      </c>
      <c r="D190" s="53" t="s">
        <v>20</v>
      </c>
      <c r="E190" s="53" t="s">
        <v>21</v>
      </c>
      <c r="F190" s="73">
        <f t="shared" si="120"/>
        <v>2.413216138681119E-2</v>
      </c>
      <c r="G190" s="60">
        <f t="shared" si="121"/>
        <v>3.270048679111924E-2</v>
      </c>
      <c r="H190" s="60">
        <f t="shared" si="122"/>
        <v>3.9182526963465372E-2</v>
      </c>
      <c r="I190" s="60">
        <f t="shared" si="123"/>
        <v>4.2877640064574313E-2</v>
      </c>
      <c r="J190" s="63">
        <f t="shared" si="124"/>
        <v>4.6435084249783584E-2</v>
      </c>
      <c r="K190" s="60" t="str">
        <f t="shared" si="125"/>
        <v/>
      </c>
      <c r="L190" s="60">
        <f t="shared" si="126"/>
        <v>4.361170191119243E-3</v>
      </c>
      <c r="M190" s="60">
        <f t="shared" si="127"/>
        <v>1.0152524663465369E-2</v>
      </c>
      <c r="N190" s="60">
        <f t="shared" si="128"/>
        <v>1.2977104064574309E-2</v>
      </c>
      <c r="O190" s="63">
        <f t="shared" si="129"/>
        <v>1.5202185249783593E-2</v>
      </c>
      <c r="P190" s="55" t="s">
        <v>21</v>
      </c>
      <c r="Q190" s="53" t="s">
        <v>21</v>
      </c>
      <c r="R190" s="94" t="s">
        <v>21</v>
      </c>
      <c r="S190" s="71" t="s">
        <v>21</v>
      </c>
      <c r="T190" s="63" t="str">
        <f t="shared" si="130"/>
        <v/>
      </c>
      <c r="V190" s="114">
        <v>1.15195531</v>
      </c>
      <c r="W190" s="72">
        <v>2.9474902800000002</v>
      </c>
      <c r="X190" s="72">
        <v>4.5507810000000006</v>
      </c>
      <c r="Y190" s="72">
        <v>5.9385276400000002</v>
      </c>
      <c r="Z190" s="115">
        <v>7.6835497999999998</v>
      </c>
      <c r="AB190" s="73">
        <v>2.413216138681119E-2</v>
      </c>
      <c r="AC190" s="71">
        <v>3.270048679111924E-2</v>
      </c>
      <c r="AD190" s="71">
        <v>3.9182526963465372E-2</v>
      </c>
      <c r="AE190" s="71">
        <v>4.2877640064574313E-2</v>
      </c>
      <c r="AF190" s="63">
        <v>4.6435084249783584E-2</v>
      </c>
      <c r="AG190" s="71" t="s">
        <v>21</v>
      </c>
      <c r="AH190" s="71">
        <v>4.361170191119243E-3</v>
      </c>
      <c r="AI190" s="71">
        <v>1.0152524663465369E-2</v>
      </c>
      <c r="AJ190" s="71">
        <v>1.2977104064574309E-2</v>
      </c>
      <c r="AK190" s="63">
        <v>1.5202185249783593E-2</v>
      </c>
    </row>
    <row r="191" spans="2:37" s="53" customFormat="1" x14ac:dyDescent="0.35">
      <c r="B191" s="55" t="s">
        <v>267</v>
      </c>
      <c r="C191" s="53" t="s">
        <v>234</v>
      </c>
      <c r="D191" s="53" t="s">
        <v>31</v>
      </c>
      <c r="E191" s="53" t="s">
        <v>21</v>
      </c>
      <c r="F191" s="73">
        <f t="shared" si="120"/>
        <v>2.4933608118560054E-2</v>
      </c>
      <c r="G191" s="60">
        <f t="shared" si="121"/>
        <v>3.3333609194686815E-2</v>
      </c>
      <c r="H191" s="60">
        <f t="shared" si="122"/>
        <v>3.9162312502706069E-2</v>
      </c>
      <c r="I191" s="60">
        <f t="shared" si="123"/>
        <v>4.2314510451111481E-2</v>
      </c>
      <c r="J191" s="63">
        <f t="shared" si="124"/>
        <v>4.4957366646731806E-2</v>
      </c>
      <c r="K191" s="60" t="str">
        <f t="shared" si="125"/>
        <v/>
      </c>
      <c r="L191" s="60">
        <f t="shared" si="126"/>
        <v>4.9885928946868082E-3</v>
      </c>
      <c r="M191" s="60">
        <f t="shared" si="127"/>
        <v>1.0150797102706065E-2</v>
      </c>
      <c r="N191" s="60">
        <f t="shared" si="128"/>
        <v>1.2453897551111481E-2</v>
      </c>
      <c r="O191" s="63">
        <f t="shared" si="129"/>
        <v>1.3789098046731797E-2</v>
      </c>
      <c r="P191" s="55" t="s">
        <v>508</v>
      </c>
      <c r="Q191" s="53" t="s">
        <v>509</v>
      </c>
      <c r="R191" s="94">
        <v>47679</v>
      </c>
      <c r="S191" s="71">
        <v>3.8073579999999996E-2</v>
      </c>
      <c r="T191" s="63">
        <f t="shared" si="130"/>
        <v>1.0887325027060732E-3</v>
      </c>
      <c r="V191" s="114">
        <v>1.1513490100000001</v>
      </c>
      <c r="W191" s="72">
        <v>2.9448846899999999</v>
      </c>
      <c r="X191" s="72">
        <v>4.5534436400000002</v>
      </c>
      <c r="Y191" s="72">
        <v>5.9595259</v>
      </c>
      <c r="Z191" s="115">
        <v>7.7611604900000009</v>
      </c>
      <c r="AB191" s="73">
        <v>2.4933608118560054E-2</v>
      </c>
      <c r="AC191" s="71">
        <v>3.3333609194686815E-2</v>
      </c>
      <c r="AD191" s="71">
        <v>3.9162312502706069E-2</v>
      </c>
      <c r="AE191" s="71">
        <v>4.2314510451111481E-2</v>
      </c>
      <c r="AF191" s="63">
        <v>4.4957366646731806E-2</v>
      </c>
      <c r="AG191" s="71" t="s">
        <v>21</v>
      </c>
      <c r="AH191" s="71">
        <v>4.9885928946868082E-3</v>
      </c>
      <c r="AI191" s="71">
        <v>1.0150797102706065E-2</v>
      </c>
      <c r="AJ191" s="71">
        <v>1.2453897551111481E-2</v>
      </c>
      <c r="AK191" s="63">
        <v>1.3789098046731797E-2</v>
      </c>
    </row>
    <row r="192" spans="2:37" s="53" customFormat="1" x14ac:dyDescent="0.35">
      <c r="B192" s="55" t="s">
        <v>243</v>
      </c>
      <c r="C192" s="53" t="s">
        <v>234</v>
      </c>
      <c r="D192" s="53" t="s">
        <v>43</v>
      </c>
      <c r="E192" s="53" t="s">
        <v>112</v>
      </c>
      <c r="F192" s="73">
        <f t="shared" si="120"/>
        <v>2.5056717587264618E-2</v>
      </c>
      <c r="G192" s="60">
        <f t="shared" si="121"/>
        <v>3.3112964469384235E-2</v>
      </c>
      <c r="H192" s="60">
        <f t="shared" si="122"/>
        <v>3.9105021917451889E-2</v>
      </c>
      <c r="I192" s="60">
        <f t="shared" si="123"/>
        <v>4.2936335026759337E-2</v>
      </c>
      <c r="J192" s="63">
        <f t="shared" si="124"/>
        <v>4.7007708991069291E-2</v>
      </c>
      <c r="K192" s="60" t="str">
        <f t="shared" si="125"/>
        <v/>
      </c>
      <c r="L192" s="60">
        <f t="shared" si="126"/>
        <v>4.7763991693842347E-3</v>
      </c>
      <c r="M192" s="60">
        <f t="shared" si="127"/>
        <v>1.0096186817451884E-2</v>
      </c>
      <c r="N192" s="60">
        <f t="shared" si="128"/>
        <v>1.3051424726759334E-2</v>
      </c>
      <c r="O192" s="63">
        <f t="shared" si="129"/>
        <v>1.5767334491069294E-2</v>
      </c>
      <c r="P192" s="55" t="s">
        <v>510</v>
      </c>
      <c r="Q192" s="53" t="s">
        <v>511</v>
      </c>
      <c r="R192" s="94" t="s">
        <v>32</v>
      </c>
      <c r="S192" s="71">
        <v>3.6992859999999995E-2</v>
      </c>
      <c r="T192" s="63">
        <f t="shared" si="130"/>
        <v>2.1121619174518935E-3</v>
      </c>
      <c r="V192" s="114">
        <v>1.1510859</v>
      </c>
      <c r="W192" s="72">
        <v>2.9463505300000001</v>
      </c>
      <c r="X192" s="72">
        <v>4.5559511600000002</v>
      </c>
      <c r="Y192" s="72">
        <v>5.9530814799999998</v>
      </c>
      <c r="Z192" s="115">
        <v>7.7007498600000002</v>
      </c>
      <c r="AB192" s="73">
        <v>2.5056717587264618E-2</v>
      </c>
      <c r="AC192" s="71">
        <v>3.3112964469384235E-2</v>
      </c>
      <c r="AD192" s="71">
        <v>3.9105021917451889E-2</v>
      </c>
      <c r="AE192" s="71">
        <v>4.2936335026759337E-2</v>
      </c>
      <c r="AF192" s="63">
        <v>4.7007708991069291E-2</v>
      </c>
      <c r="AG192" s="71" t="s">
        <v>21</v>
      </c>
      <c r="AH192" s="71">
        <v>4.7763991693842347E-3</v>
      </c>
      <c r="AI192" s="71">
        <v>1.0096186817451884E-2</v>
      </c>
      <c r="AJ192" s="71">
        <v>1.3051424726759334E-2</v>
      </c>
      <c r="AK192" s="63">
        <v>1.5767334491069294E-2</v>
      </c>
    </row>
    <row r="193" spans="2:37" s="53" customFormat="1" x14ac:dyDescent="0.35">
      <c r="B193" s="55" t="s">
        <v>244</v>
      </c>
      <c r="C193" s="53" t="s">
        <v>234</v>
      </c>
      <c r="D193" s="53" t="s">
        <v>43</v>
      </c>
      <c r="E193" s="53" t="s">
        <v>245</v>
      </c>
      <c r="F193" s="73">
        <f t="shared" si="120"/>
        <v>2.5007131706380383E-2</v>
      </c>
      <c r="G193" s="60">
        <f t="shared" si="121"/>
        <v>3.3107413617971891E-2</v>
      </c>
      <c r="H193" s="60">
        <f t="shared" si="122"/>
        <v>3.9053661668980146E-2</v>
      </c>
      <c r="I193" s="60">
        <f t="shared" si="123"/>
        <v>4.3081208916206926E-2</v>
      </c>
      <c r="J193" s="63">
        <f t="shared" si="124"/>
        <v>4.715405292494157E-2</v>
      </c>
      <c r="K193" s="60" t="str">
        <f t="shared" si="125"/>
        <v/>
      </c>
      <c r="L193" s="60">
        <f t="shared" si="126"/>
        <v>4.7718106179718903E-3</v>
      </c>
      <c r="M193" s="60">
        <f t="shared" si="127"/>
        <v>1.004739556898015E-2</v>
      </c>
      <c r="N193" s="60">
        <f t="shared" si="128"/>
        <v>1.3191011916206924E-2</v>
      </c>
      <c r="O193" s="63">
        <f t="shared" si="129"/>
        <v>1.5909236624941571E-2</v>
      </c>
      <c r="P193" s="55" t="s">
        <v>512</v>
      </c>
      <c r="Q193" s="53" t="s">
        <v>513</v>
      </c>
      <c r="R193" s="94">
        <v>47492</v>
      </c>
      <c r="S193" s="71">
        <v>3.7116610000000001E-2</v>
      </c>
      <c r="T193" s="63">
        <f t="shared" si="130"/>
        <v>1.9370516689801442E-3</v>
      </c>
      <c r="V193" s="114">
        <v>1.15116821</v>
      </c>
      <c r="W193" s="72">
        <v>2.9464093899999999</v>
      </c>
      <c r="X193" s="72">
        <v>4.5559509</v>
      </c>
      <c r="Y193" s="72">
        <v>5.9504014999999999</v>
      </c>
      <c r="Z193" s="115">
        <v>7.6936290899999999</v>
      </c>
      <c r="AB193" s="73">
        <v>2.5007131706380383E-2</v>
      </c>
      <c r="AC193" s="71">
        <v>3.3107413617971891E-2</v>
      </c>
      <c r="AD193" s="71">
        <v>3.9053661668980146E-2</v>
      </c>
      <c r="AE193" s="71">
        <v>4.3081208916206926E-2</v>
      </c>
      <c r="AF193" s="63">
        <v>4.715405292494157E-2</v>
      </c>
      <c r="AG193" s="71" t="s">
        <v>21</v>
      </c>
      <c r="AH193" s="71">
        <v>4.7718106179718903E-3</v>
      </c>
      <c r="AI193" s="71">
        <v>1.004739556898015E-2</v>
      </c>
      <c r="AJ193" s="71">
        <v>1.3191011916206924E-2</v>
      </c>
      <c r="AK193" s="63">
        <v>1.5909236624941571E-2</v>
      </c>
    </row>
    <row r="194" spans="2:37" s="53" customFormat="1" x14ac:dyDescent="0.35">
      <c r="B194" s="55" t="s">
        <v>124</v>
      </c>
      <c r="C194" s="53" t="s">
        <v>234</v>
      </c>
      <c r="D194" s="53" t="s">
        <v>69</v>
      </c>
      <c r="E194" s="53" t="s">
        <v>81</v>
      </c>
      <c r="F194" s="73">
        <f t="shared" si="120"/>
        <v>2.4779667566460103E-2</v>
      </c>
      <c r="G194" s="60">
        <f t="shared" si="121"/>
        <v>3.2855819912859505E-2</v>
      </c>
      <c r="H194" s="60">
        <f t="shared" si="122"/>
        <v>3.9051937839257374E-2</v>
      </c>
      <c r="I194" s="60">
        <f t="shared" si="123"/>
        <v>4.2883516298517048E-2</v>
      </c>
      <c r="J194" s="63">
        <f t="shared" si="124"/>
        <v>4.7140935762570571E-2</v>
      </c>
      <c r="K194" s="60" t="str">
        <f t="shared" si="125"/>
        <v/>
      </c>
      <c r="L194" s="60">
        <f t="shared" si="126"/>
        <v>4.5280233128595065E-3</v>
      </c>
      <c r="M194" s="60">
        <f t="shared" si="127"/>
        <v>1.0045059339257374E-2</v>
      </c>
      <c r="N194" s="60">
        <f t="shared" si="128"/>
        <v>1.3001066698517047E-2</v>
      </c>
      <c r="O194" s="63">
        <f t="shared" si="129"/>
        <v>1.5895860462570563E-2</v>
      </c>
      <c r="P194" s="55" t="s">
        <v>21</v>
      </c>
      <c r="Q194" s="53" t="s">
        <v>21</v>
      </c>
      <c r="R194" s="94" t="s">
        <v>21</v>
      </c>
      <c r="S194" s="71" t="s">
        <v>21</v>
      </c>
      <c r="T194" s="63" t="str">
        <f t="shared" si="130"/>
        <v/>
      </c>
      <c r="V194" s="114">
        <v>1.1516342100000001</v>
      </c>
      <c r="W194" s="72">
        <v>2.9484789599999996</v>
      </c>
      <c r="X194" s="72">
        <v>4.5591906600000005</v>
      </c>
      <c r="Y194" s="72">
        <v>5.9569474199999997</v>
      </c>
      <c r="Z194" s="115">
        <v>7.7013218600000002</v>
      </c>
      <c r="AB194" s="73">
        <v>2.4779667566460103E-2</v>
      </c>
      <c r="AC194" s="71">
        <v>3.2855819912859505E-2</v>
      </c>
      <c r="AD194" s="71">
        <v>3.9051937839257374E-2</v>
      </c>
      <c r="AE194" s="71">
        <v>4.2883516298517048E-2</v>
      </c>
      <c r="AF194" s="63">
        <v>4.7140935762570571E-2</v>
      </c>
      <c r="AG194" s="71" t="s">
        <v>21</v>
      </c>
      <c r="AH194" s="71">
        <v>4.5280233128595065E-3</v>
      </c>
      <c r="AI194" s="71">
        <v>1.0045059339257374E-2</v>
      </c>
      <c r="AJ194" s="71">
        <v>1.3001066698517047E-2</v>
      </c>
      <c r="AK194" s="63">
        <v>1.5895860462570563E-2</v>
      </c>
    </row>
    <row r="195" spans="2:37" x14ac:dyDescent="0.35">
      <c r="B195" s="55" t="s">
        <v>246</v>
      </c>
      <c r="C195" s="53" t="s">
        <v>234</v>
      </c>
      <c r="D195" s="53" t="s">
        <v>31</v>
      </c>
      <c r="E195" s="53" t="s">
        <v>255</v>
      </c>
      <c r="F195" s="73">
        <f t="shared" si="110"/>
        <v>2.5042347535363187E-2</v>
      </c>
      <c r="G195" s="60">
        <f t="shared" si="111"/>
        <v>3.3186306035569657E-2</v>
      </c>
      <c r="H195" s="60">
        <f t="shared" si="112"/>
        <v>3.8954612054333218E-2</v>
      </c>
      <c r="I195" s="60">
        <f t="shared" si="113"/>
        <v>4.2112670272274805E-2</v>
      </c>
      <c r="J195" s="63">
        <f t="shared" si="114"/>
        <v>4.5800029772538407E-2</v>
      </c>
      <c r="K195" s="60" t="str">
        <f t="shared" si="115"/>
        <v/>
      </c>
      <c r="L195" s="60">
        <f t="shared" si="116"/>
        <v>4.8469109355696559E-3</v>
      </c>
      <c r="M195" s="60">
        <f t="shared" si="117"/>
        <v>9.9510558543332173E-3</v>
      </c>
      <c r="N195" s="60">
        <f t="shared" si="118"/>
        <v>1.2259930572274804E-2</v>
      </c>
      <c r="O195" s="63">
        <f t="shared" si="119"/>
        <v>1.460015937253841E-2</v>
      </c>
      <c r="P195" s="55" t="s">
        <v>514</v>
      </c>
      <c r="Q195" s="53" t="s">
        <v>515</v>
      </c>
      <c r="R195" s="94">
        <v>47491</v>
      </c>
      <c r="S195" s="71">
        <v>3.5873599999999999E-2</v>
      </c>
      <c r="T195" s="63">
        <f t="shared" si="98"/>
        <v>3.0810120543332195E-3</v>
      </c>
      <c r="V195" s="114">
        <v>1.15112218</v>
      </c>
      <c r="W195" s="72">
        <v>2.9454312599999999</v>
      </c>
      <c r="X195" s="72">
        <v>4.5564996500000001</v>
      </c>
      <c r="Y195" s="72">
        <v>5.9659065800000004</v>
      </c>
      <c r="Z195" s="115">
        <v>7.7482886200000003</v>
      </c>
      <c r="AB195" s="73">
        <v>2.5042347535363187E-2</v>
      </c>
      <c r="AC195" s="71">
        <v>3.3186306035569657E-2</v>
      </c>
      <c r="AD195" s="71">
        <v>3.8954612054333218E-2</v>
      </c>
      <c r="AE195" s="71">
        <v>4.2112670272274805E-2</v>
      </c>
      <c r="AF195" s="63">
        <v>4.5800029772538407E-2</v>
      </c>
      <c r="AG195" s="71" t="s">
        <v>21</v>
      </c>
      <c r="AH195" s="71">
        <v>4.8469109355696559E-3</v>
      </c>
      <c r="AI195" s="71">
        <v>9.9510558543332173E-3</v>
      </c>
      <c r="AJ195" s="71">
        <v>1.2259930572274804E-2</v>
      </c>
      <c r="AK195" s="63">
        <v>1.460015937253841E-2</v>
      </c>
    </row>
    <row r="196" spans="2:37" s="53" customFormat="1" x14ac:dyDescent="0.35">
      <c r="B196" s="55" t="s">
        <v>336</v>
      </c>
      <c r="C196" s="53" t="s">
        <v>234</v>
      </c>
      <c r="D196" s="53" t="s">
        <v>20</v>
      </c>
      <c r="E196" s="53" t="s">
        <v>123</v>
      </c>
      <c r="F196" s="73">
        <f t="shared" ref="F196:F202" si="131">IF(ISNUMBER(AB196),AB196-((C$4-C$3)/V196),"")</f>
        <v>2.5970002104537718E-2</v>
      </c>
      <c r="G196" s="60">
        <f t="shared" ref="G196:G202" si="132">IF(ISNUMBER(AC196),AC196-((D$4-D$3)/W196),"")</f>
        <v>3.3381107547338723E-2</v>
      </c>
      <c r="H196" s="60">
        <f t="shared" ref="H196:H202" si="133">IF(ISNUMBER(AD196),AD196-((E$4-E$3)/X196),"")</f>
        <v>3.8826533755572726E-2</v>
      </c>
      <c r="I196" s="60">
        <f t="shared" ref="I196:I202" si="134">IF(ISNUMBER(AE196),AE196-((F$4-F$3)/Y196),"")</f>
        <v>4.1899362191095413E-2</v>
      </c>
      <c r="J196" s="63">
        <f t="shared" ref="J196:J202" si="135">IF(ISNUMBER(AF196),AF196-((G$4-G$3)/Z196),"")</f>
        <v>4.5603711962328694E-2</v>
      </c>
      <c r="K196" s="60" t="str">
        <f t="shared" ref="K196:K202" si="136">IF(ISNUMBER(AG196),IF(AG196-((C$4-C$3)/V196)&lt;0,"",AG196-((C$4-C$3)/V196)),"")</f>
        <v/>
      </c>
      <c r="L196" s="60">
        <f t="shared" ref="L196:L202" si="137">IF(ISNUMBER(AH196),IF(AH196-((D$4-D$3)/W196)&lt;0,"",AH196-((D$4-D$3)/W196)),"")</f>
        <v>5.01492714733872E-3</v>
      </c>
      <c r="M196" s="60">
        <f t="shared" ref="M196:M202" si="138">IF(ISNUMBER(AI196),IF(AI196-((E$4-E$3)/X196)&lt;0,"",AI196-((E$4-E$3)/X196)),"")</f>
        <v>9.8070491555727283E-3</v>
      </c>
      <c r="N196" s="60">
        <f t="shared" ref="N196:N202" si="139">IF(ISNUMBER(AJ196),IF(AJ196-((F$4-F$3)/Y196)&lt;0,"",AJ196-((F$4-F$3)/Y196)),"")</f>
        <v>1.2033476391095411E-2</v>
      </c>
      <c r="O196" s="63">
        <f t="shared" ref="O196:O202" si="140">IF(ISNUMBER(AK196),IF(AK196-((G$4-G$3)/Z196)&lt;0,"",AK196-((G$4-G$3)/Z196)),"")</f>
        <v>1.4389527962328705E-2</v>
      </c>
      <c r="P196" s="55" t="s">
        <v>21</v>
      </c>
      <c r="Q196" s="53" t="s">
        <v>21</v>
      </c>
      <c r="R196" s="94" t="s">
        <v>21</v>
      </c>
      <c r="S196" s="71" t="s">
        <v>21</v>
      </c>
      <c r="T196" s="63" t="str">
        <f t="shared" ref="T196:T253" si="141">IF(S196="","",H196-S196)</f>
        <v/>
      </c>
      <c r="V196" s="114">
        <v>1.1483885199999999</v>
      </c>
      <c r="W196" s="72">
        <v>2.9365240899999998</v>
      </c>
      <c r="X196" s="72">
        <v>4.5427438899999997</v>
      </c>
      <c r="Y196" s="72">
        <v>5.9465742400000003</v>
      </c>
      <c r="Z196" s="115">
        <v>7.7219891799999996</v>
      </c>
      <c r="AB196" s="73">
        <v>2.5970002104537718E-2</v>
      </c>
      <c r="AC196" s="71">
        <v>3.3381107547338723E-2</v>
      </c>
      <c r="AD196" s="71">
        <v>3.8826533755572726E-2</v>
      </c>
      <c r="AE196" s="71">
        <v>4.1899362191095413E-2</v>
      </c>
      <c r="AF196" s="63">
        <v>4.5603711962328694E-2</v>
      </c>
      <c r="AG196" s="71" t="s">
        <v>21</v>
      </c>
      <c r="AH196" s="71">
        <v>5.01492714733872E-3</v>
      </c>
      <c r="AI196" s="71">
        <v>9.8070491555727283E-3</v>
      </c>
      <c r="AJ196" s="71">
        <v>1.2033476391095411E-2</v>
      </c>
      <c r="AK196" s="63">
        <v>1.4389527962328705E-2</v>
      </c>
    </row>
    <row r="197" spans="2:37" s="53" customFormat="1" x14ac:dyDescent="0.35">
      <c r="B197" s="55" t="s">
        <v>337</v>
      </c>
      <c r="C197" s="53" t="s">
        <v>234</v>
      </c>
      <c r="D197" s="53" t="s">
        <v>20</v>
      </c>
      <c r="E197" s="53" t="s">
        <v>251</v>
      </c>
      <c r="F197" s="73">
        <f t="shared" si="131"/>
        <v>2.4444987541703923E-2</v>
      </c>
      <c r="G197" s="60">
        <f t="shared" si="132"/>
        <v>3.2883304494531716E-2</v>
      </c>
      <c r="H197" s="60">
        <f t="shared" si="133"/>
        <v>3.8805056526392087E-2</v>
      </c>
      <c r="I197" s="60">
        <f t="shared" si="134"/>
        <v>4.2508624054158901E-2</v>
      </c>
      <c r="J197" s="63">
        <f t="shared" si="135"/>
        <v>4.5909969181490463E-2</v>
      </c>
      <c r="K197" s="60" t="str">
        <f t="shared" si="136"/>
        <v/>
      </c>
      <c r="L197" s="60">
        <f t="shared" si="137"/>
        <v>4.5376748945317171E-3</v>
      </c>
      <c r="M197" s="60">
        <f t="shared" si="138"/>
        <v>9.7890196263920922E-3</v>
      </c>
      <c r="N197" s="60">
        <f t="shared" si="139"/>
        <v>1.26217332541589E-2</v>
      </c>
      <c r="O197" s="63">
        <f t="shared" si="140"/>
        <v>1.4695934481490461E-2</v>
      </c>
      <c r="P197" s="55" t="s">
        <v>382</v>
      </c>
      <c r="Q197" s="53" t="s">
        <v>383</v>
      </c>
      <c r="R197" s="94">
        <v>47624</v>
      </c>
      <c r="S197" s="71">
        <v>3.6976200000000001E-2</v>
      </c>
      <c r="T197" s="63">
        <f t="shared" si="141"/>
        <v>1.8288565263920864E-3</v>
      </c>
      <c r="V197" s="114">
        <v>1.1512892800000001</v>
      </c>
      <c r="W197" s="72">
        <v>2.9451558100000002</v>
      </c>
      <c r="X197" s="72">
        <v>4.5528672100000005</v>
      </c>
      <c r="Y197" s="72">
        <v>5.94769624</v>
      </c>
      <c r="Z197" s="115">
        <v>7.7049556399999997</v>
      </c>
      <c r="AB197" s="73">
        <v>2.4444987541703923E-2</v>
      </c>
      <c r="AC197" s="71">
        <v>3.2883304494531716E-2</v>
      </c>
      <c r="AD197" s="71">
        <v>3.8805056526392087E-2</v>
      </c>
      <c r="AE197" s="71">
        <v>4.2508624054158901E-2</v>
      </c>
      <c r="AF197" s="63">
        <v>4.5909969181490463E-2</v>
      </c>
      <c r="AG197" s="71" t="s">
        <v>21</v>
      </c>
      <c r="AH197" s="71">
        <v>4.5376748945317171E-3</v>
      </c>
      <c r="AI197" s="71">
        <v>9.7890196263920922E-3</v>
      </c>
      <c r="AJ197" s="71">
        <v>1.26217332541589E-2</v>
      </c>
      <c r="AK197" s="63">
        <v>1.4695934481490461E-2</v>
      </c>
    </row>
    <row r="198" spans="2:37" s="53" customFormat="1" x14ac:dyDescent="0.35">
      <c r="B198" s="55" t="s">
        <v>146</v>
      </c>
      <c r="C198" s="53" t="s">
        <v>234</v>
      </c>
      <c r="D198" s="53" t="s">
        <v>69</v>
      </c>
      <c r="E198" s="53" t="s">
        <v>348</v>
      </c>
      <c r="F198" s="73">
        <f t="shared" si="131"/>
        <v>2.5125134620397525E-2</v>
      </c>
      <c r="G198" s="60">
        <f t="shared" si="132"/>
        <v>3.3026472197586747E-2</v>
      </c>
      <c r="H198" s="60">
        <f t="shared" si="133"/>
        <v>3.8798888196655897E-2</v>
      </c>
      <c r="I198" s="60">
        <f t="shared" si="134"/>
        <v>4.2252385349644456E-2</v>
      </c>
      <c r="J198" s="63">
        <f t="shared" si="135"/>
        <v>4.6880837750137988E-2</v>
      </c>
      <c r="K198" s="60" t="str">
        <f t="shared" si="136"/>
        <v/>
      </c>
      <c r="L198" s="60">
        <f t="shared" si="137"/>
        <v>4.6926943975867464E-3</v>
      </c>
      <c r="M198" s="60">
        <f t="shared" si="138"/>
        <v>9.8010225966558943E-3</v>
      </c>
      <c r="N198" s="60">
        <f t="shared" si="139"/>
        <v>1.2393962449644452E-2</v>
      </c>
      <c r="O198" s="63">
        <f t="shared" si="140"/>
        <v>1.5640935850137989E-2</v>
      </c>
      <c r="P198" s="55" t="s">
        <v>516</v>
      </c>
      <c r="Q198" s="53" t="s">
        <v>517</v>
      </c>
      <c r="R198" s="94" t="s">
        <v>32</v>
      </c>
      <c r="S198" s="71">
        <v>3.7563249999999999E-2</v>
      </c>
      <c r="T198" s="63">
        <f t="shared" si="141"/>
        <v>1.2356381966558971E-3</v>
      </c>
      <c r="V198" s="114">
        <v>1.1509552700000001</v>
      </c>
      <c r="W198" s="72">
        <v>2.94599703</v>
      </c>
      <c r="X198" s="72">
        <v>4.5590804199999999</v>
      </c>
      <c r="Y198" s="72">
        <v>5.9668042699999999</v>
      </c>
      <c r="Z198" s="115">
        <v>7.7218097400000003</v>
      </c>
      <c r="AB198" s="73">
        <v>2.5125134620397525E-2</v>
      </c>
      <c r="AC198" s="71">
        <v>3.3026472197586747E-2</v>
      </c>
      <c r="AD198" s="71">
        <v>3.8798888196655897E-2</v>
      </c>
      <c r="AE198" s="71">
        <v>4.2252385349644456E-2</v>
      </c>
      <c r="AF198" s="63">
        <v>4.6880837750137988E-2</v>
      </c>
      <c r="AG198" s="71" t="s">
        <v>21</v>
      </c>
      <c r="AH198" s="71">
        <v>4.6926943975867464E-3</v>
      </c>
      <c r="AI198" s="71">
        <v>9.8010225966558943E-3</v>
      </c>
      <c r="AJ198" s="71">
        <v>1.2393962449644452E-2</v>
      </c>
      <c r="AK198" s="63">
        <v>1.5640935850137989E-2</v>
      </c>
    </row>
    <row r="199" spans="2:37" s="53" customFormat="1" x14ac:dyDescent="0.35">
      <c r="B199" s="55" t="s">
        <v>145</v>
      </c>
      <c r="C199" s="53" t="s">
        <v>234</v>
      </c>
      <c r="D199" s="53" t="s">
        <v>20</v>
      </c>
      <c r="E199" s="53" t="s">
        <v>21</v>
      </c>
      <c r="F199" s="73">
        <f t="shared" si="131"/>
        <v>2.5991778406068991E-2</v>
      </c>
      <c r="G199" s="60">
        <f t="shared" si="132"/>
        <v>3.3584815913934724E-2</v>
      </c>
      <c r="H199" s="60">
        <f t="shared" si="133"/>
        <v>3.875742649435613E-2</v>
      </c>
      <c r="I199" s="60">
        <f t="shared" si="134"/>
        <v>4.1896029987903323E-2</v>
      </c>
      <c r="J199" s="63">
        <f t="shared" si="135"/>
        <v>4.5355452348324964E-2</v>
      </c>
      <c r="K199" s="60" t="str">
        <f t="shared" si="136"/>
        <v/>
      </c>
      <c r="L199" s="60">
        <f t="shared" si="137"/>
        <v>5.2136852139347241E-3</v>
      </c>
      <c r="M199" s="60">
        <f t="shared" si="138"/>
        <v>9.742074994356139E-3</v>
      </c>
      <c r="N199" s="60">
        <f t="shared" si="139"/>
        <v>1.2030789787903323E-2</v>
      </c>
      <c r="O199" s="63">
        <f t="shared" si="140"/>
        <v>1.4152353648324961E-2</v>
      </c>
      <c r="P199" s="55" t="s">
        <v>518</v>
      </c>
      <c r="Q199" s="53" t="s">
        <v>519</v>
      </c>
      <c r="R199" s="94" t="s">
        <v>32</v>
      </c>
      <c r="S199" s="71">
        <v>3.4048490000000001E-2</v>
      </c>
      <c r="T199" s="63">
        <f t="shared" si="141"/>
        <v>4.7089364943561293E-3</v>
      </c>
      <c r="V199" s="114">
        <v>1.14829045</v>
      </c>
      <c r="W199" s="72">
        <v>2.9344290900000001</v>
      </c>
      <c r="X199" s="72">
        <v>4.5413432599999997</v>
      </c>
      <c r="Y199" s="72">
        <v>5.9463763699999994</v>
      </c>
      <c r="Z199" s="115">
        <v>7.7250912500000002</v>
      </c>
      <c r="AB199" s="73">
        <v>2.5991778406068991E-2</v>
      </c>
      <c r="AC199" s="71">
        <v>3.3584815913934724E-2</v>
      </c>
      <c r="AD199" s="71">
        <v>3.875742649435613E-2</v>
      </c>
      <c r="AE199" s="71">
        <v>4.1896029987903323E-2</v>
      </c>
      <c r="AF199" s="63">
        <v>4.5355452348324964E-2</v>
      </c>
      <c r="AG199" s="71" t="s">
        <v>21</v>
      </c>
      <c r="AH199" s="71">
        <v>5.2136852139347241E-3</v>
      </c>
      <c r="AI199" s="71">
        <v>9.742074994356139E-3</v>
      </c>
      <c r="AJ199" s="71">
        <v>1.2030789787903323E-2</v>
      </c>
      <c r="AK199" s="63">
        <v>1.4152353648324961E-2</v>
      </c>
    </row>
    <row r="200" spans="2:37" s="53" customFormat="1" x14ac:dyDescent="0.35">
      <c r="B200" s="55" t="s">
        <v>152</v>
      </c>
      <c r="C200" s="53" t="s">
        <v>234</v>
      </c>
      <c r="D200" s="53" t="s">
        <v>47</v>
      </c>
      <c r="E200" s="53" t="s">
        <v>141</v>
      </c>
      <c r="F200" s="73">
        <f t="shared" si="131"/>
        <v>2.5258584885478788E-2</v>
      </c>
      <c r="G200" s="60">
        <f t="shared" si="132"/>
        <v>3.3133976958705409E-2</v>
      </c>
      <c r="H200" s="60">
        <f t="shared" si="133"/>
        <v>3.8747699156468862E-2</v>
      </c>
      <c r="I200" s="60">
        <f t="shared" si="134"/>
        <v>4.2203445721873817E-2</v>
      </c>
      <c r="J200" s="63">
        <f t="shared" si="135"/>
        <v>4.645738104881017E-2</v>
      </c>
      <c r="K200" s="60" t="str">
        <f t="shared" si="136"/>
        <v/>
      </c>
      <c r="L200" s="60">
        <f t="shared" si="137"/>
        <v>4.796980458705415E-3</v>
      </c>
      <c r="M200" s="60">
        <f t="shared" si="138"/>
        <v>9.75201995646887E-3</v>
      </c>
      <c r="N200" s="60">
        <f t="shared" si="139"/>
        <v>1.2346902921873815E-2</v>
      </c>
      <c r="O200" s="63">
        <f t="shared" si="140"/>
        <v>1.5233565048810162E-2</v>
      </c>
      <c r="P200" s="55" t="s">
        <v>520</v>
      </c>
      <c r="Q200" s="53" t="s">
        <v>521</v>
      </c>
      <c r="R200" s="94" t="s">
        <v>32</v>
      </c>
      <c r="S200" s="71">
        <v>3.3686430000000003E-2</v>
      </c>
      <c r="T200" s="63">
        <f t="shared" si="141"/>
        <v>5.0612691564688589E-3</v>
      </c>
      <c r="V200" s="114">
        <v>1.15068178</v>
      </c>
      <c r="W200" s="72">
        <v>2.9449832900000001</v>
      </c>
      <c r="X200" s="72">
        <v>4.5583685200000001</v>
      </c>
      <c r="Y200" s="72">
        <v>5.96704452</v>
      </c>
      <c r="Z200" s="115">
        <v>7.7325537299999993</v>
      </c>
      <c r="AB200" s="73">
        <v>2.5258584885478788E-2</v>
      </c>
      <c r="AC200" s="71">
        <v>3.3133976958705409E-2</v>
      </c>
      <c r="AD200" s="71">
        <v>3.8747699156468862E-2</v>
      </c>
      <c r="AE200" s="71">
        <v>4.2203445721873817E-2</v>
      </c>
      <c r="AF200" s="63">
        <v>4.645738104881017E-2</v>
      </c>
      <c r="AG200" s="71" t="s">
        <v>21</v>
      </c>
      <c r="AH200" s="71">
        <v>4.796980458705415E-3</v>
      </c>
      <c r="AI200" s="71">
        <v>9.75201995646887E-3</v>
      </c>
      <c r="AJ200" s="71">
        <v>1.2346902921873815E-2</v>
      </c>
      <c r="AK200" s="63">
        <v>1.5233565048810162E-2</v>
      </c>
    </row>
    <row r="201" spans="2:37" s="53" customFormat="1" x14ac:dyDescent="0.35">
      <c r="B201" s="55" t="s">
        <v>241</v>
      </c>
      <c r="C201" s="53" t="s">
        <v>234</v>
      </c>
      <c r="D201" s="53" t="s">
        <v>69</v>
      </c>
      <c r="E201" s="53" t="s">
        <v>342</v>
      </c>
      <c r="F201" s="73">
        <f t="shared" si="131"/>
        <v>2.4719190053569432E-2</v>
      </c>
      <c r="G201" s="60">
        <f t="shared" si="132"/>
        <v>3.2732885891742433E-2</v>
      </c>
      <c r="H201" s="60">
        <f t="shared" si="133"/>
        <v>3.8690610024067505E-2</v>
      </c>
      <c r="I201" s="60">
        <f t="shared" si="134"/>
        <v>4.238823902322493E-2</v>
      </c>
      <c r="J201" s="63">
        <f t="shared" si="135"/>
        <v>4.6125510953740831E-2</v>
      </c>
      <c r="K201" s="60" t="str">
        <f t="shared" si="136"/>
        <v/>
      </c>
      <c r="L201" s="60">
        <f t="shared" si="137"/>
        <v>4.4105340917424294E-3</v>
      </c>
      <c r="M201" s="60">
        <f t="shared" si="138"/>
        <v>9.697866524067511E-3</v>
      </c>
      <c r="N201" s="60">
        <f t="shared" si="139"/>
        <v>1.2525823023224927E-2</v>
      </c>
      <c r="O201" s="63">
        <f t="shared" si="140"/>
        <v>1.4918173253740832E-2</v>
      </c>
      <c r="P201" s="55" t="s">
        <v>522</v>
      </c>
      <c r="Q201" s="53" t="s">
        <v>523</v>
      </c>
      <c r="R201" s="94" t="s">
        <v>32</v>
      </c>
      <c r="S201" s="71">
        <v>4.1244329999999996E-2</v>
      </c>
      <c r="T201" s="63">
        <f t="shared" si="141"/>
        <v>-2.5537199759324905E-3</v>
      </c>
      <c r="V201" s="114">
        <v>1.1517262100000001</v>
      </c>
      <c r="W201" s="72">
        <v>2.94942913</v>
      </c>
      <c r="X201" s="72">
        <v>4.5641586800000002</v>
      </c>
      <c r="Y201" s="72">
        <v>5.9698139999999995</v>
      </c>
      <c r="Z201" s="115">
        <v>7.7409424599999994</v>
      </c>
      <c r="AB201" s="73">
        <v>2.4719190053569432E-2</v>
      </c>
      <c r="AC201" s="71">
        <v>3.2732885891742433E-2</v>
      </c>
      <c r="AD201" s="71">
        <v>3.8690610024067505E-2</v>
      </c>
      <c r="AE201" s="71">
        <v>4.238823902322493E-2</v>
      </c>
      <c r="AF201" s="63">
        <v>4.6125510953740831E-2</v>
      </c>
      <c r="AG201" s="71" t="s">
        <v>21</v>
      </c>
      <c r="AH201" s="71">
        <v>4.4105340917424294E-3</v>
      </c>
      <c r="AI201" s="71">
        <v>9.697866524067511E-3</v>
      </c>
      <c r="AJ201" s="71">
        <v>1.2525823023224927E-2</v>
      </c>
      <c r="AK201" s="63">
        <v>1.4918173253740832E-2</v>
      </c>
    </row>
    <row r="202" spans="2:37" s="53" customFormat="1" x14ac:dyDescent="0.35">
      <c r="B202" s="55" t="s">
        <v>340</v>
      </c>
      <c r="C202" s="53" t="s">
        <v>234</v>
      </c>
      <c r="D202" s="53" t="s">
        <v>20</v>
      </c>
      <c r="E202" s="53" t="s">
        <v>123</v>
      </c>
      <c r="F202" s="73">
        <f t="shared" si="131"/>
        <v>2.4917196539923581E-2</v>
      </c>
      <c r="G202" s="60">
        <f t="shared" si="132"/>
        <v>3.2987653895562623E-2</v>
      </c>
      <c r="H202" s="60">
        <f t="shared" si="133"/>
        <v>3.8667032962306155E-2</v>
      </c>
      <c r="I202" s="60">
        <f t="shared" si="134"/>
        <v>4.1664523131193773E-2</v>
      </c>
      <c r="J202" s="63">
        <f t="shared" si="135"/>
        <v>4.5012777396545682E-2</v>
      </c>
      <c r="K202" s="60" t="str">
        <f t="shared" si="136"/>
        <v/>
      </c>
      <c r="L202" s="60">
        <f t="shared" si="137"/>
        <v>4.6341707955626279E-3</v>
      </c>
      <c r="M202" s="60">
        <f t="shared" si="138"/>
        <v>9.6530371623061578E-3</v>
      </c>
      <c r="N202" s="60">
        <f t="shared" si="139"/>
        <v>1.1808711031193771E-2</v>
      </c>
      <c r="O202" s="63">
        <f t="shared" si="140"/>
        <v>1.3822746096545678E-2</v>
      </c>
      <c r="P202" s="55" t="s">
        <v>21</v>
      </c>
      <c r="Q202" s="53" t="s">
        <v>21</v>
      </c>
      <c r="R202" s="94" t="s">
        <v>21</v>
      </c>
      <c r="S202" s="71" t="s">
        <v>21</v>
      </c>
      <c r="T202" s="63" t="str">
        <f t="shared" si="141"/>
        <v/>
      </c>
      <c r="V202" s="114">
        <v>1.15047652</v>
      </c>
      <c r="W202" s="72">
        <v>2.9433249099999998</v>
      </c>
      <c r="X202" s="72">
        <v>4.5520419700000003</v>
      </c>
      <c r="Y202" s="72">
        <v>5.9580071999999999</v>
      </c>
      <c r="Z202" s="115">
        <v>7.7456923499999997</v>
      </c>
      <c r="AB202" s="73">
        <v>2.4917196539923581E-2</v>
      </c>
      <c r="AC202" s="71">
        <v>3.2987653895562623E-2</v>
      </c>
      <c r="AD202" s="71">
        <v>3.8667032962306155E-2</v>
      </c>
      <c r="AE202" s="71">
        <v>4.1664523131193773E-2</v>
      </c>
      <c r="AF202" s="63">
        <v>4.5012777396545682E-2</v>
      </c>
      <c r="AG202" s="71" t="s">
        <v>21</v>
      </c>
      <c r="AH202" s="71">
        <v>4.6341707955626279E-3</v>
      </c>
      <c r="AI202" s="71">
        <v>9.6530371623061578E-3</v>
      </c>
      <c r="AJ202" s="71">
        <v>1.1808711031193771E-2</v>
      </c>
      <c r="AK202" s="63">
        <v>1.3822746096545678E-2</v>
      </c>
    </row>
    <row r="203" spans="2:37" s="53" customFormat="1" x14ac:dyDescent="0.35">
      <c r="B203" s="55" t="s">
        <v>240</v>
      </c>
      <c r="C203" s="53" t="s">
        <v>234</v>
      </c>
      <c r="D203" s="53" t="s">
        <v>20</v>
      </c>
      <c r="E203" s="53" t="s">
        <v>245</v>
      </c>
      <c r="F203" s="73">
        <f t="shared" ref="F203:F253" si="142">IF(ISNUMBER(AB203),AB203-((C$4-C$3)/V203),"")</f>
        <v>2.4522303456511629E-2</v>
      </c>
      <c r="G203" s="60">
        <f t="shared" ref="G203:G253" si="143">IF(ISNUMBER(AC203),AC203-((D$4-D$3)/W203),"")</f>
        <v>3.3003061257048771E-2</v>
      </c>
      <c r="H203" s="60">
        <f t="shared" ref="H203:H253" si="144">IF(ISNUMBER(AD203),AD203-((E$4-E$3)/X203),"")</f>
        <v>3.8650914167566719E-2</v>
      </c>
      <c r="I203" s="60">
        <f t="shared" ref="I203:I253" si="145">IF(ISNUMBER(AE203),AE203-((F$4-F$3)/Y203),"")</f>
        <v>4.2558471849646978E-2</v>
      </c>
      <c r="J203" s="63">
        <f t="shared" ref="J203:J253" si="146">IF(ISNUMBER(AF203),AF203-((G$4-G$3)/Z203),"")</f>
        <v>4.6321726550003099E-2</v>
      </c>
      <c r="K203" s="60" t="str">
        <f t="shared" ref="K203:K253" si="147">IF(ISNUMBER(AG203),IF(AG203-((C$4-C$3)/V203)&lt;0,"",AG203-((C$4-C$3)/V203)),"")</f>
        <v/>
      </c>
      <c r="L203" s="60">
        <f t="shared" ref="L203:L253" si="148">IF(ISNUMBER(AH203),IF(AH203-((D$4-D$3)/W203)&lt;0,"",AH203-((D$4-D$3)/W203)),"")</f>
        <v>4.6505623570487703E-3</v>
      </c>
      <c r="M203" s="60">
        <f t="shared" ref="M203:M253" si="149">IF(ISNUMBER(AI203),IF(AI203-((E$4-E$3)/X203)&lt;0,"",AI203-((E$4-E$3)/X203)),"")</f>
        <v>9.6389375675667299E-3</v>
      </c>
      <c r="N203" s="60">
        <f t="shared" ref="N203:N253" si="150">IF(ISNUMBER(AJ203),IF(AJ203-((F$4-F$3)/Y203)&lt;0,"",AJ203-((F$4-F$3)/Y203)),"")</f>
        <v>1.266868504964697E-2</v>
      </c>
      <c r="O203" s="63">
        <f t="shared" ref="O203:O253" si="151">IF(ISNUMBER(AK203),IF(AK203-((G$4-G$3)/Z203)&lt;0,"",AK203-((G$4-G$3)/Z203)),"")</f>
        <v>1.5091122050003104E-2</v>
      </c>
      <c r="P203" s="55" t="s">
        <v>524</v>
      </c>
      <c r="Q203" s="53" t="s">
        <v>525</v>
      </c>
      <c r="R203" s="94">
        <v>47515</v>
      </c>
      <c r="S203" s="71">
        <v>3.7312900000000003E-2</v>
      </c>
      <c r="T203" s="63">
        <f t="shared" si="141"/>
        <v>1.3380141675667159E-3</v>
      </c>
      <c r="V203" s="114">
        <v>1.1511962099999999</v>
      </c>
      <c r="W203" s="72">
        <v>2.94320431</v>
      </c>
      <c r="X203" s="72">
        <v>4.5517774400000004</v>
      </c>
      <c r="Y203" s="72">
        <v>5.94623758</v>
      </c>
      <c r="Z203" s="115">
        <v>7.6949525899999998</v>
      </c>
      <c r="AB203" s="73">
        <v>2.4522303456511629E-2</v>
      </c>
      <c r="AC203" s="71">
        <v>3.3003061257048771E-2</v>
      </c>
      <c r="AD203" s="71">
        <v>3.8650914167566719E-2</v>
      </c>
      <c r="AE203" s="71">
        <v>4.2558471849646978E-2</v>
      </c>
      <c r="AF203" s="63">
        <v>4.6321726550003099E-2</v>
      </c>
      <c r="AG203" s="71" t="s">
        <v>21</v>
      </c>
      <c r="AH203" s="71">
        <v>4.6505623570487703E-3</v>
      </c>
      <c r="AI203" s="71">
        <v>9.6389375675667299E-3</v>
      </c>
      <c r="AJ203" s="71">
        <v>1.266868504964697E-2</v>
      </c>
      <c r="AK203" s="63">
        <v>1.5091122050003104E-2</v>
      </c>
    </row>
    <row r="204" spans="2:37" s="53" customFormat="1" x14ac:dyDescent="0.35">
      <c r="B204" s="55" t="s">
        <v>147</v>
      </c>
      <c r="C204" s="53" t="s">
        <v>234</v>
      </c>
      <c r="D204" s="53" t="s">
        <v>69</v>
      </c>
      <c r="E204" s="53" t="s">
        <v>21</v>
      </c>
      <c r="F204" s="73">
        <f t="shared" si="142"/>
        <v>2.4688241622009582E-2</v>
      </c>
      <c r="G204" s="60">
        <f t="shared" si="143"/>
        <v>3.2681527853256412E-2</v>
      </c>
      <c r="H204" s="60">
        <f t="shared" si="144"/>
        <v>3.8590062234502703E-2</v>
      </c>
      <c r="I204" s="60">
        <f t="shared" si="145"/>
        <v>4.2096244725270224E-2</v>
      </c>
      <c r="J204" s="63">
        <f t="shared" si="146"/>
        <v>4.611307573176604E-2</v>
      </c>
      <c r="K204" s="60" t="str">
        <f t="shared" si="147"/>
        <v/>
      </c>
      <c r="L204" s="60">
        <f t="shared" si="148"/>
        <v>4.3597905532564082E-3</v>
      </c>
      <c r="M204" s="60">
        <f t="shared" si="149"/>
        <v>9.6001547345027066E-3</v>
      </c>
      <c r="N204" s="60">
        <f t="shared" si="150"/>
        <v>1.2244534625270221E-2</v>
      </c>
      <c r="O204" s="63">
        <f t="shared" si="151"/>
        <v>1.4903933931766025E-2</v>
      </c>
      <c r="P204" s="55" t="s">
        <v>526</v>
      </c>
      <c r="Q204" s="53" t="s">
        <v>527</v>
      </c>
      <c r="R204" s="94" t="s">
        <v>32</v>
      </c>
      <c r="S204" s="71">
        <v>3.5515060000000001E-2</v>
      </c>
      <c r="T204" s="63">
        <f t="shared" si="141"/>
        <v>3.0750022345027023E-3</v>
      </c>
      <c r="V204" s="114">
        <v>1.1518106300000002</v>
      </c>
      <c r="W204" s="72">
        <v>2.9499212699999999</v>
      </c>
      <c r="X204" s="72">
        <v>4.5658336200000003</v>
      </c>
      <c r="Y204" s="72">
        <v>5.9758995099999996</v>
      </c>
      <c r="Z204" s="115">
        <v>7.74921521</v>
      </c>
      <c r="AB204" s="73">
        <v>2.4688241622009582E-2</v>
      </c>
      <c r="AC204" s="71">
        <v>3.2681527853256412E-2</v>
      </c>
      <c r="AD204" s="71">
        <v>3.8590062234502703E-2</v>
      </c>
      <c r="AE204" s="71">
        <v>4.2096244725270224E-2</v>
      </c>
      <c r="AF204" s="63">
        <v>4.611307573176604E-2</v>
      </c>
      <c r="AG204" s="71" t="s">
        <v>21</v>
      </c>
      <c r="AH204" s="71">
        <v>4.3597905532564082E-3</v>
      </c>
      <c r="AI204" s="71">
        <v>9.6001547345027066E-3</v>
      </c>
      <c r="AJ204" s="71">
        <v>1.2244534625270221E-2</v>
      </c>
      <c r="AK204" s="63">
        <v>1.4903933931766025E-2</v>
      </c>
    </row>
    <row r="205" spans="2:37" s="53" customFormat="1" x14ac:dyDescent="0.35">
      <c r="B205" s="55" t="s">
        <v>178</v>
      </c>
      <c r="C205" s="53" t="s">
        <v>234</v>
      </c>
      <c r="D205" s="53" t="s">
        <v>47</v>
      </c>
      <c r="E205" s="53" t="s">
        <v>128</v>
      </c>
      <c r="F205" s="73">
        <f t="shared" si="142"/>
        <v>2.4806254103157854E-2</v>
      </c>
      <c r="G205" s="60">
        <f t="shared" si="143"/>
        <v>3.2490000980080494E-2</v>
      </c>
      <c r="H205" s="60">
        <f t="shared" si="144"/>
        <v>3.8544991601303272E-2</v>
      </c>
      <c r="I205" s="60">
        <f t="shared" si="145"/>
        <v>4.233148195099147E-2</v>
      </c>
      <c r="J205" s="63">
        <f t="shared" si="146"/>
        <v>4.6787681266724834E-2</v>
      </c>
      <c r="K205" s="60" t="str">
        <f t="shared" si="147"/>
        <v/>
      </c>
      <c r="L205" s="60">
        <f t="shared" si="148"/>
        <v>4.1745059800804927E-3</v>
      </c>
      <c r="M205" s="60">
        <f t="shared" si="149"/>
        <v>9.5568146013032713E-3</v>
      </c>
      <c r="N205" s="60">
        <f t="shared" si="150"/>
        <v>1.2471770250991471E-2</v>
      </c>
      <c r="O205" s="63">
        <f t="shared" si="151"/>
        <v>1.5556285866724837E-2</v>
      </c>
      <c r="P205" s="55" t="s">
        <v>21</v>
      </c>
      <c r="Q205" s="53" t="s">
        <v>21</v>
      </c>
      <c r="R205" s="94" t="s">
        <v>21</v>
      </c>
      <c r="S205" s="71" t="s">
        <v>21</v>
      </c>
      <c r="T205" s="63" t="str">
        <f t="shared" si="141"/>
        <v/>
      </c>
      <c r="V205" s="114">
        <v>1.1515804299999999</v>
      </c>
      <c r="W205" s="72">
        <v>2.95101221</v>
      </c>
      <c r="X205" s="72">
        <v>4.56798152</v>
      </c>
      <c r="Y205" s="72">
        <v>5.97520512</v>
      </c>
      <c r="Z205" s="115">
        <v>7.7320687599999989</v>
      </c>
      <c r="AB205" s="73">
        <v>2.4806254103157854E-2</v>
      </c>
      <c r="AC205" s="71">
        <v>3.2490000980080494E-2</v>
      </c>
      <c r="AD205" s="71">
        <v>3.8544991601303272E-2</v>
      </c>
      <c r="AE205" s="71">
        <v>4.233148195099147E-2</v>
      </c>
      <c r="AF205" s="63">
        <v>4.6787681266724834E-2</v>
      </c>
      <c r="AG205" s="71" t="s">
        <v>21</v>
      </c>
      <c r="AH205" s="71">
        <v>4.1745059800804927E-3</v>
      </c>
      <c r="AI205" s="71">
        <v>9.5568146013032713E-3</v>
      </c>
      <c r="AJ205" s="71">
        <v>1.2471770250991471E-2</v>
      </c>
      <c r="AK205" s="63">
        <v>1.5556285866724837E-2</v>
      </c>
    </row>
    <row r="206" spans="2:37" s="53" customFormat="1" x14ac:dyDescent="0.35">
      <c r="B206" s="55" t="s">
        <v>327</v>
      </c>
      <c r="C206" s="53" t="s">
        <v>234</v>
      </c>
      <c r="D206" s="53" t="s">
        <v>169</v>
      </c>
      <c r="E206" s="53" t="s">
        <v>81</v>
      </c>
      <c r="F206" s="73">
        <f t="shared" si="142"/>
        <v>2.4272396190544047E-2</v>
      </c>
      <c r="G206" s="60">
        <f t="shared" si="143"/>
        <v>3.2290152887749654E-2</v>
      </c>
      <c r="H206" s="60">
        <f t="shared" si="144"/>
        <v>3.8370634550537415E-2</v>
      </c>
      <c r="I206" s="60">
        <f t="shared" si="145"/>
        <v>4.2899223883819067E-2</v>
      </c>
      <c r="J206" s="63">
        <f t="shared" si="146"/>
        <v>4.6537496861911082E-2</v>
      </c>
      <c r="K206" s="60" t="str">
        <f t="shared" si="147"/>
        <v/>
      </c>
      <c r="L206" s="60">
        <f t="shared" si="148"/>
        <v>3.9652298877496514E-3</v>
      </c>
      <c r="M206" s="60">
        <f t="shared" si="149"/>
        <v>9.3712833505374162E-3</v>
      </c>
      <c r="N206" s="60">
        <f t="shared" si="150"/>
        <v>1.2998345783819067E-2</v>
      </c>
      <c r="O206" s="63">
        <f t="shared" si="151"/>
        <v>1.5304578661911091E-2</v>
      </c>
      <c r="P206" s="55" t="s">
        <v>378</v>
      </c>
      <c r="Q206" s="53" t="s">
        <v>379</v>
      </c>
      <c r="R206" s="94">
        <v>47588</v>
      </c>
      <c r="S206" s="71">
        <v>3.4718869999999999E-2</v>
      </c>
      <c r="T206" s="63">
        <f t="shared" si="141"/>
        <v>3.6517645505374161E-3</v>
      </c>
      <c r="V206" s="114">
        <v>1.1516585799999999</v>
      </c>
      <c r="W206" s="72">
        <v>2.9493122700000001</v>
      </c>
      <c r="X206" s="72">
        <v>4.5620298400000001</v>
      </c>
      <c r="Y206" s="72">
        <v>5.9513582300000003</v>
      </c>
      <c r="Z206" s="115">
        <v>7.6925540999999997</v>
      </c>
      <c r="AB206" s="73">
        <v>2.4272396190544047E-2</v>
      </c>
      <c r="AC206" s="71">
        <v>3.2290152887749654E-2</v>
      </c>
      <c r="AD206" s="71">
        <v>3.8370634550537415E-2</v>
      </c>
      <c r="AE206" s="71">
        <v>4.2899223883819067E-2</v>
      </c>
      <c r="AF206" s="63">
        <v>4.6537496861911082E-2</v>
      </c>
      <c r="AG206" s="71" t="s">
        <v>21</v>
      </c>
      <c r="AH206" s="71">
        <v>3.9652298877496514E-3</v>
      </c>
      <c r="AI206" s="71">
        <v>9.3712833505374162E-3</v>
      </c>
      <c r="AJ206" s="71">
        <v>1.2998345783819067E-2</v>
      </c>
      <c r="AK206" s="63">
        <v>1.5304578661911091E-2</v>
      </c>
    </row>
    <row r="207" spans="2:37" s="53" customFormat="1" x14ac:dyDescent="0.35">
      <c r="B207" s="55" t="s">
        <v>338</v>
      </c>
      <c r="C207" s="53" t="s">
        <v>234</v>
      </c>
      <c r="D207" s="53" t="s">
        <v>69</v>
      </c>
      <c r="E207" s="53" t="s">
        <v>21</v>
      </c>
      <c r="F207" s="73">
        <f t="shared" si="142"/>
        <v>2.4821306640851176E-2</v>
      </c>
      <c r="G207" s="60">
        <f t="shared" si="143"/>
        <v>3.2879431739859299E-2</v>
      </c>
      <c r="H207" s="60">
        <f t="shared" si="144"/>
        <v>3.818477565035281E-2</v>
      </c>
      <c r="I207" s="60">
        <f t="shared" si="145"/>
        <v>4.1314043899334567E-2</v>
      </c>
      <c r="J207" s="63">
        <f t="shared" si="146"/>
        <v>4.5514632414689178E-2</v>
      </c>
      <c r="K207" s="60" t="str">
        <f t="shared" si="147"/>
        <v/>
      </c>
      <c r="L207" s="60">
        <f t="shared" si="148"/>
        <v>4.5502707398593018E-3</v>
      </c>
      <c r="M207" s="60">
        <f t="shared" si="149"/>
        <v>9.2088038503528157E-3</v>
      </c>
      <c r="N207" s="60">
        <f t="shared" si="150"/>
        <v>1.1490641599334567E-2</v>
      </c>
      <c r="O207" s="63">
        <f t="shared" si="151"/>
        <v>1.4321884114689177E-2</v>
      </c>
      <c r="P207" s="55" t="s">
        <v>21</v>
      </c>
      <c r="Q207" s="53" t="s">
        <v>21</v>
      </c>
      <c r="R207" s="94" t="s">
        <v>21</v>
      </c>
      <c r="S207" s="71" t="s">
        <v>21</v>
      </c>
      <c r="T207" s="63" t="str">
        <f t="shared" si="141"/>
        <v/>
      </c>
      <c r="V207" s="114">
        <v>1.15156367</v>
      </c>
      <c r="W207" s="72">
        <v>2.9482050900000001</v>
      </c>
      <c r="X207" s="72">
        <v>4.5679740500000001</v>
      </c>
      <c r="Y207" s="72">
        <v>5.9906057099999996</v>
      </c>
      <c r="Z207" s="115">
        <v>7.7835398599999994</v>
      </c>
      <c r="AB207" s="73">
        <v>2.4821306640851176E-2</v>
      </c>
      <c r="AC207" s="71">
        <v>3.2879431739859299E-2</v>
      </c>
      <c r="AD207" s="71">
        <v>3.818477565035281E-2</v>
      </c>
      <c r="AE207" s="71">
        <v>4.1314043899334567E-2</v>
      </c>
      <c r="AF207" s="63">
        <v>4.5514632414689178E-2</v>
      </c>
      <c r="AG207" s="71" t="s">
        <v>21</v>
      </c>
      <c r="AH207" s="71">
        <v>4.5502707398593018E-3</v>
      </c>
      <c r="AI207" s="71">
        <v>9.2088038503528157E-3</v>
      </c>
      <c r="AJ207" s="71">
        <v>1.1490641599334567E-2</v>
      </c>
      <c r="AK207" s="63">
        <v>1.4321884114689177E-2</v>
      </c>
    </row>
    <row r="208" spans="2:37" s="53" customFormat="1" x14ac:dyDescent="0.35">
      <c r="B208" s="55" t="s">
        <v>354</v>
      </c>
      <c r="C208" s="53" t="s">
        <v>234</v>
      </c>
      <c r="D208" s="53" t="s">
        <v>20</v>
      </c>
      <c r="E208" s="53" t="s">
        <v>128</v>
      </c>
      <c r="F208" s="73">
        <f t="shared" si="142"/>
        <v>2.501772364956089E-2</v>
      </c>
      <c r="G208" s="60">
        <f t="shared" si="143"/>
        <v>3.2921376827180708E-2</v>
      </c>
      <c r="H208" s="60">
        <f t="shared" si="144"/>
        <v>3.8002417279290442E-2</v>
      </c>
      <c r="I208" s="60">
        <f t="shared" si="145"/>
        <v>4.0993114336852911E-2</v>
      </c>
      <c r="J208" s="63">
        <f t="shared" si="146"/>
        <v>4.4240200275950707E-2</v>
      </c>
      <c r="K208" s="60" t="str">
        <f t="shared" si="147"/>
        <v/>
      </c>
      <c r="L208" s="60">
        <f t="shared" si="148"/>
        <v>4.5691952271807099E-3</v>
      </c>
      <c r="M208" s="60">
        <f t="shared" si="149"/>
        <v>9.0119952792904433E-3</v>
      </c>
      <c r="N208" s="60">
        <f t="shared" si="150"/>
        <v>1.116087243685291E-2</v>
      </c>
      <c r="O208" s="63">
        <f t="shared" si="151"/>
        <v>1.3072531175950704E-2</v>
      </c>
      <c r="P208" s="55" t="s">
        <v>388</v>
      </c>
      <c r="Q208" s="53" t="s">
        <v>389</v>
      </c>
      <c r="R208" s="94" t="s">
        <v>32</v>
      </c>
      <c r="S208" s="71">
        <v>3.4986380000000004E-2</v>
      </c>
      <c r="T208" s="63">
        <f t="shared" si="141"/>
        <v>3.0160372792904372E-3</v>
      </c>
      <c r="V208" s="114">
        <v>1.1502498000000001</v>
      </c>
      <c r="W208" s="72">
        <v>2.9434102699999998</v>
      </c>
      <c r="X208" s="72">
        <v>4.5591051299999998</v>
      </c>
      <c r="Y208" s="72">
        <v>5.9773850099999999</v>
      </c>
      <c r="Z208" s="115">
        <v>7.7896547299999996</v>
      </c>
      <c r="AB208" s="73">
        <v>2.501772364956089E-2</v>
      </c>
      <c r="AC208" s="71">
        <v>3.2921376827180708E-2</v>
      </c>
      <c r="AD208" s="71">
        <v>3.8002417279290442E-2</v>
      </c>
      <c r="AE208" s="71">
        <v>4.0993114336852911E-2</v>
      </c>
      <c r="AF208" s="63">
        <v>4.4240200275950707E-2</v>
      </c>
      <c r="AG208" s="71" t="s">
        <v>21</v>
      </c>
      <c r="AH208" s="71">
        <v>4.5691952271807099E-3</v>
      </c>
      <c r="AI208" s="71">
        <v>9.0119952792904433E-3</v>
      </c>
      <c r="AJ208" s="71">
        <v>1.116087243685291E-2</v>
      </c>
      <c r="AK208" s="63">
        <v>1.3072531175950704E-2</v>
      </c>
    </row>
    <row r="209" spans="2:37" s="53" customFormat="1" x14ac:dyDescent="0.35">
      <c r="B209" s="55" t="s">
        <v>349</v>
      </c>
      <c r="C209" s="53" t="s">
        <v>234</v>
      </c>
      <c r="D209" s="53" t="s">
        <v>20</v>
      </c>
      <c r="E209" s="53" t="s">
        <v>528</v>
      </c>
      <c r="F209" s="73">
        <f t="shared" si="142"/>
        <v>2.4419990815417188E-2</v>
      </c>
      <c r="G209" s="60">
        <f t="shared" si="143"/>
        <v>3.2047093390173545E-2</v>
      </c>
      <c r="H209" s="60">
        <f t="shared" si="144"/>
        <v>3.7621702241314815E-2</v>
      </c>
      <c r="I209" s="60">
        <f t="shared" si="145"/>
        <v>4.109194587206863E-2</v>
      </c>
      <c r="J209" s="63">
        <f t="shared" si="146"/>
        <v>4.4278048896169243E-2</v>
      </c>
      <c r="K209" s="60" t="str">
        <f t="shared" si="147"/>
        <v/>
      </c>
      <c r="L209" s="60">
        <f t="shared" si="148"/>
        <v>3.7292636901735468E-3</v>
      </c>
      <c r="M209" s="60">
        <f t="shared" si="149"/>
        <v>8.6479055413148133E-3</v>
      </c>
      <c r="N209" s="60">
        <f t="shared" si="150"/>
        <v>1.1258250972068635E-2</v>
      </c>
      <c r="O209" s="63">
        <f t="shared" si="151"/>
        <v>1.3116680296169237E-2</v>
      </c>
      <c r="P209" s="55" t="s">
        <v>384</v>
      </c>
      <c r="Q209" s="53" t="s">
        <v>385</v>
      </c>
      <c r="R209" s="94">
        <v>47529</v>
      </c>
      <c r="S209" s="71">
        <v>3.5713639999999998E-2</v>
      </c>
      <c r="T209" s="63">
        <f t="shared" si="141"/>
        <v>1.9080622413148174E-3</v>
      </c>
      <c r="V209" s="114">
        <v>1.1513664299999999</v>
      </c>
      <c r="W209" s="72">
        <v>2.9504806599999998</v>
      </c>
      <c r="X209" s="72">
        <v>4.5722555600000003</v>
      </c>
      <c r="Y209" s="72">
        <v>5.9917620400000002</v>
      </c>
      <c r="Z209" s="115">
        <v>7.7970526400000004</v>
      </c>
      <c r="AB209" s="73">
        <v>2.4419990815417188E-2</v>
      </c>
      <c r="AC209" s="71">
        <v>3.2047093390173545E-2</v>
      </c>
      <c r="AD209" s="71">
        <v>3.7621702241314815E-2</v>
      </c>
      <c r="AE209" s="71">
        <v>4.109194587206863E-2</v>
      </c>
      <c r="AF209" s="63">
        <v>4.4278048896169243E-2</v>
      </c>
      <c r="AG209" s="71" t="s">
        <v>21</v>
      </c>
      <c r="AH209" s="71">
        <v>3.7292636901735468E-3</v>
      </c>
      <c r="AI209" s="71">
        <v>8.6479055413148133E-3</v>
      </c>
      <c r="AJ209" s="71">
        <v>1.1258250972068635E-2</v>
      </c>
      <c r="AK209" s="63">
        <v>1.3116680296169237E-2</v>
      </c>
    </row>
    <row r="210" spans="2:37" s="53" customFormat="1" x14ac:dyDescent="0.35">
      <c r="B210" s="55" t="s">
        <v>253</v>
      </c>
      <c r="C210" s="53" t="s">
        <v>234</v>
      </c>
      <c r="D210" s="53" t="s">
        <v>53</v>
      </c>
      <c r="E210" s="53" t="s">
        <v>125</v>
      </c>
      <c r="F210" s="73">
        <f t="shared" si="142"/>
        <v>2.4525914184449271E-2</v>
      </c>
      <c r="G210" s="60">
        <f t="shared" si="143"/>
        <v>3.2299832734816084E-2</v>
      </c>
      <c r="H210" s="60">
        <f t="shared" si="144"/>
        <v>3.761397235511358E-2</v>
      </c>
      <c r="I210" s="60">
        <f t="shared" si="145"/>
        <v>4.0806014907191351E-2</v>
      </c>
      <c r="J210" s="63">
        <f t="shared" si="146"/>
        <v>4.4479749384372741E-2</v>
      </c>
      <c r="K210" s="60" t="str">
        <f t="shared" si="147"/>
        <v/>
      </c>
      <c r="L210" s="60">
        <f t="shared" si="148"/>
        <v>3.9903577348160829E-3</v>
      </c>
      <c r="M210" s="60">
        <f t="shared" si="149"/>
        <v>8.6581112551135913E-3</v>
      </c>
      <c r="N210" s="60">
        <f t="shared" si="150"/>
        <v>1.1001384207191354E-2</v>
      </c>
      <c r="O210" s="63">
        <f t="shared" si="151"/>
        <v>1.3323662984372738E-2</v>
      </c>
      <c r="P210" s="55" t="s">
        <v>529</v>
      </c>
      <c r="Q210" s="53" t="s">
        <v>530</v>
      </c>
      <c r="R210" s="94" t="s">
        <v>32</v>
      </c>
      <c r="S210" s="71">
        <v>3.8188659999999999E-2</v>
      </c>
      <c r="T210" s="63">
        <f t="shared" si="141"/>
        <v>-5.7468764488641938E-4</v>
      </c>
      <c r="V210" s="114">
        <v>1.15213853</v>
      </c>
      <c r="W210" s="72">
        <v>2.9533822299999999</v>
      </c>
      <c r="X210" s="72">
        <v>4.5803364499999999</v>
      </c>
      <c r="Y210" s="72">
        <v>6.0112129899999998</v>
      </c>
      <c r="Z210" s="115">
        <v>7.83068323</v>
      </c>
      <c r="AB210" s="73">
        <v>2.4525914184449271E-2</v>
      </c>
      <c r="AC210" s="71">
        <v>3.2299832734816084E-2</v>
      </c>
      <c r="AD210" s="71">
        <v>3.761397235511358E-2</v>
      </c>
      <c r="AE210" s="71">
        <v>4.0806014907191351E-2</v>
      </c>
      <c r="AF210" s="63">
        <v>4.4479749384372741E-2</v>
      </c>
      <c r="AG210" s="71" t="s">
        <v>21</v>
      </c>
      <c r="AH210" s="71">
        <v>3.9903577348160829E-3</v>
      </c>
      <c r="AI210" s="71">
        <v>8.6581112551135913E-3</v>
      </c>
      <c r="AJ210" s="71">
        <v>1.1001384207191354E-2</v>
      </c>
      <c r="AK210" s="63">
        <v>1.3323662984372738E-2</v>
      </c>
    </row>
    <row r="211" spans="2:37" s="53" customFormat="1" x14ac:dyDescent="0.35">
      <c r="B211" s="55" t="s">
        <v>144</v>
      </c>
      <c r="C211" s="53" t="s">
        <v>234</v>
      </c>
      <c r="D211" s="53" t="s">
        <v>20</v>
      </c>
      <c r="E211" s="53" t="s">
        <v>57</v>
      </c>
      <c r="F211" s="73">
        <f t="shared" si="142"/>
        <v>2.4586076223902485E-2</v>
      </c>
      <c r="G211" s="60">
        <f t="shared" si="143"/>
        <v>3.2070796994281586E-2</v>
      </c>
      <c r="H211" s="60">
        <f t="shared" si="144"/>
        <v>3.7504714767850805E-2</v>
      </c>
      <c r="I211" s="60">
        <f t="shared" si="145"/>
        <v>4.0653595073303322E-2</v>
      </c>
      <c r="J211" s="63">
        <f t="shared" si="146"/>
        <v>4.4319558395952467E-2</v>
      </c>
      <c r="K211" s="60" t="str">
        <f t="shared" si="147"/>
        <v/>
      </c>
      <c r="L211" s="60">
        <f t="shared" si="148"/>
        <v>3.7542457942815835E-3</v>
      </c>
      <c r="M211" s="60">
        <f t="shared" si="149"/>
        <v>8.5366644678508113E-3</v>
      </c>
      <c r="N211" s="60">
        <f t="shared" si="150"/>
        <v>1.0838951373303323E-2</v>
      </c>
      <c r="O211" s="63">
        <f t="shared" si="151"/>
        <v>1.3155897395952456E-2</v>
      </c>
      <c r="P211" s="55" t="s">
        <v>531</v>
      </c>
      <c r="Q211" s="53" t="s">
        <v>532</v>
      </c>
      <c r="R211" s="94">
        <v>47498</v>
      </c>
      <c r="S211" s="71">
        <v>3.6022209999999999E-2</v>
      </c>
      <c r="T211" s="63">
        <f t="shared" si="141"/>
        <v>1.4825047678508063E-3</v>
      </c>
      <c r="V211" s="114">
        <v>1.1509846500000001</v>
      </c>
      <c r="W211" s="72">
        <v>2.9495271999999999</v>
      </c>
      <c r="X211" s="72">
        <v>4.5723718400000006</v>
      </c>
      <c r="Y211" s="72">
        <v>5.9958810800000002</v>
      </c>
      <c r="Z211" s="115">
        <v>7.80400472</v>
      </c>
      <c r="AB211" s="73">
        <v>2.4586076223902485E-2</v>
      </c>
      <c r="AC211" s="71">
        <v>3.2070796994281586E-2</v>
      </c>
      <c r="AD211" s="71">
        <v>3.7504714767850805E-2</v>
      </c>
      <c r="AE211" s="71">
        <v>4.0653595073303322E-2</v>
      </c>
      <c r="AF211" s="63">
        <v>4.4319558395952467E-2</v>
      </c>
      <c r="AG211" s="71" t="s">
        <v>21</v>
      </c>
      <c r="AH211" s="71">
        <v>3.7542457942815835E-3</v>
      </c>
      <c r="AI211" s="71">
        <v>8.5366644678508113E-3</v>
      </c>
      <c r="AJ211" s="71">
        <v>1.0838951373303323E-2</v>
      </c>
      <c r="AK211" s="63">
        <v>1.3155897395952456E-2</v>
      </c>
    </row>
    <row r="212" spans="2:37" s="53" customFormat="1" x14ac:dyDescent="0.35">
      <c r="B212" s="55" t="s">
        <v>344</v>
      </c>
      <c r="C212" s="53" t="s">
        <v>234</v>
      </c>
      <c r="D212" s="53" t="s">
        <v>31</v>
      </c>
      <c r="E212" s="53" t="s">
        <v>21</v>
      </c>
      <c r="F212" s="73">
        <f t="shared" si="142"/>
        <v>2.4950455190655814E-2</v>
      </c>
      <c r="G212" s="60">
        <f t="shared" si="143"/>
        <v>3.2078178862961347E-2</v>
      </c>
      <c r="H212" s="60">
        <f t="shared" si="144"/>
        <v>3.7349918813690035E-2</v>
      </c>
      <c r="I212" s="60">
        <f t="shared" si="145"/>
        <v>4.0453265999172948E-2</v>
      </c>
      <c r="J212" s="63">
        <f t="shared" si="146"/>
        <v>4.3934067567354441E-2</v>
      </c>
      <c r="K212" s="60" t="str">
        <f t="shared" si="147"/>
        <v/>
      </c>
      <c r="L212" s="60">
        <f t="shared" si="148"/>
        <v>3.7779686629613534E-3</v>
      </c>
      <c r="M212" s="60">
        <f t="shared" si="149"/>
        <v>8.4041503136900383E-3</v>
      </c>
      <c r="N212" s="60">
        <f t="shared" si="150"/>
        <v>1.0661760699172948E-2</v>
      </c>
      <c r="O212" s="63">
        <f t="shared" si="151"/>
        <v>1.2795404867354442E-2</v>
      </c>
      <c r="P212" s="55" t="s">
        <v>21</v>
      </c>
      <c r="Q212" s="53" t="s">
        <v>21</v>
      </c>
      <c r="R212" s="94" t="s">
        <v>21</v>
      </c>
      <c r="S212" s="71" t="s">
        <v>21</v>
      </c>
      <c r="T212" s="63" t="str">
        <f t="shared" si="141"/>
        <v/>
      </c>
      <c r="V212" s="114">
        <v>1.1512547799999999</v>
      </c>
      <c r="W212" s="72">
        <v>2.95283579</v>
      </c>
      <c r="X212" s="72">
        <v>4.5831582599999994</v>
      </c>
      <c r="Y212" s="72">
        <v>6.0197608999999996</v>
      </c>
      <c r="Z212" s="115">
        <v>7.8544318900000007</v>
      </c>
      <c r="AB212" s="73">
        <v>2.4950455190655814E-2</v>
      </c>
      <c r="AC212" s="71">
        <v>3.2078178862961347E-2</v>
      </c>
      <c r="AD212" s="71">
        <v>3.7349918813690035E-2</v>
      </c>
      <c r="AE212" s="71">
        <v>4.0453265999172948E-2</v>
      </c>
      <c r="AF212" s="63">
        <v>4.3934067567354441E-2</v>
      </c>
      <c r="AG212" s="71" t="s">
        <v>21</v>
      </c>
      <c r="AH212" s="71">
        <v>3.7779686629613534E-3</v>
      </c>
      <c r="AI212" s="71">
        <v>8.4041503136900383E-3</v>
      </c>
      <c r="AJ212" s="71">
        <v>1.0661760699172948E-2</v>
      </c>
      <c r="AK212" s="63">
        <v>1.2795404867354442E-2</v>
      </c>
    </row>
    <row r="213" spans="2:37" s="53" customFormat="1" x14ac:dyDescent="0.35">
      <c r="B213" s="55" t="s">
        <v>345</v>
      </c>
      <c r="C213" s="53" t="s">
        <v>234</v>
      </c>
      <c r="D213" s="53" t="s">
        <v>97</v>
      </c>
      <c r="E213" s="53" t="s">
        <v>21</v>
      </c>
      <c r="F213" s="73">
        <f t="shared" si="142"/>
        <v>2.4366055707445562E-2</v>
      </c>
      <c r="G213" s="60">
        <f t="shared" si="143"/>
        <v>3.232735302684131E-2</v>
      </c>
      <c r="H213" s="60">
        <f t="shared" si="144"/>
        <v>3.7307719169600774E-2</v>
      </c>
      <c r="I213" s="60">
        <f t="shared" si="145"/>
        <v>4.0508271181021113E-2</v>
      </c>
      <c r="J213" s="63">
        <f t="shared" si="146"/>
        <v>4.3892022598787266E-2</v>
      </c>
      <c r="K213" s="60" t="str">
        <f t="shared" si="147"/>
        <v/>
      </c>
      <c r="L213" s="60">
        <f t="shared" si="148"/>
        <v>4.0170953268413179E-3</v>
      </c>
      <c r="M213" s="60">
        <f t="shared" si="149"/>
        <v>8.3623867696007801E-3</v>
      </c>
      <c r="N213" s="60">
        <f t="shared" si="150"/>
        <v>1.0713817081021114E-2</v>
      </c>
      <c r="O213" s="63">
        <f t="shared" si="151"/>
        <v>1.2754430398787266E-2</v>
      </c>
      <c r="P213" s="55" t="s">
        <v>21</v>
      </c>
      <c r="Q213" s="53" t="s">
        <v>21</v>
      </c>
      <c r="R213" s="94" t="s">
        <v>21</v>
      </c>
      <c r="S213" s="71" t="s">
        <v>21</v>
      </c>
      <c r="T213" s="63" t="str">
        <f t="shared" si="141"/>
        <v/>
      </c>
      <c r="V213" s="114">
        <v>1.1524537800000001</v>
      </c>
      <c r="W213" s="72">
        <v>2.9533670399999998</v>
      </c>
      <c r="X213" s="72">
        <v>4.5834887900000005</v>
      </c>
      <c r="Y213" s="72">
        <v>6.01955565</v>
      </c>
      <c r="Z213" s="115">
        <v>7.8548968400000003</v>
      </c>
      <c r="AB213" s="73">
        <v>2.4366055707445562E-2</v>
      </c>
      <c r="AC213" s="71">
        <v>3.232735302684131E-2</v>
      </c>
      <c r="AD213" s="71">
        <v>3.7307719169600774E-2</v>
      </c>
      <c r="AE213" s="71">
        <v>4.0508271181021113E-2</v>
      </c>
      <c r="AF213" s="63">
        <v>4.3892022598787266E-2</v>
      </c>
      <c r="AG213" s="71" t="s">
        <v>21</v>
      </c>
      <c r="AH213" s="71">
        <v>4.0170953268413179E-3</v>
      </c>
      <c r="AI213" s="71">
        <v>8.3623867696007801E-3</v>
      </c>
      <c r="AJ213" s="71">
        <v>1.0713817081021114E-2</v>
      </c>
      <c r="AK213" s="63">
        <v>1.2754430398787266E-2</v>
      </c>
    </row>
    <row r="214" spans="2:37" s="53" customFormat="1" x14ac:dyDescent="0.35">
      <c r="B214" s="55" t="s">
        <v>154</v>
      </c>
      <c r="C214" s="53" t="s">
        <v>234</v>
      </c>
      <c r="D214" s="53" t="s">
        <v>20</v>
      </c>
      <c r="E214" s="53" t="s">
        <v>133</v>
      </c>
      <c r="F214" s="73">
        <f t="shared" si="142"/>
        <v>2.3945689712324726E-2</v>
      </c>
      <c r="G214" s="60">
        <f t="shared" si="143"/>
        <v>3.1563496983326507E-2</v>
      </c>
      <c r="H214" s="60">
        <f t="shared" si="144"/>
        <v>3.7258009263773706E-2</v>
      </c>
      <c r="I214" s="60">
        <f t="shared" si="145"/>
        <v>4.0717800828437227E-2</v>
      </c>
      <c r="J214" s="63">
        <f t="shared" si="146"/>
        <v>4.3982319750485013E-2</v>
      </c>
      <c r="K214" s="60" t="str">
        <f t="shared" si="147"/>
        <v/>
      </c>
      <c r="L214" s="60">
        <f t="shared" si="148"/>
        <v>3.2631033833265101E-3</v>
      </c>
      <c r="M214" s="60">
        <f t="shared" si="149"/>
        <v>8.2983081637737141E-3</v>
      </c>
      <c r="N214" s="60">
        <f t="shared" si="150"/>
        <v>1.0900171028437228E-2</v>
      </c>
      <c r="O214" s="63">
        <f t="shared" si="151"/>
        <v>1.2831908850485017E-2</v>
      </c>
      <c r="P214" s="55" t="s">
        <v>533</v>
      </c>
      <c r="Q214" s="53" t="s">
        <v>534</v>
      </c>
      <c r="R214" s="94">
        <v>47529</v>
      </c>
      <c r="S214" s="71">
        <v>3.5977929999999998E-2</v>
      </c>
      <c r="T214" s="63">
        <f t="shared" si="141"/>
        <v>1.2800792637737077E-3</v>
      </c>
      <c r="V214" s="114">
        <v>1.15227868</v>
      </c>
      <c r="W214" s="72">
        <v>2.9555923200000001</v>
      </c>
      <c r="X214" s="72">
        <v>4.5810165100000004</v>
      </c>
      <c r="Y214" s="72">
        <v>6.0039399099999997</v>
      </c>
      <c r="Z214" s="115">
        <v>7.8179427999999991</v>
      </c>
      <c r="AB214" s="73">
        <v>2.3945689712324726E-2</v>
      </c>
      <c r="AC214" s="71">
        <v>3.1563496983326507E-2</v>
      </c>
      <c r="AD214" s="71">
        <v>3.7258009263773706E-2</v>
      </c>
      <c r="AE214" s="71">
        <v>4.0717800828437227E-2</v>
      </c>
      <c r="AF214" s="63">
        <v>4.3982319750485013E-2</v>
      </c>
      <c r="AG214" s="71" t="s">
        <v>21</v>
      </c>
      <c r="AH214" s="71">
        <v>3.2631033833265101E-3</v>
      </c>
      <c r="AI214" s="71">
        <v>8.2983081637737141E-3</v>
      </c>
      <c r="AJ214" s="71">
        <v>1.0900171028437228E-2</v>
      </c>
      <c r="AK214" s="63">
        <v>1.2831908850485017E-2</v>
      </c>
    </row>
    <row r="215" spans="2:37" s="53" customFormat="1" x14ac:dyDescent="0.35">
      <c r="B215" s="55" t="s">
        <v>252</v>
      </c>
      <c r="C215" s="53" t="s">
        <v>234</v>
      </c>
      <c r="D215" s="53" t="s">
        <v>43</v>
      </c>
      <c r="E215" s="53" t="s">
        <v>21</v>
      </c>
      <c r="F215" s="73">
        <f t="shared" si="142"/>
        <v>2.4624115600793202E-2</v>
      </c>
      <c r="G215" s="60">
        <f t="shared" si="143"/>
        <v>3.2076818438523037E-2</v>
      </c>
      <c r="H215" s="60">
        <f t="shared" si="144"/>
        <v>3.725024280692036E-2</v>
      </c>
      <c r="I215" s="60">
        <f t="shared" si="145"/>
        <v>4.0355165373425345E-2</v>
      </c>
      <c r="J215" s="63">
        <f t="shared" si="146"/>
        <v>4.392989851797121E-2</v>
      </c>
      <c r="K215" s="60" t="str">
        <f t="shared" si="147"/>
        <v/>
      </c>
      <c r="L215" s="60">
        <f t="shared" si="148"/>
        <v>3.7758693385230363E-3</v>
      </c>
      <c r="M215" s="60">
        <f t="shared" si="149"/>
        <v>8.3074258069203606E-3</v>
      </c>
      <c r="N215" s="60">
        <f t="shared" si="150"/>
        <v>1.0566771173425343E-2</v>
      </c>
      <c r="O215" s="63">
        <f t="shared" si="151"/>
        <v>1.2790881517971215E-2</v>
      </c>
      <c r="P215" s="55" t="s">
        <v>21</v>
      </c>
      <c r="Q215" s="53" t="s">
        <v>21</v>
      </c>
      <c r="R215" s="94" t="s">
        <v>21</v>
      </c>
      <c r="S215" s="71" t="s">
        <v>21</v>
      </c>
      <c r="T215" s="63" t="str">
        <f t="shared" si="141"/>
        <v/>
      </c>
      <c r="V215" s="114">
        <v>1.1519175399999999</v>
      </c>
      <c r="W215" s="72">
        <v>2.9540314099999998</v>
      </c>
      <c r="X215" s="72">
        <v>4.5853553800000002</v>
      </c>
      <c r="Y215" s="72">
        <v>6.0235974800000003</v>
      </c>
      <c r="Z215" s="115">
        <v>7.8588098100000003</v>
      </c>
      <c r="AB215" s="73">
        <v>2.4624115600793202E-2</v>
      </c>
      <c r="AC215" s="71">
        <v>3.2076818438523037E-2</v>
      </c>
      <c r="AD215" s="71">
        <v>3.725024280692036E-2</v>
      </c>
      <c r="AE215" s="71">
        <v>4.0355165373425345E-2</v>
      </c>
      <c r="AF215" s="63">
        <v>4.392989851797121E-2</v>
      </c>
      <c r="AG215" s="71" t="s">
        <v>21</v>
      </c>
      <c r="AH215" s="71">
        <v>3.7758693385230363E-3</v>
      </c>
      <c r="AI215" s="71">
        <v>8.3074258069203606E-3</v>
      </c>
      <c r="AJ215" s="71">
        <v>1.0566771173425343E-2</v>
      </c>
      <c r="AK215" s="63">
        <v>1.2790881517971215E-2</v>
      </c>
    </row>
    <row r="216" spans="2:37" s="53" customFormat="1" x14ac:dyDescent="0.35">
      <c r="B216" s="55" t="s">
        <v>357</v>
      </c>
      <c r="C216" s="53" t="s">
        <v>234</v>
      </c>
      <c r="D216" s="53" t="s">
        <v>20</v>
      </c>
      <c r="E216" s="53" t="s">
        <v>21</v>
      </c>
      <c r="F216" s="73">
        <f t="shared" si="142"/>
        <v>2.444662790167328E-2</v>
      </c>
      <c r="G216" s="60">
        <f t="shared" si="143"/>
        <v>3.2019887842321189E-2</v>
      </c>
      <c r="H216" s="60">
        <f t="shared" si="144"/>
        <v>3.7206137882238213E-2</v>
      </c>
      <c r="I216" s="60">
        <f t="shared" si="145"/>
        <v>4.0191994715367406E-2</v>
      </c>
      <c r="J216" s="63">
        <f t="shared" si="146"/>
        <v>4.3480872173779286E-2</v>
      </c>
      <c r="K216" s="60" t="str">
        <f t="shared" si="147"/>
        <v/>
      </c>
      <c r="L216" s="60">
        <f t="shared" si="148"/>
        <v>3.7023041423211965E-3</v>
      </c>
      <c r="M216" s="60">
        <f t="shared" si="149"/>
        <v>8.2461852822382099E-3</v>
      </c>
      <c r="N216" s="60">
        <f t="shared" si="150"/>
        <v>1.03909042153674E-2</v>
      </c>
      <c r="O216" s="63">
        <f t="shared" si="151"/>
        <v>1.2340744773779283E-2</v>
      </c>
      <c r="P216" s="55" t="s">
        <v>21</v>
      </c>
      <c r="Q216" s="53" t="s">
        <v>21</v>
      </c>
      <c r="R216" s="94" t="s">
        <v>21</v>
      </c>
      <c r="S216" s="71" t="s">
        <v>21</v>
      </c>
      <c r="T216" s="63" t="str">
        <f t="shared" si="141"/>
        <v/>
      </c>
      <c r="V216" s="114">
        <v>1.1513214900000002</v>
      </c>
      <c r="W216" s="72">
        <v>2.9494592900000001</v>
      </c>
      <c r="X216" s="72">
        <v>4.5757636599999998</v>
      </c>
      <c r="Y216" s="72">
        <v>6.0073352399999997</v>
      </c>
      <c r="Z216" s="115">
        <v>7.8381216800000004</v>
      </c>
      <c r="AB216" s="73">
        <v>2.444662790167328E-2</v>
      </c>
      <c r="AC216" s="71">
        <v>3.2019887842321189E-2</v>
      </c>
      <c r="AD216" s="71">
        <v>3.7206137882238213E-2</v>
      </c>
      <c r="AE216" s="71">
        <v>4.0191994715367406E-2</v>
      </c>
      <c r="AF216" s="63">
        <v>4.3480872173779286E-2</v>
      </c>
      <c r="AG216" s="71" t="s">
        <v>21</v>
      </c>
      <c r="AH216" s="71">
        <v>3.7023041423211965E-3</v>
      </c>
      <c r="AI216" s="71">
        <v>8.2461852822382099E-3</v>
      </c>
      <c r="AJ216" s="71">
        <v>1.03909042153674E-2</v>
      </c>
      <c r="AK216" s="63">
        <v>1.2340744773779283E-2</v>
      </c>
    </row>
    <row r="217" spans="2:37" s="53" customFormat="1" x14ac:dyDescent="0.35">
      <c r="B217" s="55" t="s">
        <v>360</v>
      </c>
      <c r="C217" s="53" t="s">
        <v>234</v>
      </c>
      <c r="D217" s="53" t="s">
        <v>20</v>
      </c>
      <c r="E217" s="53" t="s">
        <v>535</v>
      </c>
      <c r="F217" s="73">
        <f t="shared" si="142"/>
        <v>2.4547243027973498E-2</v>
      </c>
      <c r="G217" s="60">
        <f t="shared" si="143"/>
        <v>3.2005364927410664E-2</v>
      </c>
      <c r="H217" s="60">
        <f t="shared" si="144"/>
        <v>3.7205097102420079E-2</v>
      </c>
      <c r="I217" s="60">
        <f t="shared" si="145"/>
        <v>4.0172819158841765E-2</v>
      </c>
      <c r="J217" s="63">
        <f t="shared" si="146"/>
        <v>4.3581939060450658E-2</v>
      </c>
      <c r="K217" s="60" t="str">
        <f t="shared" si="147"/>
        <v/>
      </c>
      <c r="L217" s="60">
        <f t="shared" si="148"/>
        <v>3.6884406274106728E-3</v>
      </c>
      <c r="M217" s="60">
        <f t="shared" si="149"/>
        <v>8.2453034024200789E-3</v>
      </c>
      <c r="N217" s="60">
        <f t="shared" si="150"/>
        <v>1.0372714958841759E-2</v>
      </c>
      <c r="O217" s="63">
        <f t="shared" si="151"/>
        <v>1.243861346045066E-2</v>
      </c>
      <c r="P217" s="55" t="s">
        <v>21</v>
      </c>
      <c r="Q217" s="53" t="s">
        <v>21</v>
      </c>
      <c r="R217" s="94" t="s">
        <v>21</v>
      </c>
      <c r="S217" s="71" t="s">
        <v>21</v>
      </c>
      <c r="T217" s="63" t="str">
        <f t="shared" si="141"/>
        <v/>
      </c>
      <c r="V217" s="114">
        <v>1.1511220100000001</v>
      </c>
      <c r="W217" s="72">
        <v>2.9497930700000001</v>
      </c>
      <c r="X217" s="72">
        <v>4.5762613100000005</v>
      </c>
      <c r="Y217" s="72">
        <v>6.0077253900000001</v>
      </c>
      <c r="Z217" s="115">
        <v>7.8359756799999998</v>
      </c>
      <c r="AB217" s="73">
        <v>2.4547243027973498E-2</v>
      </c>
      <c r="AC217" s="71">
        <v>3.2005364927410664E-2</v>
      </c>
      <c r="AD217" s="71">
        <v>3.7205097102420079E-2</v>
      </c>
      <c r="AE217" s="71">
        <v>4.0172819158841765E-2</v>
      </c>
      <c r="AF217" s="63">
        <v>4.3581939060450658E-2</v>
      </c>
      <c r="AG217" s="71" t="s">
        <v>21</v>
      </c>
      <c r="AH217" s="71">
        <v>3.6884406274106728E-3</v>
      </c>
      <c r="AI217" s="71">
        <v>8.2453034024200789E-3</v>
      </c>
      <c r="AJ217" s="71">
        <v>1.0372714958841759E-2</v>
      </c>
      <c r="AK217" s="63">
        <v>1.243861346045066E-2</v>
      </c>
    </row>
    <row r="218" spans="2:37" s="53" customFormat="1" x14ac:dyDescent="0.35">
      <c r="B218" s="55" t="s">
        <v>353</v>
      </c>
      <c r="C218" s="53" t="s">
        <v>234</v>
      </c>
      <c r="D218" s="53" t="s">
        <v>31</v>
      </c>
      <c r="E218" s="53" t="s">
        <v>21</v>
      </c>
      <c r="F218" s="73">
        <f t="shared" si="142"/>
        <v>2.4311266212512339E-2</v>
      </c>
      <c r="G218" s="60">
        <f t="shared" si="143"/>
        <v>3.1987080575895881E-2</v>
      </c>
      <c r="H218" s="60">
        <f t="shared" si="144"/>
        <v>3.7201326536645034E-2</v>
      </c>
      <c r="I218" s="60">
        <f t="shared" si="145"/>
        <v>4.0257140276248098E-2</v>
      </c>
      <c r="J218" s="63">
        <f t="shared" si="146"/>
        <v>4.3782167899185591E-2</v>
      </c>
      <c r="K218" s="60" t="str">
        <f t="shared" si="147"/>
        <v/>
      </c>
      <c r="L218" s="60">
        <f t="shared" si="148"/>
        <v>3.6880091758958824E-3</v>
      </c>
      <c r="M218" s="60">
        <f t="shared" si="149"/>
        <v>8.25953353664503E-3</v>
      </c>
      <c r="N218" s="60">
        <f t="shared" si="150"/>
        <v>1.0471903376248096E-2</v>
      </c>
      <c r="O218" s="63">
        <f t="shared" si="151"/>
        <v>1.2647660299185593E-2</v>
      </c>
      <c r="P218" s="55" t="s">
        <v>21</v>
      </c>
      <c r="Q218" s="53" t="s">
        <v>21</v>
      </c>
      <c r="R218" s="94" t="s">
        <v>21</v>
      </c>
      <c r="S218" s="71" t="s">
        <v>21</v>
      </c>
      <c r="T218" s="63" t="str">
        <f t="shared" si="141"/>
        <v/>
      </c>
      <c r="V218" s="114">
        <v>1.15255928</v>
      </c>
      <c r="W218" s="72">
        <v>2.9557664899999998</v>
      </c>
      <c r="X218" s="72">
        <v>4.5877646100000007</v>
      </c>
      <c r="Y218" s="72">
        <v>6.02742515</v>
      </c>
      <c r="Z218" s="115">
        <v>7.8666742299999992</v>
      </c>
      <c r="AB218" s="73">
        <v>2.4311266212512339E-2</v>
      </c>
      <c r="AC218" s="71">
        <v>3.1987080575895881E-2</v>
      </c>
      <c r="AD218" s="71">
        <v>3.7201326536645034E-2</v>
      </c>
      <c r="AE218" s="71">
        <v>4.0257140276248098E-2</v>
      </c>
      <c r="AF218" s="63">
        <v>4.3782167899185591E-2</v>
      </c>
      <c r="AG218" s="71" t="s">
        <v>21</v>
      </c>
      <c r="AH218" s="71">
        <v>3.6880091758958824E-3</v>
      </c>
      <c r="AI218" s="71">
        <v>8.25953353664503E-3</v>
      </c>
      <c r="AJ218" s="71">
        <v>1.0471903376248096E-2</v>
      </c>
      <c r="AK218" s="63">
        <v>1.2647660299185593E-2</v>
      </c>
    </row>
    <row r="219" spans="2:37" s="53" customFormat="1" x14ac:dyDescent="0.35">
      <c r="B219" s="55" t="s">
        <v>250</v>
      </c>
      <c r="C219" s="53" t="s">
        <v>234</v>
      </c>
      <c r="D219" s="53" t="s">
        <v>97</v>
      </c>
      <c r="E219" s="53" t="s">
        <v>227</v>
      </c>
      <c r="F219" s="73">
        <f t="shared" si="142"/>
        <v>2.467195369029395E-2</v>
      </c>
      <c r="G219" s="60">
        <f t="shared" si="143"/>
        <v>3.2068277453680127E-2</v>
      </c>
      <c r="H219" s="60">
        <f t="shared" si="144"/>
        <v>3.7150374358133065E-2</v>
      </c>
      <c r="I219" s="60">
        <f t="shared" si="145"/>
        <v>3.9963414843971062E-2</v>
      </c>
      <c r="J219" s="63">
        <f t="shared" si="146"/>
        <v>4.3438684128171971E-2</v>
      </c>
      <c r="K219" s="60" t="str">
        <f t="shared" si="147"/>
        <v/>
      </c>
      <c r="L219" s="60">
        <f t="shared" si="148"/>
        <v>3.7661103536801251E-3</v>
      </c>
      <c r="M219" s="60">
        <f t="shared" si="149"/>
        <v>8.2098274581330656E-3</v>
      </c>
      <c r="N219" s="60">
        <f t="shared" si="150"/>
        <v>1.0187738143971061E-2</v>
      </c>
      <c r="O219" s="63">
        <f t="shared" si="151"/>
        <v>1.2312607928171975E-2</v>
      </c>
      <c r="P219" s="55" t="s">
        <v>536</v>
      </c>
      <c r="Q219" s="53" t="s">
        <v>537</v>
      </c>
      <c r="R219" s="94">
        <v>47551</v>
      </c>
      <c r="S219" s="71">
        <v>3.2760540000000005E-2</v>
      </c>
      <c r="T219" s="63">
        <f t="shared" si="141"/>
        <v>4.3898343581330601E-3</v>
      </c>
      <c r="V219" s="114">
        <v>1.1518548099999999</v>
      </c>
      <c r="W219" s="72">
        <v>2.9539875100000001</v>
      </c>
      <c r="X219" s="72">
        <v>4.5864242200000005</v>
      </c>
      <c r="Y219" s="72">
        <v>6.0306377699999993</v>
      </c>
      <c r="Z219" s="115">
        <v>7.8806713300000002</v>
      </c>
      <c r="AB219" s="73">
        <v>2.467195369029395E-2</v>
      </c>
      <c r="AC219" s="71">
        <v>3.2068277453680127E-2</v>
      </c>
      <c r="AD219" s="71">
        <v>3.7150374358133065E-2</v>
      </c>
      <c r="AE219" s="71">
        <v>3.9963414843971062E-2</v>
      </c>
      <c r="AF219" s="63">
        <v>4.3438684128171971E-2</v>
      </c>
      <c r="AG219" s="71" t="s">
        <v>21</v>
      </c>
      <c r="AH219" s="71">
        <v>3.7661103536801251E-3</v>
      </c>
      <c r="AI219" s="71">
        <v>8.2098274581330656E-3</v>
      </c>
      <c r="AJ219" s="71">
        <v>1.0187738143971061E-2</v>
      </c>
      <c r="AK219" s="63">
        <v>1.2312607928171975E-2</v>
      </c>
    </row>
    <row r="220" spans="2:37" s="53" customFormat="1" x14ac:dyDescent="0.35">
      <c r="B220" s="55" t="s">
        <v>261</v>
      </c>
      <c r="C220" s="53" t="s">
        <v>234</v>
      </c>
      <c r="D220" s="53" t="s">
        <v>31</v>
      </c>
      <c r="E220" s="53" t="s">
        <v>538</v>
      </c>
      <c r="F220" s="73">
        <f t="shared" si="142"/>
        <v>2.4571326081716749E-2</v>
      </c>
      <c r="G220" s="60">
        <f t="shared" si="143"/>
        <v>3.2022212635344487E-2</v>
      </c>
      <c r="H220" s="60">
        <f t="shared" si="144"/>
        <v>3.714839827213097E-2</v>
      </c>
      <c r="I220" s="60">
        <f t="shared" si="145"/>
        <v>3.9961565645370317E-2</v>
      </c>
      <c r="J220" s="63">
        <f t="shared" si="146"/>
        <v>4.2809994680251887E-2</v>
      </c>
      <c r="K220" s="60" t="str">
        <f t="shared" si="147"/>
        <v/>
      </c>
      <c r="L220" s="60">
        <f t="shared" si="148"/>
        <v>3.7224672353444871E-3</v>
      </c>
      <c r="M220" s="60">
        <f t="shared" si="149"/>
        <v>8.2085975721309674E-3</v>
      </c>
      <c r="N220" s="60">
        <f t="shared" si="150"/>
        <v>1.0186608545370316E-2</v>
      </c>
      <c r="O220" s="63">
        <f t="shared" si="151"/>
        <v>1.1704787980251891E-2</v>
      </c>
      <c r="P220" s="55" t="s">
        <v>539</v>
      </c>
      <c r="Q220" s="53" t="s">
        <v>540</v>
      </c>
      <c r="R220" s="94">
        <v>47517</v>
      </c>
      <c r="S220" s="71">
        <v>3.4738600000000001E-2</v>
      </c>
      <c r="T220" s="63">
        <f t="shared" si="141"/>
        <v>2.4097982721309683E-3</v>
      </c>
      <c r="V220" s="114">
        <v>1.15203407</v>
      </c>
      <c r="W220" s="72">
        <v>2.9545986200000001</v>
      </c>
      <c r="X220" s="72">
        <v>4.5871205699999997</v>
      </c>
      <c r="Y220" s="72">
        <v>6.0312850100000004</v>
      </c>
      <c r="Z220" s="115">
        <v>7.8965276800000002</v>
      </c>
      <c r="AB220" s="73">
        <v>2.4571326081716749E-2</v>
      </c>
      <c r="AC220" s="71">
        <v>3.2022212635344487E-2</v>
      </c>
      <c r="AD220" s="71">
        <v>3.714839827213097E-2</v>
      </c>
      <c r="AE220" s="71">
        <v>3.9961565645370317E-2</v>
      </c>
      <c r="AF220" s="63">
        <v>4.2809994680251887E-2</v>
      </c>
      <c r="AG220" s="71" t="s">
        <v>21</v>
      </c>
      <c r="AH220" s="71">
        <v>3.7224672353444871E-3</v>
      </c>
      <c r="AI220" s="71">
        <v>8.2085975721309674E-3</v>
      </c>
      <c r="AJ220" s="71">
        <v>1.0186608545370316E-2</v>
      </c>
      <c r="AK220" s="63">
        <v>1.1704787980251891E-2</v>
      </c>
    </row>
    <row r="221" spans="2:37" s="53" customFormat="1" x14ac:dyDescent="0.35">
      <c r="B221" s="55" t="s">
        <v>361</v>
      </c>
      <c r="C221" s="53" t="s">
        <v>234</v>
      </c>
      <c r="D221" s="53" t="s">
        <v>306</v>
      </c>
      <c r="E221" s="53" t="s">
        <v>21</v>
      </c>
      <c r="F221" s="73">
        <f t="shared" si="142"/>
        <v>2.4444560244798491E-2</v>
      </c>
      <c r="G221" s="60">
        <f t="shared" si="143"/>
        <v>3.1979588118756216E-2</v>
      </c>
      <c r="H221" s="60">
        <f t="shared" si="144"/>
        <v>3.7099026121895903E-2</v>
      </c>
      <c r="I221" s="60">
        <f t="shared" si="145"/>
        <v>4.0010793850933563E-2</v>
      </c>
      <c r="J221" s="63">
        <f t="shared" si="146"/>
        <v>4.3100762565703839E-2</v>
      </c>
      <c r="K221" s="60" t="str">
        <f t="shared" si="147"/>
        <v/>
      </c>
      <c r="L221" s="60">
        <f t="shared" si="148"/>
        <v>3.6802968187562134E-3</v>
      </c>
      <c r="M221" s="60">
        <f t="shared" si="149"/>
        <v>8.1602655218959048E-3</v>
      </c>
      <c r="N221" s="60">
        <f t="shared" si="150"/>
        <v>1.0233636350933556E-2</v>
      </c>
      <c r="O221" s="63">
        <f t="shared" si="151"/>
        <v>1.1986599065703832E-2</v>
      </c>
      <c r="P221" s="55" t="s">
        <v>21</v>
      </c>
      <c r="Q221" s="53" t="s">
        <v>21</v>
      </c>
      <c r="R221" s="94" t="s">
        <v>21</v>
      </c>
      <c r="S221" s="71" t="s">
        <v>21</v>
      </c>
      <c r="T221" s="63" t="str">
        <f t="shared" si="141"/>
        <v/>
      </c>
      <c r="V221" s="114">
        <v>1.15230491</v>
      </c>
      <c r="W221" s="72">
        <v>2.9553658700000001</v>
      </c>
      <c r="X221" s="72">
        <v>4.5884975199999998</v>
      </c>
      <c r="Y221" s="72">
        <v>6.0320417199999996</v>
      </c>
      <c r="Z221" s="115">
        <v>7.8896190699999993</v>
      </c>
      <c r="AB221" s="73">
        <v>2.4444560244798491E-2</v>
      </c>
      <c r="AC221" s="71">
        <v>3.1979588118756216E-2</v>
      </c>
      <c r="AD221" s="71">
        <v>3.7099026121895903E-2</v>
      </c>
      <c r="AE221" s="71">
        <v>4.0010793850933563E-2</v>
      </c>
      <c r="AF221" s="63">
        <v>4.3100762565703839E-2</v>
      </c>
      <c r="AG221" s="71" t="s">
        <v>21</v>
      </c>
      <c r="AH221" s="71">
        <v>3.6802968187562134E-3</v>
      </c>
      <c r="AI221" s="71">
        <v>8.1602655218959048E-3</v>
      </c>
      <c r="AJ221" s="71">
        <v>1.0233636350933556E-2</v>
      </c>
      <c r="AK221" s="63">
        <v>1.1986599065703832E-2</v>
      </c>
    </row>
    <row r="222" spans="2:37" s="53" customFormat="1" x14ac:dyDescent="0.35">
      <c r="B222" s="55" t="s">
        <v>259</v>
      </c>
      <c r="C222" s="53" t="s">
        <v>234</v>
      </c>
      <c r="D222" s="53" t="s">
        <v>69</v>
      </c>
      <c r="E222" s="53" t="s">
        <v>21</v>
      </c>
      <c r="F222" s="73">
        <f t="shared" si="142"/>
        <v>2.4777898840574134E-2</v>
      </c>
      <c r="G222" s="60">
        <f t="shared" si="143"/>
        <v>3.2060088876655797E-2</v>
      </c>
      <c r="H222" s="60">
        <f t="shared" si="144"/>
        <v>3.7091289231413256E-2</v>
      </c>
      <c r="I222" s="60">
        <f t="shared" si="145"/>
        <v>4.0066990635585067E-2</v>
      </c>
      <c r="J222" s="63">
        <f t="shared" si="146"/>
        <v>4.3407653849076973E-2</v>
      </c>
      <c r="K222" s="60" t="str">
        <f t="shared" si="147"/>
        <v/>
      </c>
      <c r="L222" s="60">
        <f t="shared" si="148"/>
        <v>3.756926476655795E-3</v>
      </c>
      <c r="M222" s="60">
        <f t="shared" si="149"/>
        <v>8.1518708314132545E-3</v>
      </c>
      <c r="N222" s="60">
        <f t="shared" si="150"/>
        <v>1.0286824935585071E-2</v>
      </c>
      <c r="O222" s="63">
        <f t="shared" si="151"/>
        <v>1.2282698549076978E-2</v>
      </c>
      <c r="P222" s="55" t="s">
        <v>541</v>
      </c>
      <c r="Q222" s="53" t="s">
        <v>542</v>
      </c>
      <c r="R222" s="94" t="s">
        <v>32</v>
      </c>
      <c r="S222" s="71">
        <v>2.9328799999999999E-2</v>
      </c>
      <c r="T222" s="63">
        <f t="shared" si="141"/>
        <v>7.7624892314132575E-3</v>
      </c>
      <c r="V222" s="114">
        <v>1.1516727200000001</v>
      </c>
      <c r="W222" s="72">
        <v>2.9542515499999999</v>
      </c>
      <c r="X222" s="72">
        <v>4.5872186900000003</v>
      </c>
      <c r="Y222" s="72">
        <v>6.0302926799999996</v>
      </c>
      <c r="Z222" s="115">
        <v>7.8805640400000003</v>
      </c>
      <c r="AB222" s="73">
        <v>2.4777898840574134E-2</v>
      </c>
      <c r="AC222" s="71">
        <v>3.2060088876655797E-2</v>
      </c>
      <c r="AD222" s="71">
        <v>3.7091289231413256E-2</v>
      </c>
      <c r="AE222" s="71">
        <v>4.0066990635585067E-2</v>
      </c>
      <c r="AF222" s="63">
        <v>4.3407653849076973E-2</v>
      </c>
      <c r="AG222" s="71" t="s">
        <v>21</v>
      </c>
      <c r="AH222" s="71">
        <v>3.756926476655795E-3</v>
      </c>
      <c r="AI222" s="71">
        <v>8.1518708314132545E-3</v>
      </c>
      <c r="AJ222" s="71">
        <v>1.0286824935585071E-2</v>
      </c>
      <c r="AK222" s="63">
        <v>1.2282698549076978E-2</v>
      </c>
    </row>
    <row r="223" spans="2:37" s="53" customFormat="1" x14ac:dyDescent="0.35">
      <c r="B223" s="55" t="s">
        <v>262</v>
      </c>
      <c r="C223" s="53" t="s">
        <v>234</v>
      </c>
      <c r="D223" s="53" t="s">
        <v>31</v>
      </c>
      <c r="E223" s="53" t="s">
        <v>123</v>
      </c>
      <c r="F223" s="73">
        <f t="shared" si="142"/>
        <v>2.458536281319058E-2</v>
      </c>
      <c r="G223" s="60">
        <f t="shared" si="143"/>
        <v>3.1942762911103408E-2</v>
      </c>
      <c r="H223" s="60">
        <f t="shared" si="144"/>
        <v>3.7047796505283281E-2</v>
      </c>
      <c r="I223" s="60">
        <f t="shared" si="145"/>
        <v>3.9911938419119011E-2</v>
      </c>
      <c r="J223" s="63">
        <f t="shared" si="146"/>
        <v>4.338618249900885E-2</v>
      </c>
      <c r="K223" s="60" t="str">
        <f t="shared" si="147"/>
        <v/>
      </c>
      <c r="L223" s="60">
        <f t="shared" si="148"/>
        <v>3.6441274111034161E-3</v>
      </c>
      <c r="M223" s="60">
        <f t="shared" si="149"/>
        <v>8.1102893052832845E-3</v>
      </c>
      <c r="N223" s="60">
        <f t="shared" si="150"/>
        <v>1.013773411911901E-2</v>
      </c>
      <c r="O223" s="63">
        <f t="shared" si="151"/>
        <v>1.226181309900885E-2</v>
      </c>
      <c r="P223" s="55" t="s">
        <v>543</v>
      </c>
      <c r="Q223" s="53" t="s">
        <v>544</v>
      </c>
      <c r="R223" s="94">
        <v>47660</v>
      </c>
      <c r="S223" s="71">
        <v>3.516068E-2</v>
      </c>
      <c r="T223" s="63">
        <f t="shared" si="141"/>
        <v>1.8871165052832817E-3</v>
      </c>
      <c r="V223" s="114">
        <v>1.1520372699999999</v>
      </c>
      <c r="W223" s="72">
        <v>2.9551329800000001</v>
      </c>
      <c r="X223" s="72">
        <v>4.5889286399999998</v>
      </c>
      <c r="Y223" s="72">
        <v>6.03405579</v>
      </c>
      <c r="Z223" s="115">
        <v>7.8853546999999997</v>
      </c>
      <c r="AB223" s="73">
        <v>2.458536281319058E-2</v>
      </c>
      <c r="AC223" s="71">
        <v>3.1942762911103408E-2</v>
      </c>
      <c r="AD223" s="71">
        <v>3.7047796505283281E-2</v>
      </c>
      <c r="AE223" s="71">
        <v>3.9911938419119011E-2</v>
      </c>
      <c r="AF223" s="63">
        <v>4.338618249900885E-2</v>
      </c>
      <c r="AG223" s="71" t="s">
        <v>21</v>
      </c>
      <c r="AH223" s="71">
        <v>3.6441274111034161E-3</v>
      </c>
      <c r="AI223" s="71">
        <v>8.1102893052832845E-3</v>
      </c>
      <c r="AJ223" s="71">
        <v>1.013773411911901E-2</v>
      </c>
      <c r="AK223" s="63">
        <v>1.226181309900885E-2</v>
      </c>
    </row>
    <row r="224" spans="2:37" s="53" customFormat="1" x14ac:dyDescent="0.35">
      <c r="B224" s="55" t="s">
        <v>247</v>
      </c>
      <c r="C224" s="53" t="s">
        <v>234</v>
      </c>
      <c r="D224" s="53" t="s">
        <v>20</v>
      </c>
      <c r="E224" s="53" t="s">
        <v>36</v>
      </c>
      <c r="F224" s="73">
        <f t="shared" si="142"/>
        <v>2.4550566025230123E-2</v>
      </c>
      <c r="G224" s="60">
        <f t="shared" si="143"/>
        <v>3.210814575783786E-2</v>
      </c>
      <c r="H224" s="60">
        <f t="shared" si="144"/>
        <v>3.7045674857898205E-2</v>
      </c>
      <c r="I224" s="60">
        <f t="shared" si="145"/>
        <v>3.9941801447072003E-2</v>
      </c>
      <c r="J224" s="63">
        <f t="shared" si="146"/>
        <v>4.3217803221734512E-2</v>
      </c>
      <c r="K224" s="60" t="str">
        <f t="shared" si="147"/>
        <v/>
      </c>
      <c r="L224" s="60">
        <f t="shared" si="148"/>
        <v>3.7881117578378583E-3</v>
      </c>
      <c r="M224" s="60">
        <f t="shared" si="149"/>
        <v>8.0919529578982081E-3</v>
      </c>
      <c r="N224" s="60">
        <f t="shared" si="150"/>
        <v>1.0150344447072008E-2</v>
      </c>
      <c r="O224" s="63">
        <f t="shared" si="151"/>
        <v>1.208587792173451E-2</v>
      </c>
      <c r="P224" s="55" t="s">
        <v>248</v>
      </c>
      <c r="Q224" s="53" t="s">
        <v>249</v>
      </c>
      <c r="R224" s="94">
        <v>47543</v>
      </c>
      <c r="S224" s="71">
        <v>3.3833870000000002E-2</v>
      </c>
      <c r="T224" s="63">
        <f t="shared" si="141"/>
        <v>3.2118048578982025E-3</v>
      </c>
      <c r="V224" s="114">
        <v>1.15112003</v>
      </c>
      <c r="W224" s="72">
        <v>2.9496133699999998</v>
      </c>
      <c r="X224" s="72">
        <v>4.5769319099999999</v>
      </c>
      <c r="Y224" s="72">
        <v>6.0129753299999997</v>
      </c>
      <c r="Z224" s="115">
        <v>7.8525589199999999</v>
      </c>
      <c r="AB224" s="73">
        <v>2.4550566025230123E-2</v>
      </c>
      <c r="AC224" s="71">
        <v>3.210814575783786E-2</v>
      </c>
      <c r="AD224" s="71">
        <v>3.7045674857898205E-2</v>
      </c>
      <c r="AE224" s="71">
        <v>3.9941801447072003E-2</v>
      </c>
      <c r="AF224" s="63">
        <v>4.3217803221734512E-2</v>
      </c>
      <c r="AG224" s="71" t="s">
        <v>21</v>
      </c>
      <c r="AH224" s="71">
        <v>3.7881117578378583E-3</v>
      </c>
      <c r="AI224" s="71">
        <v>8.0919529578982081E-3</v>
      </c>
      <c r="AJ224" s="71">
        <v>1.0150344447072008E-2</v>
      </c>
      <c r="AK224" s="63">
        <v>1.208587792173451E-2</v>
      </c>
    </row>
    <row r="225" spans="2:37" s="53" customFormat="1" x14ac:dyDescent="0.35">
      <c r="B225" s="55" t="s">
        <v>254</v>
      </c>
      <c r="C225" s="53" t="s">
        <v>234</v>
      </c>
      <c r="D225" s="53" t="s">
        <v>20</v>
      </c>
      <c r="E225" s="53" t="s">
        <v>161</v>
      </c>
      <c r="F225" s="73">
        <f t="shared" si="142"/>
        <v>2.4688685019468883E-2</v>
      </c>
      <c r="G225" s="60">
        <f t="shared" si="143"/>
        <v>3.2710158963288494E-2</v>
      </c>
      <c r="H225" s="60">
        <f t="shared" si="144"/>
        <v>3.7029044880138959E-2</v>
      </c>
      <c r="I225" s="60">
        <f t="shared" si="145"/>
        <v>3.9453074089414147E-2</v>
      </c>
      <c r="J225" s="63">
        <f t="shared" si="146"/>
        <v>4.3183331979396625E-2</v>
      </c>
      <c r="K225" s="60" t="str">
        <f t="shared" si="147"/>
        <v/>
      </c>
      <c r="L225" s="60">
        <f t="shared" si="148"/>
        <v>4.3657407632885E-3</v>
      </c>
      <c r="M225" s="60">
        <f t="shared" si="149"/>
        <v>8.0730695801389668E-3</v>
      </c>
      <c r="N225" s="60">
        <f t="shared" si="150"/>
        <v>9.6746514894141527E-3</v>
      </c>
      <c r="O225" s="63">
        <f t="shared" si="151"/>
        <v>1.2040397479396633E-2</v>
      </c>
      <c r="P225" s="55" t="s">
        <v>545</v>
      </c>
      <c r="Q225" s="53" t="s">
        <v>546</v>
      </c>
      <c r="R225" s="94">
        <v>47545</v>
      </c>
      <c r="S225" s="71">
        <v>3.2964030000000005E-2</v>
      </c>
      <c r="T225" s="63">
        <f t="shared" si="141"/>
        <v>4.0650148801389535E-3</v>
      </c>
      <c r="V225" s="114">
        <v>1.1509199699999999</v>
      </c>
      <c r="W225" s="72">
        <v>2.9449542799999997</v>
      </c>
      <c r="X225" s="72">
        <v>4.5713372799999998</v>
      </c>
      <c r="Y225" s="72">
        <v>6.0162884700000001</v>
      </c>
      <c r="Z225" s="115">
        <v>7.8687027899999995</v>
      </c>
      <c r="AB225" s="73">
        <v>2.4688685019468883E-2</v>
      </c>
      <c r="AC225" s="71">
        <v>3.2710158963288494E-2</v>
      </c>
      <c r="AD225" s="71">
        <v>3.7029044880138959E-2</v>
      </c>
      <c r="AE225" s="71">
        <v>3.9453074089414147E-2</v>
      </c>
      <c r="AF225" s="63">
        <v>4.3183331979396625E-2</v>
      </c>
      <c r="AG225" s="71" t="s">
        <v>21</v>
      </c>
      <c r="AH225" s="71">
        <v>4.3657407632885E-3</v>
      </c>
      <c r="AI225" s="71">
        <v>8.0730695801389668E-3</v>
      </c>
      <c r="AJ225" s="71">
        <v>9.6746514894141527E-3</v>
      </c>
      <c r="AK225" s="63">
        <v>1.2040397479396633E-2</v>
      </c>
    </row>
    <row r="226" spans="2:37" s="53" customFormat="1" x14ac:dyDescent="0.35">
      <c r="B226" s="55" t="s">
        <v>347</v>
      </c>
      <c r="C226" s="53" t="s">
        <v>234</v>
      </c>
      <c r="D226" s="53" t="s">
        <v>97</v>
      </c>
      <c r="E226" s="53" t="s">
        <v>21</v>
      </c>
      <c r="F226" s="73">
        <f t="shared" si="142"/>
        <v>2.4421953449072241E-2</v>
      </c>
      <c r="G226" s="60">
        <f t="shared" si="143"/>
        <v>3.1954176840677972E-2</v>
      </c>
      <c r="H226" s="60">
        <f t="shared" si="144"/>
        <v>3.6995626043277496E-2</v>
      </c>
      <c r="I226" s="60">
        <f t="shared" si="145"/>
        <v>3.9762960788019053E-2</v>
      </c>
      <c r="J226" s="63">
        <f t="shared" si="146"/>
        <v>4.3380318143762628E-2</v>
      </c>
      <c r="K226" s="60" t="str">
        <f t="shared" si="147"/>
        <v/>
      </c>
      <c r="L226" s="60">
        <f t="shared" si="148"/>
        <v>3.6559903406779689E-3</v>
      </c>
      <c r="M226" s="60">
        <f t="shared" si="149"/>
        <v>8.0605015432774936E-3</v>
      </c>
      <c r="N226" s="60">
        <f t="shared" si="150"/>
        <v>9.9943811880190535E-3</v>
      </c>
      <c r="O226" s="63">
        <f t="shared" si="151"/>
        <v>1.2255696443762631E-2</v>
      </c>
      <c r="P226" s="55" t="s">
        <v>21</v>
      </c>
      <c r="Q226" s="53" t="s">
        <v>21</v>
      </c>
      <c r="R226" s="94" t="s">
        <v>21</v>
      </c>
      <c r="S226" s="71" t="s">
        <v>21</v>
      </c>
      <c r="T226" s="63" t="str">
        <f t="shared" si="141"/>
        <v/>
      </c>
      <c r="V226" s="114">
        <v>1.1523435</v>
      </c>
      <c r="W226" s="72">
        <v>2.9555975700000001</v>
      </c>
      <c r="X226" s="72">
        <v>4.5898677699999997</v>
      </c>
      <c r="Y226" s="72">
        <v>6.03726027</v>
      </c>
      <c r="Z226" s="115">
        <v>7.8897007000000006</v>
      </c>
      <c r="AB226" s="73">
        <v>2.4421953449072241E-2</v>
      </c>
      <c r="AC226" s="71">
        <v>3.1954176840677972E-2</v>
      </c>
      <c r="AD226" s="71">
        <v>3.6995626043277496E-2</v>
      </c>
      <c r="AE226" s="71">
        <v>3.9762960788019053E-2</v>
      </c>
      <c r="AF226" s="63">
        <v>4.3380318143762628E-2</v>
      </c>
      <c r="AG226" s="71" t="s">
        <v>21</v>
      </c>
      <c r="AH226" s="71">
        <v>3.6559903406779689E-3</v>
      </c>
      <c r="AI226" s="71">
        <v>8.0605015432774936E-3</v>
      </c>
      <c r="AJ226" s="71">
        <v>9.9943811880190535E-3</v>
      </c>
      <c r="AK226" s="63">
        <v>1.2255696443762631E-2</v>
      </c>
    </row>
    <row r="227" spans="2:37" s="53" customFormat="1" x14ac:dyDescent="0.35">
      <c r="B227" s="55" t="s">
        <v>350</v>
      </c>
      <c r="C227" s="53" t="s">
        <v>234</v>
      </c>
      <c r="D227" s="53" t="s">
        <v>20</v>
      </c>
      <c r="E227" s="53" t="s">
        <v>21</v>
      </c>
      <c r="F227" s="73">
        <f t="shared" si="142"/>
        <v>2.4081337241375921E-2</v>
      </c>
      <c r="G227" s="60">
        <f t="shared" si="143"/>
        <v>3.1526367314161217E-2</v>
      </c>
      <c r="H227" s="60">
        <f t="shared" si="144"/>
        <v>3.6732479343249733E-2</v>
      </c>
      <c r="I227" s="60">
        <f t="shared" si="145"/>
        <v>3.9652057800474205E-2</v>
      </c>
      <c r="J227" s="63">
        <f t="shared" si="146"/>
        <v>4.2572229043332778E-2</v>
      </c>
      <c r="K227" s="60" t="str">
        <f t="shared" si="147"/>
        <v/>
      </c>
      <c r="L227" s="60">
        <f t="shared" si="148"/>
        <v>3.2277427141612232E-3</v>
      </c>
      <c r="M227" s="60">
        <f t="shared" si="149"/>
        <v>7.7907912432497329E-3</v>
      </c>
      <c r="N227" s="60">
        <f t="shared" si="150"/>
        <v>9.8717931004742056E-3</v>
      </c>
      <c r="O227" s="63">
        <f t="shared" si="151"/>
        <v>1.1461699443332786E-2</v>
      </c>
      <c r="P227" s="55" t="s">
        <v>386</v>
      </c>
      <c r="Q227" s="53" t="s">
        <v>387</v>
      </c>
      <c r="R227" s="94">
        <v>47802</v>
      </c>
      <c r="S227" s="71">
        <v>3.5482060000000003E-2</v>
      </c>
      <c r="T227" s="63">
        <f t="shared" si="141"/>
        <v>1.2504193432497299E-3</v>
      </c>
      <c r="V227" s="114">
        <v>1.15200802</v>
      </c>
      <c r="W227" s="72">
        <v>2.9545584699999998</v>
      </c>
      <c r="X227" s="72">
        <v>4.5861154800000001</v>
      </c>
      <c r="Y227" s="72">
        <v>6.0263081199999995</v>
      </c>
      <c r="Z227" s="115">
        <v>7.8820713799999993</v>
      </c>
      <c r="AB227" s="73">
        <v>2.4081337241375921E-2</v>
      </c>
      <c r="AC227" s="71">
        <v>3.1526367314161217E-2</v>
      </c>
      <c r="AD227" s="71">
        <v>3.6732479343249733E-2</v>
      </c>
      <c r="AE227" s="71">
        <v>3.9652057800474205E-2</v>
      </c>
      <c r="AF227" s="63">
        <v>4.2572229043332778E-2</v>
      </c>
      <c r="AG227" s="71" t="s">
        <v>21</v>
      </c>
      <c r="AH227" s="71">
        <v>3.2277427141612232E-3</v>
      </c>
      <c r="AI227" s="71">
        <v>7.7907912432497329E-3</v>
      </c>
      <c r="AJ227" s="71">
        <v>9.8717931004742056E-3</v>
      </c>
      <c r="AK227" s="63">
        <v>1.1461699443332786E-2</v>
      </c>
    </row>
    <row r="228" spans="2:37" s="53" customFormat="1" x14ac:dyDescent="0.35">
      <c r="B228" s="55" t="s">
        <v>256</v>
      </c>
      <c r="C228" s="53" t="s">
        <v>234</v>
      </c>
      <c r="D228" s="53" t="s">
        <v>257</v>
      </c>
      <c r="E228" s="53" t="s">
        <v>103</v>
      </c>
      <c r="F228" s="73">
        <f t="shared" si="142"/>
        <v>2.4618032004362304E-2</v>
      </c>
      <c r="G228" s="60">
        <f t="shared" si="143"/>
        <v>3.1710003180775104E-2</v>
      </c>
      <c r="H228" s="60">
        <f t="shared" si="144"/>
        <v>3.6683261176659619E-2</v>
      </c>
      <c r="I228" s="60">
        <f t="shared" si="145"/>
        <v>3.9704839818989097E-2</v>
      </c>
      <c r="J228" s="63">
        <f t="shared" si="146"/>
        <v>4.317718670045851E-2</v>
      </c>
      <c r="K228" s="60" t="str">
        <f t="shared" si="147"/>
        <v/>
      </c>
      <c r="L228" s="60">
        <f t="shared" si="148"/>
        <v>3.4200384807751092E-3</v>
      </c>
      <c r="M228" s="60">
        <f t="shared" si="149"/>
        <v>7.7584892766596174E-3</v>
      </c>
      <c r="N228" s="60">
        <f t="shared" si="150"/>
        <v>9.9378653189890944E-3</v>
      </c>
      <c r="O228" s="63">
        <f t="shared" si="151"/>
        <v>1.2059765000458519E-2</v>
      </c>
      <c r="P228" s="55" t="s">
        <v>547</v>
      </c>
      <c r="Q228" s="53" t="s">
        <v>548</v>
      </c>
      <c r="R228" s="94" t="s">
        <v>32</v>
      </c>
      <c r="S228" s="71">
        <v>3.3750639999999998E-2</v>
      </c>
      <c r="T228" s="63">
        <f t="shared" si="141"/>
        <v>2.9326211766596208E-3</v>
      </c>
      <c r="V228" s="114">
        <v>1.1519455700000001</v>
      </c>
      <c r="W228" s="72">
        <v>2.9564737700000001</v>
      </c>
      <c r="X228" s="72">
        <v>4.5946304900000001</v>
      </c>
      <c r="Y228" s="72">
        <v>6.0435811399999997</v>
      </c>
      <c r="Z228" s="115">
        <v>7.9004576699999998</v>
      </c>
      <c r="AB228" s="73">
        <v>2.4618032004362304E-2</v>
      </c>
      <c r="AC228" s="71">
        <v>3.1710003180775104E-2</v>
      </c>
      <c r="AD228" s="71">
        <v>3.6683261176659619E-2</v>
      </c>
      <c r="AE228" s="71">
        <v>3.9704839818989097E-2</v>
      </c>
      <c r="AF228" s="63">
        <v>4.317718670045851E-2</v>
      </c>
      <c r="AG228" s="71" t="s">
        <v>21</v>
      </c>
      <c r="AH228" s="71">
        <v>3.4200384807751092E-3</v>
      </c>
      <c r="AI228" s="71">
        <v>7.7584892766596174E-3</v>
      </c>
      <c r="AJ228" s="71">
        <v>9.9378653189890944E-3</v>
      </c>
      <c r="AK228" s="63">
        <v>1.2059765000458519E-2</v>
      </c>
    </row>
    <row r="229" spans="2:37" s="53" customFormat="1" x14ac:dyDescent="0.35">
      <c r="B229" s="55" t="s">
        <v>157</v>
      </c>
      <c r="C229" s="53" t="s">
        <v>234</v>
      </c>
      <c r="D229" s="53" t="s">
        <v>31</v>
      </c>
      <c r="E229" s="53" t="s">
        <v>549</v>
      </c>
      <c r="F229" s="73">
        <f t="shared" si="142"/>
        <v>2.4206520657694297E-2</v>
      </c>
      <c r="G229" s="60">
        <f t="shared" si="143"/>
        <v>3.1569792643470623E-2</v>
      </c>
      <c r="H229" s="60">
        <f t="shared" si="144"/>
        <v>3.6584028637023473E-2</v>
      </c>
      <c r="I229" s="60">
        <f t="shared" si="145"/>
        <v>3.9507970986593428E-2</v>
      </c>
      <c r="J229" s="63">
        <f t="shared" si="146"/>
        <v>4.297729291709055E-2</v>
      </c>
      <c r="K229" s="60" t="str">
        <f t="shared" si="147"/>
        <v/>
      </c>
      <c r="L229" s="60">
        <f t="shared" si="148"/>
        <v>3.2827774434706202E-3</v>
      </c>
      <c r="M229" s="60">
        <f t="shared" si="149"/>
        <v>7.661558537023468E-3</v>
      </c>
      <c r="N229" s="60">
        <f t="shared" si="150"/>
        <v>9.7471510865934363E-3</v>
      </c>
      <c r="O229" s="63">
        <f t="shared" si="151"/>
        <v>1.1865221717090544E-2</v>
      </c>
      <c r="P229" s="55" t="s">
        <v>21</v>
      </c>
      <c r="Q229" s="53" t="s">
        <v>21</v>
      </c>
      <c r="R229" s="94" t="s">
        <v>21</v>
      </c>
      <c r="S229" s="71" t="s">
        <v>21</v>
      </c>
      <c r="T229" s="63" t="str">
        <f t="shared" si="141"/>
        <v/>
      </c>
      <c r="V229" s="114">
        <v>1.1527930800000001</v>
      </c>
      <c r="W229" s="72">
        <v>2.9589105099999999</v>
      </c>
      <c r="X229" s="72">
        <v>4.5983832400000004</v>
      </c>
      <c r="Y229" s="72">
        <v>6.0502826599999997</v>
      </c>
      <c r="Z229" s="115">
        <v>7.9130912600000007</v>
      </c>
      <c r="AB229" s="73">
        <v>2.4206520657694297E-2</v>
      </c>
      <c r="AC229" s="71">
        <v>3.1569792643470623E-2</v>
      </c>
      <c r="AD229" s="71">
        <v>3.6584028637023473E-2</v>
      </c>
      <c r="AE229" s="71">
        <v>3.9507970986593428E-2</v>
      </c>
      <c r="AF229" s="63">
        <v>4.297729291709055E-2</v>
      </c>
      <c r="AG229" s="71" t="s">
        <v>21</v>
      </c>
      <c r="AH229" s="71">
        <v>3.2827774434706202E-3</v>
      </c>
      <c r="AI229" s="71">
        <v>7.661558537023468E-3</v>
      </c>
      <c r="AJ229" s="71">
        <v>9.7471510865934363E-3</v>
      </c>
      <c r="AK229" s="63">
        <v>1.1865221717090544E-2</v>
      </c>
    </row>
    <row r="230" spans="2:37" s="53" customFormat="1" x14ac:dyDescent="0.35">
      <c r="B230" s="55" t="s">
        <v>149</v>
      </c>
      <c r="C230" s="53" t="s">
        <v>234</v>
      </c>
      <c r="D230" s="53" t="s">
        <v>97</v>
      </c>
      <c r="E230" s="53" t="s">
        <v>346</v>
      </c>
      <c r="F230" s="73">
        <f t="shared" si="142"/>
        <v>2.407796694905447E-2</v>
      </c>
      <c r="G230" s="60">
        <f t="shared" si="143"/>
        <v>3.1659794288684831E-2</v>
      </c>
      <c r="H230" s="60">
        <f t="shared" si="144"/>
        <v>3.6481148639464868E-2</v>
      </c>
      <c r="I230" s="60">
        <f t="shared" si="145"/>
        <v>3.9506497214098227E-2</v>
      </c>
      <c r="J230" s="63">
        <f t="shared" si="146"/>
        <v>4.3071949040360054E-2</v>
      </c>
      <c r="K230" s="60" t="str">
        <f t="shared" si="147"/>
        <v/>
      </c>
      <c r="L230" s="60">
        <f t="shared" si="148"/>
        <v>3.3707031886848339E-3</v>
      </c>
      <c r="M230" s="60">
        <f t="shared" si="149"/>
        <v>7.5626303394648649E-3</v>
      </c>
      <c r="N230" s="60">
        <f t="shared" si="150"/>
        <v>9.7459284140982254E-3</v>
      </c>
      <c r="O230" s="63">
        <f t="shared" si="151"/>
        <v>1.195726694036006E-2</v>
      </c>
      <c r="P230" s="55" t="s">
        <v>550</v>
      </c>
      <c r="Q230" s="53" t="s">
        <v>551</v>
      </c>
      <c r="R230" s="94" t="s">
        <v>32</v>
      </c>
      <c r="S230" s="71">
        <v>3.6981229999999997E-2</v>
      </c>
      <c r="T230" s="63">
        <f t="shared" si="141"/>
        <v>-5.0008136053512897E-4</v>
      </c>
      <c r="V230" s="114">
        <v>1.15303153</v>
      </c>
      <c r="W230" s="72">
        <v>2.9587429099999998</v>
      </c>
      <c r="X230" s="72">
        <v>4.5990572299999997</v>
      </c>
      <c r="Y230" s="72">
        <v>6.0513197499999993</v>
      </c>
      <c r="Z230" s="115">
        <v>7.91165086</v>
      </c>
      <c r="AB230" s="73">
        <v>2.407796694905447E-2</v>
      </c>
      <c r="AC230" s="71">
        <v>3.1659794288684831E-2</v>
      </c>
      <c r="AD230" s="71">
        <v>3.6481148639464868E-2</v>
      </c>
      <c r="AE230" s="71">
        <v>3.9506497214098227E-2</v>
      </c>
      <c r="AF230" s="63">
        <v>4.3071949040360054E-2</v>
      </c>
      <c r="AG230" s="71" t="s">
        <v>21</v>
      </c>
      <c r="AH230" s="71">
        <v>3.3707031886848339E-3</v>
      </c>
      <c r="AI230" s="71">
        <v>7.5626303394648649E-3</v>
      </c>
      <c r="AJ230" s="71">
        <v>9.7459284140982254E-3</v>
      </c>
      <c r="AK230" s="63">
        <v>1.195726694036006E-2</v>
      </c>
    </row>
    <row r="231" spans="2:37" s="53" customFormat="1" x14ac:dyDescent="0.35">
      <c r="B231" s="55" t="s">
        <v>260</v>
      </c>
      <c r="C231" s="53" t="s">
        <v>234</v>
      </c>
      <c r="D231" s="53" t="s">
        <v>43</v>
      </c>
      <c r="E231" s="53" t="s">
        <v>21</v>
      </c>
      <c r="F231" s="73">
        <f t="shared" si="142"/>
        <v>2.4803933093447885E-2</v>
      </c>
      <c r="G231" s="60">
        <f t="shared" si="143"/>
        <v>3.1907441165344545E-2</v>
      </c>
      <c r="H231" s="60">
        <f t="shared" si="144"/>
        <v>3.6479401639931124E-2</v>
      </c>
      <c r="I231" s="60">
        <f t="shared" si="145"/>
        <v>3.9212370500490715E-2</v>
      </c>
      <c r="J231" s="63">
        <f t="shared" si="146"/>
        <v>4.2681458434184874E-2</v>
      </c>
      <c r="K231" s="60" t="str">
        <f t="shared" si="147"/>
        <v/>
      </c>
      <c r="L231" s="60">
        <f t="shared" si="148"/>
        <v>3.6108366653445508E-3</v>
      </c>
      <c r="M231" s="60">
        <f t="shared" si="149"/>
        <v>7.5609932399311221E-3</v>
      </c>
      <c r="N231" s="60">
        <f t="shared" si="150"/>
        <v>9.4610268004907162E-3</v>
      </c>
      <c r="O231" s="63">
        <f t="shared" si="151"/>
        <v>1.1575551034184872E-2</v>
      </c>
      <c r="P231" s="55" t="s">
        <v>552</v>
      </c>
      <c r="Q231" s="53" t="s">
        <v>553</v>
      </c>
      <c r="R231" s="94" t="s">
        <v>32</v>
      </c>
      <c r="S231" s="71">
        <v>3.3961930000000001E-2</v>
      </c>
      <c r="T231" s="63">
        <f t="shared" si="141"/>
        <v>2.5174716399311223E-3</v>
      </c>
      <c r="V231" s="114">
        <v>1.1515851400000001</v>
      </c>
      <c r="W231" s="72">
        <v>2.9545496999999998</v>
      </c>
      <c r="X231" s="72">
        <v>4.5944564300000001</v>
      </c>
      <c r="Y231" s="72">
        <v>6.0513680700000005</v>
      </c>
      <c r="Z231" s="115">
        <v>7.9241538199999999</v>
      </c>
      <c r="AB231" s="73">
        <v>2.4803933093447885E-2</v>
      </c>
      <c r="AC231" s="71">
        <v>3.1907441165344545E-2</v>
      </c>
      <c r="AD231" s="71">
        <v>3.6479401639931124E-2</v>
      </c>
      <c r="AE231" s="71">
        <v>3.9212370500490715E-2</v>
      </c>
      <c r="AF231" s="63">
        <v>4.2681458434184874E-2</v>
      </c>
      <c r="AG231" s="71" t="s">
        <v>21</v>
      </c>
      <c r="AH231" s="71">
        <v>3.6108366653445508E-3</v>
      </c>
      <c r="AI231" s="71">
        <v>7.5609932399311221E-3</v>
      </c>
      <c r="AJ231" s="71">
        <v>9.4610268004907162E-3</v>
      </c>
      <c r="AK231" s="63">
        <v>1.1575551034184872E-2</v>
      </c>
    </row>
    <row r="232" spans="2:37" s="53" customFormat="1" x14ac:dyDescent="0.35">
      <c r="B232" s="55" t="s">
        <v>324</v>
      </c>
      <c r="C232" s="53" t="s">
        <v>234</v>
      </c>
      <c r="D232" s="53" t="s">
        <v>31</v>
      </c>
      <c r="E232" s="53" t="s">
        <v>21</v>
      </c>
      <c r="F232" s="73">
        <f t="shared" si="142"/>
        <v>2.4049469577894642E-2</v>
      </c>
      <c r="G232" s="60">
        <f t="shared" si="143"/>
        <v>3.1407802282069082E-2</v>
      </c>
      <c r="H232" s="60">
        <f t="shared" si="144"/>
        <v>3.637815241767333E-2</v>
      </c>
      <c r="I232" s="60">
        <f t="shared" si="145"/>
        <v>4.0188900437110243E-2</v>
      </c>
      <c r="J232" s="63">
        <f t="shared" si="146"/>
        <v>4.3662515585017284E-2</v>
      </c>
      <c r="K232" s="60" t="str">
        <f t="shared" si="147"/>
        <v/>
      </c>
      <c r="L232" s="60">
        <f t="shared" si="148"/>
        <v>3.125631782069089E-3</v>
      </c>
      <c r="M232" s="60">
        <f t="shared" si="149"/>
        <v>7.4621337176733272E-3</v>
      </c>
      <c r="N232" s="60">
        <f t="shared" si="150"/>
        <v>1.0404206737110244E-2</v>
      </c>
      <c r="O232" s="63">
        <f t="shared" si="151"/>
        <v>1.253392408501728E-2</v>
      </c>
      <c r="P232" s="55" t="s">
        <v>21</v>
      </c>
      <c r="Q232" s="53" t="s">
        <v>21</v>
      </c>
      <c r="R232" s="94" t="s">
        <v>21</v>
      </c>
      <c r="S232" s="71" t="s">
        <v>21</v>
      </c>
      <c r="T232" s="63" t="str">
        <f t="shared" si="141"/>
        <v/>
      </c>
      <c r="V232" s="114">
        <v>1.1531095</v>
      </c>
      <c r="W232" s="72">
        <v>2.9605329199999999</v>
      </c>
      <c r="X232" s="72">
        <v>4.6025289799999998</v>
      </c>
      <c r="Y232" s="72">
        <v>6.0449721900000002</v>
      </c>
      <c r="Z232" s="115">
        <v>7.8849365799999998</v>
      </c>
      <c r="AB232" s="73">
        <v>2.4049469577894642E-2</v>
      </c>
      <c r="AC232" s="71">
        <v>3.1407802282069082E-2</v>
      </c>
      <c r="AD232" s="71">
        <v>3.637815241767333E-2</v>
      </c>
      <c r="AE232" s="71">
        <v>4.0188900437110243E-2</v>
      </c>
      <c r="AF232" s="63">
        <v>4.3662515585017284E-2</v>
      </c>
      <c r="AG232" s="71" t="s">
        <v>21</v>
      </c>
      <c r="AH232" s="71">
        <v>3.125631782069089E-3</v>
      </c>
      <c r="AI232" s="71">
        <v>7.4621337176733272E-3</v>
      </c>
      <c r="AJ232" s="71">
        <v>1.0404206737110244E-2</v>
      </c>
      <c r="AK232" s="63">
        <v>1.253392408501728E-2</v>
      </c>
    </row>
    <row r="233" spans="2:37" s="53" customFormat="1" x14ac:dyDescent="0.35">
      <c r="B233" s="55" t="s">
        <v>373</v>
      </c>
      <c r="C233" s="53" t="s">
        <v>234</v>
      </c>
      <c r="D233" s="53" t="s">
        <v>20</v>
      </c>
      <c r="E233" s="53" t="s">
        <v>554</v>
      </c>
      <c r="F233" s="73">
        <f t="shared" si="142"/>
        <v>2.3529383449985741E-2</v>
      </c>
      <c r="G233" s="60">
        <f t="shared" si="143"/>
        <v>3.0341900943928145E-2</v>
      </c>
      <c r="H233" s="60">
        <f t="shared" si="144"/>
        <v>3.4446093418967427E-2</v>
      </c>
      <c r="I233" s="60">
        <f t="shared" si="145"/>
        <v>3.6798437279522249E-2</v>
      </c>
      <c r="J233" s="63">
        <f t="shared" si="146"/>
        <v>3.935824004163499E-2</v>
      </c>
      <c r="K233" s="60" t="str">
        <f t="shared" si="147"/>
        <v/>
      </c>
      <c r="L233" s="60">
        <f t="shared" si="148"/>
        <v>2.0781818439281523E-3</v>
      </c>
      <c r="M233" s="60">
        <f t="shared" si="149"/>
        <v>5.5742890189674306E-3</v>
      </c>
      <c r="N233" s="60">
        <f t="shared" si="150"/>
        <v>7.104848479522253E-3</v>
      </c>
      <c r="O233" s="63">
        <f t="shared" si="151"/>
        <v>8.3241670416349927E-3</v>
      </c>
      <c r="P233" s="55" t="s">
        <v>21</v>
      </c>
      <c r="Q233" s="53" t="s">
        <v>21</v>
      </c>
      <c r="R233" s="94" t="s">
        <v>21</v>
      </c>
      <c r="S233" s="71" t="s">
        <v>21</v>
      </c>
      <c r="T233" s="63" t="str">
        <f t="shared" si="141"/>
        <v/>
      </c>
      <c r="V233" s="114">
        <v>1.1531235500000001</v>
      </c>
      <c r="W233" s="72">
        <v>2.96416258</v>
      </c>
      <c r="X233" s="72">
        <v>4.6226725399999999</v>
      </c>
      <c r="Y233" s="72">
        <v>6.1111435300000005</v>
      </c>
      <c r="Z233" s="115">
        <v>8.0629374000000009</v>
      </c>
      <c r="AB233" s="73">
        <v>2.3529383449985741E-2</v>
      </c>
      <c r="AC233" s="71">
        <v>3.0341900943928145E-2</v>
      </c>
      <c r="AD233" s="71">
        <v>3.4446093418967427E-2</v>
      </c>
      <c r="AE233" s="71">
        <v>3.6798437279522249E-2</v>
      </c>
      <c r="AF233" s="63">
        <v>3.935824004163499E-2</v>
      </c>
      <c r="AG233" s="71" t="s">
        <v>21</v>
      </c>
      <c r="AH233" s="71">
        <v>2.0781818439281523E-3</v>
      </c>
      <c r="AI233" s="71">
        <v>5.5742890189674306E-3</v>
      </c>
      <c r="AJ233" s="71">
        <v>7.104848479522253E-3</v>
      </c>
      <c r="AK233" s="63">
        <v>8.3241670416349927E-3</v>
      </c>
    </row>
    <row r="234" spans="2:37" s="53" customFormat="1" x14ac:dyDescent="0.35">
      <c r="B234" s="55" t="s">
        <v>352</v>
      </c>
      <c r="C234" s="53" t="s">
        <v>234</v>
      </c>
      <c r="D234" s="53" t="s">
        <v>20</v>
      </c>
      <c r="E234" s="53" t="s">
        <v>21</v>
      </c>
      <c r="F234" s="73">
        <f t="shared" si="142"/>
        <v>2.3920093249798699E-2</v>
      </c>
      <c r="G234" s="60">
        <f t="shared" si="143"/>
        <v>3.1393098025258866E-2</v>
      </c>
      <c r="H234" s="60">
        <f t="shared" si="144"/>
        <v>3.6376468719448725E-2</v>
      </c>
      <c r="I234" s="60">
        <f t="shared" si="145"/>
        <v>3.9599389797778196E-2</v>
      </c>
      <c r="J234" s="63">
        <f t="shared" si="146"/>
        <v>4.2859859020193972E-2</v>
      </c>
      <c r="K234" s="60" t="str">
        <f t="shared" si="147"/>
        <v/>
      </c>
      <c r="L234" s="60">
        <f t="shared" si="148"/>
        <v>3.0940868252588693E-3</v>
      </c>
      <c r="M234" s="60">
        <f t="shared" si="149"/>
        <v>7.4433170194487287E-3</v>
      </c>
      <c r="N234" s="60">
        <f t="shared" si="150"/>
        <v>9.8180689977781978E-3</v>
      </c>
      <c r="O234" s="63">
        <f t="shared" si="151"/>
        <v>1.1739339020193978E-2</v>
      </c>
      <c r="P234" s="55" t="s">
        <v>21</v>
      </c>
      <c r="Q234" s="53" t="s">
        <v>21</v>
      </c>
      <c r="R234" s="94" t="s">
        <v>21</v>
      </c>
      <c r="S234" s="71" t="s">
        <v>21</v>
      </c>
      <c r="T234" s="63" t="str">
        <f t="shared" si="141"/>
        <v/>
      </c>
      <c r="V234" s="114">
        <v>1.15240912</v>
      </c>
      <c r="W234" s="72">
        <v>2.9568615400000002</v>
      </c>
      <c r="X234" s="72">
        <v>4.5930807900000001</v>
      </c>
      <c r="Y234" s="72">
        <v>6.0345924600000007</v>
      </c>
      <c r="Z234" s="115">
        <v>7.8820938300000005</v>
      </c>
      <c r="AB234" s="73">
        <v>2.3920093249798699E-2</v>
      </c>
      <c r="AC234" s="71">
        <v>3.1393098025258866E-2</v>
      </c>
      <c r="AD234" s="71">
        <v>3.6376468719448725E-2</v>
      </c>
      <c r="AE234" s="71">
        <v>3.9599389797778196E-2</v>
      </c>
      <c r="AF234" s="63">
        <v>4.2859859020193972E-2</v>
      </c>
      <c r="AG234" s="71" t="s">
        <v>21</v>
      </c>
      <c r="AH234" s="71">
        <v>3.0940868252588693E-3</v>
      </c>
      <c r="AI234" s="71">
        <v>7.4433170194487287E-3</v>
      </c>
      <c r="AJ234" s="71">
        <v>9.8180689977781978E-3</v>
      </c>
      <c r="AK234" s="63">
        <v>1.1739339020193978E-2</v>
      </c>
    </row>
    <row r="235" spans="2:37" s="53" customFormat="1" x14ac:dyDescent="0.35">
      <c r="B235" s="55" t="s">
        <v>158</v>
      </c>
      <c r="C235" s="53" t="s">
        <v>234</v>
      </c>
      <c r="D235" s="53" t="s">
        <v>31</v>
      </c>
      <c r="E235" s="53" t="s">
        <v>21</v>
      </c>
      <c r="F235" s="73">
        <f t="shared" si="142"/>
        <v>2.4709998754278206E-2</v>
      </c>
      <c r="G235" s="60">
        <f t="shared" si="143"/>
        <v>3.1647332794015014E-2</v>
      </c>
      <c r="H235" s="60">
        <f t="shared" si="144"/>
        <v>3.632591837184692E-2</v>
      </c>
      <c r="I235" s="60">
        <f t="shared" si="145"/>
        <v>3.9110807438687098E-2</v>
      </c>
      <c r="J235" s="63">
        <f t="shared" si="146"/>
        <v>4.2287587335782029E-2</v>
      </c>
      <c r="K235" s="60" t="str">
        <f t="shared" si="147"/>
        <v/>
      </c>
      <c r="L235" s="60">
        <f t="shared" si="148"/>
        <v>3.3576118940150117E-3</v>
      </c>
      <c r="M235" s="60">
        <f t="shared" si="149"/>
        <v>7.4113682718469232E-3</v>
      </c>
      <c r="N235" s="60">
        <f t="shared" si="150"/>
        <v>9.3620536386870897E-3</v>
      </c>
      <c r="O235" s="63">
        <f t="shared" si="151"/>
        <v>1.1193459935782035E-2</v>
      </c>
      <c r="P235" s="55" t="s">
        <v>21</v>
      </c>
      <c r="Q235" s="53" t="s">
        <v>21</v>
      </c>
      <c r="R235" s="94" t="s">
        <v>21</v>
      </c>
      <c r="S235" s="71" t="s">
        <v>21</v>
      </c>
      <c r="T235" s="63" t="str">
        <f t="shared" si="141"/>
        <v/>
      </c>
      <c r="V235" s="114">
        <v>1.1518011500000001</v>
      </c>
      <c r="W235" s="72">
        <v>2.9566387000000001</v>
      </c>
      <c r="X235" s="72">
        <v>4.5987730899999999</v>
      </c>
      <c r="Y235" s="72">
        <v>6.0573764800000003</v>
      </c>
      <c r="Z235" s="115">
        <v>7.9399514800000004</v>
      </c>
      <c r="AB235" s="73">
        <v>2.4709998754278206E-2</v>
      </c>
      <c r="AC235" s="71">
        <v>3.1647332794015014E-2</v>
      </c>
      <c r="AD235" s="71">
        <v>3.632591837184692E-2</v>
      </c>
      <c r="AE235" s="71">
        <v>3.9110807438687098E-2</v>
      </c>
      <c r="AF235" s="63">
        <v>4.2287587335782029E-2</v>
      </c>
      <c r="AG235" s="71" t="s">
        <v>21</v>
      </c>
      <c r="AH235" s="71">
        <v>3.3576118940150117E-3</v>
      </c>
      <c r="AI235" s="71">
        <v>7.4113682718469232E-3</v>
      </c>
      <c r="AJ235" s="71">
        <v>9.3620536386870897E-3</v>
      </c>
      <c r="AK235" s="63">
        <v>1.1193459935782035E-2</v>
      </c>
    </row>
    <row r="236" spans="2:37" s="53" customFormat="1" x14ac:dyDescent="0.35">
      <c r="B236" s="55" t="s">
        <v>372</v>
      </c>
      <c r="C236" s="53" t="s">
        <v>234</v>
      </c>
      <c r="D236" s="53" t="s">
        <v>69</v>
      </c>
      <c r="E236" s="53" t="s">
        <v>258</v>
      </c>
      <c r="F236" s="73">
        <f t="shared" si="142"/>
        <v>2.4201230788319414E-2</v>
      </c>
      <c r="G236" s="60">
        <f t="shared" si="143"/>
        <v>3.1529807326393551E-2</v>
      </c>
      <c r="H236" s="60">
        <f t="shared" si="144"/>
        <v>3.6323855439974309E-2</v>
      </c>
      <c r="I236" s="60">
        <f t="shared" si="145"/>
        <v>3.8910736622094537E-2</v>
      </c>
      <c r="J236" s="63">
        <f t="shared" si="146"/>
        <v>4.1745235432361895E-2</v>
      </c>
      <c r="K236" s="60" t="str">
        <f t="shared" si="147"/>
        <v/>
      </c>
      <c r="L236" s="60">
        <f t="shared" si="148"/>
        <v>3.2454217263935561E-3</v>
      </c>
      <c r="M236" s="60">
        <f t="shared" si="149"/>
        <v>7.4106774399743114E-3</v>
      </c>
      <c r="N236" s="60">
        <f t="shared" si="150"/>
        <v>9.1700204220945356E-3</v>
      </c>
      <c r="O236" s="63">
        <f t="shared" si="151"/>
        <v>1.0667489132361891E-2</v>
      </c>
      <c r="P236" s="55" t="s">
        <v>21</v>
      </c>
      <c r="Q236" s="53" t="s">
        <v>21</v>
      </c>
      <c r="R236" s="94" t="s">
        <v>21</v>
      </c>
      <c r="S236" s="71" t="s">
        <v>21</v>
      </c>
      <c r="T236" s="63" t="str">
        <f t="shared" si="141"/>
        <v/>
      </c>
      <c r="V236" s="114">
        <v>1.1527736099999999</v>
      </c>
      <c r="W236" s="72">
        <v>2.9591248600000002</v>
      </c>
      <c r="X236" s="72">
        <v>4.6014141300000002</v>
      </c>
      <c r="Y236" s="72">
        <v>6.0626846300000006</v>
      </c>
      <c r="Z236" s="115">
        <v>7.9598453099999995</v>
      </c>
      <c r="AB236" s="73">
        <v>2.4201230788319414E-2</v>
      </c>
      <c r="AC236" s="71">
        <v>3.1529807326393551E-2</v>
      </c>
      <c r="AD236" s="71">
        <v>3.6323855439974309E-2</v>
      </c>
      <c r="AE236" s="71">
        <v>3.8910736622094537E-2</v>
      </c>
      <c r="AF236" s="63">
        <v>4.1745235432361895E-2</v>
      </c>
      <c r="AG236" s="71" t="s">
        <v>21</v>
      </c>
      <c r="AH236" s="71">
        <v>3.2454217263935561E-3</v>
      </c>
      <c r="AI236" s="71">
        <v>7.4106774399743114E-3</v>
      </c>
      <c r="AJ236" s="71">
        <v>9.1700204220945356E-3</v>
      </c>
      <c r="AK236" s="63">
        <v>1.0667489132361891E-2</v>
      </c>
    </row>
    <row r="237" spans="2:37" s="53" customFormat="1" x14ac:dyDescent="0.35">
      <c r="B237" s="55" t="s">
        <v>365</v>
      </c>
      <c r="C237" s="53" t="s">
        <v>234</v>
      </c>
      <c r="D237" s="53" t="s">
        <v>69</v>
      </c>
      <c r="E237" s="53" t="s">
        <v>21</v>
      </c>
      <c r="F237" s="73">
        <f t="shared" si="142"/>
        <v>2.4629790712742537E-2</v>
      </c>
      <c r="G237" s="60">
        <f t="shared" si="143"/>
        <v>3.1479566331719867E-2</v>
      </c>
      <c r="H237" s="60">
        <f t="shared" si="144"/>
        <v>3.6115688935190876E-2</v>
      </c>
      <c r="I237" s="60">
        <f t="shared" si="145"/>
        <v>3.8807797001389227E-2</v>
      </c>
      <c r="J237" s="63">
        <f t="shared" si="146"/>
        <v>4.1787642792761953E-2</v>
      </c>
      <c r="K237" s="60" t="str">
        <f t="shared" si="147"/>
        <v/>
      </c>
      <c r="L237" s="60">
        <f t="shared" si="148"/>
        <v>3.196690531719869E-3</v>
      </c>
      <c r="M237" s="60">
        <f t="shared" si="149"/>
        <v>7.2088347351908812E-3</v>
      </c>
      <c r="N237" s="60">
        <f t="shared" si="150"/>
        <v>9.0695964013892301E-3</v>
      </c>
      <c r="O237" s="63">
        <f t="shared" si="151"/>
        <v>1.0707745292761951E-2</v>
      </c>
      <c r="P237" s="55" t="s">
        <v>21</v>
      </c>
      <c r="Q237" s="53" t="s">
        <v>21</v>
      </c>
      <c r="R237" s="94" t="s">
        <v>21</v>
      </c>
      <c r="S237" s="71" t="s">
        <v>21</v>
      </c>
      <c r="T237" s="63" t="str">
        <f t="shared" si="141"/>
        <v/>
      </c>
      <c r="V237" s="114">
        <v>1.1519257700000001</v>
      </c>
      <c r="W237" s="72">
        <v>2.9579403000000002</v>
      </c>
      <c r="X237" s="72">
        <v>4.6026370700000001</v>
      </c>
      <c r="Y237" s="72">
        <v>6.06606588</v>
      </c>
      <c r="Z237" s="115">
        <v>7.96263027</v>
      </c>
      <c r="AB237" s="73">
        <v>2.4629790712742537E-2</v>
      </c>
      <c r="AC237" s="71">
        <v>3.1479566331719867E-2</v>
      </c>
      <c r="AD237" s="71">
        <v>3.6115688935190876E-2</v>
      </c>
      <c r="AE237" s="71">
        <v>3.8807797001389227E-2</v>
      </c>
      <c r="AF237" s="63">
        <v>4.1787642792761953E-2</v>
      </c>
      <c r="AG237" s="71" t="s">
        <v>21</v>
      </c>
      <c r="AH237" s="71">
        <v>3.196690531719869E-3</v>
      </c>
      <c r="AI237" s="71">
        <v>7.2088347351908812E-3</v>
      </c>
      <c r="AJ237" s="71">
        <v>9.0695964013892301E-3</v>
      </c>
      <c r="AK237" s="63">
        <v>1.0707745292761951E-2</v>
      </c>
    </row>
    <row r="238" spans="2:37" s="53" customFormat="1" x14ac:dyDescent="0.35">
      <c r="B238" s="55" t="s">
        <v>373</v>
      </c>
      <c r="C238" s="53" t="s">
        <v>234</v>
      </c>
      <c r="D238" s="53" t="s">
        <v>20</v>
      </c>
      <c r="E238" s="53" t="s">
        <v>251</v>
      </c>
      <c r="F238" s="73">
        <f t="shared" si="142"/>
        <v>2.3529383449985741E-2</v>
      </c>
      <c r="G238" s="60">
        <f t="shared" si="143"/>
        <v>3.0341900943928145E-2</v>
      </c>
      <c r="H238" s="60">
        <f t="shared" si="144"/>
        <v>3.4446093418967427E-2</v>
      </c>
      <c r="I238" s="60">
        <f t="shared" si="145"/>
        <v>3.6798437279522249E-2</v>
      </c>
      <c r="J238" s="63">
        <f t="shared" si="146"/>
        <v>3.935824004163499E-2</v>
      </c>
      <c r="K238" s="60" t="str">
        <f t="shared" si="147"/>
        <v/>
      </c>
      <c r="L238" s="60">
        <f t="shared" si="148"/>
        <v>2.0781818439281523E-3</v>
      </c>
      <c r="M238" s="60">
        <f t="shared" si="149"/>
        <v>5.5742890189674306E-3</v>
      </c>
      <c r="N238" s="60">
        <f t="shared" si="150"/>
        <v>7.104848479522253E-3</v>
      </c>
      <c r="O238" s="63">
        <f t="shared" si="151"/>
        <v>8.3241670416349927E-3</v>
      </c>
      <c r="P238" s="55" t="s">
        <v>21</v>
      </c>
      <c r="Q238" s="53" t="s">
        <v>21</v>
      </c>
      <c r="R238" s="94" t="s">
        <v>21</v>
      </c>
      <c r="S238" s="71" t="s">
        <v>21</v>
      </c>
      <c r="T238" s="63" t="str">
        <f t="shared" si="141"/>
        <v/>
      </c>
      <c r="V238" s="114">
        <v>1.1531235500000001</v>
      </c>
      <c r="W238" s="72">
        <v>2.96416258</v>
      </c>
      <c r="X238" s="72">
        <v>4.6226725399999999</v>
      </c>
      <c r="Y238" s="72">
        <v>6.1111435300000005</v>
      </c>
      <c r="Z238" s="115">
        <v>8.0629374000000009</v>
      </c>
      <c r="AB238" s="73">
        <v>2.3529383449985741E-2</v>
      </c>
      <c r="AC238" s="71">
        <v>3.0341900943928145E-2</v>
      </c>
      <c r="AD238" s="71">
        <v>3.4446093418967427E-2</v>
      </c>
      <c r="AE238" s="71">
        <v>3.6798437279522249E-2</v>
      </c>
      <c r="AF238" s="63">
        <v>3.935824004163499E-2</v>
      </c>
      <c r="AG238" s="71" t="s">
        <v>21</v>
      </c>
      <c r="AH238" s="71">
        <v>2.0781818439281523E-3</v>
      </c>
      <c r="AI238" s="71">
        <v>5.5742890189674306E-3</v>
      </c>
      <c r="AJ238" s="71">
        <v>7.104848479522253E-3</v>
      </c>
      <c r="AK238" s="63">
        <v>8.3241670416349927E-3</v>
      </c>
    </row>
    <row r="239" spans="2:37" s="53" customFormat="1" x14ac:dyDescent="0.35">
      <c r="B239" s="55" t="s">
        <v>357</v>
      </c>
      <c r="C239" s="53" t="s">
        <v>234</v>
      </c>
      <c r="D239" s="53" t="s">
        <v>20</v>
      </c>
      <c r="E239" s="53" t="s">
        <v>58</v>
      </c>
      <c r="F239" s="73">
        <f t="shared" si="142"/>
        <v>2.444662790167328E-2</v>
      </c>
      <c r="G239" s="60">
        <f t="shared" si="143"/>
        <v>3.2019887842321189E-2</v>
      </c>
      <c r="H239" s="60">
        <f t="shared" si="144"/>
        <v>3.7206137882238213E-2</v>
      </c>
      <c r="I239" s="60">
        <f t="shared" si="145"/>
        <v>4.0191994715367406E-2</v>
      </c>
      <c r="J239" s="63">
        <f t="shared" si="146"/>
        <v>4.3480872173779286E-2</v>
      </c>
      <c r="K239" s="60" t="str">
        <f t="shared" si="147"/>
        <v/>
      </c>
      <c r="L239" s="60">
        <f t="shared" si="148"/>
        <v>3.7023041423211965E-3</v>
      </c>
      <c r="M239" s="60">
        <f t="shared" si="149"/>
        <v>8.2461852822382099E-3</v>
      </c>
      <c r="N239" s="60">
        <f t="shared" si="150"/>
        <v>1.03909042153674E-2</v>
      </c>
      <c r="O239" s="63">
        <f t="shared" si="151"/>
        <v>1.2340744773779283E-2</v>
      </c>
      <c r="P239" s="55" t="s">
        <v>21</v>
      </c>
      <c r="Q239" s="53" t="s">
        <v>21</v>
      </c>
      <c r="R239" s="94" t="s">
        <v>21</v>
      </c>
      <c r="S239" s="71" t="s">
        <v>21</v>
      </c>
      <c r="T239" s="63" t="str">
        <f t="shared" si="141"/>
        <v/>
      </c>
      <c r="V239" s="114">
        <v>1.1513214900000002</v>
      </c>
      <c r="W239" s="72">
        <v>2.9494592900000001</v>
      </c>
      <c r="X239" s="72">
        <v>4.5757636599999998</v>
      </c>
      <c r="Y239" s="72">
        <v>6.0073352399999997</v>
      </c>
      <c r="Z239" s="115">
        <v>7.8381216800000004</v>
      </c>
      <c r="AB239" s="73">
        <v>2.444662790167328E-2</v>
      </c>
      <c r="AC239" s="71">
        <v>3.2019887842321189E-2</v>
      </c>
      <c r="AD239" s="71">
        <v>3.7206137882238213E-2</v>
      </c>
      <c r="AE239" s="71">
        <v>4.0191994715367406E-2</v>
      </c>
      <c r="AF239" s="63">
        <v>4.3480872173779286E-2</v>
      </c>
      <c r="AG239" s="71" t="s">
        <v>21</v>
      </c>
      <c r="AH239" s="71">
        <v>3.7023041423211965E-3</v>
      </c>
      <c r="AI239" s="71">
        <v>8.2461852822382099E-3</v>
      </c>
      <c r="AJ239" s="71">
        <v>1.03909042153674E-2</v>
      </c>
      <c r="AK239" s="63">
        <v>1.2340744773779283E-2</v>
      </c>
    </row>
    <row r="240" spans="2:37" s="53" customFormat="1" x14ac:dyDescent="0.35">
      <c r="B240" s="55" t="s">
        <v>263</v>
      </c>
      <c r="C240" s="53" t="s">
        <v>234</v>
      </c>
      <c r="D240" s="53" t="s">
        <v>62</v>
      </c>
      <c r="E240" s="53" t="s">
        <v>128</v>
      </c>
      <c r="F240" s="73">
        <f t="shared" si="142"/>
        <v>2.4645411668984353E-2</v>
      </c>
      <c r="G240" s="60">
        <f t="shared" si="143"/>
        <v>3.1541955118001466E-2</v>
      </c>
      <c r="H240" s="60">
        <f t="shared" si="144"/>
        <v>3.6012520889289371E-2</v>
      </c>
      <c r="I240" s="60">
        <f t="shared" si="145"/>
        <v>3.8658400170546732E-2</v>
      </c>
      <c r="J240" s="63">
        <f t="shared" si="146"/>
        <v>4.1636890642757926E-2</v>
      </c>
      <c r="K240" s="60" t="str">
        <f t="shared" si="147"/>
        <v/>
      </c>
      <c r="L240" s="60">
        <f t="shared" si="148"/>
        <v>3.2574414180014701E-3</v>
      </c>
      <c r="M240" s="60">
        <f t="shared" si="149"/>
        <v>7.1091434892893738E-3</v>
      </c>
      <c r="N240" s="60">
        <f t="shared" si="150"/>
        <v>8.924878270546735E-3</v>
      </c>
      <c r="O240" s="63">
        <f t="shared" si="151"/>
        <v>1.056038444275793E-2</v>
      </c>
      <c r="P240" s="55" t="s">
        <v>555</v>
      </c>
      <c r="Q240" s="53" t="s">
        <v>556</v>
      </c>
      <c r="R240" s="94">
        <v>47649</v>
      </c>
      <c r="S240" s="71">
        <v>3.1890599999999998E-2</v>
      </c>
      <c r="T240" s="63">
        <f t="shared" si="141"/>
        <v>4.1219208892893724E-3</v>
      </c>
      <c r="V240" s="114">
        <v>1.15188797</v>
      </c>
      <c r="W240" s="72">
        <v>2.9574638800000002</v>
      </c>
      <c r="X240" s="72">
        <v>4.6031070999999999</v>
      </c>
      <c r="Y240" s="72">
        <v>6.0690688700000006</v>
      </c>
      <c r="Z240" s="115">
        <v>7.9704099900000003</v>
      </c>
      <c r="AB240" s="73">
        <v>2.4645411668984353E-2</v>
      </c>
      <c r="AC240" s="71">
        <v>3.1541955118001466E-2</v>
      </c>
      <c r="AD240" s="71">
        <v>3.6012520889289371E-2</v>
      </c>
      <c r="AE240" s="71">
        <v>3.8658400170546732E-2</v>
      </c>
      <c r="AF240" s="63">
        <v>4.1636890642757926E-2</v>
      </c>
      <c r="AG240" s="71" t="s">
        <v>21</v>
      </c>
      <c r="AH240" s="71">
        <v>3.2574414180014701E-3</v>
      </c>
      <c r="AI240" s="71">
        <v>7.1091434892893738E-3</v>
      </c>
      <c r="AJ240" s="71">
        <v>8.924878270546735E-3</v>
      </c>
      <c r="AK240" s="63">
        <v>1.056038444275793E-2</v>
      </c>
    </row>
    <row r="241" spans="2:37" s="53" customFormat="1" x14ac:dyDescent="0.35">
      <c r="B241" s="55" t="s">
        <v>265</v>
      </c>
      <c r="C241" s="53" t="s">
        <v>234</v>
      </c>
      <c r="D241" s="53" t="s">
        <v>31</v>
      </c>
      <c r="E241" s="53" t="s">
        <v>21</v>
      </c>
      <c r="F241" s="73">
        <f t="shared" si="142"/>
        <v>2.4392815271166778E-2</v>
      </c>
      <c r="G241" s="60">
        <f t="shared" si="143"/>
        <v>3.1247742459198289E-2</v>
      </c>
      <c r="H241" s="60">
        <f t="shared" si="144"/>
        <v>3.6011611087649512E-2</v>
      </c>
      <c r="I241" s="60">
        <f t="shared" si="145"/>
        <v>3.8804054021645128E-2</v>
      </c>
      <c r="J241" s="63">
        <f t="shared" si="146"/>
        <v>4.1490788688654481E-2</v>
      </c>
      <c r="K241" s="60" t="str">
        <f t="shared" si="147"/>
        <v/>
      </c>
      <c r="L241" s="60">
        <f t="shared" si="148"/>
        <v>2.9721955591982892E-3</v>
      </c>
      <c r="M241" s="60">
        <f t="shared" si="149"/>
        <v>7.1080943876495233E-3</v>
      </c>
      <c r="N241" s="60">
        <f t="shared" si="150"/>
        <v>9.0662371216451293E-3</v>
      </c>
      <c r="O241" s="63">
        <f t="shared" si="151"/>
        <v>1.0420572088654484E-2</v>
      </c>
      <c r="P241" s="55" t="s">
        <v>21</v>
      </c>
      <c r="Q241" s="53" t="s">
        <v>21</v>
      </c>
      <c r="R241" s="94" t="s">
        <v>21</v>
      </c>
      <c r="S241" s="71" t="s">
        <v>21</v>
      </c>
      <c r="T241" s="63" t="str">
        <f t="shared" si="141"/>
        <v/>
      </c>
      <c r="V241" s="114">
        <v>1.1523922900000001</v>
      </c>
      <c r="W241" s="72">
        <v>2.9602826599999998</v>
      </c>
      <c r="X241" s="72">
        <v>4.60656584</v>
      </c>
      <c r="Y241" s="72">
        <v>6.0700942700000002</v>
      </c>
      <c r="Z241" s="115">
        <v>7.97339223</v>
      </c>
      <c r="AB241" s="73">
        <v>2.4392815271166778E-2</v>
      </c>
      <c r="AC241" s="71">
        <v>3.1247742459198289E-2</v>
      </c>
      <c r="AD241" s="71">
        <v>3.6011611087649512E-2</v>
      </c>
      <c r="AE241" s="71">
        <v>3.8804054021645128E-2</v>
      </c>
      <c r="AF241" s="63">
        <v>4.1490788688654481E-2</v>
      </c>
      <c r="AG241" s="71" t="s">
        <v>21</v>
      </c>
      <c r="AH241" s="71">
        <v>2.9721955591982892E-3</v>
      </c>
      <c r="AI241" s="71">
        <v>7.1080943876495233E-3</v>
      </c>
      <c r="AJ241" s="71">
        <v>9.0662371216451293E-3</v>
      </c>
      <c r="AK241" s="63">
        <v>1.0420572088654484E-2</v>
      </c>
    </row>
    <row r="242" spans="2:37" s="53" customFormat="1" x14ac:dyDescent="0.35">
      <c r="B242" s="55" t="s">
        <v>366</v>
      </c>
      <c r="C242" s="53" t="s">
        <v>234</v>
      </c>
      <c r="D242" s="53" t="s">
        <v>20</v>
      </c>
      <c r="E242" s="53" t="s">
        <v>21</v>
      </c>
      <c r="F242" s="73">
        <f t="shared" si="142"/>
        <v>2.3852281382199976E-2</v>
      </c>
      <c r="G242" s="60">
        <f t="shared" si="143"/>
        <v>3.1173699938594989E-2</v>
      </c>
      <c r="H242" s="60">
        <f t="shared" si="144"/>
        <v>3.5858102953469272E-2</v>
      </c>
      <c r="I242" s="60">
        <f t="shared" si="145"/>
        <v>3.8753796529736408E-2</v>
      </c>
      <c r="J242" s="63">
        <f t="shared" si="146"/>
        <v>4.2226397115644736E-2</v>
      </c>
      <c r="K242" s="60" t="str">
        <f t="shared" si="147"/>
        <v/>
      </c>
      <c r="L242" s="60">
        <f t="shared" si="148"/>
        <v>2.8829600385949943E-3</v>
      </c>
      <c r="M242" s="60">
        <f t="shared" si="149"/>
        <v>6.942583153469269E-3</v>
      </c>
      <c r="N242" s="60">
        <f t="shared" si="150"/>
        <v>9.0011359297364098E-3</v>
      </c>
      <c r="O242" s="63">
        <f t="shared" si="151"/>
        <v>1.1122112615644737E-2</v>
      </c>
      <c r="P242" s="55" t="s">
        <v>392</v>
      </c>
      <c r="Q242" s="53" t="s">
        <v>393</v>
      </c>
      <c r="R242" s="94">
        <v>47710</v>
      </c>
      <c r="S242" s="71">
        <v>3.6637679999999999E-2</v>
      </c>
      <c r="T242" s="63">
        <f t="shared" si="141"/>
        <v>-7.7957704653072724E-4</v>
      </c>
      <c r="V242" s="114">
        <v>1.1525241800000001</v>
      </c>
      <c r="W242" s="72">
        <v>2.9583644499999999</v>
      </c>
      <c r="X242" s="72">
        <v>4.6004383500000001</v>
      </c>
      <c r="Y242" s="72">
        <v>6.0557565200000001</v>
      </c>
      <c r="Z242" s="115">
        <v>7.9234977500000001</v>
      </c>
      <c r="AB242" s="73">
        <v>2.3852281382199976E-2</v>
      </c>
      <c r="AC242" s="71">
        <v>3.1173699938594989E-2</v>
      </c>
      <c r="AD242" s="71">
        <v>3.5858102953469272E-2</v>
      </c>
      <c r="AE242" s="71">
        <v>3.8753796529736408E-2</v>
      </c>
      <c r="AF242" s="63">
        <v>4.2226397115644736E-2</v>
      </c>
      <c r="AG242" s="71" t="s">
        <v>21</v>
      </c>
      <c r="AH242" s="71">
        <v>2.8829600385949943E-3</v>
      </c>
      <c r="AI242" s="71">
        <v>6.942583153469269E-3</v>
      </c>
      <c r="AJ242" s="71">
        <v>9.0011359297364098E-3</v>
      </c>
      <c r="AK242" s="63">
        <v>1.1122112615644737E-2</v>
      </c>
    </row>
    <row r="243" spans="2:37" s="53" customFormat="1" x14ac:dyDescent="0.35">
      <c r="B243" s="55" t="s">
        <v>160</v>
      </c>
      <c r="C243" s="53" t="s">
        <v>234</v>
      </c>
      <c r="D243" s="53" t="s">
        <v>43</v>
      </c>
      <c r="E243" s="53" t="s">
        <v>21</v>
      </c>
      <c r="F243" s="73">
        <f t="shared" si="142"/>
        <v>2.4076821165078179E-2</v>
      </c>
      <c r="G243" s="60">
        <f t="shared" si="143"/>
        <v>3.1214834049177267E-2</v>
      </c>
      <c r="H243" s="60">
        <f t="shared" si="144"/>
        <v>3.5756309565877366E-2</v>
      </c>
      <c r="I243" s="60">
        <f t="shared" si="145"/>
        <v>3.8307589892708584E-2</v>
      </c>
      <c r="J243" s="63">
        <f t="shared" si="146"/>
        <v>4.0987636654180523E-2</v>
      </c>
      <c r="K243" s="60" t="str">
        <f t="shared" si="147"/>
        <v/>
      </c>
      <c r="L243" s="60">
        <f t="shared" si="148"/>
        <v>2.939904549177265E-3</v>
      </c>
      <c r="M243" s="60">
        <f t="shared" si="149"/>
        <v>6.8605484658773664E-3</v>
      </c>
      <c r="N243" s="60">
        <f t="shared" si="150"/>
        <v>8.5850903927085914E-3</v>
      </c>
      <c r="O243" s="63">
        <f t="shared" si="151"/>
        <v>9.9285607541805196E-3</v>
      </c>
      <c r="P243" s="55" t="s">
        <v>557</v>
      </c>
      <c r="Q243" s="53" t="s">
        <v>558</v>
      </c>
      <c r="R243" s="94">
        <v>47557</v>
      </c>
      <c r="S243" s="71">
        <v>3.3188450000000001E-2</v>
      </c>
      <c r="T243" s="63">
        <f t="shared" si="141"/>
        <v>2.5678595658773645E-3</v>
      </c>
      <c r="V243" s="114">
        <v>1.15302745</v>
      </c>
      <c r="W243" s="72">
        <v>2.9616346099999999</v>
      </c>
      <c r="X243" s="72">
        <v>4.6106492599999997</v>
      </c>
      <c r="Y243" s="72">
        <v>6.0820821900000004</v>
      </c>
      <c r="Z243" s="115">
        <v>8.001178470000001</v>
      </c>
      <c r="AB243" s="73">
        <v>2.4076821165078179E-2</v>
      </c>
      <c r="AC243" s="71">
        <v>3.1214834049177267E-2</v>
      </c>
      <c r="AD243" s="71">
        <v>3.5756309565877366E-2</v>
      </c>
      <c r="AE243" s="71">
        <v>3.8307589892708584E-2</v>
      </c>
      <c r="AF243" s="63">
        <v>4.0987636654180523E-2</v>
      </c>
      <c r="AG243" s="71" t="s">
        <v>21</v>
      </c>
      <c r="AH243" s="71">
        <v>2.939904549177265E-3</v>
      </c>
      <c r="AI243" s="71">
        <v>6.8605484658773664E-3</v>
      </c>
      <c r="AJ243" s="71">
        <v>8.5850903927085914E-3</v>
      </c>
      <c r="AK243" s="63">
        <v>9.9285607541805196E-3</v>
      </c>
    </row>
    <row r="244" spans="2:37" s="53" customFormat="1" x14ac:dyDescent="0.35">
      <c r="B244" s="55" t="s">
        <v>364</v>
      </c>
      <c r="C244" s="53" t="s">
        <v>234</v>
      </c>
      <c r="D244" s="53" t="s">
        <v>20</v>
      </c>
      <c r="E244" s="53" t="s">
        <v>21</v>
      </c>
      <c r="F244" s="73">
        <f t="shared" si="142"/>
        <v>2.3851629950598304E-2</v>
      </c>
      <c r="G244" s="60">
        <f t="shared" si="143"/>
        <v>3.0736779564039349E-2</v>
      </c>
      <c r="H244" s="60">
        <f t="shared" si="144"/>
        <v>3.5699776595510671E-2</v>
      </c>
      <c r="I244" s="60">
        <f t="shared" si="145"/>
        <v>3.8461202287050432E-2</v>
      </c>
      <c r="J244" s="63">
        <f t="shared" si="146"/>
        <v>4.1529493525569207E-2</v>
      </c>
      <c r="K244" s="60" t="str">
        <f t="shared" si="147"/>
        <v/>
      </c>
      <c r="L244" s="60">
        <f t="shared" si="148"/>
        <v>2.4600725640393445E-3</v>
      </c>
      <c r="M244" s="60">
        <f t="shared" si="149"/>
        <v>6.7890905955106697E-3</v>
      </c>
      <c r="N244" s="60">
        <f t="shared" si="150"/>
        <v>8.7183342870504263E-3</v>
      </c>
      <c r="O244" s="63">
        <f t="shared" si="151"/>
        <v>1.0445580025569211E-2</v>
      </c>
      <c r="P244" s="55" t="s">
        <v>390</v>
      </c>
      <c r="Q244" s="53" t="s">
        <v>391</v>
      </c>
      <c r="R244" s="94">
        <v>47708</v>
      </c>
      <c r="S244" s="71">
        <v>3.3569589999999996E-2</v>
      </c>
      <c r="T244" s="63">
        <f t="shared" si="141"/>
        <v>2.1301865955106747E-3</v>
      </c>
      <c r="V244" s="114">
        <v>1.15252559</v>
      </c>
      <c r="W244" s="72">
        <v>2.9603405199999999</v>
      </c>
      <c r="X244" s="72">
        <v>4.60584405</v>
      </c>
      <c r="Y244" s="72">
        <v>6.0654319599999997</v>
      </c>
      <c r="Z244" s="115">
        <v>7.9516464499999993</v>
      </c>
      <c r="AB244" s="73">
        <v>2.3851629950598304E-2</v>
      </c>
      <c r="AC244" s="71">
        <v>3.0736779564039349E-2</v>
      </c>
      <c r="AD244" s="71">
        <v>3.5699776595510671E-2</v>
      </c>
      <c r="AE244" s="71">
        <v>3.8461202287050432E-2</v>
      </c>
      <c r="AF244" s="63">
        <v>4.1529493525569207E-2</v>
      </c>
      <c r="AG244" s="71" t="s">
        <v>21</v>
      </c>
      <c r="AH244" s="71">
        <v>2.4600725640393445E-3</v>
      </c>
      <c r="AI244" s="71">
        <v>6.7890905955106697E-3</v>
      </c>
      <c r="AJ244" s="71">
        <v>8.7183342870504263E-3</v>
      </c>
      <c r="AK244" s="63">
        <v>1.0445580025569211E-2</v>
      </c>
    </row>
    <row r="245" spans="2:37" s="53" customFormat="1" x14ac:dyDescent="0.35">
      <c r="B245" s="55" t="s">
        <v>362</v>
      </c>
      <c r="C245" s="53" t="s">
        <v>234</v>
      </c>
      <c r="D245" s="53" t="s">
        <v>20</v>
      </c>
      <c r="E245" s="53" t="s">
        <v>21</v>
      </c>
      <c r="F245" s="73">
        <f t="shared" si="142"/>
        <v>2.3738158537679126E-2</v>
      </c>
      <c r="G245" s="60">
        <f t="shared" si="143"/>
        <v>3.1176954092096962E-2</v>
      </c>
      <c r="H245" s="60">
        <f t="shared" si="144"/>
        <v>3.569906361798568E-2</v>
      </c>
      <c r="I245" s="60">
        <f t="shared" si="145"/>
        <v>3.8106664584867167E-2</v>
      </c>
      <c r="J245" s="63">
        <f t="shared" si="146"/>
        <v>4.0819692682417377E-2</v>
      </c>
      <c r="K245" s="60" t="str">
        <f t="shared" si="147"/>
        <v/>
      </c>
      <c r="L245" s="60">
        <f t="shared" si="148"/>
        <v>2.8857686920969552E-3</v>
      </c>
      <c r="M245" s="60">
        <f t="shared" si="149"/>
        <v>6.7883638179856796E-3</v>
      </c>
      <c r="N245" s="60">
        <f t="shared" si="150"/>
        <v>8.3750881848671643E-3</v>
      </c>
      <c r="O245" s="63">
        <f t="shared" si="151"/>
        <v>9.7552766824173798E-3</v>
      </c>
      <c r="P245" s="55" t="s">
        <v>21</v>
      </c>
      <c r="Q245" s="53" t="s">
        <v>21</v>
      </c>
      <c r="R245" s="94" t="s">
        <v>21</v>
      </c>
      <c r="S245" s="71" t="s">
        <v>21</v>
      </c>
      <c r="T245" s="63" t="str">
        <f t="shared" si="141"/>
        <v/>
      </c>
      <c r="V245" s="114">
        <v>1.15274031</v>
      </c>
      <c r="W245" s="72">
        <v>2.9583225899999999</v>
      </c>
      <c r="X245" s="72">
        <v>4.60205427</v>
      </c>
      <c r="Y245" s="72">
        <v>6.0658353300000005</v>
      </c>
      <c r="Z245" s="115">
        <v>7.9678204899999994</v>
      </c>
      <c r="AB245" s="73">
        <v>2.3738158537679126E-2</v>
      </c>
      <c r="AC245" s="71">
        <v>3.1176954092096962E-2</v>
      </c>
      <c r="AD245" s="71">
        <v>3.569906361798568E-2</v>
      </c>
      <c r="AE245" s="71">
        <v>3.8106664584867167E-2</v>
      </c>
      <c r="AF245" s="63">
        <v>4.0819692682417377E-2</v>
      </c>
      <c r="AG245" s="71" t="s">
        <v>21</v>
      </c>
      <c r="AH245" s="71">
        <v>2.8857686920969552E-3</v>
      </c>
      <c r="AI245" s="71">
        <v>6.7883638179856796E-3</v>
      </c>
      <c r="AJ245" s="71">
        <v>8.3750881848671643E-3</v>
      </c>
      <c r="AK245" s="63">
        <v>9.7552766824173798E-3</v>
      </c>
    </row>
    <row r="246" spans="2:37" s="53" customFormat="1" x14ac:dyDescent="0.35">
      <c r="B246" s="55" t="s">
        <v>363</v>
      </c>
      <c r="C246" s="53" t="s">
        <v>234</v>
      </c>
      <c r="D246" s="53" t="s">
        <v>20</v>
      </c>
      <c r="E246" s="53" t="s">
        <v>266</v>
      </c>
      <c r="F246" s="73">
        <f t="shared" si="142"/>
        <v>2.36789012981924E-2</v>
      </c>
      <c r="G246" s="60">
        <f t="shared" si="143"/>
        <v>3.099294299953264E-2</v>
      </c>
      <c r="H246" s="60">
        <f t="shared" si="144"/>
        <v>3.5666882751931556E-2</v>
      </c>
      <c r="I246" s="60">
        <f t="shared" si="145"/>
        <v>3.8560009427164997E-2</v>
      </c>
      <c r="J246" s="63">
        <f t="shared" si="146"/>
        <v>4.1863545210700598E-2</v>
      </c>
      <c r="K246" s="60" t="str">
        <f t="shared" si="147"/>
        <v/>
      </c>
      <c r="L246" s="60">
        <f t="shared" si="148"/>
        <v>2.7087234995326493E-3</v>
      </c>
      <c r="M246" s="60">
        <f t="shared" si="149"/>
        <v>6.7578883519315604E-3</v>
      </c>
      <c r="N246" s="60">
        <f t="shared" si="150"/>
        <v>8.8133929271649973E-3</v>
      </c>
      <c r="O246" s="63">
        <f t="shared" si="151"/>
        <v>1.0769603010700598E-2</v>
      </c>
      <c r="P246" s="55" t="s">
        <v>21</v>
      </c>
      <c r="Q246" s="53" t="s">
        <v>21</v>
      </c>
      <c r="R246" s="94" t="s">
        <v>21</v>
      </c>
      <c r="S246" s="71" t="s">
        <v>21</v>
      </c>
      <c r="T246" s="63" t="str">
        <f t="shared" si="141"/>
        <v/>
      </c>
      <c r="V246" s="114">
        <v>1.15283231</v>
      </c>
      <c r="W246" s="72">
        <v>2.9596583700000001</v>
      </c>
      <c r="X246" s="72">
        <v>4.6044110700000003</v>
      </c>
      <c r="Y246" s="72">
        <v>6.06477267</v>
      </c>
      <c r="Z246" s="115">
        <v>7.9431640600000009</v>
      </c>
      <c r="AB246" s="73">
        <v>2.36789012981924E-2</v>
      </c>
      <c r="AC246" s="71">
        <v>3.099294299953264E-2</v>
      </c>
      <c r="AD246" s="71">
        <v>3.5666882751931556E-2</v>
      </c>
      <c r="AE246" s="71">
        <v>3.8560009427164997E-2</v>
      </c>
      <c r="AF246" s="63">
        <v>4.1863545210700598E-2</v>
      </c>
      <c r="AG246" s="71" t="s">
        <v>21</v>
      </c>
      <c r="AH246" s="71">
        <v>2.7087234995326493E-3</v>
      </c>
      <c r="AI246" s="71">
        <v>6.7578883519315604E-3</v>
      </c>
      <c r="AJ246" s="71">
        <v>8.8133929271649973E-3</v>
      </c>
      <c r="AK246" s="63">
        <v>1.0769603010700598E-2</v>
      </c>
    </row>
    <row r="247" spans="2:37" s="53" customFormat="1" x14ac:dyDescent="0.35">
      <c r="B247" s="55" t="s">
        <v>375</v>
      </c>
      <c r="C247" s="53" t="s">
        <v>234</v>
      </c>
      <c r="D247" s="53" t="s">
        <v>20</v>
      </c>
      <c r="E247" s="53" t="s">
        <v>112</v>
      </c>
      <c r="F247" s="73">
        <f t="shared" si="142"/>
        <v>2.3666003611171018E-2</v>
      </c>
      <c r="G247" s="60">
        <f t="shared" si="143"/>
        <v>3.0604131822685631E-2</v>
      </c>
      <c r="H247" s="60">
        <f t="shared" si="144"/>
        <v>3.5636937647076115E-2</v>
      </c>
      <c r="I247" s="60">
        <f t="shared" si="145"/>
        <v>3.8283975927974376E-2</v>
      </c>
      <c r="J247" s="63">
        <f t="shared" si="146"/>
        <v>4.1243056490862809E-2</v>
      </c>
      <c r="K247" s="60" t="str">
        <f t="shared" si="147"/>
        <v/>
      </c>
      <c r="L247" s="60">
        <f t="shared" si="148"/>
        <v>2.3311929226856347E-3</v>
      </c>
      <c r="M247" s="60">
        <f t="shared" si="149"/>
        <v>6.7282820470761142E-3</v>
      </c>
      <c r="N247" s="60">
        <f t="shared" si="150"/>
        <v>8.547373927974368E-3</v>
      </c>
      <c r="O247" s="63">
        <f t="shared" si="151"/>
        <v>1.0166504690862809E-2</v>
      </c>
      <c r="P247" s="55" t="s">
        <v>398</v>
      </c>
      <c r="Q247" s="53" t="s">
        <v>399</v>
      </c>
      <c r="R247" s="94">
        <v>47825</v>
      </c>
      <c r="S247" s="71">
        <v>3.572003E-2</v>
      </c>
      <c r="T247" s="63">
        <f t="shared" si="141"/>
        <v>-8.3092352923884449E-5</v>
      </c>
      <c r="V247" s="114">
        <v>1.1528709399999999</v>
      </c>
      <c r="W247" s="72">
        <v>2.9622789300000001</v>
      </c>
      <c r="X247" s="72">
        <v>4.6076927899999998</v>
      </c>
      <c r="Y247" s="72">
        <v>6.0687032600000004</v>
      </c>
      <c r="Z247" s="115">
        <v>7.9642210500000008</v>
      </c>
      <c r="AB247" s="73">
        <v>2.3666003611171018E-2</v>
      </c>
      <c r="AC247" s="71">
        <v>3.0604131822685631E-2</v>
      </c>
      <c r="AD247" s="71">
        <v>3.5636937647076115E-2</v>
      </c>
      <c r="AE247" s="71">
        <v>3.8283975927974376E-2</v>
      </c>
      <c r="AF247" s="63">
        <v>4.1243056490862809E-2</v>
      </c>
      <c r="AG247" s="71" t="s">
        <v>21</v>
      </c>
      <c r="AH247" s="71">
        <v>2.3311929226856347E-3</v>
      </c>
      <c r="AI247" s="71">
        <v>6.7282820470761142E-3</v>
      </c>
      <c r="AJ247" s="71">
        <v>8.547373927974368E-3</v>
      </c>
      <c r="AK247" s="63">
        <v>1.0166504690862809E-2</v>
      </c>
    </row>
    <row r="248" spans="2:37" s="53" customFormat="1" x14ac:dyDescent="0.35">
      <c r="B248" s="55" t="s">
        <v>355</v>
      </c>
      <c r="C248" s="53" t="s">
        <v>234</v>
      </c>
      <c r="D248" s="53" t="s">
        <v>20</v>
      </c>
      <c r="E248" s="53" t="s">
        <v>21</v>
      </c>
      <c r="F248" s="73">
        <f t="shared" si="142"/>
        <v>2.3511217606629158E-2</v>
      </c>
      <c r="G248" s="60">
        <f t="shared" si="143"/>
        <v>3.0501256260768515E-2</v>
      </c>
      <c r="H248" s="60">
        <f t="shared" si="144"/>
        <v>3.5524203533595075E-2</v>
      </c>
      <c r="I248" s="60">
        <f t="shared" si="145"/>
        <v>3.880896855586017E-2</v>
      </c>
      <c r="J248" s="63">
        <f t="shared" si="146"/>
        <v>4.2328624492526452E-2</v>
      </c>
      <c r="K248" s="60" t="str">
        <f t="shared" si="147"/>
        <v/>
      </c>
      <c r="L248" s="60">
        <f t="shared" si="148"/>
        <v>2.2332977607685193E-3</v>
      </c>
      <c r="M248" s="60">
        <f t="shared" si="149"/>
        <v>6.6202822335950755E-3</v>
      </c>
      <c r="N248" s="60">
        <f t="shared" si="150"/>
        <v>9.0558292558601591E-3</v>
      </c>
      <c r="O248" s="63">
        <f t="shared" si="151"/>
        <v>1.1224614392526446E-2</v>
      </c>
      <c r="P248" s="55" t="s">
        <v>21</v>
      </c>
      <c r="Q248" s="53" t="s">
        <v>21</v>
      </c>
      <c r="R248" s="94" t="s">
        <v>21</v>
      </c>
      <c r="S248" s="71" t="s">
        <v>21</v>
      </c>
      <c r="T248" s="63" t="str">
        <f t="shared" si="141"/>
        <v/>
      </c>
      <c r="V248" s="114">
        <v>1.1531548300000001</v>
      </c>
      <c r="W248" s="72">
        <v>2.9635887300000001</v>
      </c>
      <c r="X248" s="72">
        <v>4.6110312999999996</v>
      </c>
      <c r="Y248" s="72">
        <v>6.0654669600000002</v>
      </c>
      <c r="Z248" s="115">
        <v>7.9294545300000001</v>
      </c>
      <c r="AB248" s="73">
        <v>2.3511217606629158E-2</v>
      </c>
      <c r="AC248" s="71">
        <v>3.0501256260768515E-2</v>
      </c>
      <c r="AD248" s="71">
        <v>3.5524203533595075E-2</v>
      </c>
      <c r="AE248" s="71">
        <v>3.880896855586017E-2</v>
      </c>
      <c r="AF248" s="63">
        <v>4.2328624492526452E-2</v>
      </c>
      <c r="AG248" s="71" t="s">
        <v>21</v>
      </c>
      <c r="AH248" s="71">
        <v>2.2332977607685193E-3</v>
      </c>
      <c r="AI248" s="71">
        <v>6.6202822335950755E-3</v>
      </c>
      <c r="AJ248" s="71">
        <v>9.0558292558601591E-3</v>
      </c>
      <c r="AK248" s="63">
        <v>1.1224614392526446E-2</v>
      </c>
    </row>
    <row r="249" spans="2:37" s="53" customFormat="1" x14ac:dyDescent="0.35">
      <c r="B249" s="55" t="s">
        <v>358</v>
      </c>
      <c r="C249" s="53" t="s">
        <v>234</v>
      </c>
      <c r="D249" s="53" t="s">
        <v>20</v>
      </c>
      <c r="E249" s="53" t="s">
        <v>21</v>
      </c>
      <c r="F249" s="73">
        <f t="shared" si="142"/>
        <v>2.3726165123559739E-2</v>
      </c>
      <c r="G249" s="60">
        <f t="shared" si="143"/>
        <v>3.0842869561973227E-2</v>
      </c>
      <c r="H249" s="60">
        <f t="shared" si="144"/>
        <v>3.5523361546159378E-2</v>
      </c>
      <c r="I249" s="60">
        <f t="shared" si="145"/>
        <v>3.8907432663004532E-2</v>
      </c>
      <c r="J249" s="63">
        <f t="shared" si="146"/>
        <v>4.2489689766645779E-2</v>
      </c>
      <c r="K249" s="60" t="str">
        <f t="shared" si="147"/>
        <v/>
      </c>
      <c r="L249" s="60">
        <f t="shared" si="148"/>
        <v>2.5625307619732314E-3</v>
      </c>
      <c r="M249" s="60">
        <f t="shared" si="149"/>
        <v>6.6183606461593728E-3</v>
      </c>
      <c r="N249" s="60">
        <f t="shared" si="150"/>
        <v>9.1488456630045289E-3</v>
      </c>
      <c r="O249" s="63">
        <f t="shared" si="151"/>
        <v>1.1379257966645781E-2</v>
      </c>
      <c r="P249" s="55" t="s">
        <v>21</v>
      </c>
      <c r="Q249" s="53" t="s">
        <v>21</v>
      </c>
      <c r="R249" s="94" t="s">
        <v>21</v>
      </c>
      <c r="S249" s="71" t="s">
        <v>21</v>
      </c>
      <c r="T249" s="63" t="str">
        <f t="shared" si="141"/>
        <v/>
      </c>
      <c r="V249" s="114">
        <v>1.15275657</v>
      </c>
      <c r="W249" s="72">
        <v>2.9608591199999998</v>
      </c>
      <c r="X249" s="72">
        <v>4.6069971499999998</v>
      </c>
      <c r="Y249" s="72">
        <v>6.06212515</v>
      </c>
      <c r="Z249" s="115">
        <v>7.9215507500000006</v>
      </c>
      <c r="AB249" s="73">
        <v>2.3726165123559739E-2</v>
      </c>
      <c r="AC249" s="71">
        <v>3.0842869561973227E-2</v>
      </c>
      <c r="AD249" s="71">
        <v>3.5523361546159378E-2</v>
      </c>
      <c r="AE249" s="71">
        <v>3.8907432663004532E-2</v>
      </c>
      <c r="AF249" s="63">
        <v>4.2489689766645779E-2</v>
      </c>
      <c r="AG249" s="71" t="s">
        <v>21</v>
      </c>
      <c r="AH249" s="71">
        <v>2.5625307619732314E-3</v>
      </c>
      <c r="AI249" s="71">
        <v>6.6183606461593728E-3</v>
      </c>
      <c r="AJ249" s="71">
        <v>9.1488456630045289E-3</v>
      </c>
      <c r="AK249" s="63">
        <v>1.1379257966645781E-2</v>
      </c>
    </row>
    <row r="250" spans="2:37" s="53" customFormat="1" x14ac:dyDescent="0.35">
      <c r="B250" s="55" t="s">
        <v>370</v>
      </c>
      <c r="C250" s="53" t="s">
        <v>234</v>
      </c>
      <c r="D250" s="53" t="s">
        <v>31</v>
      </c>
      <c r="E250" s="53" t="s">
        <v>21</v>
      </c>
      <c r="F250" s="73">
        <f t="shared" si="142"/>
        <v>2.4292412190993016E-2</v>
      </c>
      <c r="G250" s="60">
        <f t="shared" si="143"/>
        <v>3.1046517523955632E-2</v>
      </c>
      <c r="H250" s="60">
        <f t="shared" si="144"/>
        <v>3.5444182900931806E-2</v>
      </c>
      <c r="I250" s="60">
        <f t="shared" si="145"/>
        <v>3.8004096134993968E-2</v>
      </c>
      <c r="J250" s="63">
        <f t="shared" si="146"/>
        <v>4.0876745182634858E-2</v>
      </c>
      <c r="K250" s="60" t="str">
        <f t="shared" si="147"/>
        <v/>
      </c>
      <c r="L250" s="60">
        <f t="shared" si="148"/>
        <v>2.7769746239556339E-3</v>
      </c>
      <c r="M250" s="60">
        <f t="shared" si="149"/>
        <v>6.5578879009318023E-3</v>
      </c>
      <c r="N250" s="60">
        <f t="shared" si="150"/>
        <v>8.2903866349939639E-3</v>
      </c>
      <c r="O250" s="63">
        <f t="shared" si="151"/>
        <v>9.8191598826348602E-3</v>
      </c>
      <c r="P250" s="55" t="s">
        <v>21</v>
      </c>
      <c r="Q250" s="53" t="s">
        <v>21</v>
      </c>
      <c r="R250" s="94" t="s">
        <v>21</v>
      </c>
      <c r="S250" s="71" t="s">
        <v>21</v>
      </c>
      <c r="T250" s="63" t="str">
        <f t="shared" si="141"/>
        <v/>
      </c>
      <c r="V250" s="114">
        <v>1.15259489</v>
      </c>
      <c r="W250" s="72">
        <v>2.9619585800000001</v>
      </c>
      <c r="X250" s="72">
        <v>4.6147161099999998</v>
      </c>
      <c r="Y250" s="72">
        <v>6.0914053900000003</v>
      </c>
      <c r="Z250" s="115">
        <v>8.0149160100000003</v>
      </c>
      <c r="AB250" s="73">
        <v>2.4292412190993016E-2</v>
      </c>
      <c r="AC250" s="71">
        <v>3.1046517523955632E-2</v>
      </c>
      <c r="AD250" s="71">
        <v>3.5444182900931806E-2</v>
      </c>
      <c r="AE250" s="71">
        <v>3.8004096134993968E-2</v>
      </c>
      <c r="AF250" s="63">
        <v>4.0876745182634858E-2</v>
      </c>
      <c r="AG250" s="71" t="s">
        <v>21</v>
      </c>
      <c r="AH250" s="71">
        <v>2.7769746239556339E-3</v>
      </c>
      <c r="AI250" s="71">
        <v>6.5578879009318023E-3</v>
      </c>
      <c r="AJ250" s="71">
        <v>8.2903866349939639E-3</v>
      </c>
      <c r="AK250" s="63">
        <v>9.8191598826348602E-3</v>
      </c>
    </row>
    <row r="251" spans="2:37" s="53" customFormat="1" x14ac:dyDescent="0.35">
      <c r="B251" s="55" t="s">
        <v>264</v>
      </c>
      <c r="C251" s="53" t="s">
        <v>234</v>
      </c>
      <c r="D251" s="53" t="s">
        <v>97</v>
      </c>
      <c r="E251" s="53" t="s">
        <v>291</v>
      </c>
      <c r="F251" s="73">
        <f t="shared" si="142"/>
        <v>2.4133737253747112E-2</v>
      </c>
      <c r="G251" s="60">
        <f t="shared" si="143"/>
        <v>3.1156561325399151E-2</v>
      </c>
      <c r="H251" s="60">
        <f t="shared" si="144"/>
        <v>3.5344700105106305E-2</v>
      </c>
      <c r="I251" s="60">
        <f t="shared" si="145"/>
        <v>3.7906710218216427E-2</v>
      </c>
      <c r="J251" s="63">
        <f t="shared" si="146"/>
        <v>4.0483300420996564E-2</v>
      </c>
      <c r="K251" s="60" t="str">
        <f t="shared" si="147"/>
        <v/>
      </c>
      <c r="L251" s="60">
        <f t="shared" si="148"/>
        <v>2.8826955253991528E-3</v>
      </c>
      <c r="M251" s="60">
        <f t="shared" si="149"/>
        <v>6.4608639051063083E-3</v>
      </c>
      <c r="N251" s="60">
        <f t="shared" si="150"/>
        <v>8.1952428182164375E-3</v>
      </c>
      <c r="O251" s="63">
        <f t="shared" si="151"/>
        <v>9.4351709209965669E-3</v>
      </c>
      <c r="P251" s="55" t="s">
        <v>559</v>
      </c>
      <c r="Q251" s="53" t="s">
        <v>560</v>
      </c>
      <c r="R251" s="94">
        <v>47648</v>
      </c>
      <c r="S251" s="71">
        <v>3.2313109999999999E-2</v>
      </c>
      <c r="T251" s="63">
        <f t="shared" si="141"/>
        <v>3.0315901051063063E-3</v>
      </c>
      <c r="V251" s="114">
        <v>1.1529305999999999</v>
      </c>
      <c r="W251" s="72">
        <v>2.96184811</v>
      </c>
      <c r="X251" s="72">
        <v>4.6153975999999997</v>
      </c>
      <c r="Y251" s="72">
        <v>6.0938924500000002</v>
      </c>
      <c r="Z251" s="115">
        <v>8.0278695500000001</v>
      </c>
      <c r="AB251" s="73">
        <v>2.4133737253747112E-2</v>
      </c>
      <c r="AC251" s="71">
        <v>3.1156561325399151E-2</v>
      </c>
      <c r="AD251" s="71">
        <v>3.5344700105106305E-2</v>
      </c>
      <c r="AE251" s="71">
        <v>3.7906710218216427E-2</v>
      </c>
      <c r="AF251" s="63">
        <v>4.0483300420996564E-2</v>
      </c>
      <c r="AG251" s="71" t="s">
        <v>21</v>
      </c>
      <c r="AH251" s="71">
        <v>2.8826955253991528E-3</v>
      </c>
      <c r="AI251" s="71">
        <v>6.4608639051063083E-3</v>
      </c>
      <c r="AJ251" s="71">
        <v>8.1952428182164375E-3</v>
      </c>
      <c r="AK251" s="63">
        <v>9.4351709209965669E-3</v>
      </c>
    </row>
    <row r="252" spans="2:37" s="53" customFormat="1" x14ac:dyDescent="0.35">
      <c r="B252" s="55" t="s">
        <v>371</v>
      </c>
      <c r="C252" s="53" t="s">
        <v>234</v>
      </c>
      <c r="D252" s="53" t="s">
        <v>20</v>
      </c>
      <c r="E252" s="53" t="s">
        <v>21</v>
      </c>
      <c r="F252" s="73">
        <f t="shared" si="142"/>
        <v>2.3746796619166528E-2</v>
      </c>
      <c r="G252" s="60">
        <f t="shared" si="143"/>
        <v>3.0641520947953166E-2</v>
      </c>
      <c r="H252" s="60">
        <f t="shared" si="144"/>
        <v>3.4968904583838285E-2</v>
      </c>
      <c r="I252" s="60">
        <f t="shared" si="145"/>
        <v>3.7359656615868091E-2</v>
      </c>
      <c r="J252" s="63">
        <f t="shared" si="146"/>
        <v>4.0276617382641197E-2</v>
      </c>
      <c r="K252" s="60" t="str">
        <f t="shared" si="147"/>
        <v/>
      </c>
      <c r="L252" s="60">
        <f t="shared" si="148"/>
        <v>2.3682192479531684E-3</v>
      </c>
      <c r="M252" s="60">
        <f t="shared" si="149"/>
        <v>6.0813036838382826E-3</v>
      </c>
      <c r="N252" s="60">
        <f t="shared" si="150"/>
        <v>7.6501904158680955E-3</v>
      </c>
      <c r="O252" s="63">
        <f t="shared" si="151"/>
        <v>9.2213781826411961E-3</v>
      </c>
      <c r="P252" s="55" t="s">
        <v>21</v>
      </c>
      <c r="Q252" s="53" t="s">
        <v>21</v>
      </c>
      <c r="R252" s="94" t="s">
        <v>21</v>
      </c>
      <c r="S252" s="71" t="s">
        <v>21</v>
      </c>
      <c r="T252" s="63" t="str">
        <f t="shared" si="141"/>
        <v/>
      </c>
      <c r="V252" s="114">
        <v>1.1527104700000002</v>
      </c>
      <c r="W252" s="72">
        <v>2.96159624</v>
      </c>
      <c r="X252" s="72">
        <v>4.6142169900000001</v>
      </c>
      <c r="Y252" s="72">
        <v>6.0924051100000005</v>
      </c>
      <c r="Z252" s="115">
        <v>8.0177302699999995</v>
      </c>
      <c r="AB252" s="73">
        <v>2.3746796619166528E-2</v>
      </c>
      <c r="AC252" s="71">
        <v>3.0641520947953166E-2</v>
      </c>
      <c r="AD252" s="71">
        <v>3.4968904583838285E-2</v>
      </c>
      <c r="AE252" s="71">
        <v>3.7359656615868091E-2</v>
      </c>
      <c r="AF252" s="63">
        <v>4.0276617382641197E-2</v>
      </c>
      <c r="AG252" s="71" t="s">
        <v>21</v>
      </c>
      <c r="AH252" s="71">
        <v>2.3682192479531684E-3</v>
      </c>
      <c r="AI252" s="71">
        <v>6.0813036838382826E-3</v>
      </c>
      <c r="AJ252" s="71">
        <v>7.6501904158680955E-3</v>
      </c>
      <c r="AK252" s="63">
        <v>9.2213781826411961E-3</v>
      </c>
    </row>
    <row r="253" spans="2:37" s="53" customFormat="1" x14ac:dyDescent="0.35">
      <c r="B253" s="55" t="s">
        <v>148</v>
      </c>
      <c r="C253" s="53" t="s">
        <v>234</v>
      </c>
      <c r="D253" s="53" t="s">
        <v>20</v>
      </c>
      <c r="E253" s="53" t="s">
        <v>21</v>
      </c>
      <c r="F253" s="73">
        <f t="shared" si="142"/>
        <v>2.3373061372168408E-2</v>
      </c>
      <c r="G253" s="60">
        <f t="shared" si="143"/>
        <v>3.01129880913504E-2</v>
      </c>
      <c r="H253" s="60">
        <f t="shared" si="144"/>
        <v>3.4922479603842094E-2</v>
      </c>
      <c r="I253" s="60">
        <f t="shared" si="145"/>
        <v>3.8083405058952143E-2</v>
      </c>
      <c r="J253" s="63">
        <f t="shared" si="146"/>
        <v>4.1423772128620404E-2</v>
      </c>
      <c r="K253" s="60" t="str">
        <f t="shared" si="147"/>
        <v/>
      </c>
      <c r="L253" s="60">
        <f t="shared" si="148"/>
        <v>1.8556149913503965E-3</v>
      </c>
      <c r="M253" s="60">
        <f t="shared" si="149"/>
        <v>6.0361846038420961E-3</v>
      </c>
      <c r="N253" s="60">
        <f t="shared" si="150"/>
        <v>8.3523965589521413E-3</v>
      </c>
      <c r="O253" s="63">
        <f t="shared" si="151"/>
        <v>1.0343844028620409E-2</v>
      </c>
      <c r="P253" s="55" t="s">
        <v>561</v>
      </c>
      <c r="Q253" s="53" t="s">
        <v>562</v>
      </c>
      <c r="R253" s="94">
        <v>47515</v>
      </c>
      <c r="S253" s="71">
        <v>3.4927880000000001E-2</v>
      </c>
      <c r="T253" s="63">
        <f t="shared" si="141"/>
        <v>-5.4003961579077164E-6</v>
      </c>
      <c r="V253" s="114">
        <v>1.1534443700000001</v>
      </c>
      <c r="W253" s="72">
        <v>2.9665737700000001</v>
      </c>
      <c r="X253" s="72">
        <v>4.6207808000000004</v>
      </c>
      <c r="Y253" s="72">
        <v>6.0873968000000005</v>
      </c>
      <c r="Z253" s="115">
        <v>7.9768944600000005</v>
      </c>
      <c r="AB253" s="73">
        <v>2.3373061372168408E-2</v>
      </c>
      <c r="AC253" s="71">
        <v>3.01129880913504E-2</v>
      </c>
      <c r="AD253" s="71">
        <v>3.4922479603842094E-2</v>
      </c>
      <c r="AE253" s="71">
        <v>3.8083405058952143E-2</v>
      </c>
      <c r="AF253" s="63">
        <v>4.1423772128620404E-2</v>
      </c>
      <c r="AG253" s="71" t="s">
        <v>21</v>
      </c>
      <c r="AH253" s="71">
        <v>1.8556149913503965E-3</v>
      </c>
      <c r="AI253" s="71">
        <v>6.0361846038420961E-3</v>
      </c>
      <c r="AJ253" s="71">
        <v>8.3523965589521413E-3</v>
      </c>
      <c r="AK253" s="63">
        <v>1.0343844028620409E-2</v>
      </c>
    </row>
    <row r="254" spans="2:37" x14ac:dyDescent="0.35">
      <c r="B254" s="55" t="s">
        <v>369</v>
      </c>
      <c r="C254" s="53" t="s">
        <v>234</v>
      </c>
      <c r="D254" s="53" t="s">
        <v>20</v>
      </c>
      <c r="E254" s="53" t="s">
        <v>258</v>
      </c>
      <c r="F254" s="73">
        <f t="shared" si="110"/>
        <v>2.3356176770692925E-2</v>
      </c>
      <c r="G254" s="60">
        <f t="shared" si="111"/>
        <v>3.0366060356706998E-2</v>
      </c>
      <c r="H254" s="60">
        <f t="shared" si="112"/>
        <v>3.4838810224103713E-2</v>
      </c>
      <c r="I254" s="60">
        <f t="shared" si="113"/>
        <v>3.7911925381280201E-2</v>
      </c>
      <c r="J254" s="63">
        <f t="shared" si="114"/>
        <v>4.0609427929121568E-2</v>
      </c>
      <c r="K254" s="60" t="str">
        <f t="shared" si="115"/>
        <v/>
      </c>
      <c r="L254" s="60">
        <f t="shared" si="116"/>
        <v>2.1006270567069975E-3</v>
      </c>
      <c r="M254" s="60">
        <f t="shared" si="117"/>
        <v>5.9549036241037167E-3</v>
      </c>
      <c r="N254" s="60">
        <f t="shared" si="118"/>
        <v>8.1852513812801977E-3</v>
      </c>
      <c r="O254" s="63">
        <f t="shared" si="119"/>
        <v>9.5491897291215735E-3</v>
      </c>
      <c r="P254" s="55" t="s">
        <v>21</v>
      </c>
      <c r="Q254" s="53" t="s">
        <v>21</v>
      </c>
      <c r="R254" s="94" t="s">
        <v>21</v>
      </c>
      <c r="S254" s="71" t="s">
        <v>21</v>
      </c>
      <c r="T254" s="63" t="str">
        <f t="shared" si="98"/>
        <v/>
      </c>
      <c r="V254" s="114">
        <v>1.15348965</v>
      </c>
      <c r="W254" s="72">
        <v>2.9649268900000001</v>
      </c>
      <c r="X254" s="72">
        <v>4.6190009600000002</v>
      </c>
      <c r="Y254" s="72">
        <v>6.0897188299999998</v>
      </c>
      <c r="Z254" s="115">
        <v>8.0037567899999988</v>
      </c>
      <c r="AB254" s="73">
        <v>2.3356176770692925E-2</v>
      </c>
      <c r="AC254" s="71">
        <v>3.0366060356706998E-2</v>
      </c>
      <c r="AD254" s="71">
        <v>3.4838810224103713E-2</v>
      </c>
      <c r="AE254" s="71">
        <v>3.7911925381280201E-2</v>
      </c>
      <c r="AF254" s="63">
        <v>4.0609427929121568E-2</v>
      </c>
      <c r="AG254" s="71" t="s">
        <v>21</v>
      </c>
      <c r="AH254" s="71">
        <v>2.1006270567069975E-3</v>
      </c>
      <c r="AI254" s="71">
        <v>5.9549036241037167E-3</v>
      </c>
      <c r="AJ254" s="71">
        <v>8.1852513812801977E-3</v>
      </c>
      <c r="AK254" s="63">
        <v>9.5491897291215735E-3</v>
      </c>
    </row>
    <row r="255" spans="2:37" x14ac:dyDescent="0.35">
      <c r="B255" s="55" t="s">
        <v>368</v>
      </c>
      <c r="C255" s="53" t="s">
        <v>234</v>
      </c>
      <c r="D255" s="53" t="s">
        <v>20</v>
      </c>
      <c r="E255" s="53" t="s">
        <v>294</v>
      </c>
      <c r="F255" s="73">
        <f t="shared" si="110"/>
        <v>2.3398414738433959E-2</v>
      </c>
      <c r="G255" s="60">
        <f t="shared" si="111"/>
        <v>3.031821089271048E-2</v>
      </c>
      <c r="H255" s="60">
        <f t="shared" si="112"/>
        <v>3.4738248267278449E-2</v>
      </c>
      <c r="I255" s="60">
        <f t="shared" si="113"/>
        <v>3.7692303260672466E-2</v>
      </c>
      <c r="J255" s="63">
        <f t="shared" si="114"/>
        <v>4.081137411667831E-2</v>
      </c>
      <c r="K255" s="60" t="str">
        <f t="shared" si="115"/>
        <v/>
      </c>
      <c r="L255" s="60">
        <f t="shared" si="116"/>
        <v>2.0539331927104864E-3</v>
      </c>
      <c r="M255" s="60">
        <f t="shared" si="117"/>
        <v>5.856913367278449E-3</v>
      </c>
      <c r="N255" s="60">
        <f t="shared" si="118"/>
        <v>7.972623660672468E-3</v>
      </c>
      <c r="O255" s="63">
        <f t="shared" si="119"/>
        <v>9.7496102166783095E-3</v>
      </c>
      <c r="P255" s="55" t="s">
        <v>21</v>
      </c>
      <c r="Q255" s="53" t="s">
        <v>21</v>
      </c>
      <c r="R255" s="94" t="s">
        <v>21</v>
      </c>
      <c r="S255" s="71" t="s">
        <v>21</v>
      </c>
      <c r="T255" s="63" t="str">
        <f t="shared" si="98"/>
        <v/>
      </c>
      <c r="V255" s="114">
        <v>1.15340854</v>
      </c>
      <c r="W255" s="72">
        <v>2.96516322</v>
      </c>
      <c r="X255" s="72">
        <v>4.6213974200000001</v>
      </c>
      <c r="Y255" s="72">
        <v>6.0940973899999999</v>
      </c>
      <c r="Z255" s="115">
        <v>7.9940467400000008</v>
      </c>
      <c r="AB255" s="73">
        <v>2.3398414738433959E-2</v>
      </c>
      <c r="AC255" s="71">
        <v>3.031821089271048E-2</v>
      </c>
      <c r="AD255" s="71">
        <v>3.4738248267278449E-2</v>
      </c>
      <c r="AE255" s="71">
        <v>3.7692303260672466E-2</v>
      </c>
      <c r="AF255" s="63">
        <v>4.081137411667831E-2</v>
      </c>
      <c r="AG255" s="71" t="s">
        <v>21</v>
      </c>
      <c r="AH255" s="71">
        <v>2.0539331927104864E-3</v>
      </c>
      <c r="AI255" s="71">
        <v>5.856913367278449E-3</v>
      </c>
      <c r="AJ255" s="71">
        <v>7.972623660672468E-3</v>
      </c>
      <c r="AK255" s="63">
        <v>9.7496102166783095E-3</v>
      </c>
    </row>
    <row r="256" spans="2:37" x14ac:dyDescent="0.35">
      <c r="B256" s="55" t="s">
        <v>373</v>
      </c>
      <c r="C256" s="53" t="s">
        <v>234</v>
      </c>
      <c r="D256" s="53" t="s">
        <v>20</v>
      </c>
      <c r="E256" s="53" t="s">
        <v>21</v>
      </c>
      <c r="F256" s="73">
        <f t="shared" si="110"/>
        <v>2.3529383449985741E-2</v>
      </c>
      <c r="G256" s="60">
        <f t="shared" si="111"/>
        <v>3.0341900943928145E-2</v>
      </c>
      <c r="H256" s="60">
        <f t="shared" si="112"/>
        <v>3.4446093418967427E-2</v>
      </c>
      <c r="I256" s="60">
        <f t="shared" si="113"/>
        <v>3.6798437279522249E-2</v>
      </c>
      <c r="J256" s="63">
        <f t="shared" si="114"/>
        <v>3.935824004163499E-2</v>
      </c>
      <c r="K256" s="60" t="str">
        <f t="shared" si="115"/>
        <v/>
      </c>
      <c r="L256" s="60">
        <f t="shared" si="116"/>
        <v>2.0781818439281523E-3</v>
      </c>
      <c r="M256" s="60">
        <f t="shared" si="117"/>
        <v>5.5742890189674306E-3</v>
      </c>
      <c r="N256" s="60">
        <f t="shared" si="118"/>
        <v>7.104848479522253E-3</v>
      </c>
      <c r="O256" s="63">
        <f t="shared" si="119"/>
        <v>8.3241670416349927E-3</v>
      </c>
      <c r="P256" s="55" t="s">
        <v>21</v>
      </c>
      <c r="Q256" s="53" t="s">
        <v>21</v>
      </c>
      <c r="R256" s="94" t="s">
        <v>21</v>
      </c>
      <c r="S256" s="71" t="s">
        <v>21</v>
      </c>
      <c r="T256" s="63" t="str">
        <f t="shared" si="98"/>
        <v/>
      </c>
      <c r="V256" s="114">
        <v>1.1531235500000001</v>
      </c>
      <c r="W256" s="72">
        <v>2.96416258</v>
      </c>
      <c r="X256" s="72">
        <v>4.6226725399999999</v>
      </c>
      <c r="Y256" s="72">
        <v>6.1111435300000005</v>
      </c>
      <c r="Z256" s="115">
        <v>8.0629374000000009</v>
      </c>
      <c r="AB256" s="73">
        <v>2.3529383449985741E-2</v>
      </c>
      <c r="AC256" s="71">
        <v>3.0341900943928145E-2</v>
      </c>
      <c r="AD256" s="71">
        <v>3.4446093418967427E-2</v>
      </c>
      <c r="AE256" s="71">
        <v>3.6798437279522249E-2</v>
      </c>
      <c r="AF256" s="63">
        <v>3.935824004163499E-2</v>
      </c>
      <c r="AG256" s="71" t="s">
        <v>21</v>
      </c>
      <c r="AH256" s="71">
        <v>2.0781818439281523E-3</v>
      </c>
      <c r="AI256" s="71">
        <v>5.5742890189674306E-3</v>
      </c>
      <c r="AJ256" s="71">
        <v>7.104848479522253E-3</v>
      </c>
      <c r="AK256" s="63">
        <v>8.3241670416349927E-3</v>
      </c>
    </row>
    <row r="257" spans="2:37" s="53" customFormat="1" x14ac:dyDescent="0.35">
      <c r="B257" s="55" t="s">
        <v>268</v>
      </c>
      <c r="C257" s="53" t="s">
        <v>234</v>
      </c>
      <c r="D257" s="53" t="s">
        <v>20</v>
      </c>
      <c r="E257" s="53" t="s">
        <v>318</v>
      </c>
      <c r="F257" s="73">
        <f t="shared" ref="F257" si="152">IF(ISNUMBER(AB257),AB257-((C$4-C$3)/V257),"")</f>
        <v>2.3856574713640576E-2</v>
      </c>
      <c r="G257" s="60">
        <f t="shared" ref="G257" si="153">IF(ISNUMBER(AC257),AC257-((D$4-D$3)/W257),"")</f>
        <v>3.0475901467430965E-2</v>
      </c>
      <c r="H257" s="60">
        <f t="shared" ref="H257" si="154">IF(ISNUMBER(AD257),AD257-((E$4-E$3)/X257),"")</f>
        <v>3.4442316994763841E-2</v>
      </c>
      <c r="I257" s="60">
        <f t="shared" ref="I257" si="155">IF(ISNUMBER(AE257),AE257-((F$4-F$3)/Y257),"")</f>
        <v>3.6774544421585398E-2</v>
      </c>
      <c r="J257" s="63">
        <f t="shared" ref="J257" si="156">IF(ISNUMBER(AF257),AF257-((G$4-G$3)/Z257),"")</f>
        <v>3.9332801657396332E-2</v>
      </c>
      <c r="K257" s="60" t="str">
        <f t="shared" ref="K257" si="157">IF(ISNUMBER(AG257),IF(AG257-((C$4-C$3)/V257)&lt;0,"",AG257-((C$4-C$3)/V257)),"")</f>
        <v/>
      </c>
      <c r="L257" s="60">
        <f t="shared" ref="L257" si="158">IF(ISNUMBER(AH257),IF(AH257-((D$4-D$3)/W257)&lt;0,"",AH257-((D$4-D$3)/W257)),"")</f>
        <v>2.2062706674309705E-3</v>
      </c>
      <c r="M257" s="60">
        <f t="shared" ref="M257" si="159">IF(ISNUMBER(AI257),IF(AI257-((E$4-E$3)/X257)&lt;0,"",AI257-((E$4-E$3)/X257)),"")</f>
        <v>5.5691709947638416E-3</v>
      </c>
      <c r="N257" s="60">
        <f t="shared" ref="N257" si="160">IF(ISNUMBER(AJ257),IF(AJ257-((F$4-F$3)/Y257)&lt;0,"",AJ257-((F$4-F$3)/Y257)),"")</f>
        <v>7.080543421585395E-3</v>
      </c>
      <c r="O257" s="63">
        <f t="shared" ref="O257" si="161">IF(ISNUMBER(AK257),IF(AK257-((G$4-G$3)/Z257)&lt;0,"",AK257-((G$4-G$3)/Z257)),"")</f>
        <v>8.2978881573963353E-3</v>
      </c>
      <c r="P257" s="55" t="s">
        <v>563</v>
      </c>
      <c r="Q257" s="53" t="s">
        <v>564</v>
      </c>
      <c r="R257" s="94" t="s">
        <v>32</v>
      </c>
      <c r="S257" s="71">
        <v>3.2188250000000002E-2</v>
      </c>
      <c r="T257" s="63">
        <f t="shared" ref="T257" si="162">IF(S257="","",H257-S257)</f>
        <v>2.2540669947638398E-3</v>
      </c>
      <c r="V257" s="114">
        <v>1.15251145</v>
      </c>
      <c r="W257" s="72">
        <v>2.9623955399999997</v>
      </c>
      <c r="X257" s="72">
        <v>4.6214216400000003</v>
      </c>
      <c r="Y257" s="72">
        <v>6.1096427499999999</v>
      </c>
      <c r="Z257" s="115">
        <v>8.0625628000000003</v>
      </c>
      <c r="AB257" s="73">
        <v>2.3856574713640576E-2</v>
      </c>
      <c r="AC257" s="71">
        <v>3.0475901467430965E-2</v>
      </c>
      <c r="AD257" s="71">
        <v>3.4442316994763841E-2</v>
      </c>
      <c r="AE257" s="71">
        <v>3.6774544421585398E-2</v>
      </c>
      <c r="AF257" s="63">
        <v>3.9332801657396332E-2</v>
      </c>
      <c r="AG257" s="71" t="s">
        <v>21</v>
      </c>
      <c r="AH257" s="71">
        <v>2.2062706674309705E-3</v>
      </c>
      <c r="AI257" s="71">
        <v>5.5691709947638416E-3</v>
      </c>
      <c r="AJ257" s="71">
        <v>7.080543421585395E-3</v>
      </c>
      <c r="AK257" s="63">
        <v>8.2978881573963353E-3</v>
      </c>
    </row>
    <row r="258" spans="2:37" x14ac:dyDescent="0.35">
      <c r="B258" s="55" t="s">
        <v>374</v>
      </c>
      <c r="C258" s="53" t="s">
        <v>234</v>
      </c>
      <c r="D258" s="53" t="s">
        <v>20</v>
      </c>
      <c r="E258" s="53" t="s">
        <v>266</v>
      </c>
      <c r="F258" s="74">
        <f t="shared" si="110"/>
        <v>2.3371960552880652E-2</v>
      </c>
      <c r="G258" s="76">
        <f t="shared" si="111"/>
        <v>3.0316618475870482E-2</v>
      </c>
      <c r="H258" s="76">
        <f t="shared" si="112"/>
        <v>3.4332292755745411E-2</v>
      </c>
      <c r="I258" s="76">
        <f t="shared" si="113"/>
        <v>3.663399052489584E-2</v>
      </c>
      <c r="J258" s="64">
        <f t="shared" si="114"/>
        <v>3.9328346904332415E-2</v>
      </c>
      <c r="K258" s="76" t="str">
        <f t="shared" si="115"/>
        <v/>
      </c>
      <c r="L258" s="76">
        <f t="shared" si="116"/>
        <v>2.0525511758704854E-3</v>
      </c>
      <c r="M258" s="76">
        <f t="shared" si="117"/>
        <v>5.463088455745415E-3</v>
      </c>
      <c r="N258" s="76">
        <f t="shared" si="118"/>
        <v>6.9446952248958475E-3</v>
      </c>
      <c r="O258" s="64">
        <f t="shared" si="119"/>
        <v>8.2989842043324127E-3</v>
      </c>
      <c r="P258" s="55" t="s">
        <v>396</v>
      </c>
      <c r="Q258" s="53" t="s">
        <v>397</v>
      </c>
      <c r="R258" s="94">
        <v>47515</v>
      </c>
      <c r="S258" s="71">
        <v>3.4841950000000003E-2</v>
      </c>
      <c r="T258" s="63">
        <f t="shared" si="98"/>
        <v>-5.0965724425459241E-4</v>
      </c>
      <c r="V258" s="114">
        <v>1.1534627800000001</v>
      </c>
      <c r="W258" s="72">
        <v>2.9649823099999999</v>
      </c>
      <c r="X258" s="72">
        <v>4.62476267</v>
      </c>
      <c r="Y258" s="72">
        <v>6.1152438699999996</v>
      </c>
      <c r="Z258" s="115">
        <v>8.0586085099999991</v>
      </c>
      <c r="AB258" s="73">
        <v>2.3371960552880652E-2</v>
      </c>
      <c r="AC258" s="71">
        <v>3.0316618475870482E-2</v>
      </c>
      <c r="AD258" s="71">
        <v>3.4332292755745411E-2</v>
      </c>
      <c r="AE258" s="71">
        <v>3.663399052489584E-2</v>
      </c>
      <c r="AF258" s="63">
        <v>3.9328346904332415E-2</v>
      </c>
      <c r="AG258" s="71" t="s">
        <v>21</v>
      </c>
      <c r="AH258" s="71">
        <v>2.0525511758704854E-3</v>
      </c>
      <c r="AI258" s="71">
        <v>5.463088455745415E-3</v>
      </c>
      <c r="AJ258" s="71">
        <v>6.9446952248958475E-3</v>
      </c>
      <c r="AK258" s="63">
        <v>8.2989842043324127E-3</v>
      </c>
    </row>
    <row r="259" spans="2:37" x14ac:dyDescent="0.35">
      <c r="B259" s="79" t="s">
        <v>162</v>
      </c>
      <c r="C259" s="136"/>
      <c r="D259" s="78"/>
      <c r="E259" s="78"/>
      <c r="F259" s="78" t="str">
        <f t="shared" si="110"/>
        <v/>
      </c>
      <c r="G259" s="78" t="str">
        <f>IF(ISNUMBER(AC259),AC259-((D$4-D$3)/W259),"")</f>
        <v/>
      </c>
      <c r="H259" s="78" t="str">
        <f t="shared" si="112"/>
        <v/>
      </c>
      <c r="I259" s="78" t="str">
        <f t="shared" si="113"/>
        <v/>
      </c>
      <c r="J259" s="78" t="str">
        <f t="shared" si="114"/>
        <v/>
      </c>
      <c r="K259" s="78" t="str">
        <f t="shared" si="115"/>
        <v/>
      </c>
      <c r="L259" s="78" t="str">
        <f t="shared" si="116"/>
        <v/>
      </c>
      <c r="M259" s="78" t="str">
        <f t="shared" si="117"/>
        <v/>
      </c>
      <c r="N259" s="78" t="str">
        <f t="shared" si="118"/>
        <v/>
      </c>
      <c r="O259" s="77" t="str">
        <f t="shared" si="119"/>
        <v/>
      </c>
      <c r="P259" s="79"/>
      <c r="Q259" s="78"/>
      <c r="R259" s="95"/>
      <c r="S259" s="78"/>
      <c r="T259" s="77" t="str">
        <f t="shared" si="98"/>
        <v/>
      </c>
      <c r="V259" s="120"/>
      <c r="W259" s="109"/>
      <c r="X259" s="109"/>
      <c r="Y259" s="109"/>
      <c r="Z259" s="121"/>
      <c r="AB259" s="78"/>
      <c r="AC259" s="78"/>
      <c r="AD259" s="78"/>
      <c r="AE259" s="78"/>
      <c r="AF259" s="78"/>
      <c r="AG259" s="78"/>
      <c r="AH259" s="78"/>
      <c r="AI259" s="78"/>
      <c r="AJ259" s="78"/>
      <c r="AK259" s="77"/>
    </row>
    <row r="260" spans="2:37" x14ac:dyDescent="0.35">
      <c r="B260" s="56" t="s">
        <v>164</v>
      </c>
      <c r="C260" s="53" t="s">
        <v>234</v>
      </c>
      <c r="D260" s="66" t="s">
        <v>20</v>
      </c>
      <c r="E260" s="66" t="s">
        <v>292</v>
      </c>
      <c r="F260" s="73">
        <f t="shared" si="110"/>
        <v>3.3537735833924193E-2</v>
      </c>
      <c r="G260" s="60">
        <f t="shared" si="111"/>
        <v>5.5531547192670005E-2</v>
      </c>
      <c r="H260" s="60">
        <f t="shared" si="112"/>
        <v>7.4780379618200235E-2</v>
      </c>
      <c r="I260" s="60">
        <f t="shared" si="113"/>
        <v>8.4454018367711298E-2</v>
      </c>
      <c r="J260" s="63">
        <f t="shared" si="114"/>
        <v>8.8159547358758736E-2</v>
      </c>
      <c r="K260" s="60">
        <f t="shared" si="115"/>
        <v>5.7825085339241883E-3</v>
      </c>
      <c r="L260" s="60">
        <f t="shared" si="116"/>
        <v>2.5958971392670008E-2</v>
      </c>
      <c r="M260" s="60">
        <f t="shared" si="117"/>
        <v>4.3386488218200243E-2</v>
      </c>
      <c r="N260" s="60">
        <f t="shared" si="118"/>
        <v>5.1539461667711298E-2</v>
      </c>
      <c r="O260" s="63">
        <f t="shared" si="119"/>
        <v>5.4041761758758744E-2</v>
      </c>
      <c r="P260" s="56" t="s">
        <v>21</v>
      </c>
      <c r="Q260" s="66" t="s">
        <v>21</v>
      </c>
      <c r="R260" s="100" t="s">
        <v>21</v>
      </c>
      <c r="S260" s="80" t="s">
        <v>21</v>
      </c>
      <c r="T260" s="63" t="str">
        <f t="shared" si="98"/>
        <v/>
      </c>
      <c r="V260" s="118">
        <v>1.1296812700000001</v>
      </c>
      <c r="W260" s="61">
        <v>2.7644474799999998</v>
      </c>
      <c r="X260" s="61">
        <v>3.9897761300000001</v>
      </c>
      <c r="Y260" s="61">
        <v>4.8258179999999999</v>
      </c>
      <c r="Z260" s="119">
        <v>5.69278583</v>
      </c>
      <c r="AB260" s="75">
        <v>3.3537735833924193E-2</v>
      </c>
      <c r="AC260" s="80">
        <v>5.5531547192670005E-2</v>
      </c>
      <c r="AD260" s="80">
        <v>7.4780379618200235E-2</v>
      </c>
      <c r="AE260" s="80">
        <v>8.4454018367711298E-2</v>
      </c>
      <c r="AF260" s="62">
        <v>8.8159547358758736E-2</v>
      </c>
      <c r="AG260" s="80">
        <v>5.7825085339241883E-3</v>
      </c>
      <c r="AH260" s="80">
        <v>2.5958971392670008E-2</v>
      </c>
      <c r="AI260" s="80">
        <v>4.3386488218200243E-2</v>
      </c>
      <c r="AJ260" s="80">
        <v>5.1539461667711298E-2</v>
      </c>
      <c r="AK260" s="62">
        <v>5.4041761758758744E-2</v>
      </c>
    </row>
    <row r="261" spans="2:37" x14ac:dyDescent="0.35">
      <c r="B261" s="55" t="s">
        <v>167</v>
      </c>
      <c r="C261" s="53" t="s">
        <v>234</v>
      </c>
      <c r="D261" s="53" t="s">
        <v>97</v>
      </c>
      <c r="E261" s="53" t="s">
        <v>236</v>
      </c>
      <c r="F261" s="73">
        <f t="shared" si="110"/>
        <v>2.8947540841876007E-2</v>
      </c>
      <c r="G261" s="60">
        <f t="shared" si="111"/>
        <v>4.652245394692716E-2</v>
      </c>
      <c r="H261" s="60">
        <f t="shared" si="112"/>
        <v>6.0653580925282259E-2</v>
      </c>
      <c r="I261" s="60">
        <f t="shared" si="113"/>
        <v>6.563123762144249E-2</v>
      </c>
      <c r="J261" s="63">
        <f t="shared" si="114"/>
        <v>7.0300015044986605E-2</v>
      </c>
      <c r="K261" s="60">
        <f t="shared" si="115"/>
        <v>1.5065807418759986E-3</v>
      </c>
      <c r="L261" s="60">
        <f t="shared" si="116"/>
        <v>1.7589143846927162E-2</v>
      </c>
      <c r="M261" s="60">
        <f t="shared" si="117"/>
        <v>3.0472512025282263E-2</v>
      </c>
      <c r="N261" s="60">
        <f t="shared" si="118"/>
        <v>3.4445067921442488E-2</v>
      </c>
      <c r="O261" s="63">
        <f t="shared" si="119"/>
        <v>3.7778596744986612E-2</v>
      </c>
      <c r="P261" s="55" t="s">
        <v>21</v>
      </c>
      <c r="Q261" s="53" t="s">
        <v>21</v>
      </c>
      <c r="R261" s="94" t="s">
        <v>21</v>
      </c>
      <c r="S261" s="71" t="s">
        <v>21</v>
      </c>
      <c r="T261" s="63" t="str">
        <f t="shared" si="98"/>
        <v/>
      </c>
      <c r="V261" s="114">
        <v>1.1420705200000001</v>
      </c>
      <c r="W261" s="72">
        <v>2.8430710800000001</v>
      </c>
      <c r="X261" s="72">
        <v>4.2103724299999996</v>
      </c>
      <c r="Y261" s="72">
        <v>5.2762759199999998</v>
      </c>
      <c r="Z261" s="115">
        <v>6.4744093300000003</v>
      </c>
      <c r="AB261" s="73">
        <v>2.8947540841876007E-2</v>
      </c>
      <c r="AC261" s="71">
        <v>4.652245394692716E-2</v>
      </c>
      <c r="AD261" s="71">
        <v>6.0653580925282259E-2</v>
      </c>
      <c r="AE261" s="71">
        <v>6.563123762144249E-2</v>
      </c>
      <c r="AF261" s="63">
        <v>7.0300015044986605E-2</v>
      </c>
      <c r="AG261" s="71">
        <v>1.5065807418759986E-3</v>
      </c>
      <c r="AH261" s="71">
        <v>1.7589143846927162E-2</v>
      </c>
      <c r="AI261" s="71">
        <v>3.0472512025282263E-2</v>
      </c>
      <c r="AJ261" s="71">
        <v>3.4445067921442488E-2</v>
      </c>
      <c r="AK261" s="63">
        <v>3.7778596744986612E-2</v>
      </c>
    </row>
    <row r="262" spans="2:37" x14ac:dyDescent="0.35">
      <c r="B262" s="55" t="s">
        <v>235</v>
      </c>
      <c r="C262" s="53" t="s">
        <v>234</v>
      </c>
      <c r="D262" s="53" t="s">
        <v>43</v>
      </c>
      <c r="E262" s="53" t="s">
        <v>565</v>
      </c>
      <c r="F262" s="73">
        <f t="shared" si="110"/>
        <v>2.8238087312048792E-2</v>
      </c>
      <c r="G262" s="60">
        <f t="shared" si="111"/>
        <v>4.2400203616291127E-2</v>
      </c>
      <c r="H262" s="60">
        <f t="shared" si="112"/>
        <v>5.600366872972163E-2</v>
      </c>
      <c r="I262" s="60">
        <f t="shared" si="113"/>
        <v>6.3012786224697179E-2</v>
      </c>
      <c r="J262" s="63">
        <f t="shared" si="114"/>
        <v>6.7925666549634736E-2</v>
      </c>
      <c r="K262" s="60">
        <f t="shared" si="115"/>
        <v>8.0947951204879062E-4</v>
      </c>
      <c r="L262" s="60">
        <f t="shared" si="116"/>
        <v>1.3675234616291134E-2</v>
      </c>
      <c r="M262" s="60">
        <f t="shared" si="117"/>
        <v>2.6123623529721626E-2</v>
      </c>
      <c r="N262" s="60">
        <f t="shared" si="118"/>
        <v>3.2002521124697196E-2</v>
      </c>
      <c r="O262" s="63">
        <f t="shared" si="119"/>
        <v>3.5572136349634728E-2</v>
      </c>
      <c r="P262" s="55" t="s">
        <v>21</v>
      </c>
      <c r="Q262" s="53" t="s">
        <v>21</v>
      </c>
      <c r="R262" s="94" t="s">
        <v>21</v>
      </c>
      <c r="S262" s="71" t="s">
        <v>21</v>
      </c>
      <c r="T262" s="63" t="str">
        <f t="shared" si="98"/>
        <v/>
      </c>
      <c r="V262" s="114">
        <v>1.1441172499999999</v>
      </c>
      <c r="W262" s="72">
        <v>2.8774097799999998</v>
      </c>
      <c r="X262" s="72">
        <v>4.2948228900000007</v>
      </c>
      <c r="Y262" s="72">
        <v>5.3953675200000006</v>
      </c>
      <c r="Z262" s="115">
        <v>6.6295287499999995</v>
      </c>
      <c r="AB262" s="73">
        <v>2.8238087312048792E-2</v>
      </c>
      <c r="AC262" s="71">
        <v>4.2400203616291127E-2</v>
      </c>
      <c r="AD262" s="71">
        <v>5.600366872972163E-2</v>
      </c>
      <c r="AE262" s="71">
        <v>6.3012786224697179E-2</v>
      </c>
      <c r="AF262" s="63">
        <v>6.7925666549634736E-2</v>
      </c>
      <c r="AG262" s="71">
        <v>8.0947951204879062E-4</v>
      </c>
      <c r="AH262" s="71">
        <v>1.3675234616291134E-2</v>
      </c>
      <c r="AI262" s="71">
        <v>2.6123623529721626E-2</v>
      </c>
      <c r="AJ262" s="71">
        <v>3.2002521124697196E-2</v>
      </c>
      <c r="AK262" s="63">
        <v>3.5572136349634728E-2</v>
      </c>
    </row>
    <row r="263" spans="2:37" x14ac:dyDescent="0.35">
      <c r="B263" s="55" t="s">
        <v>163</v>
      </c>
      <c r="C263" s="53" t="s">
        <v>234</v>
      </c>
      <c r="D263" s="53" t="s">
        <v>97</v>
      </c>
      <c r="E263" s="53" t="s">
        <v>116</v>
      </c>
      <c r="F263" s="73">
        <f t="shared" si="110"/>
        <v>2.7017875185795001E-2</v>
      </c>
      <c r="G263" s="60">
        <f t="shared" si="111"/>
        <v>3.98618757039228E-2</v>
      </c>
      <c r="H263" s="60">
        <f t="shared" si="112"/>
        <v>4.9946820089027968E-2</v>
      </c>
      <c r="I263" s="60">
        <f t="shared" si="113"/>
        <v>5.5762397957208429E-2</v>
      </c>
      <c r="J263" s="63">
        <f t="shared" si="114"/>
        <v>6.074056532961386E-2</v>
      </c>
      <c r="K263" s="60" t="str">
        <f t="shared" si="115"/>
        <v/>
      </c>
      <c r="L263" s="60">
        <f t="shared" si="116"/>
        <v>1.1256609703922799E-2</v>
      </c>
      <c r="M263" s="60">
        <f t="shared" si="117"/>
        <v>2.0430636689027976E-2</v>
      </c>
      <c r="N263" s="60">
        <f t="shared" si="118"/>
        <v>2.5230313357208427E-2</v>
      </c>
      <c r="O263" s="63">
        <f t="shared" si="119"/>
        <v>2.8846409729613859E-2</v>
      </c>
      <c r="P263" s="55" t="s">
        <v>566</v>
      </c>
      <c r="Q263" s="53" t="s">
        <v>567</v>
      </c>
      <c r="R263" s="94">
        <v>47542</v>
      </c>
      <c r="S263" s="71">
        <v>3.8895260000000001E-2</v>
      </c>
      <c r="T263" s="63">
        <f t="shared" si="98"/>
        <v>1.1051560089027967E-2</v>
      </c>
      <c r="V263" s="114">
        <v>1.14725762</v>
      </c>
      <c r="W263" s="72">
        <v>2.8919737200000002</v>
      </c>
      <c r="X263" s="72">
        <v>4.3768632100000007</v>
      </c>
      <c r="Y263" s="72">
        <v>5.5817391199999999</v>
      </c>
      <c r="Z263" s="115">
        <v>6.9777723200000006</v>
      </c>
      <c r="AB263" s="73">
        <v>2.7017875185795001E-2</v>
      </c>
      <c r="AC263" s="71">
        <v>3.98618757039228E-2</v>
      </c>
      <c r="AD263" s="71">
        <v>4.9946820089027968E-2</v>
      </c>
      <c r="AE263" s="71">
        <v>5.5762397957208429E-2</v>
      </c>
      <c r="AF263" s="63">
        <v>6.074056532961386E-2</v>
      </c>
      <c r="AG263" s="71" t="s">
        <v>21</v>
      </c>
      <c r="AH263" s="71">
        <v>1.1256609703922799E-2</v>
      </c>
      <c r="AI263" s="71">
        <v>2.0430636689027976E-2</v>
      </c>
      <c r="AJ263" s="71">
        <v>2.5230313357208427E-2</v>
      </c>
      <c r="AK263" s="63">
        <v>2.8846409729613859E-2</v>
      </c>
    </row>
    <row r="264" spans="2:37" s="53" customFormat="1" x14ac:dyDescent="0.35">
      <c r="B264" s="55" t="s">
        <v>174</v>
      </c>
      <c r="C264" s="53" t="s">
        <v>234</v>
      </c>
      <c r="D264" s="53" t="s">
        <v>43</v>
      </c>
      <c r="E264" s="53" t="s">
        <v>568</v>
      </c>
      <c r="F264" s="73">
        <f t="shared" ref="F264" si="163">IF(ISNUMBER(AB264),AB264-((C$4-C$3)/V264),"")</f>
        <v>2.7842652862806516E-2</v>
      </c>
      <c r="G264" s="60">
        <f t="shared" ref="G264" si="164">IF(ISNUMBER(AC264),AC264-((D$4-D$3)/W264),"")</f>
        <v>3.9256191595258533E-2</v>
      </c>
      <c r="H264" s="60">
        <f t="shared" ref="H264" si="165">IF(ISNUMBER(AD264),AD264-((E$4-E$3)/X264),"")</f>
        <v>4.8956530483046011E-2</v>
      </c>
      <c r="I264" s="60">
        <f t="shared" ref="I264" si="166">IF(ISNUMBER(AE264),AE264-((F$4-F$3)/Y264),"")</f>
        <v>5.4563498269344722E-2</v>
      </c>
      <c r="J264" s="63">
        <f t="shared" ref="J264" si="167">IF(ISNUMBER(AF264),AF264-((G$4-G$3)/Z264),"")</f>
        <v>5.8970584603766647E-2</v>
      </c>
      <c r="K264" s="60">
        <f t="shared" ref="K264" si="168">IF(ISNUMBER(AG264),IF(AG264-((C$4-C$3)/V264)&lt;0,"",AG264-((C$4-C$3)/V264)),"")</f>
        <v>4.2956476280651881E-4</v>
      </c>
      <c r="L264" s="60">
        <f t="shared" ref="L264" si="169">IF(ISNUMBER(AH264),IF(AH264-((D$4-D$3)/W264)&lt;0,"",AH264-((D$4-D$3)/W264)),"")</f>
        <v>1.0682155195258527E-2</v>
      </c>
      <c r="M264" s="60">
        <f t="shared" ref="M264" si="170">IF(ISNUMBER(AI264),IF(AI264-((E$4-E$3)/X264)&lt;0,"",AI264-((E$4-E$3)/X264)),"")</f>
        <v>1.9495801983046013E-2</v>
      </c>
      <c r="N264" s="60">
        <f t="shared" ref="N264" si="171">IF(ISNUMBER(AJ264),IF(AJ264-((F$4-F$3)/Y264)&lt;0,"",AJ264-((F$4-F$3)/Y264)),"")</f>
        <v>2.4101840669344711E-2</v>
      </c>
      <c r="O264" s="63">
        <f t="shared" ref="O264" si="172">IF(ISNUMBER(AK264),IF(AK264-((G$4-G$3)/Z264)&lt;0,"",AK264-((G$4-G$3)/Z264)),"")</f>
        <v>2.7175594203766633E-2</v>
      </c>
      <c r="P264" s="55" t="s">
        <v>569</v>
      </c>
      <c r="Q264" s="53" t="s">
        <v>570</v>
      </c>
      <c r="R264" s="94">
        <v>47535</v>
      </c>
      <c r="S264" s="71">
        <v>3.601174E-2</v>
      </c>
      <c r="T264" s="63">
        <f t="shared" ref="T264" si="173">IF(S264="","",H264-S264)</f>
        <v>1.2944790483046011E-2</v>
      </c>
      <c r="V264" s="114">
        <v>1.14516095</v>
      </c>
      <c r="W264" s="72">
        <v>2.8980504899999997</v>
      </c>
      <c r="X264" s="72">
        <v>4.3930108599999995</v>
      </c>
      <c r="Y264" s="72">
        <v>5.6132743200000004</v>
      </c>
      <c r="Z264" s="115">
        <v>7.0512213000000008</v>
      </c>
      <c r="AB264" s="73">
        <v>2.7842652862806516E-2</v>
      </c>
      <c r="AC264" s="71">
        <v>3.9256191595258533E-2</v>
      </c>
      <c r="AD264" s="71">
        <v>4.8956530483046011E-2</v>
      </c>
      <c r="AE264" s="71">
        <v>5.4563498269344722E-2</v>
      </c>
      <c r="AF264" s="63">
        <v>5.8970584603766647E-2</v>
      </c>
      <c r="AG264" s="71">
        <v>4.2956476280651881E-4</v>
      </c>
      <c r="AH264" s="71">
        <v>1.0682155195258527E-2</v>
      </c>
      <c r="AI264" s="71">
        <v>1.9495801983046013E-2</v>
      </c>
      <c r="AJ264" s="71">
        <v>2.4101840669344711E-2</v>
      </c>
      <c r="AK264" s="63">
        <v>2.7175594203766633E-2</v>
      </c>
    </row>
    <row r="265" spans="2:37" x14ac:dyDescent="0.35">
      <c r="B265" s="55" t="s">
        <v>172</v>
      </c>
      <c r="C265" s="53" t="s">
        <v>234</v>
      </c>
      <c r="D265" s="53" t="s">
        <v>31</v>
      </c>
      <c r="E265" s="53" t="s">
        <v>571</v>
      </c>
      <c r="F265" s="73">
        <f t="shared" si="110"/>
        <v>2.6522486389591791E-2</v>
      </c>
      <c r="G265" s="60">
        <f t="shared" si="111"/>
        <v>3.7488216171586021E-2</v>
      </c>
      <c r="H265" s="60">
        <f t="shared" si="112"/>
        <v>4.7839879400303022E-2</v>
      </c>
      <c r="I265" s="60">
        <f t="shared" si="113"/>
        <v>5.4893739000661197E-2</v>
      </c>
      <c r="J265" s="63">
        <f t="shared" si="114"/>
        <v>6.0937463146415377E-2</v>
      </c>
      <c r="K265" s="60" t="str">
        <f t="shared" si="115"/>
        <v/>
      </c>
      <c r="L265" s="60">
        <f t="shared" si="116"/>
        <v>8.9874040715860228E-3</v>
      </c>
      <c r="M265" s="60">
        <f t="shared" si="117"/>
        <v>1.8438090800303019E-2</v>
      </c>
      <c r="N265" s="60">
        <f t="shared" si="118"/>
        <v>2.4412637600661206E-2</v>
      </c>
      <c r="O265" s="63">
        <f t="shared" si="119"/>
        <v>2.903324574641538E-2</v>
      </c>
      <c r="P265" s="55" t="s">
        <v>572</v>
      </c>
      <c r="Q265" s="53" t="s">
        <v>573</v>
      </c>
      <c r="R265" s="94">
        <v>47664</v>
      </c>
      <c r="S265" s="71">
        <v>3.893373E-2</v>
      </c>
      <c r="T265" s="63">
        <f t="shared" si="98"/>
        <v>8.906149400303022E-3</v>
      </c>
      <c r="V265" s="114">
        <v>1.1481795499999998</v>
      </c>
      <c r="W265" s="72">
        <v>2.91436071</v>
      </c>
      <c r="X265" s="72">
        <v>4.4238196600000004</v>
      </c>
      <c r="Y265" s="72">
        <v>5.6395078600000002</v>
      </c>
      <c r="Z265" s="115">
        <v>7.0264532899999992</v>
      </c>
      <c r="AB265" s="73">
        <v>2.6522486389591791E-2</v>
      </c>
      <c r="AC265" s="71">
        <v>3.7488216171586021E-2</v>
      </c>
      <c r="AD265" s="71">
        <v>4.7839879400303022E-2</v>
      </c>
      <c r="AE265" s="71">
        <v>5.4893739000661197E-2</v>
      </c>
      <c r="AF265" s="63">
        <v>6.0937463146415377E-2</v>
      </c>
      <c r="AG265" s="71" t="s">
        <v>21</v>
      </c>
      <c r="AH265" s="71">
        <v>8.9874040715860228E-3</v>
      </c>
      <c r="AI265" s="71">
        <v>1.8438090800303019E-2</v>
      </c>
      <c r="AJ265" s="71">
        <v>2.4412637600661206E-2</v>
      </c>
      <c r="AK265" s="63">
        <v>2.903324574641538E-2</v>
      </c>
    </row>
    <row r="266" spans="2:37" x14ac:dyDescent="0.35">
      <c r="B266" s="55" t="s">
        <v>175</v>
      </c>
      <c r="C266" s="53" t="s">
        <v>234</v>
      </c>
      <c r="D266" s="53" t="s">
        <v>43</v>
      </c>
      <c r="E266" s="53" t="s">
        <v>141</v>
      </c>
      <c r="F266" s="73">
        <f t="shared" si="110"/>
        <v>3.0860426066501738E-2</v>
      </c>
      <c r="G266" s="60">
        <f t="shared" si="111"/>
        <v>4.0041802116857449E-2</v>
      </c>
      <c r="H266" s="60">
        <f t="shared" si="112"/>
        <v>4.7483912288630137E-2</v>
      </c>
      <c r="I266" s="60">
        <f t="shared" si="113"/>
        <v>5.2866315292774531E-2</v>
      </c>
      <c r="J266" s="63">
        <f t="shared" si="114"/>
        <v>5.8684777964582123E-2</v>
      </c>
      <c r="K266" s="60">
        <f t="shared" si="115"/>
        <v>3.2788647665017339E-3</v>
      </c>
      <c r="L266" s="60">
        <f t="shared" si="116"/>
        <v>1.1419310216857458E-2</v>
      </c>
      <c r="M266" s="60">
        <f t="shared" si="117"/>
        <v>1.8092366088630137E-2</v>
      </c>
      <c r="N266" s="60">
        <f t="shared" si="118"/>
        <v>2.2492890592774525E-2</v>
      </c>
      <c r="O266" s="63">
        <f t="shared" si="119"/>
        <v>2.6890968164582117E-2</v>
      </c>
      <c r="P266" s="55" t="s">
        <v>21</v>
      </c>
      <c r="Q266" s="53" t="s">
        <v>21</v>
      </c>
      <c r="R266" s="94" t="s">
        <v>21</v>
      </c>
      <c r="S266" s="71" t="s">
        <v>21</v>
      </c>
      <c r="T266" s="63" t="str">
        <f t="shared" si="98"/>
        <v/>
      </c>
      <c r="V266" s="114">
        <v>1.13772283</v>
      </c>
      <c r="W266" s="72">
        <v>2.8797466800000002</v>
      </c>
      <c r="X266" s="72">
        <v>4.38983977</v>
      </c>
      <c r="Y266" s="72">
        <v>5.6368764799999997</v>
      </c>
      <c r="Z266" s="115">
        <v>7.08730437</v>
      </c>
      <c r="AB266" s="73">
        <v>3.0860426066501738E-2</v>
      </c>
      <c r="AC266" s="71">
        <v>4.0041802116857449E-2</v>
      </c>
      <c r="AD266" s="71">
        <v>4.7483912288630137E-2</v>
      </c>
      <c r="AE266" s="71">
        <v>5.2866315292774531E-2</v>
      </c>
      <c r="AF266" s="63">
        <v>5.8684777964582123E-2</v>
      </c>
      <c r="AG266" s="71">
        <v>3.2788647665017339E-3</v>
      </c>
      <c r="AH266" s="71">
        <v>1.1419310216857458E-2</v>
      </c>
      <c r="AI266" s="71">
        <v>1.8092366088630137E-2</v>
      </c>
      <c r="AJ266" s="71">
        <v>2.2492890592774525E-2</v>
      </c>
      <c r="AK266" s="63">
        <v>2.6890968164582117E-2</v>
      </c>
    </row>
    <row r="267" spans="2:37" x14ac:dyDescent="0.35">
      <c r="B267" s="55" t="s">
        <v>129</v>
      </c>
      <c r="C267" s="53" t="s">
        <v>234</v>
      </c>
      <c r="D267" s="53" t="s">
        <v>62</v>
      </c>
      <c r="E267" s="53" t="s">
        <v>574</v>
      </c>
      <c r="F267" s="73">
        <f t="shared" si="110"/>
        <v>2.8032999918518653E-2</v>
      </c>
      <c r="G267" s="60">
        <f t="shared" si="111"/>
        <v>3.8867407219861025E-2</v>
      </c>
      <c r="H267" s="60">
        <f t="shared" si="112"/>
        <v>4.7021029752884948E-2</v>
      </c>
      <c r="I267" s="60">
        <f t="shared" si="113"/>
        <v>5.1804178114668566E-2</v>
      </c>
      <c r="J267" s="63">
        <f t="shared" si="114"/>
        <v>5.5895322798762449E-2</v>
      </c>
      <c r="K267" s="60">
        <f t="shared" si="115"/>
        <v>6.1234491851864994E-4</v>
      </c>
      <c r="L267" s="60">
        <f t="shared" si="116"/>
        <v>1.0310825219861033E-2</v>
      </c>
      <c r="M267" s="60">
        <f t="shared" si="117"/>
        <v>1.7662825652884948E-2</v>
      </c>
      <c r="N267" s="60">
        <f t="shared" si="118"/>
        <v>2.1498357814668557E-2</v>
      </c>
      <c r="O267" s="63">
        <f t="shared" si="119"/>
        <v>2.426138899876245E-2</v>
      </c>
      <c r="P267" s="55" t="s">
        <v>21</v>
      </c>
      <c r="Q267" s="53" t="s">
        <v>21</v>
      </c>
      <c r="R267" s="94" t="s">
        <v>21</v>
      </c>
      <c r="S267" s="71" t="s">
        <v>21</v>
      </c>
      <c r="T267" s="63" t="str">
        <f t="shared" si="98"/>
        <v/>
      </c>
      <c r="V267" s="114">
        <v>1.1446598000000001</v>
      </c>
      <c r="W267" s="72">
        <v>2.89766887</v>
      </c>
      <c r="X267" s="72">
        <v>4.4136790799999996</v>
      </c>
      <c r="Y267" s="72">
        <v>5.67510344</v>
      </c>
      <c r="Z267" s="115">
        <v>7.1906546000000002</v>
      </c>
      <c r="AB267" s="73">
        <v>2.8032999918518653E-2</v>
      </c>
      <c r="AC267" s="71">
        <v>3.8867407219861025E-2</v>
      </c>
      <c r="AD267" s="71">
        <v>4.7021029752884948E-2</v>
      </c>
      <c r="AE267" s="71">
        <v>5.1804178114668566E-2</v>
      </c>
      <c r="AF267" s="63">
        <v>5.5895322798762449E-2</v>
      </c>
      <c r="AG267" s="71">
        <v>6.1234491851864994E-4</v>
      </c>
      <c r="AH267" s="71">
        <v>1.0310825219861033E-2</v>
      </c>
      <c r="AI267" s="71">
        <v>1.7662825652884948E-2</v>
      </c>
      <c r="AJ267" s="71">
        <v>2.1498357814668557E-2</v>
      </c>
      <c r="AK267" s="63">
        <v>2.426138899876245E-2</v>
      </c>
    </row>
    <row r="268" spans="2:37" s="53" customFormat="1" x14ac:dyDescent="0.35">
      <c r="B268" s="55" t="s">
        <v>400</v>
      </c>
      <c r="C268" s="53" t="s">
        <v>234</v>
      </c>
      <c r="D268" s="53" t="s">
        <v>20</v>
      </c>
      <c r="E268" s="53" t="s">
        <v>288</v>
      </c>
      <c r="F268" s="73">
        <f t="shared" ref="F268:F273" si="174">IF(ISNUMBER(AB268),AB268-((C$4-C$3)/V268),"")</f>
        <v>2.5800270325935216E-2</v>
      </c>
      <c r="G268" s="60">
        <f t="shared" ref="G268:G273" si="175">IF(ISNUMBER(AC268),AC268-((D$4-D$3)/W268),"")</f>
        <v>3.6601605622625294E-2</v>
      </c>
      <c r="H268" s="60">
        <f t="shared" ref="H268:H273" si="176">IF(ISNUMBER(AD268),AD268-((E$4-E$3)/X268),"")</f>
        <v>4.4722176506082456E-2</v>
      </c>
      <c r="I268" s="60">
        <f t="shared" ref="I268:I273" si="177">IF(ISNUMBER(AE268),AE268-((F$4-F$3)/Y268),"")</f>
        <v>5.024764835109493E-2</v>
      </c>
      <c r="J268" s="63">
        <f t="shared" ref="J268:J273" si="178">IF(ISNUMBER(AF268),AF268-((G$4-G$3)/Z268),"")</f>
        <v>5.3587649271185471E-2</v>
      </c>
      <c r="K268" s="60" t="str">
        <f t="shared" ref="K268:K273" si="179">IF(ISNUMBER(AG268),IF(AG268-((C$4-C$3)/V268)&lt;0,"",AG268-((C$4-C$3)/V268)),"")</f>
        <v/>
      </c>
      <c r="L268" s="60">
        <f t="shared" ref="L268:L273" si="180">IF(ISNUMBER(AH268),IF(AH268-((D$4-D$3)/W268)&lt;0,"",AH268-((D$4-D$3)/W268)),"")</f>
        <v>8.109470022625298E-3</v>
      </c>
      <c r="M268" s="60">
        <f t="shared" ref="M268:M273" si="181">IF(ISNUMBER(AI268),IF(AI268-((E$4-E$3)/X268)&lt;0,"",AI268-((E$4-E$3)/X268)),"")</f>
        <v>1.5449104006082452E-2</v>
      </c>
      <c r="N268" s="60">
        <f t="shared" ref="N268:N273" si="182">IF(ISNUMBER(AJ268),IF(AJ268-((F$4-F$3)/Y268)&lt;0,"",AJ268-((F$4-F$3)/Y268)),"")</f>
        <v>1.9998301051094926E-2</v>
      </c>
      <c r="O268" s="63">
        <f t="shared" ref="O268:O273" si="183">IF(ISNUMBER(AK268),IF(AK268-((G$4-G$3)/Z268)&lt;0,"",AK268-((G$4-G$3)/Z268)),"")</f>
        <v>2.2052693371185476E-2</v>
      </c>
      <c r="P268" s="55" t="s">
        <v>403</v>
      </c>
      <c r="Q268" s="53" t="s">
        <v>404</v>
      </c>
      <c r="R268" s="94">
        <v>47771</v>
      </c>
      <c r="S268" s="71">
        <v>3.8153350000000003E-2</v>
      </c>
      <c r="T268" s="63">
        <f t="shared" si="98"/>
        <v>6.5688265060824536E-3</v>
      </c>
      <c r="V268" s="114">
        <v>1.1487375100000001</v>
      </c>
      <c r="W268" s="72">
        <v>2.9158340000000003</v>
      </c>
      <c r="X268" s="72">
        <v>4.4549170300000007</v>
      </c>
      <c r="Y268" s="72">
        <v>5.7320217600000003</v>
      </c>
      <c r="Z268" s="115">
        <v>7.2871577000000007</v>
      </c>
      <c r="AB268" s="73">
        <v>2.5800270325935216E-2</v>
      </c>
      <c r="AC268" s="71">
        <v>3.6601605622625294E-2</v>
      </c>
      <c r="AD268" s="71">
        <v>4.4722176506082456E-2</v>
      </c>
      <c r="AE268" s="71">
        <v>5.024764835109493E-2</v>
      </c>
      <c r="AF268" s="63">
        <v>5.3587649271185471E-2</v>
      </c>
      <c r="AG268" s="71" t="s">
        <v>21</v>
      </c>
      <c r="AH268" s="71">
        <v>8.109470022625298E-3</v>
      </c>
      <c r="AI268" s="71">
        <v>1.5449104006082452E-2</v>
      </c>
      <c r="AJ268" s="71">
        <v>1.9998301051094926E-2</v>
      </c>
      <c r="AK268" s="63">
        <v>2.2052693371185476E-2</v>
      </c>
    </row>
    <row r="269" spans="2:37" s="53" customFormat="1" x14ac:dyDescent="0.35">
      <c r="B269" s="55" t="s">
        <v>165</v>
      </c>
      <c r="C269" s="53" t="s">
        <v>234</v>
      </c>
      <c r="D269" s="53" t="s">
        <v>47</v>
      </c>
      <c r="E269" s="53" t="s">
        <v>48</v>
      </c>
      <c r="F269" s="73">
        <f t="shared" si="174"/>
        <v>2.6688579663354511E-2</v>
      </c>
      <c r="G269" s="60">
        <f t="shared" si="175"/>
        <v>3.5873892727123435E-2</v>
      </c>
      <c r="H269" s="60">
        <f t="shared" si="176"/>
        <v>4.362746011307591E-2</v>
      </c>
      <c r="I269" s="60">
        <f t="shared" si="177"/>
        <v>4.9342865548997458E-2</v>
      </c>
      <c r="J269" s="63">
        <f t="shared" si="178"/>
        <v>5.4475839653328063E-2</v>
      </c>
      <c r="K269" s="60" t="str">
        <f t="shared" si="179"/>
        <v/>
      </c>
      <c r="L269" s="60">
        <f t="shared" si="180"/>
        <v>7.4390486271234298E-3</v>
      </c>
      <c r="M269" s="60">
        <f t="shared" si="181"/>
        <v>1.4434341513075913E-2</v>
      </c>
      <c r="N269" s="60">
        <f t="shared" si="182"/>
        <v>1.916747954899746E-2</v>
      </c>
      <c r="O269" s="63">
        <f t="shared" si="183"/>
        <v>2.2918369053328062E-2</v>
      </c>
      <c r="P269" s="55" t="s">
        <v>21</v>
      </c>
      <c r="Q269" s="53" t="s">
        <v>21</v>
      </c>
      <c r="R269" s="94" t="s">
        <v>21</v>
      </c>
      <c r="S269" s="71" t="s">
        <v>21</v>
      </c>
      <c r="T269" s="63" t="str">
        <f t="shared" si="98"/>
        <v/>
      </c>
      <c r="V269" s="114">
        <v>1.1478211699999998</v>
      </c>
      <c r="W269" s="72">
        <v>2.9234433000000002</v>
      </c>
      <c r="X269" s="72">
        <v>4.4803134499999997</v>
      </c>
      <c r="Y269" s="72">
        <v>5.7793553700000002</v>
      </c>
      <c r="Z269" s="115">
        <v>7.3268445500000006</v>
      </c>
      <c r="AB269" s="73">
        <v>2.6688579663354511E-2</v>
      </c>
      <c r="AC269" s="71">
        <v>3.5873892727123435E-2</v>
      </c>
      <c r="AD269" s="71">
        <v>4.362746011307591E-2</v>
      </c>
      <c r="AE269" s="71">
        <v>4.9342865548997458E-2</v>
      </c>
      <c r="AF269" s="63">
        <v>5.4475839653328063E-2</v>
      </c>
      <c r="AG269" s="71" t="s">
        <v>21</v>
      </c>
      <c r="AH269" s="71">
        <v>7.4390486271234298E-3</v>
      </c>
      <c r="AI269" s="71">
        <v>1.4434341513075913E-2</v>
      </c>
      <c r="AJ269" s="71">
        <v>1.916747954899746E-2</v>
      </c>
      <c r="AK269" s="63">
        <v>2.2918369053328062E-2</v>
      </c>
    </row>
    <row r="270" spans="2:37" s="53" customFormat="1" x14ac:dyDescent="0.35">
      <c r="B270" s="55" t="s">
        <v>166</v>
      </c>
      <c r="C270" s="53" t="s">
        <v>234</v>
      </c>
      <c r="D270" s="53" t="s">
        <v>43</v>
      </c>
      <c r="E270" s="53" t="s">
        <v>575</v>
      </c>
      <c r="F270" s="73">
        <f t="shared" si="174"/>
        <v>2.6021124570254624E-2</v>
      </c>
      <c r="G270" s="60">
        <f t="shared" si="175"/>
        <v>3.5588475886720067E-2</v>
      </c>
      <c r="H270" s="60">
        <f t="shared" si="176"/>
        <v>4.3045235146575239E-2</v>
      </c>
      <c r="I270" s="60">
        <f t="shared" si="177"/>
        <v>4.650128651051693E-2</v>
      </c>
      <c r="J270" s="63">
        <f t="shared" si="178"/>
        <v>4.9355497769909731E-2</v>
      </c>
      <c r="K270" s="60" t="str">
        <f t="shared" si="179"/>
        <v/>
      </c>
      <c r="L270" s="60">
        <f t="shared" si="180"/>
        <v>7.1584914867200665E-3</v>
      </c>
      <c r="M270" s="60">
        <f t="shared" si="181"/>
        <v>1.3874155146575239E-2</v>
      </c>
      <c r="N270" s="60">
        <f t="shared" si="182"/>
        <v>1.6462780310516931E-2</v>
      </c>
      <c r="O270" s="63">
        <f t="shared" si="183"/>
        <v>1.8024719069909739E-2</v>
      </c>
      <c r="P270" s="55" t="s">
        <v>21</v>
      </c>
      <c r="Q270" s="53" t="s">
        <v>21</v>
      </c>
      <c r="R270" s="94" t="s">
        <v>21</v>
      </c>
      <c r="S270" s="71" t="s">
        <v>21</v>
      </c>
      <c r="T270" s="63" t="str">
        <f t="shared" si="98"/>
        <v/>
      </c>
      <c r="V270" s="114">
        <v>1.1492707499999999</v>
      </c>
      <c r="W270" s="72">
        <v>2.9277286499999997</v>
      </c>
      <c r="X270" s="72">
        <v>4.4919433099999999</v>
      </c>
      <c r="Y270" s="72">
        <v>5.8299357599999997</v>
      </c>
      <c r="Z270" s="115">
        <v>7.5131052800000004</v>
      </c>
      <c r="AB270" s="73">
        <v>2.6021124570254624E-2</v>
      </c>
      <c r="AC270" s="71">
        <v>3.5588475886720067E-2</v>
      </c>
      <c r="AD270" s="71">
        <v>4.3045235146575239E-2</v>
      </c>
      <c r="AE270" s="71">
        <v>4.650128651051693E-2</v>
      </c>
      <c r="AF270" s="63">
        <v>4.9355497769909731E-2</v>
      </c>
      <c r="AG270" s="71" t="s">
        <v>21</v>
      </c>
      <c r="AH270" s="71">
        <v>7.1584914867200665E-3</v>
      </c>
      <c r="AI270" s="71">
        <v>1.3874155146575239E-2</v>
      </c>
      <c r="AJ270" s="71">
        <v>1.6462780310516931E-2</v>
      </c>
      <c r="AK270" s="63">
        <v>1.8024719069909739E-2</v>
      </c>
    </row>
    <row r="271" spans="2:37" s="53" customFormat="1" x14ac:dyDescent="0.35">
      <c r="B271" s="55" t="s">
        <v>401</v>
      </c>
      <c r="C271" s="53" t="s">
        <v>234</v>
      </c>
      <c r="D271" s="53" t="s">
        <v>53</v>
      </c>
      <c r="E271" s="53" t="s">
        <v>293</v>
      </c>
      <c r="F271" s="73">
        <f t="shared" si="174"/>
        <v>2.5215841513517093E-2</v>
      </c>
      <c r="G271" s="60">
        <f t="shared" si="175"/>
        <v>3.49062582843759E-2</v>
      </c>
      <c r="H271" s="60">
        <f t="shared" si="176"/>
        <v>4.2776563191520588E-2</v>
      </c>
      <c r="I271" s="60">
        <f t="shared" si="177"/>
        <v>4.7383850800877723E-2</v>
      </c>
      <c r="J271" s="63">
        <f t="shared" si="178"/>
        <v>5.3020474431247973E-2</v>
      </c>
      <c r="K271" s="60" t="str">
        <f t="shared" si="179"/>
        <v/>
      </c>
      <c r="L271" s="60">
        <f t="shared" si="180"/>
        <v>6.5085996843758948E-3</v>
      </c>
      <c r="M271" s="60">
        <f t="shared" si="181"/>
        <v>1.3623693691520593E-2</v>
      </c>
      <c r="N271" s="60">
        <f t="shared" si="182"/>
        <v>1.7310141500877722E-2</v>
      </c>
      <c r="O271" s="63">
        <f t="shared" si="183"/>
        <v>2.153437363124798E-2</v>
      </c>
      <c r="P271" s="55" t="s">
        <v>21</v>
      </c>
      <c r="Q271" s="53" t="s">
        <v>21</v>
      </c>
      <c r="R271" s="94" t="s">
        <v>21</v>
      </c>
      <c r="S271" s="71" t="s">
        <v>21</v>
      </c>
      <c r="T271" s="63" t="str">
        <f t="shared" si="98"/>
        <v/>
      </c>
      <c r="V271" s="114">
        <v>1.1507205700000001</v>
      </c>
      <c r="W271" s="72">
        <v>2.93469801</v>
      </c>
      <c r="X271" s="72">
        <v>4.5025646200000002</v>
      </c>
      <c r="Y271" s="72">
        <v>5.83028791</v>
      </c>
      <c r="Z271" s="115">
        <v>7.4216335800000008</v>
      </c>
      <c r="AB271" s="73">
        <v>2.5215841513517093E-2</v>
      </c>
      <c r="AC271" s="71">
        <v>3.49062582843759E-2</v>
      </c>
      <c r="AD271" s="71">
        <v>4.2776563191520588E-2</v>
      </c>
      <c r="AE271" s="71">
        <v>4.7383850800877723E-2</v>
      </c>
      <c r="AF271" s="63">
        <v>5.3020474431247973E-2</v>
      </c>
      <c r="AG271" s="71" t="s">
        <v>21</v>
      </c>
      <c r="AH271" s="71">
        <v>6.5085996843758948E-3</v>
      </c>
      <c r="AI271" s="71">
        <v>1.3623693691520593E-2</v>
      </c>
      <c r="AJ271" s="71">
        <v>1.7310141500877722E-2</v>
      </c>
      <c r="AK271" s="63">
        <v>2.153437363124798E-2</v>
      </c>
    </row>
    <row r="272" spans="2:37" s="53" customFormat="1" x14ac:dyDescent="0.35">
      <c r="B272" s="55" t="s">
        <v>170</v>
      </c>
      <c r="C272" s="53" t="s">
        <v>234</v>
      </c>
      <c r="D272" s="53" t="s">
        <v>20</v>
      </c>
      <c r="E272" s="53" t="s">
        <v>402</v>
      </c>
      <c r="F272" s="73">
        <f t="shared" si="174"/>
        <v>2.9563374803912988E-2</v>
      </c>
      <c r="G272" s="60">
        <f t="shared" si="175"/>
        <v>4.1829763492618931E-2</v>
      </c>
      <c r="H272" s="60">
        <f t="shared" si="176"/>
        <v>5.2537462848198137E-2</v>
      </c>
      <c r="I272" s="60">
        <f t="shared" si="177"/>
        <v>5.7534560034958895E-2</v>
      </c>
      <c r="J272" s="63">
        <f t="shared" si="178"/>
        <v>6.2394060058929376E-2</v>
      </c>
      <c r="K272" s="60">
        <f t="shared" si="179"/>
        <v>2.0491659039129934E-3</v>
      </c>
      <c r="L272" s="60">
        <f t="shared" si="180"/>
        <v>1.3109310892618931E-2</v>
      </c>
      <c r="M272" s="60">
        <f t="shared" si="181"/>
        <v>2.2844670948198132E-2</v>
      </c>
      <c r="N272" s="60">
        <f t="shared" si="182"/>
        <v>2.6866750034958906E-2</v>
      </c>
      <c r="O272" s="63">
        <f t="shared" si="183"/>
        <v>3.0365536158929375E-2</v>
      </c>
      <c r="P272" s="55" t="s">
        <v>468</v>
      </c>
      <c r="Q272" s="53" t="s">
        <v>469</v>
      </c>
      <c r="R272" s="94">
        <v>47505</v>
      </c>
      <c r="S272" s="71">
        <v>4.6046719999999999E-2</v>
      </c>
      <c r="T272" s="63">
        <f t="shared" si="98"/>
        <v>6.4907428481981375E-3</v>
      </c>
      <c r="V272" s="114">
        <v>1.13943167</v>
      </c>
      <c r="W272" s="72">
        <v>2.86615669</v>
      </c>
      <c r="X272" s="72">
        <v>4.32030023</v>
      </c>
      <c r="Y272" s="72">
        <v>5.48159054</v>
      </c>
      <c r="Z272" s="115">
        <v>6.83600998</v>
      </c>
      <c r="AB272" s="73">
        <v>2.9563374803912988E-2</v>
      </c>
      <c r="AC272" s="71">
        <v>4.1829763492618931E-2</v>
      </c>
      <c r="AD272" s="71">
        <v>5.2537462848198137E-2</v>
      </c>
      <c r="AE272" s="71">
        <v>5.7534560034958895E-2</v>
      </c>
      <c r="AF272" s="63">
        <v>6.2394060058929376E-2</v>
      </c>
      <c r="AG272" s="71">
        <v>2.0491659039129934E-3</v>
      </c>
      <c r="AH272" s="71">
        <v>1.3109310892618931E-2</v>
      </c>
      <c r="AI272" s="71">
        <v>2.2844670948198132E-2</v>
      </c>
      <c r="AJ272" s="71">
        <v>2.6866750034958906E-2</v>
      </c>
      <c r="AK272" s="63">
        <v>3.0365536158929375E-2</v>
      </c>
    </row>
    <row r="273" spans="2:37" s="53" customFormat="1" x14ac:dyDescent="0.35">
      <c r="B273" s="55" t="s">
        <v>168</v>
      </c>
      <c r="C273" s="53" t="s">
        <v>234</v>
      </c>
      <c r="D273" s="53" t="s">
        <v>169</v>
      </c>
      <c r="E273" s="53" t="s">
        <v>576</v>
      </c>
      <c r="F273" s="73">
        <f t="shared" si="174"/>
        <v>2.7687956537255438E-2</v>
      </c>
      <c r="G273" s="60">
        <f t="shared" si="175"/>
        <v>3.5973223530199154E-2</v>
      </c>
      <c r="H273" s="60">
        <f t="shared" si="176"/>
        <v>4.1405004568517548E-2</v>
      </c>
      <c r="I273" s="60">
        <f t="shared" si="177"/>
        <v>4.4036798204989638E-2</v>
      </c>
      <c r="J273" s="63">
        <f t="shared" si="178"/>
        <v>4.6726543133185638E-2</v>
      </c>
      <c r="K273" s="60">
        <f t="shared" si="179"/>
        <v>2.3680173725543641E-4</v>
      </c>
      <c r="L273" s="60">
        <f t="shared" si="180"/>
        <v>7.5039481301991534E-3</v>
      </c>
      <c r="M273" s="60">
        <f t="shared" si="181"/>
        <v>1.2279496668517556E-2</v>
      </c>
      <c r="N273" s="60">
        <f t="shared" si="182"/>
        <v>1.4079932104989635E-2</v>
      </c>
      <c r="O273" s="63">
        <f t="shared" si="183"/>
        <v>1.5468168733185636E-2</v>
      </c>
      <c r="P273" s="55" t="s">
        <v>21</v>
      </c>
      <c r="Q273" s="53" t="s">
        <v>21</v>
      </c>
      <c r="R273" s="94" t="s">
        <v>21</v>
      </c>
      <c r="S273" s="71" t="s">
        <v>21</v>
      </c>
      <c r="T273" s="63" t="str">
        <f t="shared" si="98"/>
        <v/>
      </c>
      <c r="V273" s="114">
        <v>1.1447598299999999</v>
      </c>
      <c r="W273" s="72">
        <v>2.9130585600000001</v>
      </c>
      <c r="X273" s="72">
        <v>4.4874499300000004</v>
      </c>
      <c r="Y273" s="72">
        <v>5.8586731400000005</v>
      </c>
      <c r="Z273" s="115">
        <v>7.6021927700000003</v>
      </c>
      <c r="AB273" s="73">
        <v>2.7687956537255438E-2</v>
      </c>
      <c r="AC273" s="71">
        <v>3.5973223530199154E-2</v>
      </c>
      <c r="AD273" s="71">
        <v>4.1405004568517548E-2</v>
      </c>
      <c r="AE273" s="71">
        <v>4.4036798204989638E-2</v>
      </c>
      <c r="AF273" s="63">
        <v>4.6726543133185638E-2</v>
      </c>
      <c r="AG273" s="71">
        <v>2.3680173725543641E-4</v>
      </c>
      <c r="AH273" s="71">
        <v>7.5039481301991534E-3</v>
      </c>
      <c r="AI273" s="71">
        <v>1.2279496668517556E-2</v>
      </c>
      <c r="AJ273" s="71">
        <v>1.4079932104989635E-2</v>
      </c>
      <c r="AK273" s="63">
        <v>1.5468168733185636E-2</v>
      </c>
    </row>
    <row r="274" spans="2:37" x14ac:dyDescent="0.35">
      <c r="B274" s="55" t="s">
        <v>117</v>
      </c>
      <c r="C274" s="53" t="s">
        <v>234</v>
      </c>
      <c r="D274" s="53" t="s">
        <v>31</v>
      </c>
      <c r="E274" s="53" t="s">
        <v>123</v>
      </c>
      <c r="F274" s="73">
        <f t="shared" si="110"/>
        <v>2.5149997687116735E-2</v>
      </c>
      <c r="G274" s="60">
        <f t="shared" si="111"/>
        <v>3.5241380183655135E-2</v>
      </c>
      <c r="H274" s="60">
        <f t="shared" si="112"/>
        <v>3.9695260122656888E-2</v>
      </c>
      <c r="I274" s="60">
        <f t="shared" si="113"/>
        <v>4.3126841510741122E-2</v>
      </c>
      <c r="J274" s="63">
        <f t="shared" si="114"/>
        <v>4.6067718148207988E-2</v>
      </c>
      <c r="K274" s="60" t="str">
        <f t="shared" si="115"/>
        <v/>
      </c>
      <c r="L274" s="60">
        <f t="shared" si="116"/>
        <v>6.827933383655135E-3</v>
      </c>
      <c r="M274" s="60">
        <f t="shared" si="117"/>
        <v>1.0664295322656888E-2</v>
      </c>
      <c r="N274" s="60">
        <f t="shared" si="118"/>
        <v>1.323280161074112E-2</v>
      </c>
      <c r="O274" s="63">
        <f t="shared" si="119"/>
        <v>1.4858881148207985E-2</v>
      </c>
      <c r="P274" s="55" t="s">
        <v>21</v>
      </c>
      <c r="Q274" s="53" t="s">
        <v>21</v>
      </c>
      <c r="R274" s="94" t="s">
        <v>21</v>
      </c>
      <c r="S274" s="71" t="s">
        <v>21</v>
      </c>
      <c r="T274" s="63" t="str">
        <f t="shared" si="98"/>
        <v/>
      </c>
      <c r="V274" s="114">
        <v>1.1509127100000001</v>
      </c>
      <c r="W274" s="72">
        <v>2.9324324100000001</v>
      </c>
      <c r="X274" s="72">
        <v>4.5337619900000004</v>
      </c>
      <c r="Y274" s="72">
        <v>5.9284235599999997</v>
      </c>
      <c r="Z274" s="115">
        <v>7.7009761499999998</v>
      </c>
      <c r="AB274" s="73">
        <v>2.5149997687116735E-2</v>
      </c>
      <c r="AC274" s="71">
        <v>3.5241380183655135E-2</v>
      </c>
      <c r="AD274" s="71">
        <v>3.9695260122656888E-2</v>
      </c>
      <c r="AE274" s="71">
        <v>4.3126841510741122E-2</v>
      </c>
      <c r="AF274" s="63">
        <v>4.6067718148207988E-2</v>
      </c>
      <c r="AG274" s="71" t="s">
        <v>21</v>
      </c>
      <c r="AH274" s="71">
        <v>6.827933383655135E-3</v>
      </c>
      <c r="AI274" s="71">
        <v>1.0664295322656888E-2</v>
      </c>
      <c r="AJ274" s="71">
        <v>1.323280161074112E-2</v>
      </c>
      <c r="AK274" s="63">
        <v>1.4858881148207985E-2</v>
      </c>
    </row>
    <row r="275" spans="2:37" x14ac:dyDescent="0.35">
      <c r="B275" s="55" t="s">
        <v>139</v>
      </c>
      <c r="C275" s="53" t="s">
        <v>234</v>
      </c>
      <c r="D275" s="53" t="s">
        <v>140</v>
      </c>
      <c r="E275" s="53" t="s">
        <v>161</v>
      </c>
      <c r="F275" s="73">
        <f t="shared" si="110"/>
        <v>2.6211390588383277E-2</v>
      </c>
      <c r="G275" s="60">
        <f t="shared" si="111"/>
        <v>3.3485591523504395E-2</v>
      </c>
      <c r="H275" s="60">
        <f t="shared" si="112"/>
        <v>3.8713028024591596E-2</v>
      </c>
      <c r="I275" s="60">
        <f t="shared" si="113"/>
        <v>4.2591720465691513E-2</v>
      </c>
      <c r="J275" s="63">
        <f t="shared" si="114"/>
        <v>4.7132087028954793E-2</v>
      </c>
      <c r="K275" s="60" t="str">
        <f t="shared" si="115"/>
        <v/>
      </c>
      <c r="L275" s="60">
        <f t="shared" si="116"/>
        <v>5.1389137235043963E-3</v>
      </c>
      <c r="M275" s="60">
        <f t="shared" si="117"/>
        <v>9.7202528245915951E-3</v>
      </c>
      <c r="N275" s="60">
        <f t="shared" si="118"/>
        <v>1.2721081765691511E-2</v>
      </c>
      <c r="O275" s="63">
        <f t="shared" si="119"/>
        <v>1.58852359289548E-2</v>
      </c>
      <c r="P275" s="55" t="s">
        <v>21</v>
      </c>
      <c r="Q275" s="53" t="s">
        <v>21</v>
      </c>
      <c r="R275" s="94" t="s">
        <v>21</v>
      </c>
      <c r="S275" s="71" t="s">
        <v>21</v>
      </c>
      <c r="T275" s="63" t="str">
        <f t="shared" si="98"/>
        <v/>
      </c>
      <c r="V275" s="114">
        <v>1.14875192</v>
      </c>
      <c r="W275" s="72">
        <v>2.9393019199999997</v>
      </c>
      <c r="X275" s="72">
        <v>4.5525461400000005</v>
      </c>
      <c r="Y275" s="72">
        <v>5.9568159899999999</v>
      </c>
      <c r="Z275" s="115">
        <v>7.7058027400000011</v>
      </c>
      <c r="AA275" s="137"/>
      <c r="AB275" s="73">
        <v>2.6211390588383277E-2</v>
      </c>
      <c r="AC275" s="71">
        <v>3.3485591523504395E-2</v>
      </c>
      <c r="AD275" s="71">
        <v>3.8713028024591596E-2</v>
      </c>
      <c r="AE275" s="71">
        <v>4.2591720465691513E-2</v>
      </c>
      <c r="AF275" s="63">
        <v>4.7132087028954793E-2</v>
      </c>
      <c r="AG275" s="71" t="s">
        <v>21</v>
      </c>
      <c r="AH275" s="71">
        <v>5.1389137235043963E-3</v>
      </c>
      <c r="AI275" s="71">
        <v>9.7202528245915951E-3</v>
      </c>
      <c r="AJ275" s="71">
        <v>1.2721081765691511E-2</v>
      </c>
      <c r="AK275" s="63">
        <v>1.58852359289548E-2</v>
      </c>
    </row>
    <row r="276" spans="2:37" x14ac:dyDescent="0.35">
      <c r="B276" s="57" t="s">
        <v>171</v>
      </c>
      <c r="C276" s="67" t="s">
        <v>234</v>
      </c>
      <c r="D276" s="67" t="s">
        <v>69</v>
      </c>
      <c r="E276" s="67" t="s">
        <v>110</v>
      </c>
      <c r="F276" s="74">
        <f t="shared" si="110"/>
        <v>2.4724982279546819E-2</v>
      </c>
      <c r="G276" s="76">
        <f t="shared" si="111"/>
        <v>3.2303659995188187E-2</v>
      </c>
      <c r="H276" s="76">
        <f t="shared" si="112"/>
        <v>3.7768538417662249E-2</v>
      </c>
      <c r="I276" s="76">
        <f t="shared" si="113"/>
        <v>4.0761290155024776E-2</v>
      </c>
      <c r="J276" s="64">
        <f t="shared" si="114"/>
        <v>4.4863413096577993E-2</v>
      </c>
      <c r="K276" s="76" t="str">
        <f t="shared" si="115"/>
        <v/>
      </c>
      <c r="L276" s="76">
        <f t="shared" si="116"/>
        <v>3.9935707951881906E-3</v>
      </c>
      <c r="M276" s="76">
        <f t="shared" si="117"/>
        <v>8.8068672176622471E-3</v>
      </c>
      <c r="N276" s="76">
        <f t="shared" si="118"/>
        <v>1.0958098455024774E-2</v>
      </c>
      <c r="O276" s="64">
        <f t="shared" si="119"/>
        <v>1.3692614796577997E-2</v>
      </c>
      <c r="P276" s="57" t="s">
        <v>21</v>
      </c>
      <c r="Q276" s="67" t="s">
        <v>21</v>
      </c>
      <c r="R276" s="96" t="s">
        <v>21</v>
      </c>
      <c r="S276" s="76" t="s">
        <v>21</v>
      </c>
      <c r="T276" s="64" t="str">
        <f t="shared" si="98"/>
        <v/>
      </c>
      <c r="V276" s="116">
        <v>1.15175553</v>
      </c>
      <c r="W276" s="108">
        <v>2.9522832600000002</v>
      </c>
      <c r="X276" s="108">
        <v>4.5776934699999998</v>
      </c>
      <c r="Y276" s="108">
        <v>6.0088703900000002</v>
      </c>
      <c r="Z276" s="117">
        <v>7.8199146700000002</v>
      </c>
      <c r="AA276" s="67"/>
      <c r="AB276" s="74">
        <v>2.4724982279546819E-2</v>
      </c>
      <c r="AC276" s="76">
        <v>3.2303659995188187E-2</v>
      </c>
      <c r="AD276" s="76">
        <v>3.7768538417662249E-2</v>
      </c>
      <c r="AE276" s="76">
        <v>4.0761290155024776E-2</v>
      </c>
      <c r="AF276" s="64">
        <v>4.4863413096577993E-2</v>
      </c>
      <c r="AG276" s="76" t="s">
        <v>21</v>
      </c>
      <c r="AH276" s="76">
        <v>3.9935707951881906E-3</v>
      </c>
      <c r="AI276" s="76">
        <v>8.8068672176622471E-3</v>
      </c>
      <c r="AJ276" s="76">
        <v>1.0958098455024774E-2</v>
      </c>
      <c r="AK276" s="64">
        <v>1.3692614796577997E-2</v>
      </c>
    </row>
    <row r="277" spans="2:37" x14ac:dyDescent="0.35">
      <c r="B277" s="53"/>
      <c r="C277" s="53"/>
      <c r="D277" s="53"/>
      <c r="E277" s="53"/>
      <c r="P277" s="128"/>
      <c r="Q277" s="128"/>
      <c r="R277" s="44"/>
      <c r="S277" s="128"/>
      <c r="T277" s="53"/>
      <c r="V277" s="72"/>
      <c r="W277" s="72"/>
      <c r="X277" s="72"/>
      <c r="Y277" s="72"/>
      <c r="Z277" s="72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</row>
    <row r="278" spans="2:37" ht="15.5" x14ac:dyDescent="0.35">
      <c r="B278" s="122" t="s">
        <v>179</v>
      </c>
      <c r="C278" s="53"/>
      <c r="D278" s="53"/>
      <c r="E278" s="53"/>
      <c r="P278" s="53"/>
      <c r="Q278" s="53"/>
      <c r="R278" s="94"/>
      <c r="S278" s="71"/>
      <c r="T278" s="71"/>
      <c r="V278" s="72"/>
      <c r="W278" s="72"/>
      <c r="X278" s="72"/>
      <c r="Y278" s="72"/>
      <c r="Z278" s="72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</row>
    <row r="279" spans="2:37" x14ac:dyDescent="0.35">
      <c r="B279" s="85" t="s">
        <v>5</v>
      </c>
      <c r="C279" s="84" t="s">
        <v>6</v>
      </c>
      <c r="D279" s="84" t="s">
        <v>7</v>
      </c>
      <c r="E279" s="84" t="s">
        <v>8</v>
      </c>
      <c r="F279" s="6" t="s">
        <v>9</v>
      </c>
      <c r="G279" s="7" t="s">
        <v>10</v>
      </c>
      <c r="H279" s="7" t="s">
        <v>11</v>
      </c>
      <c r="I279" s="7" t="s">
        <v>12</v>
      </c>
      <c r="J279" s="8" t="s">
        <v>13</v>
      </c>
      <c r="K279" s="6" t="s">
        <v>9</v>
      </c>
      <c r="L279" s="7" t="s">
        <v>10</v>
      </c>
      <c r="M279" s="7" t="s">
        <v>11</v>
      </c>
      <c r="N279" s="7" t="s">
        <v>12</v>
      </c>
      <c r="O279" s="8" t="s">
        <v>13</v>
      </c>
      <c r="P279" s="70" t="s">
        <v>14</v>
      </c>
      <c r="Q279" s="58" t="s">
        <v>15</v>
      </c>
      <c r="R279" s="58" t="s">
        <v>16</v>
      </c>
      <c r="S279" s="58" t="s">
        <v>17</v>
      </c>
      <c r="T279" s="58" t="s">
        <v>18</v>
      </c>
      <c r="V279" s="110" t="s">
        <v>9</v>
      </c>
      <c r="W279" s="106" t="s">
        <v>10</v>
      </c>
      <c r="X279" s="106" t="s">
        <v>11</v>
      </c>
      <c r="Y279" s="106" t="s">
        <v>12</v>
      </c>
      <c r="Z279" s="111" t="s">
        <v>13</v>
      </c>
      <c r="AB279" s="83" t="s">
        <v>9</v>
      </c>
      <c r="AC279" s="82" t="s">
        <v>10</v>
      </c>
      <c r="AD279" s="82" t="s">
        <v>11</v>
      </c>
      <c r="AE279" s="82" t="s">
        <v>12</v>
      </c>
      <c r="AF279" s="81" t="s">
        <v>13</v>
      </c>
      <c r="AG279" s="83" t="s">
        <v>9</v>
      </c>
      <c r="AH279" s="82" t="s">
        <v>10</v>
      </c>
      <c r="AI279" s="82" t="s">
        <v>11</v>
      </c>
      <c r="AJ279" s="82" t="s">
        <v>12</v>
      </c>
      <c r="AK279" s="81" t="s">
        <v>13</v>
      </c>
    </row>
    <row r="280" spans="2:37" x14ac:dyDescent="0.35">
      <c r="B280" s="56" t="s">
        <v>180</v>
      </c>
      <c r="C280" s="53" t="s">
        <v>234</v>
      </c>
      <c r="D280" s="66" t="s">
        <v>47</v>
      </c>
      <c r="E280" s="66" t="s">
        <v>577</v>
      </c>
      <c r="F280" s="73" t="str">
        <f>IF(ISNUMBER(AB280),AB280-((C$4-C$3)/V280),"")</f>
        <v/>
      </c>
      <c r="G280" s="60">
        <f>IF(ISNUMBER(AC280),AC280-((D$4-D$3)/W280),"")</f>
        <v>3.229423379394343E-2</v>
      </c>
      <c r="H280" s="60">
        <f>IF(ISNUMBER(AD280),AD280-((E$4-E$3)/X280),"")</f>
        <v>3.686863303937514E-2</v>
      </c>
      <c r="I280" s="60">
        <f>IF(ISNUMBER(AE280),AE280-((F$4-F$3)/Y280),"")</f>
        <v>4.0512559312256863E-2</v>
      </c>
      <c r="J280" s="63">
        <f>IF(ISNUMBER(AF280),AF280-((G$4-G$3)/Z280),"")</f>
        <v>4.4291426872633481E-2</v>
      </c>
      <c r="K280" s="60" t="str">
        <f>IF(ISNUMBER(AG280),IF(AG280-((C$4-C$3)/V280)&lt;0,"",AG280-((C$4-C$3)/V280)),"")</f>
        <v/>
      </c>
      <c r="L280" s="60">
        <f>IF(ISNUMBER(AH280),IF(AH280-((D$4-D$3)/W280)&lt;0,"",AH280-((D$4-D$3)/W280)),"")</f>
        <v>4.0031525939434294E-3</v>
      </c>
      <c r="M280" s="60">
        <f>IF(ISNUMBER(AI280),IF(AI280-((E$4-E$3)/X280)&lt;0,"",AI280-((E$4-E$3)/X280)),"")</f>
        <v>7.9429574393751409E-3</v>
      </c>
      <c r="N280" s="60">
        <f>IF(ISNUMBER(AJ280),IF(AJ280-((F$4-F$3)/Y280)&lt;0,"",AJ280-((F$4-F$3)/Y280)),"")</f>
        <v>1.0745823412256873E-2</v>
      </c>
      <c r="O280" s="63">
        <f>IF(ISNUMBER(AK280),IF(AK280-((G$4-G$3)/Z280)&lt;0,"",AK280-((G$4-G$3)/Z280)),"")</f>
        <v>1.3174264172633489E-2</v>
      </c>
      <c r="P280" s="56" t="s">
        <v>578</v>
      </c>
      <c r="Q280" s="66" t="s">
        <v>579</v>
      </c>
      <c r="R280" s="100" t="s">
        <v>32</v>
      </c>
      <c r="S280" s="80">
        <v>3.2252349999999999E-2</v>
      </c>
      <c r="T280" s="63">
        <f t="shared" ref="T280:T286" si="184">IF(S280="","",H280-S280)</f>
        <v>4.6162830393751408E-3</v>
      </c>
      <c r="V280" s="114">
        <v>1.1524311700000001</v>
      </c>
      <c r="W280" s="72">
        <v>2.9575923799999999</v>
      </c>
      <c r="X280" s="72">
        <v>4.5960290199999996</v>
      </c>
      <c r="Y280" s="72">
        <v>6.04556147</v>
      </c>
      <c r="Z280" s="115">
        <v>7.9035785600000006</v>
      </c>
      <c r="AB280" s="75" t="s">
        <v>21</v>
      </c>
      <c r="AC280" s="80">
        <v>3.229423379394343E-2</v>
      </c>
      <c r="AD280" s="80">
        <v>3.686863303937514E-2</v>
      </c>
      <c r="AE280" s="80">
        <v>4.0512559312256863E-2</v>
      </c>
      <c r="AF280" s="62">
        <v>4.4291426872633481E-2</v>
      </c>
      <c r="AG280" s="80" t="s">
        <v>21</v>
      </c>
      <c r="AH280" s="80">
        <v>4.0031525939434294E-3</v>
      </c>
      <c r="AI280" s="80">
        <v>7.9429574393751409E-3</v>
      </c>
      <c r="AJ280" s="80">
        <v>1.0745823412256873E-2</v>
      </c>
      <c r="AK280" s="62">
        <v>1.3174264172633489E-2</v>
      </c>
    </row>
    <row r="281" spans="2:37" s="53" customFormat="1" x14ac:dyDescent="0.35">
      <c r="B281" s="55" t="s">
        <v>271</v>
      </c>
      <c r="C281" s="53" t="s">
        <v>234</v>
      </c>
      <c r="D281" s="53" t="s">
        <v>20</v>
      </c>
      <c r="E281" s="53" t="s">
        <v>580</v>
      </c>
      <c r="F281" s="73" t="str">
        <f t="shared" ref="F281" si="185">IF(ISNUMBER(AB281),AB281-((C$4-C$3)/V281),"")</f>
        <v/>
      </c>
      <c r="G281" s="60">
        <f t="shared" ref="G281" si="186">IF(ISNUMBER(AC281),AC281-((D$4-D$3)/W281),"")</f>
        <v>3.3880629769552424E-2</v>
      </c>
      <c r="H281" s="60">
        <f t="shared" ref="H281" si="187">IF(ISNUMBER(AD281),AD281-((E$4-E$3)/X281),"")</f>
        <v>3.7275934693788239E-2</v>
      </c>
      <c r="I281" s="60">
        <f t="shared" ref="I281" si="188">IF(ISNUMBER(AE281),AE281-((F$4-F$3)/Y281),"")</f>
        <v>4.0053152635570223E-2</v>
      </c>
      <c r="J281" s="63">
        <f t="shared" ref="J281" si="189">IF(ISNUMBER(AF281),AF281-((G$4-G$3)/Z281),"")</f>
        <v>4.236092859227375E-2</v>
      </c>
      <c r="K281" s="60" t="str">
        <f t="shared" ref="K281" si="190">IF(ISNUMBER(AG281),IF(AG281-((C$4-C$3)/V281)&lt;0,"",AG281-((C$4-C$3)/V281)),"")</f>
        <v/>
      </c>
      <c r="L281" s="60">
        <f t="shared" ref="L281" si="191">IF(ISNUMBER(AH281),IF(AH281-((D$4-D$3)/W281)&lt;0,"",AH281-((D$4-D$3)/W281)),"")</f>
        <v>5.5585246695524252E-3</v>
      </c>
      <c r="M281" s="60">
        <f t="shared" ref="M281" si="192">IF(ISNUMBER(AI281),IF(AI281-((E$4-E$3)/X281)&lt;0,"",AI281-((E$4-E$3)/X281)),"")</f>
        <v>8.355566993788241E-3</v>
      </c>
      <c r="N281" s="60">
        <f t="shared" ref="N281" si="193">IF(ISNUMBER(AJ281),IF(AJ281-((F$4-F$3)/Y281)&lt;0,"",AJ281-((F$4-F$3)/Y281)),"")</f>
        <v>1.0315875535570233E-2</v>
      </c>
      <c r="O281" s="63">
        <f t="shared" ref="O281" si="194">IF(ISNUMBER(AK281),IF(AK281-((G$4-G$3)/Z281)&lt;0,"",AK281-((G$4-G$3)/Z281)),"")</f>
        <v>1.1301739092273753E-2</v>
      </c>
      <c r="P281" s="55" t="s">
        <v>581</v>
      </c>
      <c r="Q281" s="53" t="s">
        <v>582</v>
      </c>
      <c r="R281" s="94" t="s">
        <v>32</v>
      </c>
      <c r="S281" s="71">
        <v>2.9385170000000002E-2</v>
      </c>
      <c r="T281" s="63">
        <f t="shared" ref="T281" si="195">IF(S281="","",H281-S281)</f>
        <v>7.8907646937882367E-3</v>
      </c>
      <c r="V281" s="114">
        <v>1.1508867700000001</v>
      </c>
      <c r="W281" s="72">
        <v>2.9471101399999999</v>
      </c>
      <c r="X281" s="72">
        <v>4.5843747300000004</v>
      </c>
      <c r="Y281" s="72">
        <v>6.0483466200000002</v>
      </c>
      <c r="Z281" s="115">
        <v>7.9702147900000009</v>
      </c>
      <c r="AB281" s="73" t="s">
        <v>21</v>
      </c>
      <c r="AC281" s="71">
        <v>3.3880629769552424E-2</v>
      </c>
      <c r="AD281" s="71">
        <v>3.7275934693788239E-2</v>
      </c>
      <c r="AE281" s="71">
        <v>4.0053152635570223E-2</v>
      </c>
      <c r="AF281" s="63">
        <v>4.236092859227375E-2</v>
      </c>
      <c r="AG281" s="71" t="s">
        <v>21</v>
      </c>
      <c r="AH281" s="71">
        <v>5.5585246695524252E-3</v>
      </c>
      <c r="AI281" s="71">
        <v>8.355566993788241E-3</v>
      </c>
      <c r="AJ281" s="71">
        <v>1.0315875535570233E-2</v>
      </c>
      <c r="AK281" s="63">
        <v>1.1301739092273753E-2</v>
      </c>
    </row>
    <row r="282" spans="2:37" x14ac:dyDescent="0.35">
      <c r="B282" s="55" t="s">
        <v>182</v>
      </c>
      <c r="C282" s="53" t="s">
        <v>234</v>
      </c>
      <c r="D282" s="53" t="s">
        <v>69</v>
      </c>
      <c r="E282" s="53" t="s">
        <v>272</v>
      </c>
      <c r="F282" s="73" t="str">
        <f t="shared" ref="F282:F286" si="196">IF(ISNUMBER(AB282),AB282-((C$4-C$3)/V282),"")</f>
        <v/>
      </c>
      <c r="G282" s="60">
        <f t="shared" ref="G282:G286" si="197">IF(ISNUMBER(AC282),AC282-((D$4-D$3)/W282),"")</f>
        <v>3.0907021358858807E-2</v>
      </c>
      <c r="H282" s="60">
        <f t="shared" ref="H282:H286" si="198">IF(ISNUMBER(AD282),AD282-((E$4-E$3)/X282),"")</f>
        <v>3.4581644240925219E-2</v>
      </c>
      <c r="I282" s="60">
        <f t="shared" ref="I282:I286" si="199">IF(ISNUMBER(AE282),AE282-((F$4-F$3)/Y282),"")</f>
        <v>3.7493221162029619E-2</v>
      </c>
      <c r="J282" s="63">
        <f t="shared" ref="J282:J286" si="200">IF(ISNUMBER(AF282),AF282-((G$4-G$3)/Z282),"")</f>
        <v>4.0409666111785994E-2</v>
      </c>
      <c r="K282" s="60" t="str">
        <f t="shared" ref="K282:K286" si="201">IF(ISNUMBER(AG282),IF(AG282-((C$4-C$3)/V282)&lt;0,"",AG282-((C$4-C$3)/V282)),"")</f>
        <v/>
      </c>
      <c r="L282" s="60">
        <f t="shared" ref="L282:L286" si="202">IF(ISNUMBER(AH282),IF(AH282-((D$4-D$3)/W282)&lt;0,"",AH282-((D$4-D$3)/W282)),"")</f>
        <v>2.6587377588588026E-3</v>
      </c>
      <c r="M282" s="60">
        <f t="shared" ref="M282:M286" si="203">IF(ISNUMBER(AI282),IF(AI282-((E$4-E$3)/X282)&lt;0,"",AI282-((E$4-E$3)/X282)),"")</f>
        <v>5.7234969409252221E-3</v>
      </c>
      <c r="N282" s="60">
        <f t="shared" ref="N282:N286" si="204">IF(ISNUMBER(AJ282),IF(AJ282-((F$4-F$3)/Y282)&lt;0,"",AJ282-((F$4-F$3)/Y282)),"")</f>
        <v>7.8115690620296279E-3</v>
      </c>
      <c r="O282" s="63">
        <f t="shared" ref="O282:O286" si="205">IF(ISNUMBER(AK282),IF(AK282-((G$4-G$3)/Z282)&lt;0,"",AK282-((G$4-G$3)/Z282)),"")</f>
        <v>9.3811575117859966E-3</v>
      </c>
      <c r="P282" s="55" t="s">
        <v>583</v>
      </c>
      <c r="Q282" s="53" t="s">
        <v>584</v>
      </c>
      <c r="R282" s="94" t="s">
        <v>32</v>
      </c>
      <c r="S282" s="71">
        <v>2.8684630000000003E-2</v>
      </c>
      <c r="T282" s="63">
        <f t="shared" si="184"/>
        <v>5.8970142409252163E-3</v>
      </c>
      <c r="V282" s="114">
        <v>1.15358373</v>
      </c>
      <c r="W282" s="72">
        <v>2.9683599699999998</v>
      </c>
      <c r="X282" s="72">
        <v>4.6330202800000002</v>
      </c>
      <c r="Y282" s="72">
        <v>6.1284967000000004</v>
      </c>
      <c r="Z282" s="115">
        <v>8.09094655</v>
      </c>
      <c r="AB282" s="73" t="s">
        <v>21</v>
      </c>
      <c r="AC282" s="71">
        <v>3.0907021358858807E-2</v>
      </c>
      <c r="AD282" s="71">
        <v>3.4581644240925219E-2</v>
      </c>
      <c r="AE282" s="71">
        <v>3.7493221162029619E-2</v>
      </c>
      <c r="AF282" s="63">
        <v>4.0409666111785994E-2</v>
      </c>
      <c r="AG282" s="71" t="s">
        <v>21</v>
      </c>
      <c r="AH282" s="71">
        <v>2.6587377588588026E-3</v>
      </c>
      <c r="AI282" s="71">
        <v>5.7234969409252221E-3</v>
      </c>
      <c r="AJ282" s="71">
        <v>7.8115690620296279E-3</v>
      </c>
      <c r="AK282" s="63">
        <v>9.3811575117859966E-3</v>
      </c>
    </row>
    <row r="283" spans="2:37" x14ac:dyDescent="0.35">
      <c r="B283" s="55" t="s">
        <v>183</v>
      </c>
      <c r="C283" s="53" t="s">
        <v>234</v>
      </c>
      <c r="D283" s="53" t="s">
        <v>184</v>
      </c>
      <c r="E283" s="53" t="s">
        <v>323</v>
      </c>
      <c r="F283" s="73" t="str">
        <f t="shared" si="196"/>
        <v/>
      </c>
      <c r="G283" s="60">
        <f t="shared" si="197"/>
        <v>3.1940647427827457E-2</v>
      </c>
      <c r="H283" s="60">
        <f t="shared" si="198"/>
        <v>3.6271738731990598E-2</v>
      </c>
      <c r="I283" s="60">
        <f t="shared" si="199"/>
        <v>4.0396431337502578E-2</v>
      </c>
      <c r="J283" s="63">
        <f t="shared" si="200"/>
        <v>4.4762496025461257E-2</v>
      </c>
      <c r="K283" s="60" t="str">
        <f t="shared" si="201"/>
        <v/>
      </c>
      <c r="L283" s="60">
        <f t="shared" si="202"/>
        <v>3.6613817278274554E-3</v>
      </c>
      <c r="M283" s="60">
        <f t="shared" si="203"/>
        <v>7.3652260319905976E-3</v>
      </c>
      <c r="N283" s="60">
        <f t="shared" si="204"/>
        <v>1.0633367437502581E-2</v>
      </c>
      <c r="O283" s="63">
        <f t="shared" si="205"/>
        <v>1.3633240825461263E-2</v>
      </c>
      <c r="P283" s="55" t="s">
        <v>585</v>
      </c>
      <c r="Q283" s="53" t="s">
        <v>586</v>
      </c>
      <c r="R283" s="94" t="s">
        <v>32</v>
      </c>
      <c r="S283" s="71">
        <v>3.5326240000000002E-2</v>
      </c>
      <c r="T283" s="63">
        <f t="shared" si="184"/>
        <v>9.4549873199059609E-4</v>
      </c>
      <c r="V283" s="114">
        <v>1.1535405599999999</v>
      </c>
      <c r="W283" s="72">
        <v>2.9617725099999999</v>
      </c>
      <c r="X283" s="72">
        <v>4.6068917899999997</v>
      </c>
      <c r="Y283" s="72">
        <v>6.0591124199999999</v>
      </c>
      <c r="Z283" s="115">
        <v>7.9051950999999994</v>
      </c>
      <c r="AB283" s="73" t="s">
        <v>21</v>
      </c>
      <c r="AC283" s="71">
        <v>3.1940647427827457E-2</v>
      </c>
      <c r="AD283" s="71">
        <v>3.6271738731990598E-2</v>
      </c>
      <c r="AE283" s="71">
        <v>4.0396431337502578E-2</v>
      </c>
      <c r="AF283" s="63">
        <v>4.4762496025461257E-2</v>
      </c>
      <c r="AG283" s="71" t="s">
        <v>21</v>
      </c>
      <c r="AH283" s="71">
        <v>3.6613817278274554E-3</v>
      </c>
      <c r="AI283" s="71">
        <v>7.3652260319905976E-3</v>
      </c>
      <c r="AJ283" s="71">
        <v>1.0633367437502581E-2</v>
      </c>
      <c r="AK283" s="63">
        <v>1.3633240825461263E-2</v>
      </c>
    </row>
    <row r="284" spans="2:37" x14ac:dyDescent="0.35">
      <c r="B284" s="55" t="s">
        <v>185</v>
      </c>
      <c r="C284" s="53" t="s">
        <v>234</v>
      </c>
      <c r="D284" s="53" t="s">
        <v>53</v>
      </c>
      <c r="E284" s="53" t="s">
        <v>181</v>
      </c>
      <c r="F284" s="73" t="str">
        <f t="shared" si="196"/>
        <v/>
      </c>
      <c r="G284" s="60">
        <f t="shared" si="197"/>
        <v>3.0923044904896457E-2</v>
      </c>
      <c r="H284" s="60">
        <f t="shared" si="198"/>
        <v>3.4584936594334759E-2</v>
      </c>
      <c r="I284" s="60">
        <f t="shared" si="199"/>
        <v>3.7714610348657099E-2</v>
      </c>
      <c r="J284" s="63">
        <f t="shared" si="200"/>
        <v>4.0742814307531475E-2</v>
      </c>
      <c r="K284" s="60" t="str">
        <f t="shared" si="201"/>
        <v/>
      </c>
      <c r="L284" s="60">
        <f t="shared" si="202"/>
        <v>2.6735346048964584E-3</v>
      </c>
      <c r="M284" s="60">
        <f t="shared" si="203"/>
        <v>5.7262658943347594E-3</v>
      </c>
      <c r="N284" s="60">
        <f t="shared" si="204"/>
        <v>8.0268333486571003E-3</v>
      </c>
      <c r="O284" s="63">
        <f t="shared" si="205"/>
        <v>9.7081455075314765E-3</v>
      </c>
      <c r="P284" s="55" t="s">
        <v>587</v>
      </c>
      <c r="Q284" s="53" t="s">
        <v>588</v>
      </c>
      <c r="R284" s="94" t="s">
        <v>32</v>
      </c>
      <c r="S284" s="71">
        <v>2.9641640000000004E-2</v>
      </c>
      <c r="T284" s="63">
        <f t="shared" si="184"/>
        <v>4.9432965943347548E-3</v>
      </c>
      <c r="V284" s="114">
        <v>1.1539702000000001</v>
      </c>
      <c r="W284" s="72">
        <v>2.96895204</v>
      </c>
      <c r="X284" s="72">
        <v>4.6335175700000004</v>
      </c>
      <c r="Y284" s="72">
        <v>6.1259341200000001</v>
      </c>
      <c r="Z284" s="115">
        <v>8.0789118200000001</v>
      </c>
      <c r="AB284" s="73" t="s">
        <v>21</v>
      </c>
      <c r="AC284" s="71">
        <v>3.0923044904896457E-2</v>
      </c>
      <c r="AD284" s="71">
        <v>3.4584936594334759E-2</v>
      </c>
      <c r="AE284" s="71">
        <v>3.7714610348657099E-2</v>
      </c>
      <c r="AF284" s="63">
        <v>4.0742814307531475E-2</v>
      </c>
      <c r="AG284" s="71" t="s">
        <v>21</v>
      </c>
      <c r="AH284" s="71">
        <v>2.6735346048964584E-3</v>
      </c>
      <c r="AI284" s="71">
        <v>5.7262658943347594E-3</v>
      </c>
      <c r="AJ284" s="71">
        <v>8.0268333486571003E-3</v>
      </c>
      <c r="AK284" s="63">
        <v>9.7081455075314765E-3</v>
      </c>
    </row>
    <row r="285" spans="2:37" x14ac:dyDescent="0.35">
      <c r="B285" s="55" t="s">
        <v>186</v>
      </c>
      <c r="C285" s="53" t="s">
        <v>234</v>
      </c>
      <c r="D285" s="53" t="s">
        <v>31</v>
      </c>
      <c r="E285" s="53" t="s">
        <v>589</v>
      </c>
      <c r="F285" s="73" t="str">
        <f t="shared" si="196"/>
        <v/>
      </c>
      <c r="G285" s="60">
        <f t="shared" si="197"/>
        <v>3.1798659453555311E-2</v>
      </c>
      <c r="H285" s="60">
        <f t="shared" si="198"/>
        <v>3.6070247963367247E-2</v>
      </c>
      <c r="I285" s="60">
        <f t="shared" si="199"/>
        <v>3.9510980329413893E-2</v>
      </c>
      <c r="J285" s="63">
        <f t="shared" si="200"/>
        <v>4.3009545420894954E-2</v>
      </c>
      <c r="K285" s="60" t="str">
        <f t="shared" si="201"/>
        <v/>
      </c>
      <c r="L285" s="60">
        <f t="shared" si="202"/>
        <v>3.5238037535553065E-3</v>
      </c>
      <c r="M285" s="60">
        <f t="shared" si="203"/>
        <v>7.1696935633672508E-3</v>
      </c>
      <c r="N285" s="60">
        <f t="shared" si="204"/>
        <v>9.7747612294139009E-3</v>
      </c>
      <c r="O285" s="63">
        <f t="shared" si="205"/>
        <v>1.1925436220894953E-2</v>
      </c>
      <c r="P285" s="55" t="s">
        <v>590</v>
      </c>
      <c r="Q285" s="53" t="s">
        <v>591</v>
      </c>
      <c r="R285" s="94" t="s">
        <v>32</v>
      </c>
      <c r="S285" s="71">
        <v>3.1024449999999999E-2</v>
      </c>
      <c r="T285" s="63">
        <f t="shared" si="184"/>
        <v>5.0457979633672483E-3</v>
      </c>
      <c r="V285" s="114">
        <v>1.1530222999999999</v>
      </c>
      <c r="W285" s="72">
        <v>2.9617414399999999</v>
      </c>
      <c r="X285" s="72">
        <v>4.6092746599999996</v>
      </c>
      <c r="Y285" s="72">
        <v>6.0739503099999999</v>
      </c>
      <c r="Z285" s="115">
        <v>7.9657549100000002</v>
      </c>
      <c r="AB285" s="73" t="s">
        <v>21</v>
      </c>
      <c r="AC285" s="71">
        <v>3.1798659453555311E-2</v>
      </c>
      <c r="AD285" s="71">
        <v>3.6070247963367247E-2</v>
      </c>
      <c r="AE285" s="71">
        <v>3.9510980329413893E-2</v>
      </c>
      <c r="AF285" s="63">
        <v>4.3009545420894954E-2</v>
      </c>
      <c r="AG285" s="71" t="s">
        <v>21</v>
      </c>
      <c r="AH285" s="71">
        <v>3.5238037535553065E-3</v>
      </c>
      <c r="AI285" s="71">
        <v>7.1696935633672508E-3</v>
      </c>
      <c r="AJ285" s="71">
        <v>9.7747612294139009E-3</v>
      </c>
      <c r="AK285" s="63">
        <v>1.1925436220894953E-2</v>
      </c>
    </row>
    <row r="286" spans="2:37" x14ac:dyDescent="0.35">
      <c r="B286" s="57" t="s">
        <v>187</v>
      </c>
      <c r="C286" s="67" t="s">
        <v>234</v>
      </c>
      <c r="D286" s="67" t="s">
        <v>140</v>
      </c>
      <c r="E286" s="67" t="s">
        <v>592</v>
      </c>
      <c r="F286" s="74" t="str">
        <f t="shared" si="196"/>
        <v/>
      </c>
      <c r="G286" s="76">
        <f t="shared" si="197"/>
        <v>3.0857731115475028E-2</v>
      </c>
      <c r="H286" s="76">
        <f t="shared" si="198"/>
        <v>3.4314171590253635E-2</v>
      </c>
      <c r="I286" s="76">
        <f t="shared" si="199"/>
        <v>3.78788902093221E-2</v>
      </c>
      <c r="J286" s="64">
        <f t="shared" si="200"/>
        <v>4.0962222729746783E-2</v>
      </c>
      <c r="K286" s="76" t="str">
        <f t="shared" si="201"/>
        <v/>
      </c>
      <c r="L286" s="76">
        <f t="shared" si="202"/>
        <v>2.6095727154750292E-3</v>
      </c>
      <c r="M286" s="76">
        <f t="shared" si="203"/>
        <v>5.4624230902536363E-3</v>
      </c>
      <c r="N286" s="76">
        <f t="shared" si="204"/>
        <v>8.1858910093220993E-3</v>
      </c>
      <c r="O286" s="64">
        <f t="shared" si="205"/>
        <v>9.923993929746782E-3</v>
      </c>
      <c r="P286" s="57" t="s">
        <v>593</v>
      </c>
      <c r="Q286" s="67" t="s">
        <v>594</v>
      </c>
      <c r="R286" s="96" t="s">
        <v>32</v>
      </c>
      <c r="S286" s="76">
        <v>2.828806E-2</v>
      </c>
      <c r="T286" s="64">
        <f t="shared" si="184"/>
        <v>6.0261115902536348E-3</v>
      </c>
      <c r="V286" s="116">
        <v>1.15415837</v>
      </c>
      <c r="W286" s="108">
        <v>2.9697033099999999</v>
      </c>
      <c r="X286" s="108">
        <v>4.6371891200000004</v>
      </c>
      <c r="Y286" s="108">
        <v>6.1280521400000003</v>
      </c>
      <c r="Z286" s="117">
        <v>8.0739745599999999</v>
      </c>
      <c r="AB286" s="74" t="s">
        <v>21</v>
      </c>
      <c r="AC286" s="76">
        <v>3.0857731115475028E-2</v>
      </c>
      <c r="AD286" s="76">
        <v>3.4314171590253635E-2</v>
      </c>
      <c r="AE286" s="76">
        <v>3.78788902093221E-2</v>
      </c>
      <c r="AF286" s="64">
        <v>4.0962222729746783E-2</v>
      </c>
      <c r="AG286" s="76" t="s">
        <v>21</v>
      </c>
      <c r="AH286" s="76">
        <v>2.6095727154750292E-3</v>
      </c>
      <c r="AI286" s="76">
        <v>5.4624230902536363E-3</v>
      </c>
      <c r="AJ286" s="76">
        <v>8.1858910093220993E-3</v>
      </c>
      <c r="AK286" s="64">
        <v>9.923993929746782E-3</v>
      </c>
    </row>
    <row r="287" spans="2:37" x14ac:dyDescent="0.35">
      <c r="B287" s="53"/>
      <c r="C287" s="53"/>
      <c r="D287" s="53"/>
      <c r="E287" s="53"/>
      <c r="P287" s="53"/>
      <c r="Q287" s="53"/>
      <c r="R287" s="53"/>
      <c r="S287" s="53"/>
      <c r="T287" s="53"/>
      <c r="V287" s="72"/>
      <c r="W287" s="72"/>
      <c r="X287" s="72"/>
      <c r="Y287" s="72"/>
      <c r="Z287" s="72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</row>
    <row r="288" spans="2:37" ht="15.5" x14ac:dyDescent="0.35">
      <c r="B288" s="122" t="s">
        <v>188</v>
      </c>
      <c r="C288" s="53"/>
      <c r="D288" s="53"/>
      <c r="E288" s="53"/>
      <c r="P288" s="53"/>
      <c r="Q288" s="53"/>
      <c r="R288" s="94"/>
      <c r="S288" s="71"/>
      <c r="T288" s="71"/>
      <c r="V288" s="72"/>
      <c r="W288" s="72"/>
      <c r="X288" s="72"/>
      <c r="Y288" s="72"/>
      <c r="Z288" s="72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</row>
    <row r="289" spans="1:38" x14ac:dyDescent="0.35">
      <c r="B289" s="85" t="s">
        <v>5</v>
      </c>
      <c r="C289" s="84" t="s">
        <v>6</v>
      </c>
      <c r="D289" s="84" t="s">
        <v>7</v>
      </c>
      <c r="E289" s="84" t="s">
        <v>8</v>
      </c>
      <c r="F289" s="83" t="s">
        <v>9</v>
      </c>
      <c r="G289" s="82" t="s">
        <v>10</v>
      </c>
      <c r="H289" s="82" t="s">
        <v>11</v>
      </c>
      <c r="I289" s="82" t="s">
        <v>12</v>
      </c>
      <c r="J289" s="81" t="s">
        <v>13</v>
      </c>
      <c r="K289" s="83" t="s">
        <v>9</v>
      </c>
      <c r="L289" s="82" t="s">
        <v>10</v>
      </c>
      <c r="M289" s="82" t="s">
        <v>11</v>
      </c>
      <c r="N289" s="82" t="s">
        <v>12</v>
      </c>
      <c r="O289" s="81" t="s">
        <v>13</v>
      </c>
      <c r="P289" s="70" t="s">
        <v>14</v>
      </c>
      <c r="Q289" s="58" t="s">
        <v>15</v>
      </c>
      <c r="R289" s="58" t="s">
        <v>16</v>
      </c>
      <c r="S289" s="58" t="s">
        <v>17</v>
      </c>
      <c r="T289" s="81" t="s">
        <v>18</v>
      </c>
      <c r="V289" s="110" t="s">
        <v>9</v>
      </c>
      <c r="W289" s="106" t="s">
        <v>10</v>
      </c>
      <c r="X289" s="106" t="s">
        <v>11</v>
      </c>
      <c r="Y289" s="106" t="s">
        <v>12</v>
      </c>
      <c r="Z289" s="111" t="s">
        <v>13</v>
      </c>
      <c r="AB289" s="83" t="s">
        <v>9</v>
      </c>
      <c r="AC289" s="82" t="s">
        <v>10</v>
      </c>
      <c r="AD289" s="82" t="s">
        <v>11</v>
      </c>
      <c r="AE289" s="82" t="s">
        <v>12</v>
      </c>
      <c r="AF289" s="81" t="s">
        <v>13</v>
      </c>
      <c r="AG289" s="83" t="s">
        <v>9</v>
      </c>
      <c r="AH289" s="82" t="s">
        <v>10</v>
      </c>
      <c r="AI289" s="82" t="s">
        <v>11</v>
      </c>
      <c r="AJ289" s="82" t="s">
        <v>12</v>
      </c>
      <c r="AK289" s="81" t="s">
        <v>13</v>
      </c>
    </row>
    <row r="290" spans="1:38" x14ac:dyDescent="0.35">
      <c r="B290" s="57" t="s">
        <v>298</v>
      </c>
      <c r="C290" s="67"/>
      <c r="D290" s="69"/>
      <c r="E290" s="69"/>
      <c r="F290" s="102" t="str">
        <f t="shared" ref="F290" si="206">IF(ISNUMBER(AB290),AB290-((C$4-C$3)/V290),"")</f>
        <v/>
      </c>
      <c r="G290" s="103" t="str">
        <f t="shared" ref="G290" si="207">IF(ISNUMBER(AC290),AC290-((D$4-D$3)/W290),"")</f>
        <v/>
      </c>
      <c r="H290" s="103">
        <f t="shared" ref="H290" si="208">IF(ISNUMBER(AD290),AD290-((E$4-E$3)/X290),"")</f>
        <v>4.5125021437239544E-2</v>
      </c>
      <c r="I290" s="103" t="str">
        <f t="shared" ref="I290" si="209">IF(ISNUMBER(AE290),AE290-((F$4-F$3)/Y290),"")</f>
        <v/>
      </c>
      <c r="J290" s="104" t="str">
        <f t="shared" ref="J290" si="210">IF(ISNUMBER(AF290),AF290-((G$4-G$3)/Z290),"")</f>
        <v/>
      </c>
      <c r="K290" s="103" t="str">
        <f t="shared" ref="K290" si="211">IF(ISNUMBER(AG290),IF(AG290-((C$4-C$3)/V290)&lt;0,"",AG290-((C$4-C$3)/V290)),"")</f>
        <v/>
      </c>
      <c r="L290" s="103" t="str">
        <f t="shared" ref="L290" si="212">IF(ISNUMBER(AH290),IF(AH290-((D$4-D$3)/W290)&lt;0,"",AH290-((D$4-D$3)/W290)),"")</f>
        <v/>
      </c>
      <c r="M290" s="103">
        <f t="shared" ref="M290" si="213">IF(ISNUMBER(AI290),IF(AI290-((E$4-E$3)/X290)&lt;0,"",AI290-((E$4-E$3)/X290)),"")</f>
        <v>1.5942032737239542E-2</v>
      </c>
      <c r="N290" s="103" t="str">
        <f t="shared" ref="N290" si="214">IF(ISNUMBER(AJ290),IF(AJ290-((F$4-F$3)/Y290)&lt;0,"",AJ290-((F$4-F$3)/Y290)),"")</f>
        <v/>
      </c>
      <c r="O290" s="104" t="str">
        <f t="shared" ref="O290" si="215">IF(ISNUMBER(AK290),IF(AK290-((G$4-G$3)/Z290)&lt;0,"",AK290-((G$4-G$3)/Z290)),"")</f>
        <v/>
      </c>
      <c r="P290" s="56"/>
      <c r="Q290" s="69"/>
      <c r="R290" s="105"/>
      <c r="S290" s="103"/>
      <c r="T290" s="104"/>
      <c r="V290" s="114">
        <v>1.13400675</v>
      </c>
      <c r="W290" s="72">
        <v>2.8745713900000003</v>
      </c>
      <c r="X290" s="72">
        <v>4.4338455000000003</v>
      </c>
      <c r="Y290" s="72">
        <v>5.8104815999999992</v>
      </c>
      <c r="Z290" s="115">
        <v>7.5904377400000005</v>
      </c>
      <c r="AB290" s="102" t="s">
        <v>21</v>
      </c>
      <c r="AC290" s="103"/>
      <c r="AD290" s="103">
        <v>4.5125021437239544E-2</v>
      </c>
      <c r="AE290" s="103" t="s">
        <v>21</v>
      </c>
      <c r="AF290" s="104" t="s">
        <v>21</v>
      </c>
      <c r="AG290" s="103" t="s">
        <v>21</v>
      </c>
      <c r="AH290" s="103"/>
      <c r="AI290" s="103">
        <v>1.5942032737239542E-2</v>
      </c>
      <c r="AJ290" s="103" t="s">
        <v>21</v>
      </c>
      <c r="AK290" s="104" t="s">
        <v>21</v>
      </c>
    </row>
    <row r="291" spans="1:38" x14ac:dyDescent="0.35">
      <c r="B291" s="55" t="s">
        <v>189</v>
      </c>
      <c r="C291" s="53" t="s">
        <v>234</v>
      </c>
      <c r="D291" s="66" t="s">
        <v>190</v>
      </c>
      <c r="E291" s="66" t="s">
        <v>273</v>
      </c>
      <c r="F291" s="75" t="str">
        <f t="shared" ref="F291:F316" si="216">IF(ISNUMBER(AB291),AB291-((C$4-C$3)/V291),"")</f>
        <v/>
      </c>
      <c r="G291" s="80">
        <f t="shared" ref="G291:G316" si="217">IF(ISNUMBER(AC291),AC291-((D$4-D$3)/W291),"")</f>
        <v>3.0726762217037368E-2</v>
      </c>
      <c r="H291" s="80">
        <f t="shared" ref="H291:H316" si="218">IF(ISNUMBER(AD291),AD291-((E$4-E$3)/X291),"")</f>
        <v>3.5427446837113775E-2</v>
      </c>
      <c r="I291" s="80" t="str">
        <f t="shared" ref="I291:I316" si="219">IF(ISNUMBER(AE291),AE291-((F$4-F$3)/Y291),"")</f>
        <v/>
      </c>
      <c r="J291" s="62" t="str">
        <f t="shared" ref="J291:J316" si="220">IF(ISNUMBER(AF291),AF291-((G$4-G$3)/Z291),"")</f>
        <v/>
      </c>
      <c r="K291" s="80" t="str">
        <f t="shared" ref="K291:K316" si="221">IF(ISNUMBER(AG291),IF(AG291-((C$4-C$3)/V291)&lt;0,"",AG291-((C$4-C$3)/V291)),"")</f>
        <v/>
      </c>
      <c r="L291" s="80">
        <f t="shared" ref="L291:L316" si="222">IF(ISNUMBER(AH291),IF(AH291-((D$4-D$3)/W291)&lt;0,"",AH291-((D$4-D$3)/W291)),"")</f>
        <v>2.4813174170373745E-3</v>
      </c>
      <c r="M291" s="80">
        <f t="shared" ref="M291:M316" si="223">IF(ISNUMBER(AI291),IF(AI291-((E$4-E$3)/X291)&lt;0,"",AI291-((E$4-E$3)/X291)),"")</f>
        <v>6.5648985371137784E-3</v>
      </c>
      <c r="N291" s="80" t="str">
        <f t="shared" ref="N291:N316" si="224">IF(ISNUMBER(AJ291),IF(AJ291-((F$4-F$3)/Y291)&lt;0,"",AJ291-((F$4-F$3)/Y291)),"")</f>
        <v/>
      </c>
      <c r="O291" s="62" t="str">
        <f t="shared" ref="O291:O316" si="225">IF(ISNUMBER(AK291),IF(AK291-((G$4-G$3)/Z291)&lt;0,"",AK291-((G$4-G$3)/Z291)),"")</f>
        <v/>
      </c>
      <c r="P291" s="56" t="s">
        <v>21</v>
      </c>
      <c r="Q291" s="66" t="s">
        <v>21</v>
      </c>
      <c r="R291" s="100" t="s">
        <v>21</v>
      </c>
      <c r="S291" s="80" t="s">
        <v>21</v>
      </c>
      <c r="T291" s="63" t="str">
        <f t="shared" ref="T291:T316" si="226">IF(S291="","",H291-S291)</f>
        <v/>
      </c>
      <c r="V291" s="114">
        <v>1.1538492500000002</v>
      </c>
      <c r="W291" s="72">
        <v>2.9699996400000002</v>
      </c>
      <c r="X291" s="72">
        <v>4.6347422600000003</v>
      </c>
      <c r="Y291" s="72">
        <v>6.1240171400000003</v>
      </c>
      <c r="Z291" s="115">
        <v>8.0717935300000008</v>
      </c>
      <c r="AB291" s="75" t="s">
        <v>21</v>
      </c>
      <c r="AC291" s="80">
        <v>3.0726762217037368E-2</v>
      </c>
      <c r="AD291" s="80">
        <v>3.5427446837113775E-2</v>
      </c>
      <c r="AE291" s="80" t="s">
        <v>21</v>
      </c>
      <c r="AF291" s="62" t="s">
        <v>21</v>
      </c>
      <c r="AG291" s="80" t="s">
        <v>21</v>
      </c>
      <c r="AH291" s="80">
        <v>2.4813174170373745E-3</v>
      </c>
      <c r="AI291" s="80">
        <v>6.5648985371137784E-3</v>
      </c>
      <c r="AJ291" s="80" t="s">
        <v>21</v>
      </c>
      <c r="AK291" s="62" t="s">
        <v>21</v>
      </c>
    </row>
    <row r="292" spans="1:38" x14ac:dyDescent="0.35">
      <c r="B292" s="55" t="s">
        <v>191</v>
      </c>
      <c r="C292" s="53" t="s">
        <v>234</v>
      </c>
      <c r="D292" s="53" t="s">
        <v>192</v>
      </c>
      <c r="E292" s="53" t="s">
        <v>595</v>
      </c>
      <c r="F292" s="73" t="str">
        <f t="shared" si="216"/>
        <v/>
      </c>
      <c r="G292" s="60">
        <f t="shared" si="217"/>
        <v>3.3661212758083009E-2</v>
      </c>
      <c r="H292" s="60">
        <f t="shared" si="218"/>
        <v>3.9276427934427968E-2</v>
      </c>
      <c r="I292" s="60" t="str">
        <f t="shared" si="219"/>
        <v/>
      </c>
      <c r="J292" s="63" t="str">
        <f t="shared" si="220"/>
        <v/>
      </c>
      <c r="K292" s="60" t="str">
        <f t="shared" si="221"/>
        <v/>
      </c>
      <c r="L292" s="60">
        <f t="shared" si="222"/>
        <v>5.3263083580830086E-3</v>
      </c>
      <c r="M292" s="60">
        <f t="shared" si="223"/>
        <v>1.0296394134427959E-2</v>
      </c>
      <c r="N292" s="60" t="str">
        <f t="shared" si="224"/>
        <v/>
      </c>
      <c r="O292" s="63" t="str">
        <f t="shared" si="225"/>
        <v/>
      </c>
      <c r="P292" s="55" t="s">
        <v>596</v>
      </c>
      <c r="Q292" s="53" t="s">
        <v>597</v>
      </c>
      <c r="R292" s="94" t="s">
        <v>32</v>
      </c>
      <c r="S292" s="71">
        <v>3.7169729999999998E-2</v>
      </c>
      <c r="T292" s="63">
        <f t="shared" si="226"/>
        <v>2.1066979344279702E-3</v>
      </c>
      <c r="V292" s="114">
        <v>1.1492278200000001</v>
      </c>
      <c r="W292" s="72">
        <v>2.9456009500000002</v>
      </c>
      <c r="X292" s="72">
        <v>4.5698840800000005</v>
      </c>
      <c r="Y292" s="72">
        <v>6.0034098399999998</v>
      </c>
      <c r="Z292" s="115">
        <v>7.8399915599999996</v>
      </c>
      <c r="AB292" s="73" t="s">
        <v>21</v>
      </c>
      <c r="AC292" s="71">
        <v>3.3661212758083009E-2</v>
      </c>
      <c r="AD292" s="71">
        <v>3.9276427934427968E-2</v>
      </c>
      <c r="AE292" s="71" t="s">
        <v>21</v>
      </c>
      <c r="AF292" s="63" t="s">
        <v>21</v>
      </c>
      <c r="AG292" s="71" t="s">
        <v>21</v>
      </c>
      <c r="AH292" s="71">
        <v>5.3263083580830086E-3</v>
      </c>
      <c r="AI292" s="71">
        <v>1.0296394134427959E-2</v>
      </c>
      <c r="AJ292" s="71" t="s">
        <v>21</v>
      </c>
      <c r="AK292" s="63" t="s">
        <v>21</v>
      </c>
    </row>
    <row r="293" spans="1:38" x14ac:dyDescent="0.35">
      <c r="B293" s="55" t="s">
        <v>194</v>
      </c>
      <c r="C293" s="53" t="s">
        <v>234</v>
      </c>
      <c r="D293" s="53" t="s">
        <v>195</v>
      </c>
      <c r="E293" s="53" t="s">
        <v>294</v>
      </c>
      <c r="F293" s="73" t="str">
        <f t="shared" si="216"/>
        <v/>
      </c>
      <c r="G293" s="60">
        <f t="shared" si="217"/>
        <v>3.0776439483416202E-2</v>
      </c>
      <c r="H293" s="60">
        <f t="shared" si="218"/>
        <v>3.546574718046664E-2</v>
      </c>
      <c r="I293" s="60" t="str">
        <f t="shared" si="219"/>
        <v/>
      </c>
      <c r="J293" s="63" t="str">
        <f t="shared" si="220"/>
        <v/>
      </c>
      <c r="K293" s="60" t="str">
        <f t="shared" si="221"/>
        <v/>
      </c>
      <c r="L293" s="60">
        <f t="shared" si="222"/>
        <v>2.5302584834162086E-3</v>
      </c>
      <c r="M293" s="60">
        <f t="shared" si="223"/>
        <v>6.6025337804666417E-3</v>
      </c>
      <c r="N293" s="60" t="str">
        <f t="shared" si="224"/>
        <v/>
      </c>
      <c r="O293" s="63" t="str">
        <f t="shared" si="225"/>
        <v/>
      </c>
      <c r="P293" s="55" t="s">
        <v>598</v>
      </c>
      <c r="Q293" s="53" t="s">
        <v>599</v>
      </c>
      <c r="R293" s="94" t="s">
        <v>32</v>
      </c>
      <c r="S293" s="71">
        <v>3.5098329999999997E-2</v>
      </c>
      <c r="T293" s="63">
        <f t="shared" si="226"/>
        <v>3.6741718046664346E-4</v>
      </c>
      <c r="V293" s="114">
        <v>1.15350413</v>
      </c>
      <c r="W293" s="72">
        <v>2.96916673</v>
      </c>
      <c r="X293" s="72">
        <v>4.6336253100000002</v>
      </c>
      <c r="Y293" s="72">
        <v>6.1239270999999995</v>
      </c>
      <c r="Z293" s="115">
        <v>8.0578167300000008</v>
      </c>
      <c r="AB293" s="73" t="s">
        <v>21</v>
      </c>
      <c r="AC293" s="71">
        <v>3.0776439483416202E-2</v>
      </c>
      <c r="AD293" s="71">
        <v>3.546574718046664E-2</v>
      </c>
      <c r="AE293" s="71" t="s">
        <v>21</v>
      </c>
      <c r="AF293" s="63" t="s">
        <v>21</v>
      </c>
      <c r="AG293" s="71" t="s">
        <v>21</v>
      </c>
      <c r="AH293" s="71">
        <v>2.5302584834162086E-3</v>
      </c>
      <c r="AI293" s="71">
        <v>6.6025337804666417E-3</v>
      </c>
      <c r="AJ293" s="71" t="s">
        <v>21</v>
      </c>
      <c r="AK293" s="63" t="s">
        <v>21</v>
      </c>
    </row>
    <row r="294" spans="1:38" x14ac:dyDescent="0.35">
      <c r="B294" s="55" t="s">
        <v>196</v>
      </c>
      <c r="C294" s="53" t="s">
        <v>234</v>
      </c>
      <c r="D294" s="53" t="s">
        <v>197</v>
      </c>
      <c r="E294" s="53" t="s">
        <v>600</v>
      </c>
      <c r="F294" s="73" t="str">
        <f t="shared" si="216"/>
        <v/>
      </c>
      <c r="G294" s="60">
        <f t="shared" si="217"/>
        <v>3.690615942229962E-2</v>
      </c>
      <c r="H294" s="60">
        <f t="shared" si="218"/>
        <v>4.60493243816186E-2</v>
      </c>
      <c r="I294" s="60" t="str">
        <f t="shared" si="219"/>
        <v/>
      </c>
      <c r="J294" s="63" t="str">
        <f t="shared" si="220"/>
        <v/>
      </c>
      <c r="K294" s="60" t="str">
        <f t="shared" si="221"/>
        <v/>
      </c>
      <c r="L294" s="60">
        <f t="shared" si="222"/>
        <v>8.449138422299626E-3</v>
      </c>
      <c r="M294" s="60">
        <f t="shared" si="223"/>
        <v>1.6796015981618596E-2</v>
      </c>
      <c r="N294" s="60" t="str">
        <f t="shared" si="224"/>
        <v/>
      </c>
      <c r="O294" s="63" t="str">
        <f t="shared" si="225"/>
        <v/>
      </c>
      <c r="P294" s="55" t="s">
        <v>601</v>
      </c>
      <c r="Q294" s="53" t="s">
        <v>602</v>
      </c>
      <c r="R294" s="94" t="s">
        <v>32</v>
      </c>
      <c r="S294" s="71">
        <v>4.7464069999999997E-2</v>
      </c>
      <c r="T294" s="63">
        <f t="shared" si="226"/>
        <v>-1.4147456183813967E-3</v>
      </c>
      <c r="V294" s="114">
        <v>1.1492959899999999</v>
      </c>
      <c r="W294" s="72">
        <v>2.9288392700000001</v>
      </c>
      <c r="X294" s="72">
        <v>4.4839069199999999</v>
      </c>
      <c r="Y294" s="72">
        <v>5.7882473799999996</v>
      </c>
      <c r="Z294" s="115">
        <v>7.3301590099999991</v>
      </c>
      <c r="AB294" s="73" t="s">
        <v>21</v>
      </c>
      <c r="AC294" s="71">
        <v>3.690615942229962E-2</v>
      </c>
      <c r="AD294" s="71">
        <v>4.60493243816186E-2</v>
      </c>
      <c r="AE294" s="71" t="s">
        <v>21</v>
      </c>
      <c r="AF294" s="63" t="s">
        <v>21</v>
      </c>
      <c r="AG294" s="71" t="s">
        <v>21</v>
      </c>
      <c r="AH294" s="71">
        <v>8.449138422299626E-3</v>
      </c>
      <c r="AI294" s="71">
        <v>1.6796015981618596E-2</v>
      </c>
      <c r="AJ294" s="71" t="s">
        <v>21</v>
      </c>
      <c r="AK294" s="63" t="s">
        <v>21</v>
      </c>
    </row>
    <row r="295" spans="1:38" x14ac:dyDescent="0.35">
      <c r="B295" s="55" t="s">
        <v>198</v>
      </c>
      <c r="C295" s="53" t="s">
        <v>234</v>
      </c>
      <c r="D295" s="53" t="s">
        <v>199</v>
      </c>
      <c r="E295" s="53" t="s">
        <v>55</v>
      </c>
      <c r="F295" s="73" t="str">
        <f t="shared" si="216"/>
        <v/>
      </c>
      <c r="G295" s="60">
        <f t="shared" si="217"/>
        <v>3.6710143585140069E-2</v>
      </c>
      <c r="H295" s="60">
        <f t="shared" si="218"/>
        <v>4.3495418016993276E-2</v>
      </c>
      <c r="I295" s="60" t="str">
        <f t="shared" si="219"/>
        <v/>
      </c>
      <c r="J295" s="63" t="str">
        <f t="shared" si="220"/>
        <v/>
      </c>
      <c r="K295" s="60" t="str">
        <f t="shared" si="221"/>
        <v/>
      </c>
      <c r="L295" s="60">
        <f t="shared" si="222"/>
        <v>8.2769274851400843E-3</v>
      </c>
      <c r="M295" s="60">
        <f t="shared" si="223"/>
        <v>1.4364436016993269E-2</v>
      </c>
      <c r="N295" s="60" t="str">
        <f t="shared" si="224"/>
        <v/>
      </c>
      <c r="O295" s="63" t="str">
        <f t="shared" si="225"/>
        <v/>
      </c>
      <c r="P295" s="55" t="s">
        <v>603</v>
      </c>
      <c r="Q295" s="53" t="s">
        <v>604</v>
      </c>
      <c r="R295" s="94">
        <v>47586</v>
      </c>
      <c r="S295" s="71">
        <v>4.1210769999999994E-2</v>
      </c>
      <c r="T295" s="63">
        <f t="shared" si="226"/>
        <v>2.284648016993282E-3</v>
      </c>
      <c r="V295" s="114">
        <v>1.1471296500000001</v>
      </c>
      <c r="W295" s="72">
        <v>2.92501166</v>
      </c>
      <c r="X295" s="72">
        <v>4.5054422500000006</v>
      </c>
      <c r="Y295" s="72">
        <v>5.8598661600000002</v>
      </c>
      <c r="Z295" s="115">
        <v>7.5202731699999994</v>
      </c>
      <c r="AB295" s="73" t="s">
        <v>21</v>
      </c>
      <c r="AC295" s="71">
        <v>3.6710143585140069E-2</v>
      </c>
      <c r="AD295" s="71">
        <v>4.3495418016993276E-2</v>
      </c>
      <c r="AE295" s="71" t="s">
        <v>21</v>
      </c>
      <c r="AF295" s="63" t="s">
        <v>21</v>
      </c>
      <c r="AG295" s="71" t="s">
        <v>21</v>
      </c>
      <c r="AH295" s="71">
        <v>8.2769274851400843E-3</v>
      </c>
      <c r="AI295" s="71">
        <v>1.4364436016993269E-2</v>
      </c>
      <c r="AJ295" s="71" t="s">
        <v>21</v>
      </c>
      <c r="AK295" s="63" t="s">
        <v>21</v>
      </c>
    </row>
    <row r="296" spans="1:38" x14ac:dyDescent="0.35">
      <c r="B296" s="55" t="s">
        <v>200</v>
      </c>
      <c r="C296" s="53" t="s">
        <v>234</v>
      </c>
      <c r="D296" s="53" t="s">
        <v>201</v>
      </c>
      <c r="E296" s="53" t="s">
        <v>295</v>
      </c>
      <c r="F296" s="73" t="str">
        <f t="shared" si="216"/>
        <v/>
      </c>
      <c r="G296" s="60">
        <f t="shared" si="217"/>
        <v>3.8435881821632704E-2</v>
      </c>
      <c r="H296" s="60">
        <f t="shared" si="218"/>
        <v>4.6442427833094914E-2</v>
      </c>
      <c r="I296" s="60" t="str">
        <f t="shared" si="219"/>
        <v/>
      </c>
      <c r="J296" s="63" t="str">
        <f t="shared" si="220"/>
        <v/>
      </c>
      <c r="K296" s="60" t="str">
        <f t="shared" si="221"/>
        <v/>
      </c>
      <c r="L296" s="60">
        <f t="shared" si="222"/>
        <v>9.9389253216327043E-3</v>
      </c>
      <c r="M296" s="60">
        <f t="shared" si="223"/>
        <v>1.7187798333094917E-2</v>
      </c>
      <c r="N296" s="60" t="str">
        <f t="shared" si="224"/>
        <v/>
      </c>
      <c r="O296" s="63" t="str">
        <f t="shared" si="225"/>
        <v/>
      </c>
      <c r="P296" s="55" t="s">
        <v>605</v>
      </c>
      <c r="Q296" s="53" t="s">
        <v>606</v>
      </c>
      <c r="R296" s="94" t="s">
        <v>32</v>
      </c>
      <c r="S296" s="71">
        <v>4.1238780000000003E-2</v>
      </c>
      <c r="T296" s="63">
        <f t="shared" si="226"/>
        <v>5.2036478330949112E-3</v>
      </c>
      <c r="V296" s="114">
        <v>1.1461511799999999</v>
      </c>
      <c r="W296" s="72">
        <v>2.9140245600000001</v>
      </c>
      <c r="X296" s="72">
        <v>4.4651232800000002</v>
      </c>
      <c r="Y296" s="72">
        <v>5.7691462399999995</v>
      </c>
      <c r="Z296" s="115">
        <v>7.3237475299999995</v>
      </c>
      <c r="AB296" s="73" t="s">
        <v>21</v>
      </c>
      <c r="AC296" s="71">
        <v>3.8435881821632704E-2</v>
      </c>
      <c r="AD296" s="71">
        <v>4.6442427833094914E-2</v>
      </c>
      <c r="AE296" s="71" t="s">
        <v>21</v>
      </c>
      <c r="AF296" s="63" t="s">
        <v>21</v>
      </c>
      <c r="AG296" s="71" t="s">
        <v>21</v>
      </c>
      <c r="AH296" s="71">
        <v>9.9389253216327043E-3</v>
      </c>
      <c r="AI296" s="71">
        <v>1.7187798333094917E-2</v>
      </c>
      <c r="AJ296" s="71" t="s">
        <v>21</v>
      </c>
      <c r="AK296" s="63" t="s">
        <v>21</v>
      </c>
    </row>
    <row r="297" spans="1:38" x14ac:dyDescent="0.35">
      <c r="B297" s="55" t="s">
        <v>202</v>
      </c>
      <c r="C297" s="53" t="s">
        <v>234</v>
      </c>
      <c r="D297" s="53" t="s">
        <v>203</v>
      </c>
      <c r="E297" s="53" t="s">
        <v>181</v>
      </c>
      <c r="F297" s="73" t="str">
        <f t="shared" si="216"/>
        <v/>
      </c>
      <c r="G297" s="60">
        <f t="shared" si="217"/>
        <v>3.4817996701739962E-2</v>
      </c>
      <c r="H297" s="60">
        <f t="shared" si="218"/>
        <v>4.0841395899734526E-2</v>
      </c>
      <c r="I297" s="60" t="str">
        <f t="shared" si="219"/>
        <v/>
      </c>
      <c r="J297" s="63" t="str">
        <f t="shared" si="220"/>
        <v/>
      </c>
      <c r="K297" s="60" t="str">
        <f t="shared" si="221"/>
        <v/>
      </c>
      <c r="L297" s="60">
        <f t="shared" si="222"/>
        <v>6.4433950017399617E-3</v>
      </c>
      <c r="M297" s="60">
        <f t="shared" si="223"/>
        <v>1.1803848299734533E-2</v>
      </c>
      <c r="N297" s="60" t="str">
        <f t="shared" si="224"/>
        <v/>
      </c>
      <c r="O297" s="63" t="str">
        <f t="shared" si="225"/>
        <v/>
      </c>
      <c r="P297" s="55" t="s">
        <v>607</v>
      </c>
      <c r="Q297" s="53" t="s">
        <v>608</v>
      </c>
      <c r="R297" s="94" t="s">
        <v>32</v>
      </c>
      <c r="S297" s="71">
        <v>-6.8491500000000009E-3</v>
      </c>
      <c r="T297" s="63">
        <f t="shared" si="226"/>
        <v>4.7690545899734524E-2</v>
      </c>
      <c r="V297" s="114">
        <v>1.1487834100000001</v>
      </c>
      <c r="W297" s="72">
        <v>2.9374764</v>
      </c>
      <c r="X297" s="72">
        <v>4.5431298600000005</v>
      </c>
      <c r="Y297" s="72">
        <v>5.94103403</v>
      </c>
      <c r="Z297" s="115">
        <v>7.7049053399999998</v>
      </c>
      <c r="AB297" s="73" t="s">
        <v>21</v>
      </c>
      <c r="AC297" s="71">
        <v>3.4817996701739962E-2</v>
      </c>
      <c r="AD297" s="71">
        <v>4.0841395899734526E-2</v>
      </c>
      <c r="AE297" s="71" t="s">
        <v>21</v>
      </c>
      <c r="AF297" s="63" t="s">
        <v>21</v>
      </c>
      <c r="AG297" s="71" t="s">
        <v>21</v>
      </c>
      <c r="AH297" s="71">
        <v>6.4433950017399617E-3</v>
      </c>
      <c r="AI297" s="71">
        <v>1.1803848299734533E-2</v>
      </c>
      <c r="AJ297" s="71" t="s">
        <v>21</v>
      </c>
      <c r="AK297" s="63" t="s">
        <v>21</v>
      </c>
    </row>
    <row r="298" spans="1:38" x14ac:dyDescent="0.35">
      <c r="B298" s="55" t="s">
        <v>204</v>
      </c>
      <c r="C298" s="53" t="s">
        <v>234</v>
      </c>
      <c r="D298" s="53" t="s">
        <v>205</v>
      </c>
      <c r="E298" s="53" t="s">
        <v>609</v>
      </c>
      <c r="F298" s="73" t="str">
        <f t="shared" si="216"/>
        <v/>
      </c>
      <c r="G298" s="60">
        <f t="shared" si="217"/>
        <v>4.4315762032717115E-2</v>
      </c>
      <c r="H298" s="60">
        <f t="shared" si="218"/>
        <v>5.4360117097729067E-2</v>
      </c>
      <c r="I298" s="60" t="str">
        <f t="shared" si="219"/>
        <v/>
      </c>
      <c r="J298" s="63" t="str">
        <f t="shared" si="220"/>
        <v/>
      </c>
      <c r="K298" s="60" t="str">
        <f t="shared" si="221"/>
        <v/>
      </c>
      <c r="L298" s="60">
        <f t="shared" si="222"/>
        <v>1.5553796332717111E-2</v>
      </c>
      <c r="M298" s="60">
        <f t="shared" si="223"/>
        <v>2.4697197297729068E-2</v>
      </c>
      <c r="N298" s="60" t="str">
        <f t="shared" si="224"/>
        <v/>
      </c>
      <c r="O298" s="63" t="str">
        <f t="shared" si="225"/>
        <v/>
      </c>
      <c r="P298" s="55" t="s">
        <v>21</v>
      </c>
      <c r="Q298" s="53" t="s">
        <v>21</v>
      </c>
      <c r="R298" s="94" t="s">
        <v>21</v>
      </c>
      <c r="S298" s="71" t="s">
        <v>21</v>
      </c>
      <c r="T298" s="63" t="str">
        <f t="shared" si="226"/>
        <v/>
      </c>
      <c r="V298" s="114">
        <v>1.1401760299999999</v>
      </c>
      <c r="W298" s="72">
        <v>2.8688263100000002</v>
      </c>
      <c r="X298" s="72">
        <v>4.3415822200000003</v>
      </c>
      <c r="Y298" s="72">
        <v>5.5311148399999999</v>
      </c>
      <c r="Z298" s="115">
        <v>6.8912941500000002</v>
      </c>
      <c r="AB298" s="73" t="s">
        <v>21</v>
      </c>
      <c r="AC298" s="71">
        <v>4.4315762032717115E-2</v>
      </c>
      <c r="AD298" s="71">
        <v>5.4360117097729067E-2</v>
      </c>
      <c r="AE298" s="71" t="s">
        <v>21</v>
      </c>
      <c r="AF298" s="63" t="s">
        <v>21</v>
      </c>
      <c r="AG298" s="71" t="s">
        <v>21</v>
      </c>
      <c r="AH298" s="71">
        <v>1.5553796332717111E-2</v>
      </c>
      <c r="AI298" s="71">
        <v>2.4697197297729068E-2</v>
      </c>
      <c r="AJ298" s="71" t="s">
        <v>21</v>
      </c>
      <c r="AK298" s="63" t="s">
        <v>21</v>
      </c>
    </row>
    <row r="299" spans="1:38" x14ac:dyDescent="0.35">
      <c r="B299" s="55" t="s">
        <v>206</v>
      </c>
      <c r="C299" s="53" t="s">
        <v>234</v>
      </c>
      <c r="D299" s="53" t="s">
        <v>207</v>
      </c>
      <c r="E299" s="53" t="s">
        <v>193</v>
      </c>
      <c r="F299" s="73" t="str">
        <f t="shared" si="216"/>
        <v/>
      </c>
      <c r="G299" s="60">
        <f t="shared" si="217"/>
        <v>3.3658682349023646E-2</v>
      </c>
      <c r="H299" s="60">
        <f t="shared" si="218"/>
        <v>3.8824645594713152E-2</v>
      </c>
      <c r="I299" s="60" t="str">
        <f t="shared" si="219"/>
        <v/>
      </c>
      <c r="J299" s="63" t="str">
        <f t="shared" si="220"/>
        <v/>
      </c>
      <c r="K299" s="60" t="str">
        <f t="shared" si="221"/>
        <v/>
      </c>
      <c r="L299" s="60">
        <f t="shared" si="222"/>
        <v>5.3267006490236492E-3</v>
      </c>
      <c r="M299" s="60">
        <f t="shared" si="223"/>
        <v>9.8616687947131534E-3</v>
      </c>
      <c r="N299" s="60" t="str">
        <f t="shared" si="224"/>
        <v/>
      </c>
      <c r="O299" s="63" t="str">
        <f t="shared" si="225"/>
        <v/>
      </c>
      <c r="P299" s="55" t="s">
        <v>610</v>
      </c>
      <c r="Q299" s="53" t="s">
        <v>611</v>
      </c>
      <c r="R299" s="94" t="s">
        <v>32</v>
      </c>
      <c r="S299" s="71">
        <v>3.3886690000000004E-2</v>
      </c>
      <c r="T299" s="63">
        <f t="shared" si="226"/>
        <v>4.9379555947131476E-3</v>
      </c>
      <c r="V299" s="114">
        <v>1.1499240399999999</v>
      </c>
      <c r="W299" s="72">
        <v>2.9465780600000002</v>
      </c>
      <c r="X299" s="72">
        <v>4.5748402100000005</v>
      </c>
      <c r="Y299" s="72">
        <v>6.0107551100000007</v>
      </c>
      <c r="Z299" s="115">
        <v>7.8538543399999998</v>
      </c>
      <c r="AB299" s="73" t="s">
        <v>21</v>
      </c>
      <c r="AC299" s="71">
        <v>3.3658682349023646E-2</v>
      </c>
      <c r="AD299" s="71">
        <v>3.8824645594713152E-2</v>
      </c>
      <c r="AE299" s="71" t="s">
        <v>21</v>
      </c>
      <c r="AF299" s="63" t="s">
        <v>21</v>
      </c>
      <c r="AG299" s="71" t="s">
        <v>21</v>
      </c>
      <c r="AH299" s="71">
        <v>5.3267006490236492E-3</v>
      </c>
      <c r="AI299" s="71">
        <v>9.8616687947131534E-3</v>
      </c>
      <c r="AJ299" s="71" t="s">
        <v>21</v>
      </c>
      <c r="AK299" s="63" t="s">
        <v>21</v>
      </c>
    </row>
    <row r="300" spans="1:38" x14ac:dyDescent="0.35">
      <c r="B300" s="55" t="s">
        <v>208</v>
      </c>
      <c r="C300" s="53" t="s">
        <v>234</v>
      </c>
      <c r="D300" s="53" t="s">
        <v>209</v>
      </c>
      <c r="E300" s="53" t="s">
        <v>181</v>
      </c>
      <c r="F300" s="73" t="str">
        <f t="shared" si="216"/>
        <v/>
      </c>
      <c r="G300" s="60">
        <f t="shared" si="217"/>
        <v>3.7674987918266477E-2</v>
      </c>
      <c r="H300" s="60">
        <f t="shared" si="218"/>
        <v>4.5118476756875768E-2</v>
      </c>
      <c r="I300" s="60" t="str">
        <f t="shared" si="219"/>
        <v/>
      </c>
      <c r="J300" s="63" t="str">
        <f t="shared" si="220"/>
        <v/>
      </c>
      <c r="K300" s="60" t="str">
        <f t="shared" si="221"/>
        <v/>
      </c>
      <c r="L300" s="60">
        <f t="shared" si="222"/>
        <v>9.2028065182664723E-3</v>
      </c>
      <c r="M300" s="60">
        <f t="shared" si="223"/>
        <v>1.5916638056875768E-2</v>
      </c>
      <c r="N300" s="60" t="str">
        <f t="shared" si="224"/>
        <v/>
      </c>
      <c r="O300" s="63" t="str">
        <f t="shared" si="225"/>
        <v/>
      </c>
      <c r="P300" s="55" t="s">
        <v>21</v>
      </c>
      <c r="Q300" s="53" t="s">
        <v>21</v>
      </c>
      <c r="R300" s="94" t="s">
        <v>21</v>
      </c>
      <c r="S300" s="71" t="s">
        <v>21</v>
      </c>
      <c r="T300" s="63" t="str">
        <f t="shared" si="226"/>
        <v/>
      </c>
      <c r="V300" s="114">
        <v>1.1461579200000001</v>
      </c>
      <c r="W300" s="72">
        <v>2.9173382500000002</v>
      </c>
      <c r="X300" s="72">
        <v>4.4810392999999999</v>
      </c>
      <c r="Y300" s="72">
        <v>5.8087373199999996</v>
      </c>
      <c r="Z300" s="115">
        <v>7.4145439199999998</v>
      </c>
      <c r="AB300" s="73" t="s">
        <v>21</v>
      </c>
      <c r="AC300" s="71">
        <v>3.7674987918266477E-2</v>
      </c>
      <c r="AD300" s="71">
        <v>4.5118476756875768E-2</v>
      </c>
      <c r="AE300" s="71" t="s">
        <v>21</v>
      </c>
      <c r="AF300" s="63" t="s">
        <v>21</v>
      </c>
      <c r="AG300" s="71" t="s">
        <v>21</v>
      </c>
      <c r="AH300" s="71">
        <v>9.2028065182664723E-3</v>
      </c>
      <c r="AI300" s="71">
        <v>1.5916638056875768E-2</v>
      </c>
      <c r="AJ300" s="71" t="s">
        <v>21</v>
      </c>
      <c r="AK300" s="63" t="s">
        <v>21</v>
      </c>
    </row>
    <row r="301" spans="1:38" x14ac:dyDescent="0.35">
      <c r="A301" s="53"/>
      <c r="B301" s="55" t="s">
        <v>405</v>
      </c>
      <c r="C301" s="53" t="s">
        <v>234</v>
      </c>
      <c r="D301" s="53" t="s">
        <v>405</v>
      </c>
      <c r="E301" s="53" t="s">
        <v>612</v>
      </c>
      <c r="F301" s="73" t="str">
        <f t="shared" ref="F301" si="227">IF(ISNUMBER(AB301),AB301-((C$4-C$3)/V301),"")</f>
        <v/>
      </c>
      <c r="G301" s="60">
        <f t="shared" ref="G301" si="228">IF(ISNUMBER(AC301),AC301-((D$4-D$3)/W301),"")</f>
        <v>6.2314133962922319E-2</v>
      </c>
      <c r="H301" s="60">
        <f t="shared" ref="H301" si="229">IF(ISNUMBER(AD301),AD301-((E$4-E$3)/X301),"")</f>
        <v>7.1710657320562754E-2</v>
      </c>
      <c r="I301" s="60" t="str">
        <f t="shared" ref="I301" si="230">IF(ISNUMBER(AE301),AE301-((F$4-F$3)/Y301),"")</f>
        <v/>
      </c>
      <c r="J301" s="63" t="str">
        <f t="shared" ref="J301" si="231">IF(ISNUMBER(AF301),AF301-((G$4-G$3)/Z301),"")</f>
        <v/>
      </c>
      <c r="K301" s="60" t="str">
        <f t="shared" ref="K301" si="232">IF(ISNUMBER(AG301),IF(AG301-((C$4-C$3)/V301)&lt;0,"",AG301-((C$4-C$3)/V301)),"")</f>
        <v/>
      </c>
      <c r="L301" s="60">
        <f t="shared" ref="L301" si="233">IF(ISNUMBER(AH301),IF(AH301-((D$4-D$3)/W301)&lt;0,"",AH301-((D$4-D$3)/W301)),"")</f>
        <v>3.2453786262922314E-2</v>
      </c>
      <c r="M301" s="60">
        <f t="shared" ref="M301" si="234">IF(ISNUMBER(AI301),IF(AI301-((E$4-E$3)/X301)&lt;0,"",AI301-((E$4-E$3)/X301)),"")</f>
        <v>4.0832204220562732E-2</v>
      </c>
      <c r="N301" s="60" t="str">
        <f t="shared" ref="N301" si="235">IF(ISNUMBER(AJ301),IF(AJ301-((F$4-F$3)/Y301)&lt;0,"",AJ301-((F$4-F$3)/Y301)),"")</f>
        <v/>
      </c>
      <c r="O301" s="63" t="str">
        <f t="shared" ref="O301" si="236">IF(ISNUMBER(AK301),IF(AK301-((G$4-G$3)/Z301)&lt;0,"",AK301-((G$4-G$3)/Z301)),"")</f>
        <v/>
      </c>
      <c r="P301" s="55" t="s">
        <v>613</v>
      </c>
      <c r="Q301" s="53" t="s">
        <v>614</v>
      </c>
      <c r="R301" s="94" t="s">
        <v>32</v>
      </c>
      <c r="S301" s="71">
        <v>6.4161689999999993E-2</v>
      </c>
      <c r="T301" s="63">
        <f t="shared" si="226"/>
        <v>7.5489673205627605E-3</v>
      </c>
      <c r="U301" s="53"/>
      <c r="V301" s="114">
        <v>1.1046311099999999</v>
      </c>
      <c r="W301" s="72">
        <v>2.7121382400000003</v>
      </c>
      <c r="X301" s="72">
        <v>4.0148448300000004</v>
      </c>
      <c r="Y301" s="72">
        <v>5.0369288399999999</v>
      </c>
      <c r="Z301" s="115">
        <v>6.1737565100000005</v>
      </c>
      <c r="AA301" s="53"/>
      <c r="AB301" s="73" t="s">
        <v>21</v>
      </c>
      <c r="AC301" s="71">
        <v>6.2314133962922319E-2</v>
      </c>
      <c r="AD301" s="71">
        <v>7.1710657320562754E-2</v>
      </c>
      <c r="AE301" s="71" t="s">
        <v>21</v>
      </c>
      <c r="AF301" s="63" t="s">
        <v>21</v>
      </c>
      <c r="AG301" s="71" t="s">
        <v>21</v>
      </c>
      <c r="AH301" s="71">
        <v>3.2453786262922314E-2</v>
      </c>
      <c r="AI301" s="71">
        <v>4.0832204220562732E-2</v>
      </c>
      <c r="AJ301" s="71" t="s">
        <v>21</v>
      </c>
      <c r="AK301" s="63" t="s">
        <v>21</v>
      </c>
      <c r="AL301" s="53"/>
    </row>
    <row r="302" spans="1:38" x14ac:dyDescent="0.35">
      <c r="B302" s="55" t="s">
        <v>210</v>
      </c>
      <c r="C302" s="53" t="s">
        <v>234</v>
      </c>
      <c r="D302" s="53" t="s">
        <v>210</v>
      </c>
      <c r="E302" s="53" t="s">
        <v>615</v>
      </c>
      <c r="F302" s="73" t="str">
        <f t="shared" si="216"/>
        <v/>
      </c>
      <c r="G302" s="60">
        <f t="shared" si="217"/>
        <v>3.5019017809948788E-2</v>
      </c>
      <c r="H302" s="60">
        <f t="shared" si="218"/>
        <v>4.0436412415920255E-2</v>
      </c>
      <c r="I302" s="60" t="str">
        <f t="shared" si="219"/>
        <v/>
      </c>
      <c r="J302" s="63" t="str">
        <f t="shared" si="220"/>
        <v/>
      </c>
      <c r="K302" s="60" t="str">
        <f t="shared" si="221"/>
        <v/>
      </c>
      <c r="L302" s="60">
        <f t="shared" si="222"/>
        <v>6.6448496099487976E-3</v>
      </c>
      <c r="M302" s="60">
        <f t="shared" si="223"/>
        <v>1.1420787715920259E-2</v>
      </c>
      <c r="N302" s="60" t="str">
        <f t="shared" si="224"/>
        <v/>
      </c>
      <c r="O302" s="63" t="str">
        <f t="shared" si="225"/>
        <v/>
      </c>
      <c r="P302" s="55" t="s">
        <v>616</v>
      </c>
      <c r="Q302" s="53" t="s">
        <v>617</v>
      </c>
      <c r="R302" s="94" t="s">
        <v>32</v>
      </c>
      <c r="S302" s="71">
        <v>3.728977E-2</v>
      </c>
      <c r="T302" s="63">
        <f t="shared" si="226"/>
        <v>3.1466424159202547E-3</v>
      </c>
      <c r="V302" s="114">
        <v>1.14900121</v>
      </c>
      <c r="W302" s="72">
        <v>2.9376812399999999</v>
      </c>
      <c r="X302" s="72">
        <v>4.5480384800000007</v>
      </c>
      <c r="Y302" s="72">
        <v>5.96425961</v>
      </c>
      <c r="Z302" s="115">
        <v>7.7774382299999996</v>
      </c>
      <c r="AB302" s="73" t="s">
        <v>21</v>
      </c>
      <c r="AC302" s="71">
        <v>3.5019017809948788E-2</v>
      </c>
      <c r="AD302" s="71">
        <v>4.0436412415920255E-2</v>
      </c>
      <c r="AE302" s="71" t="s">
        <v>21</v>
      </c>
      <c r="AF302" s="63" t="s">
        <v>21</v>
      </c>
      <c r="AG302" s="71" t="s">
        <v>21</v>
      </c>
      <c r="AH302" s="71">
        <v>6.6448496099487976E-3</v>
      </c>
      <c r="AI302" s="71">
        <v>1.1420787715920259E-2</v>
      </c>
      <c r="AJ302" s="71" t="s">
        <v>21</v>
      </c>
      <c r="AK302" s="63" t="s">
        <v>21</v>
      </c>
    </row>
    <row r="303" spans="1:38" x14ac:dyDescent="0.35">
      <c r="B303" s="55" t="s">
        <v>211</v>
      </c>
      <c r="C303" s="53" t="s">
        <v>234</v>
      </c>
      <c r="D303" s="53" t="s">
        <v>211</v>
      </c>
      <c r="E303" s="53" t="s">
        <v>618</v>
      </c>
      <c r="F303" s="73" t="str">
        <f t="shared" si="216"/>
        <v/>
      </c>
      <c r="G303" s="60">
        <f t="shared" si="217"/>
        <v>4.1627020195780212E-2</v>
      </c>
      <c r="H303" s="60">
        <f t="shared" si="218"/>
        <v>4.9836151269253087E-2</v>
      </c>
      <c r="I303" s="60" t="str">
        <f t="shared" si="219"/>
        <v/>
      </c>
      <c r="J303" s="63" t="str">
        <f t="shared" si="220"/>
        <v/>
      </c>
      <c r="K303" s="60" t="str">
        <f t="shared" si="221"/>
        <v/>
      </c>
      <c r="L303" s="60">
        <f t="shared" si="222"/>
        <v>1.2901019795780219E-2</v>
      </c>
      <c r="M303" s="60">
        <f t="shared" si="223"/>
        <v>2.0315219569253085E-2</v>
      </c>
      <c r="N303" s="60" t="str">
        <f t="shared" si="224"/>
        <v/>
      </c>
      <c r="O303" s="63" t="str">
        <f t="shared" si="225"/>
        <v/>
      </c>
      <c r="P303" s="55" t="s">
        <v>619</v>
      </c>
      <c r="Q303" s="53" t="s">
        <v>620</v>
      </c>
      <c r="R303" s="94" t="s">
        <v>32</v>
      </c>
      <c r="S303" s="71">
        <v>6.1685660000000003E-2</v>
      </c>
      <c r="T303" s="63">
        <f t="shared" si="226"/>
        <v>-1.1849508730746916E-2</v>
      </c>
      <c r="V303" s="114">
        <v>1.13967938</v>
      </c>
      <c r="W303" s="72">
        <v>2.8741137299999999</v>
      </c>
      <c r="X303" s="72">
        <v>4.3707429600000003</v>
      </c>
      <c r="Y303" s="72">
        <v>5.6201093899999996</v>
      </c>
      <c r="Z303" s="115">
        <v>7.1306045299999994</v>
      </c>
      <c r="AB303" s="73" t="s">
        <v>21</v>
      </c>
      <c r="AC303" s="71">
        <v>4.1627020195780212E-2</v>
      </c>
      <c r="AD303" s="71">
        <v>4.9836151269253087E-2</v>
      </c>
      <c r="AE303" s="71" t="s">
        <v>21</v>
      </c>
      <c r="AF303" s="63" t="s">
        <v>21</v>
      </c>
      <c r="AG303" s="71" t="s">
        <v>21</v>
      </c>
      <c r="AH303" s="71">
        <v>1.2901019795780219E-2</v>
      </c>
      <c r="AI303" s="71">
        <v>2.0315219569253085E-2</v>
      </c>
      <c r="AJ303" s="71" t="s">
        <v>21</v>
      </c>
      <c r="AK303" s="63" t="s">
        <v>21</v>
      </c>
    </row>
    <row r="304" spans="1:38" x14ac:dyDescent="0.35">
      <c r="B304" s="55" t="s">
        <v>212</v>
      </c>
      <c r="C304" s="53" t="s">
        <v>234</v>
      </c>
      <c r="D304" s="53" t="s">
        <v>212</v>
      </c>
      <c r="E304" s="53" t="s">
        <v>574</v>
      </c>
      <c r="F304" s="73" t="str">
        <f t="shared" si="216"/>
        <v/>
      </c>
      <c r="G304" s="60">
        <f t="shared" si="217"/>
        <v>5.2107041768707001E-2</v>
      </c>
      <c r="H304" s="60">
        <f t="shared" si="218"/>
        <v>6.3268264552211642E-2</v>
      </c>
      <c r="I304" s="60" t="str">
        <f t="shared" si="219"/>
        <v/>
      </c>
      <c r="J304" s="63" t="str">
        <f t="shared" si="220"/>
        <v/>
      </c>
      <c r="K304" s="60" t="str">
        <f t="shared" si="221"/>
        <v/>
      </c>
      <c r="L304" s="60">
        <f t="shared" si="222"/>
        <v>2.2909729068706995E-2</v>
      </c>
      <c r="M304" s="60">
        <f t="shared" si="223"/>
        <v>3.3030350652211653E-2</v>
      </c>
      <c r="N304" s="60" t="str">
        <f t="shared" si="224"/>
        <v/>
      </c>
      <c r="O304" s="63" t="str">
        <f t="shared" si="225"/>
        <v/>
      </c>
      <c r="P304" s="55" t="s">
        <v>621</v>
      </c>
      <c r="Q304" s="53" t="s">
        <v>622</v>
      </c>
      <c r="R304" s="94" t="s">
        <v>32</v>
      </c>
      <c r="S304" s="71">
        <v>5.5514799999999996E-2</v>
      </c>
      <c r="T304" s="63">
        <f t="shared" si="226"/>
        <v>7.753464552211646E-3</v>
      </c>
      <c r="V304" s="114">
        <v>1.1280824599999999</v>
      </c>
      <c r="W304" s="72">
        <v>2.8077372999999999</v>
      </c>
      <c r="X304" s="72">
        <v>4.1942836699999999</v>
      </c>
      <c r="Y304" s="72">
        <v>5.3011309299999994</v>
      </c>
      <c r="Z304" s="115">
        <v>6.5665876400000007</v>
      </c>
      <c r="AB304" s="73" t="s">
        <v>21</v>
      </c>
      <c r="AC304" s="71">
        <v>5.2107041768707001E-2</v>
      </c>
      <c r="AD304" s="71">
        <v>6.3268264552211642E-2</v>
      </c>
      <c r="AE304" s="71" t="s">
        <v>21</v>
      </c>
      <c r="AF304" s="63" t="s">
        <v>21</v>
      </c>
      <c r="AG304" s="71" t="s">
        <v>21</v>
      </c>
      <c r="AH304" s="71">
        <v>2.2909729068706995E-2</v>
      </c>
      <c r="AI304" s="71">
        <v>3.3030350652211653E-2</v>
      </c>
      <c r="AJ304" s="71" t="s">
        <v>21</v>
      </c>
      <c r="AK304" s="63" t="s">
        <v>21</v>
      </c>
    </row>
    <row r="305" spans="1:38" s="53" customFormat="1" x14ac:dyDescent="0.35">
      <c r="A305"/>
      <c r="B305" s="55" t="s">
        <v>213</v>
      </c>
      <c r="C305" s="53" t="s">
        <v>234</v>
      </c>
      <c r="D305" s="53" t="s">
        <v>213</v>
      </c>
      <c r="E305" s="53" t="s">
        <v>623</v>
      </c>
      <c r="F305" s="73" t="str">
        <f t="shared" si="216"/>
        <v/>
      </c>
      <c r="G305" s="60">
        <f t="shared" si="217"/>
        <v>5.2266801098338062E-2</v>
      </c>
      <c r="H305" s="60">
        <f t="shared" si="218"/>
        <v>6.2291434251131914E-2</v>
      </c>
      <c r="I305" s="60" t="str">
        <f t="shared" si="219"/>
        <v/>
      </c>
      <c r="J305" s="63" t="str">
        <f t="shared" si="220"/>
        <v/>
      </c>
      <c r="K305" s="60" t="str">
        <f t="shared" si="221"/>
        <v/>
      </c>
      <c r="L305" s="60">
        <f t="shared" si="222"/>
        <v>2.3054591998338061E-2</v>
      </c>
      <c r="M305" s="60">
        <f t="shared" si="223"/>
        <v>3.2113735351131913E-2</v>
      </c>
      <c r="N305" s="60" t="str">
        <f t="shared" si="224"/>
        <v/>
      </c>
      <c r="O305" s="63" t="str">
        <f t="shared" si="225"/>
        <v/>
      </c>
      <c r="P305" s="55" t="s">
        <v>624</v>
      </c>
      <c r="Q305" s="53" t="s">
        <v>625</v>
      </c>
      <c r="R305" s="94" t="s">
        <v>32</v>
      </c>
      <c r="S305" s="71">
        <v>5.4920650000000001E-2</v>
      </c>
      <c r="T305" s="63">
        <f t="shared" si="226"/>
        <v>7.3707842511319122E-3</v>
      </c>
      <c r="U305"/>
      <c r="V305" s="114">
        <v>1.12813265</v>
      </c>
      <c r="W305" s="72">
        <v>2.8036180700000002</v>
      </c>
      <c r="X305" s="72">
        <v>4.1957592000000004</v>
      </c>
      <c r="Y305" s="72">
        <v>5.3063385300000006</v>
      </c>
      <c r="Z305" s="115">
        <v>6.56274318</v>
      </c>
      <c r="AA305"/>
      <c r="AB305" s="73" t="s">
        <v>21</v>
      </c>
      <c r="AC305" s="71">
        <v>5.2266801098338062E-2</v>
      </c>
      <c r="AD305" s="71">
        <v>6.2291434251131914E-2</v>
      </c>
      <c r="AE305" s="71" t="s">
        <v>21</v>
      </c>
      <c r="AF305" s="63" t="s">
        <v>21</v>
      </c>
      <c r="AG305" s="71" t="s">
        <v>21</v>
      </c>
      <c r="AH305" s="71">
        <v>2.3054591998338061E-2</v>
      </c>
      <c r="AI305" s="71">
        <v>3.2113735351131913E-2</v>
      </c>
      <c r="AJ305" s="71" t="s">
        <v>21</v>
      </c>
      <c r="AK305" s="63" t="s">
        <v>21</v>
      </c>
      <c r="AL305"/>
    </row>
    <row r="306" spans="1:38" x14ac:dyDescent="0.35">
      <c r="A306" s="53"/>
      <c r="B306" s="55" t="s">
        <v>274</v>
      </c>
      <c r="C306" s="53" t="s">
        <v>234</v>
      </c>
      <c r="D306" s="53" t="s">
        <v>274</v>
      </c>
      <c r="E306" s="53" t="s">
        <v>288</v>
      </c>
      <c r="F306" s="73" t="str">
        <f t="shared" ref="F306" si="237">IF(ISNUMBER(AB306),AB306-((C$4-C$3)/V306),"")</f>
        <v/>
      </c>
      <c r="G306" s="60">
        <f t="shared" ref="G306" si="238">IF(ISNUMBER(AC306),AC306-((D$4-D$3)/W306),"")</f>
        <v>3.3118118513340733E-2</v>
      </c>
      <c r="H306" s="60">
        <f t="shared" ref="H306" si="239">IF(ISNUMBER(AD306),AD306-((E$4-E$3)/X306),"")</f>
        <v>3.9697723250397929E-2</v>
      </c>
      <c r="I306" s="60" t="str">
        <f t="shared" ref="I306" si="240">IF(ISNUMBER(AE306),AE306-((F$4-F$3)/Y306),"")</f>
        <v/>
      </c>
      <c r="J306" s="63" t="str">
        <f t="shared" ref="J306" si="241">IF(ISNUMBER(AF306),AF306-((G$4-G$3)/Z306),"")</f>
        <v/>
      </c>
      <c r="K306" s="60" t="str">
        <f t="shared" ref="K306" si="242">IF(ISNUMBER(AG306),IF(AG306-((C$4-C$3)/V306)&lt;0,"",AG306-((C$4-C$3)/V306)),"")</f>
        <v/>
      </c>
      <c r="L306" s="60">
        <f t="shared" ref="L306" si="243">IF(ISNUMBER(AH306),IF(AH306-((D$4-D$3)/W306)&lt;0,"",AH306-((D$4-D$3)/W306)),"")</f>
        <v>4.8060532133407333E-3</v>
      </c>
      <c r="M306" s="60">
        <f t="shared" ref="M306" si="244">IF(ISNUMBER(AI306),IF(AI306-((E$4-E$3)/X306)&lt;0,"",AI306-((E$4-E$3)/X306)),"")</f>
        <v>1.070786705039794E-2</v>
      </c>
      <c r="N306" s="60" t="str">
        <f t="shared" ref="N306" si="245">IF(ISNUMBER(AJ306),IF(AJ306-((F$4-F$3)/Y306)&lt;0,"",AJ306-((F$4-F$3)/Y306)),"")</f>
        <v/>
      </c>
      <c r="O306" s="63" t="str">
        <f t="shared" ref="O306" si="246">IF(ISNUMBER(AK306),IF(AK306-((G$4-G$3)/Z306)&lt;0,"",AK306-((G$4-G$3)/Z306)),"")</f>
        <v/>
      </c>
      <c r="P306" s="55" t="s">
        <v>21</v>
      </c>
      <c r="Q306" s="53" t="s">
        <v>21</v>
      </c>
      <c r="R306" s="94" t="s">
        <v>21</v>
      </c>
      <c r="S306" s="71" t="s">
        <v>21</v>
      </c>
      <c r="T306" s="63" t="str">
        <f t="shared" ref="T306" si="247">IF(S306="","",H306-S306)</f>
        <v/>
      </c>
      <c r="U306" s="53"/>
      <c r="V306" s="114">
        <v>1.15146886</v>
      </c>
      <c r="W306" s="72">
        <v>2.9527053300000001</v>
      </c>
      <c r="X306" s="72">
        <v>4.5746230199999998</v>
      </c>
      <c r="Y306" s="72">
        <v>5.9806507199999999</v>
      </c>
      <c r="Z306" s="115">
        <v>7.7700240300000001</v>
      </c>
      <c r="AA306" s="53"/>
      <c r="AB306" s="73" t="s">
        <v>21</v>
      </c>
      <c r="AC306" s="71">
        <v>3.3118118513340733E-2</v>
      </c>
      <c r="AD306" s="71">
        <v>3.9697723250397929E-2</v>
      </c>
      <c r="AE306" s="71" t="s">
        <v>21</v>
      </c>
      <c r="AF306" s="63" t="s">
        <v>21</v>
      </c>
      <c r="AG306" s="71" t="s">
        <v>21</v>
      </c>
      <c r="AH306" s="71">
        <v>4.8060532133407333E-3</v>
      </c>
      <c r="AI306" s="71">
        <v>1.070786705039794E-2</v>
      </c>
      <c r="AJ306" s="71" t="s">
        <v>21</v>
      </c>
      <c r="AK306" s="63" t="s">
        <v>21</v>
      </c>
      <c r="AL306" s="53"/>
    </row>
    <row r="307" spans="1:38" x14ac:dyDescent="0.35">
      <c r="B307" s="55" t="s">
        <v>275</v>
      </c>
      <c r="C307" s="53" t="s">
        <v>234</v>
      </c>
      <c r="D307" s="53" t="s">
        <v>275</v>
      </c>
      <c r="E307" s="53" t="s">
        <v>276</v>
      </c>
      <c r="F307" s="73" t="str">
        <f t="shared" si="216"/>
        <v/>
      </c>
      <c r="G307" s="60">
        <f t="shared" si="217"/>
        <v>3.6846016653797525E-2</v>
      </c>
      <c r="H307" s="60">
        <f t="shared" si="218"/>
        <v>4.3567922963620657E-2</v>
      </c>
      <c r="I307" s="60" t="str">
        <f t="shared" si="219"/>
        <v/>
      </c>
      <c r="J307" s="63" t="str">
        <f t="shared" si="220"/>
        <v/>
      </c>
      <c r="K307" s="60" t="str">
        <f t="shared" si="221"/>
        <v/>
      </c>
      <c r="L307" s="60">
        <f t="shared" si="222"/>
        <v>8.4005611537975276E-3</v>
      </c>
      <c r="M307" s="60">
        <f t="shared" si="223"/>
        <v>1.4429373163620666E-2</v>
      </c>
      <c r="N307" s="60" t="str">
        <f t="shared" si="224"/>
        <v/>
      </c>
      <c r="O307" s="63" t="str">
        <f t="shared" si="225"/>
        <v/>
      </c>
      <c r="P307" s="55" t="s">
        <v>626</v>
      </c>
      <c r="Q307" s="53" t="s">
        <v>627</v>
      </c>
      <c r="R307" s="94" t="s">
        <v>32</v>
      </c>
      <c r="S307" s="71">
        <v>4.1753369999999998E-2</v>
      </c>
      <c r="T307" s="63">
        <f t="shared" ref="T307:T309" si="248">IF(S307="","",H307-S307)</f>
        <v>1.8145529636206595E-3</v>
      </c>
      <c r="V307" s="114">
        <v>1.1494004499999999</v>
      </c>
      <c r="W307" s="72">
        <v>2.9288599799999999</v>
      </c>
      <c r="X307" s="72">
        <v>4.5076726799999998</v>
      </c>
      <c r="Y307" s="72">
        <v>5.8668102099999997</v>
      </c>
      <c r="Z307" s="115">
        <v>7.5658128600000003</v>
      </c>
      <c r="AB307" s="73" t="s">
        <v>21</v>
      </c>
      <c r="AC307" s="71">
        <v>3.6846016653797525E-2</v>
      </c>
      <c r="AD307" s="71">
        <v>4.3567922963620657E-2</v>
      </c>
      <c r="AE307" s="71" t="s">
        <v>21</v>
      </c>
      <c r="AF307" s="63" t="s">
        <v>21</v>
      </c>
      <c r="AG307" s="71" t="s">
        <v>21</v>
      </c>
      <c r="AH307" s="71">
        <v>8.4005611537975276E-3</v>
      </c>
      <c r="AI307" s="71">
        <v>1.4429373163620666E-2</v>
      </c>
      <c r="AJ307" s="71" t="s">
        <v>21</v>
      </c>
      <c r="AK307" s="63" t="s">
        <v>21</v>
      </c>
    </row>
    <row r="308" spans="1:38" x14ac:dyDescent="0.35">
      <c r="B308" s="138" t="s">
        <v>279</v>
      </c>
      <c r="C308" s="139" t="s">
        <v>234</v>
      </c>
      <c r="D308" s="139" t="s">
        <v>279</v>
      </c>
      <c r="E308" s="139" t="s">
        <v>280</v>
      </c>
      <c r="F308" s="73" t="str">
        <f t="shared" si="216"/>
        <v/>
      </c>
      <c r="G308" s="60">
        <f t="shared" si="217"/>
        <v>3.3240996806187022E-2</v>
      </c>
      <c r="H308" s="60">
        <f t="shared" si="218"/>
        <v>3.8711918322956632E-2</v>
      </c>
      <c r="I308" s="60" t="str">
        <f t="shared" si="219"/>
        <v/>
      </c>
      <c r="J308" s="63" t="str">
        <f t="shared" si="220"/>
        <v/>
      </c>
      <c r="K308" s="60" t="str">
        <f t="shared" si="221"/>
        <v/>
      </c>
      <c r="L308" s="60">
        <f t="shared" si="222"/>
        <v>4.9226889061870262E-3</v>
      </c>
      <c r="M308" s="60">
        <f t="shared" si="223"/>
        <v>9.7532792229566376E-3</v>
      </c>
      <c r="N308" s="60" t="str">
        <f t="shared" si="224"/>
        <v/>
      </c>
      <c r="O308" s="63" t="str">
        <f t="shared" si="225"/>
        <v/>
      </c>
      <c r="P308" s="138" t="s">
        <v>628</v>
      </c>
      <c r="Q308" s="139" t="s">
        <v>629</v>
      </c>
      <c r="R308" s="143" t="s">
        <v>32</v>
      </c>
      <c r="S308" s="141">
        <v>3.1957650000000004E-2</v>
      </c>
      <c r="T308" s="63">
        <f t="shared" si="248"/>
        <v>6.7542683229566275E-3</v>
      </c>
      <c r="V308" s="144">
        <v>1.1515918999999999</v>
      </c>
      <c r="W308" s="145">
        <v>2.9516095099999999</v>
      </c>
      <c r="X308" s="145">
        <v>4.5809910799999995</v>
      </c>
      <c r="Y308" s="145">
        <v>6.0189870000000001</v>
      </c>
      <c r="Z308" s="146">
        <v>7.8660971399999999</v>
      </c>
      <c r="AB308" s="140" t="s">
        <v>21</v>
      </c>
      <c r="AC308" s="141">
        <v>3.3240996806187022E-2</v>
      </c>
      <c r="AD308" s="141">
        <v>3.8711918322956632E-2</v>
      </c>
      <c r="AE308" s="141" t="s">
        <v>21</v>
      </c>
      <c r="AF308" s="142" t="s">
        <v>21</v>
      </c>
      <c r="AG308" s="141" t="s">
        <v>21</v>
      </c>
      <c r="AH308" s="141">
        <v>4.9226889061870262E-3</v>
      </c>
      <c r="AI308" s="141">
        <v>9.7532792229566376E-3</v>
      </c>
      <c r="AJ308" s="141" t="s">
        <v>21</v>
      </c>
      <c r="AK308" s="142" t="s">
        <v>21</v>
      </c>
    </row>
    <row r="309" spans="1:38" x14ac:dyDescent="0.35">
      <c r="B309" s="138" t="s">
        <v>281</v>
      </c>
      <c r="C309" s="139" t="s">
        <v>234</v>
      </c>
      <c r="D309" s="139" t="s">
        <v>281</v>
      </c>
      <c r="E309" s="139" t="s">
        <v>48</v>
      </c>
      <c r="F309" s="73" t="str">
        <f t="shared" si="216"/>
        <v/>
      </c>
      <c r="G309" s="60">
        <f t="shared" si="217"/>
        <v>3.975676697807675E-2</v>
      </c>
      <c r="H309" s="60">
        <f t="shared" si="218"/>
        <v>4.7704834543023399E-2</v>
      </c>
      <c r="I309" s="60" t="str">
        <f t="shared" si="219"/>
        <v/>
      </c>
      <c r="J309" s="63" t="str">
        <f t="shared" si="220"/>
        <v/>
      </c>
      <c r="K309" s="60" t="str">
        <f t="shared" si="221"/>
        <v/>
      </c>
      <c r="L309" s="60">
        <f t="shared" si="222"/>
        <v>1.1200298978076742E-2</v>
      </c>
      <c r="M309" s="60">
        <f t="shared" si="223"/>
        <v>1.8384866343023401E-2</v>
      </c>
      <c r="N309" s="60" t="str">
        <f t="shared" si="224"/>
        <v/>
      </c>
      <c r="O309" s="63" t="str">
        <f t="shared" si="225"/>
        <v/>
      </c>
      <c r="P309" s="138" t="s">
        <v>630</v>
      </c>
      <c r="Q309" s="139" t="s">
        <v>631</v>
      </c>
      <c r="R309" s="143" t="s">
        <v>32</v>
      </c>
      <c r="S309" s="141">
        <v>4.6082129999999999E-2</v>
      </c>
      <c r="T309" s="63">
        <f t="shared" si="248"/>
        <v>1.6227045430233997E-3</v>
      </c>
      <c r="V309" s="144">
        <v>1.14520325</v>
      </c>
      <c r="W309" s="145">
        <v>2.9028941700000002</v>
      </c>
      <c r="X309" s="145">
        <v>4.4391897</v>
      </c>
      <c r="Y309" s="145">
        <v>5.7390115000000002</v>
      </c>
      <c r="Z309" s="146">
        <v>7.2919234900000003</v>
      </c>
      <c r="AB309" s="140" t="s">
        <v>21</v>
      </c>
      <c r="AC309" s="141">
        <v>3.975676697807675E-2</v>
      </c>
      <c r="AD309" s="141">
        <v>4.7704834543023399E-2</v>
      </c>
      <c r="AE309" s="141" t="s">
        <v>21</v>
      </c>
      <c r="AF309" s="142" t="s">
        <v>21</v>
      </c>
      <c r="AG309" s="141" t="s">
        <v>21</v>
      </c>
      <c r="AH309" s="141">
        <v>1.1200298978076742E-2</v>
      </c>
      <c r="AI309" s="141">
        <v>1.8384866343023401E-2</v>
      </c>
      <c r="AJ309" s="141" t="s">
        <v>21</v>
      </c>
      <c r="AK309" s="142" t="s">
        <v>21</v>
      </c>
    </row>
    <row r="310" spans="1:38" x14ac:dyDescent="0.35">
      <c r="B310" s="147" t="s">
        <v>277</v>
      </c>
      <c r="C310" s="148" t="s">
        <v>234</v>
      </c>
      <c r="D310" s="148" t="s">
        <v>278</v>
      </c>
      <c r="E310" s="148" t="s">
        <v>123</v>
      </c>
      <c r="F310" s="73" t="str">
        <f t="shared" si="216"/>
        <v/>
      </c>
      <c r="G310" s="60">
        <f t="shared" si="217"/>
        <v>3.7114359207925912E-2</v>
      </c>
      <c r="H310" s="60">
        <f t="shared" si="218"/>
        <v>4.3121049273059986E-2</v>
      </c>
      <c r="I310" s="60" t="str">
        <f t="shared" si="219"/>
        <v/>
      </c>
      <c r="J310" s="63" t="str">
        <f t="shared" si="220"/>
        <v/>
      </c>
      <c r="K310" s="60" t="str">
        <f t="shared" si="221"/>
        <v/>
      </c>
      <c r="L310" s="60">
        <f t="shared" si="222"/>
        <v>8.6375774079259192E-3</v>
      </c>
      <c r="M310" s="60">
        <f t="shared" si="223"/>
        <v>1.3959642573059986E-2</v>
      </c>
      <c r="N310" s="60" t="str">
        <f t="shared" si="224"/>
        <v/>
      </c>
      <c r="O310" s="63" t="str">
        <f t="shared" si="225"/>
        <v/>
      </c>
      <c r="P310" s="147" t="s">
        <v>632</v>
      </c>
      <c r="Q310" s="148" t="s">
        <v>633</v>
      </c>
      <c r="R310" s="152" t="s">
        <v>32</v>
      </c>
      <c r="S310" s="150">
        <v>3.7862960000000001E-2</v>
      </c>
      <c r="T310" s="63">
        <f t="shared" si="226"/>
        <v>5.2580892730599849E-3</v>
      </c>
      <c r="V310" s="153">
        <v>1.1447694399999999</v>
      </c>
      <c r="W310" s="154">
        <v>2.90954493</v>
      </c>
      <c r="X310" s="154">
        <v>4.4711417000000004</v>
      </c>
      <c r="Y310" s="154">
        <v>5.8144395299999996</v>
      </c>
      <c r="Z310" s="155">
        <v>7.4591885900000001</v>
      </c>
      <c r="AB310" s="149" t="s">
        <v>21</v>
      </c>
      <c r="AC310" s="150">
        <v>3.7114359207925912E-2</v>
      </c>
      <c r="AD310" s="150">
        <v>4.3121049273059986E-2</v>
      </c>
      <c r="AE310" s="150" t="s">
        <v>21</v>
      </c>
      <c r="AF310" s="151" t="s">
        <v>21</v>
      </c>
      <c r="AG310" s="150" t="s">
        <v>21</v>
      </c>
      <c r="AH310" s="150">
        <v>8.6375774079259192E-3</v>
      </c>
      <c r="AI310" s="150">
        <v>1.3959642573059986E-2</v>
      </c>
      <c r="AJ310" s="150" t="s">
        <v>21</v>
      </c>
      <c r="AK310" s="151" t="s">
        <v>21</v>
      </c>
    </row>
    <row r="311" spans="1:38" x14ac:dyDescent="0.35">
      <c r="B311" s="55" t="s">
        <v>214</v>
      </c>
      <c r="C311" s="53" t="s">
        <v>234</v>
      </c>
      <c r="D311" s="53" t="s">
        <v>201</v>
      </c>
      <c r="E311" s="53" t="s">
        <v>295</v>
      </c>
      <c r="F311" s="75" t="str">
        <f t="shared" si="216"/>
        <v/>
      </c>
      <c r="G311" s="80">
        <f t="shared" si="217"/>
        <v>3.7841669813691144E-2</v>
      </c>
      <c r="H311" s="80">
        <f t="shared" si="218"/>
        <v>4.6674903116207436E-2</v>
      </c>
      <c r="I311" s="80" t="str">
        <f t="shared" si="219"/>
        <v/>
      </c>
      <c r="J311" s="62" t="str">
        <f t="shared" si="220"/>
        <v/>
      </c>
      <c r="K311" s="80" t="str">
        <f t="shared" si="221"/>
        <v/>
      </c>
      <c r="L311" s="80">
        <f t="shared" si="222"/>
        <v>9.3379425136911332E-3</v>
      </c>
      <c r="M311" s="80">
        <f t="shared" si="223"/>
        <v>1.7377594416207443E-2</v>
      </c>
      <c r="N311" s="80" t="str">
        <f t="shared" si="224"/>
        <v/>
      </c>
      <c r="O311" s="62" t="str">
        <f t="shared" si="225"/>
        <v/>
      </c>
      <c r="P311" s="55" t="s">
        <v>634</v>
      </c>
      <c r="Q311" s="53" t="s">
        <v>635</v>
      </c>
      <c r="R311" s="94" t="s">
        <v>32</v>
      </c>
      <c r="S311" s="71">
        <v>4.2416140000000005E-2</v>
      </c>
      <c r="T311" s="62">
        <f t="shared" si="226"/>
        <v>4.2587631162074313E-3</v>
      </c>
      <c r="V311" s="114">
        <v>1.1476624799999999</v>
      </c>
      <c r="W311" s="72">
        <v>2.9164165</v>
      </c>
      <c r="X311" s="72">
        <v>4.4596098200000007</v>
      </c>
      <c r="Y311" s="72">
        <v>5.7497673200000001</v>
      </c>
      <c r="Z311" s="115">
        <v>7.2876185700000002</v>
      </c>
      <c r="AB311" s="73" t="s">
        <v>21</v>
      </c>
      <c r="AC311" s="71">
        <v>3.7841669813691144E-2</v>
      </c>
      <c r="AD311" s="71">
        <v>4.6674903116207436E-2</v>
      </c>
      <c r="AE311" s="71" t="s">
        <v>21</v>
      </c>
      <c r="AF311" s="63" t="s">
        <v>21</v>
      </c>
      <c r="AG311" s="71" t="s">
        <v>21</v>
      </c>
      <c r="AH311" s="71">
        <v>9.3379425136911332E-3</v>
      </c>
      <c r="AI311" s="71">
        <v>1.7377594416207443E-2</v>
      </c>
      <c r="AJ311" s="71" t="s">
        <v>21</v>
      </c>
      <c r="AK311" s="63" t="s">
        <v>21</v>
      </c>
    </row>
    <row r="312" spans="1:38" x14ac:dyDescent="0.35">
      <c r="B312" s="55" t="s">
        <v>215</v>
      </c>
      <c r="C312" s="53" t="s">
        <v>234</v>
      </c>
      <c r="D312" s="53" t="s">
        <v>199</v>
      </c>
      <c r="E312" s="53" t="s">
        <v>636</v>
      </c>
      <c r="F312" s="73" t="str">
        <f t="shared" si="216"/>
        <v/>
      </c>
      <c r="G312" s="60">
        <f t="shared" si="217"/>
        <v>5.505318687663454E-2</v>
      </c>
      <c r="H312" s="60">
        <f t="shared" si="218"/>
        <v>6.3862147131730593E-2</v>
      </c>
      <c r="I312" s="60" t="str">
        <f t="shared" si="219"/>
        <v/>
      </c>
      <c r="J312" s="63" t="str">
        <f t="shared" si="220"/>
        <v/>
      </c>
      <c r="K312" s="60" t="str">
        <f t="shared" si="221"/>
        <v/>
      </c>
      <c r="L312" s="60">
        <f t="shared" si="222"/>
        <v>2.5671926076634526E-2</v>
      </c>
      <c r="M312" s="60">
        <f t="shared" si="223"/>
        <v>3.3565638231730588E-2</v>
      </c>
      <c r="N312" s="60" t="str">
        <f t="shared" si="224"/>
        <v/>
      </c>
      <c r="O312" s="63" t="str">
        <f t="shared" si="225"/>
        <v/>
      </c>
      <c r="P312" s="55" t="s">
        <v>21</v>
      </c>
      <c r="Q312" s="53" t="s">
        <v>21</v>
      </c>
      <c r="R312" s="94" t="s">
        <v>21</v>
      </c>
      <c r="S312" s="71" t="s">
        <v>21</v>
      </c>
      <c r="T312" s="63" t="str">
        <f t="shared" ref="T312:T315" si="249">IF(S312="","",H312-S312)</f>
        <v/>
      </c>
      <c r="V312" s="114">
        <v>1.11764705</v>
      </c>
      <c r="W312" s="72">
        <v>2.76921325</v>
      </c>
      <c r="X312" s="72">
        <v>4.14489296</v>
      </c>
      <c r="Y312" s="72">
        <v>5.2337278700000001</v>
      </c>
      <c r="Z312" s="115">
        <v>6.4632400300000006</v>
      </c>
      <c r="AB312" s="73" t="s">
        <v>21</v>
      </c>
      <c r="AC312" s="71">
        <v>5.505318687663454E-2</v>
      </c>
      <c r="AD312" s="71">
        <v>6.3862147131730593E-2</v>
      </c>
      <c r="AE312" s="71" t="s">
        <v>21</v>
      </c>
      <c r="AF312" s="63" t="s">
        <v>21</v>
      </c>
      <c r="AG312" s="71" t="s">
        <v>21</v>
      </c>
      <c r="AH312" s="71">
        <v>2.5671926076634526E-2</v>
      </c>
      <c r="AI312" s="71">
        <v>3.3565638231730588E-2</v>
      </c>
      <c r="AJ312" s="71" t="s">
        <v>21</v>
      </c>
      <c r="AK312" s="63" t="s">
        <v>21</v>
      </c>
    </row>
    <row r="313" spans="1:38" x14ac:dyDescent="0.35">
      <c r="B313" s="55" t="s">
        <v>282</v>
      </c>
      <c r="C313" s="53" t="s">
        <v>234</v>
      </c>
      <c r="D313" s="53" t="s">
        <v>201</v>
      </c>
      <c r="E313" s="53" t="s">
        <v>133</v>
      </c>
      <c r="F313" s="73" t="str">
        <f t="shared" si="216"/>
        <v/>
      </c>
      <c r="G313" s="60" t="str">
        <f t="shared" si="217"/>
        <v/>
      </c>
      <c r="H313" s="60">
        <f t="shared" si="218"/>
        <v>3.6137888593386056E-2</v>
      </c>
      <c r="I313" s="60" t="str">
        <f t="shared" si="219"/>
        <v/>
      </c>
      <c r="J313" s="63" t="str">
        <f t="shared" si="220"/>
        <v/>
      </c>
      <c r="K313" s="60" t="str">
        <f t="shared" si="221"/>
        <v/>
      </c>
      <c r="L313" s="60" t="str">
        <f t="shared" si="222"/>
        <v/>
      </c>
      <c r="M313" s="60">
        <f t="shared" si="223"/>
        <v>7.1724327933860533E-3</v>
      </c>
      <c r="N313" s="60" t="str">
        <f t="shared" si="224"/>
        <v/>
      </c>
      <c r="O313" s="63" t="str">
        <f t="shared" si="225"/>
        <v/>
      </c>
      <c r="P313" s="55" t="s">
        <v>296</v>
      </c>
      <c r="Q313" s="53" t="s">
        <v>297</v>
      </c>
      <c r="R313" s="94">
        <v>47581</v>
      </c>
      <c r="S313" s="71">
        <v>3.9770369999999999E-2</v>
      </c>
      <c r="T313" s="63">
        <f t="shared" si="249"/>
        <v>-3.6324814066139438E-3</v>
      </c>
      <c r="V313" s="114">
        <v>1.1492319600000001</v>
      </c>
      <c r="W313" s="72">
        <v>2.94613843</v>
      </c>
      <c r="X313" s="72">
        <v>4.5721341799999999</v>
      </c>
      <c r="Y313" s="72">
        <v>6.0045066799999995</v>
      </c>
      <c r="Z313" s="115">
        <v>7.8162962700000005</v>
      </c>
      <c r="AB313" s="73" t="s">
        <v>21</v>
      </c>
      <c r="AC313" s="71"/>
      <c r="AD313" s="71">
        <v>3.6137888593386056E-2</v>
      </c>
      <c r="AE313" s="71" t="s">
        <v>21</v>
      </c>
      <c r="AF313" s="63" t="s">
        <v>21</v>
      </c>
      <c r="AG313" s="71" t="s">
        <v>21</v>
      </c>
      <c r="AH313" s="71"/>
      <c r="AI313" s="71">
        <v>7.1724327933860533E-3</v>
      </c>
      <c r="AJ313" s="71" t="s">
        <v>21</v>
      </c>
      <c r="AK313" s="63" t="s">
        <v>21</v>
      </c>
    </row>
    <row r="314" spans="1:38" x14ac:dyDescent="0.35">
      <c r="B314" s="55" t="s">
        <v>283</v>
      </c>
      <c r="C314" s="53" t="s">
        <v>234</v>
      </c>
      <c r="D314" s="53" t="s">
        <v>197</v>
      </c>
      <c r="E314" s="53" t="s">
        <v>637</v>
      </c>
      <c r="F314" s="73" t="str">
        <f t="shared" si="216"/>
        <v/>
      </c>
      <c r="G314" s="60" t="str">
        <f t="shared" si="217"/>
        <v/>
      </c>
      <c r="H314" s="60">
        <f t="shared" si="218"/>
        <v>6.2654027615002217E-2</v>
      </c>
      <c r="I314" s="60" t="str">
        <f t="shared" si="219"/>
        <v/>
      </c>
      <c r="J314" s="63" t="str">
        <f t="shared" si="220"/>
        <v/>
      </c>
      <c r="K314" s="60" t="str">
        <f t="shared" si="221"/>
        <v/>
      </c>
      <c r="L314" s="60" t="str">
        <f t="shared" si="222"/>
        <v/>
      </c>
      <c r="M314" s="60">
        <f t="shared" si="223"/>
        <v>3.2414712015002213E-2</v>
      </c>
      <c r="N314" s="60" t="str">
        <f t="shared" si="224"/>
        <v/>
      </c>
      <c r="O314" s="63" t="str">
        <f t="shared" si="225"/>
        <v/>
      </c>
      <c r="P314" s="55" t="s">
        <v>21</v>
      </c>
      <c r="Q314" s="53" t="s">
        <v>21</v>
      </c>
      <c r="R314" s="94" t="s">
        <v>21</v>
      </c>
      <c r="S314" s="71" t="s">
        <v>21</v>
      </c>
      <c r="T314" s="63" t="str">
        <f t="shared" si="249"/>
        <v/>
      </c>
      <c r="V314" s="114">
        <v>1.1177939800000001</v>
      </c>
      <c r="W314" s="72">
        <v>2.7584185400000001</v>
      </c>
      <c r="X314" s="72">
        <v>4.1349065600000001</v>
      </c>
      <c r="Y314" s="72">
        <v>5.2740741200000008</v>
      </c>
      <c r="Z314" s="115">
        <v>6.6379812600000001</v>
      </c>
      <c r="AB314" s="73" t="s">
        <v>21</v>
      </c>
      <c r="AC314" s="71"/>
      <c r="AD314" s="71">
        <v>6.2654027615002217E-2</v>
      </c>
      <c r="AE314" s="71" t="s">
        <v>21</v>
      </c>
      <c r="AF314" s="63" t="s">
        <v>21</v>
      </c>
      <c r="AG314" s="71" t="s">
        <v>21</v>
      </c>
      <c r="AH314" s="71"/>
      <c r="AI314" s="71">
        <v>3.2414712015002213E-2</v>
      </c>
      <c r="AJ314" s="71" t="s">
        <v>21</v>
      </c>
      <c r="AK314" s="63" t="s">
        <v>21</v>
      </c>
    </row>
    <row r="315" spans="1:38" x14ac:dyDescent="0.35">
      <c r="B315" s="55" t="s">
        <v>284</v>
      </c>
      <c r="C315" s="53" t="s">
        <v>234</v>
      </c>
      <c r="D315" s="53" t="s">
        <v>197</v>
      </c>
      <c r="E315" s="53" t="s">
        <v>638</v>
      </c>
      <c r="F315" s="73" t="str">
        <f t="shared" si="216"/>
        <v/>
      </c>
      <c r="G315" s="60" t="str">
        <f t="shared" si="217"/>
        <v/>
      </c>
      <c r="H315" s="60">
        <f t="shared" si="218"/>
        <v>6.6888242864509589E-2</v>
      </c>
      <c r="I315" s="60" t="str">
        <f t="shared" si="219"/>
        <v/>
      </c>
      <c r="J315" s="63" t="str">
        <f t="shared" si="220"/>
        <v/>
      </c>
      <c r="K315" s="60" t="str">
        <f t="shared" si="221"/>
        <v/>
      </c>
      <c r="L315" s="60" t="str">
        <f t="shared" si="222"/>
        <v/>
      </c>
      <c r="M315" s="60">
        <f t="shared" si="223"/>
        <v>3.6731199964509603E-2</v>
      </c>
      <c r="N315" s="60" t="str">
        <f t="shared" si="224"/>
        <v/>
      </c>
      <c r="O315" s="63" t="str">
        <f t="shared" si="225"/>
        <v/>
      </c>
      <c r="P315" s="55" t="s">
        <v>21</v>
      </c>
      <c r="Q315" s="53" t="s">
        <v>21</v>
      </c>
      <c r="R315" s="94" t="s">
        <v>21</v>
      </c>
      <c r="S315" s="71" t="s">
        <v>21</v>
      </c>
      <c r="T315" s="63" t="str">
        <f t="shared" si="249"/>
        <v/>
      </c>
      <c r="V315" s="114">
        <v>1.1208767900000001</v>
      </c>
      <c r="W315" s="72">
        <v>2.78678873</v>
      </c>
      <c r="X315" s="72">
        <v>4.1778065500000006</v>
      </c>
      <c r="Y315" s="72">
        <v>5.2932720699999996</v>
      </c>
      <c r="Z315" s="115">
        <v>6.5370132499999993</v>
      </c>
      <c r="AB315" s="73" t="s">
        <v>21</v>
      </c>
      <c r="AC315" s="71"/>
      <c r="AD315" s="71">
        <v>6.6888242864509589E-2</v>
      </c>
      <c r="AE315" s="71" t="s">
        <v>21</v>
      </c>
      <c r="AF315" s="63" t="s">
        <v>21</v>
      </c>
      <c r="AG315" s="71" t="s">
        <v>21</v>
      </c>
      <c r="AH315" s="71"/>
      <c r="AI315" s="71">
        <v>3.6731199964509603E-2</v>
      </c>
      <c r="AJ315" s="71" t="s">
        <v>21</v>
      </c>
      <c r="AK315" s="63" t="s">
        <v>21</v>
      </c>
    </row>
    <row r="316" spans="1:38" x14ac:dyDescent="0.35">
      <c r="B316" s="57" t="s">
        <v>285</v>
      </c>
      <c r="C316" s="53" t="s">
        <v>234</v>
      </c>
      <c r="D316" s="67" t="s">
        <v>197</v>
      </c>
      <c r="E316" s="67" t="s">
        <v>270</v>
      </c>
      <c r="F316" s="74" t="str">
        <f t="shared" si="216"/>
        <v/>
      </c>
      <c r="G316" s="76" t="str">
        <f t="shared" si="217"/>
        <v/>
      </c>
      <c r="H316" s="76">
        <f t="shared" si="218"/>
        <v>6.9662462905559663E-2</v>
      </c>
      <c r="I316" s="76" t="str">
        <f t="shared" si="219"/>
        <v/>
      </c>
      <c r="J316" s="64" t="str">
        <f t="shared" si="220"/>
        <v/>
      </c>
      <c r="K316" s="76" t="str">
        <f t="shared" si="221"/>
        <v/>
      </c>
      <c r="L316" s="76" t="str">
        <f t="shared" si="222"/>
        <v/>
      </c>
      <c r="M316" s="76">
        <f t="shared" si="223"/>
        <v>3.8582293305559665E-2</v>
      </c>
      <c r="N316" s="76" t="str">
        <f t="shared" si="224"/>
        <v/>
      </c>
      <c r="O316" s="64" t="str">
        <f t="shared" si="225"/>
        <v/>
      </c>
      <c r="P316" s="57" t="s">
        <v>639</v>
      </c>
      <c r="Q316" s="67" t="s">
        <v>640</v>
      </c>
      <c r="R316" s="96">
        <v>47560</v>
      </c>
      <c r="S316" s="76">
        <v>6.5898520000000002E-2</v>
      </c>
      <c r="T316" s="64">
        <f t="shared" si="226"/>
        <v>3.7639429055596613E-3</v>
      </c>
      <c r="V316" s="116">
        <v>1.11216523</v>
      </c>
      <c r="W316" s="108">
        <v>2.7060113800000001</v>
      </c>
      <c r="X316" s="108">
        <v>3.98777669</v>
      </c>
      <c r="Y316" s="108">
        <v>5.0005998500000004</v>
      </c>
      <c r="Z316" s="117">
        <v>6.08251426</v>
      </c>
      <c r="AB316" s="74" t="s">
        <v>21</v>
      </c>
      <c r="AC316" s="76"/>
      <c r="AD316" s="76">
        <v>6.9662462905559663E-2</v>
      </c>
      <c r="AE316" s="76" t="s">
        <v>21</v>
      </c>
      <c r="AF316" s="64" t="s">
        <v>21</v>
      </c>
      <c r="AG316" s="76" t="s">
        <v>21</v>
      </c>
      <c r="AH316" s="76"/>
      <c r="AI316" s="76">
        <v>3.8582293305559665E-2</v>
      </c>
      <c r="AJ316" s="76" t="s">
        <v>21</v>
      </c>
      <c r="AK316" s="64" t="s">
        <v>21</v>
      </c>
    </row>
    <row r="317" spans="1:38" x14ac:dyDescent="0.35">
      <c r="B317" s="66"/>
      <c r="C317" s="66"/>
      <c r="D317" s="66"/>
      <c r="E317" s="66"/>
      <c r="P317" s="66"/>
      <c r="Q317" s="66"/>
      <c r="R317" s="66"/>
      <c r="S317" s="66"/>
      <c r="V317" s="66"/>
      <c r="W317" s="66"/>
      <c r="X317" s="66"/>
      <c r="Y317" s="66"/>
      <c r="Z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</row>
    <row r="318" spans="1:38" ht="15.5" x14ac:dyDescent="0.35">
      <c r="B318" s="122" t="s">
        <v>286</v>
      </c>
      <c r="C318" s="53"/>
      <c r="D318" s="53"/>
      <c r="E318" s="53"/>
      <c r="P318" s="53"/>
      <c r="Q318" s="53"/>
      <c r="R318" s="53"/>
      <c r="S318" s="53"/>
      <c r="V318" s="53"/>
      <c r="W318" s="53"/>
      <c r="X318" s="53"/>
      <c r="Y318" s="53"/>
      <c r="Z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</row>
    <row r="319" spans="1:38" x14ac:dyDescent="0.35">
      <c r="B319" s="85" t="s">
        <v>5</v>
      </c>
      <c r="C319" s="84" t="s">
        <v>6</v>
      </c>
      <c r="D319" s="84" t="s">
        <v>7</v>
      </c>
      <c r="E319" s="84" t="s">
        <v>8</v>
      </c>
      <c r="F319" s="83" t="s">
        <v>9</v>
      </c>
      <c r="G319" s="82" t="s">
        <v>10</v>
      </c>
      <c r="H319" s="82" t="s">
        <v>11</v>
      </c>
      <c r="I319" s="82" t="s">
        <v>12</v>
      </c>
      <c r="J319" s="81" t="s">
        <v>13</v>
      </c>
      <c r="K319" s="83" t="s">
        <v>9</v>
      </c>
      <c r="L319" s="82" t="s">
        <v>10</v>
      </c>
      <c r="M319" s="82" t="s">
        <v>11</v>
      </c>
      <c r="N319" s="82" t="s">
        <v>12</v>
      </c>
      <c r="O319" s="81" t="s">
        <v>13</v>
      </c>
      <c r="P319" s="83" t="s">
        <v>14</v>
      </c>
      <c r="Q319" s="82" t="s">
        <v>15</v>
      </c>
      <c r="R319" s="82" t="s">
        <v>16</v>
      </c>
      <c r="S319" s="82" t="s">
        <v>17</v>
      </c>
      <c r="T319" s="58" t="s">
        <v>18</v>
      </c>
      <c r="U319" s="53"/>
      <c r="V319" s="110" t="s">
        <v>9</v>
      </c>
      <c r="W319" s="106" t="s">
        <v>10</v>
      </c>
      <c r="X319" s="106" t="s">
        <v>11</v>
      </c>
      <c r="Y319" s="106" t="s">
        <v>12</v>
      </c>
      <c r="Z319" s="111" t="s">
        <v>13</v>
      </c>
      <c r="AA319" s="53"/>
      <c r="AB319" s="83" t="s">
        <v>9</v>
      </c>
      <c r="AC319" s="82" t="s">
        <v>10</v>
      </c>
      <c r="AD319" s="82" t="s">
        <v>11</v>
      </c>
      <c r="AE319" s="82" t="s">
        <v>12</v>
      </c>
      <c r="AF319" s="81" t="s">
        <v>13</v>
      </c>
      <c r="AG319" s="83" t="s">
        <v>9</v>
      </c>
      <c r="AH319" s="82" t="s">
        <v>10</v>
      </c>
      <c r="AI319" s="82" t="s">
        <v>11</v>
      </c>
      <c r="AJ319" s="82" t="s">
        <v>12</v>
      </c>
      <c r="AK319" s="81" t="s">
        <v>13</v>
      </c>
    </row>
    <row r="320" spans="1:38" x14ac:dyDescent="0.35">
      <c r="B320" s="55" t="s">
        <v>641</v>
      </c>
      <c r="C320" s="53" t="s">
        <v>234</v>
      </c>
      <c r="D320" s="53" t="s">
        <v>642</v>
      </c>
      <c r="E320" s="53" t="s">
        <v>643</v>
      </c>
      <c r="F320" s="73">
        <f>IF(ISNUMBER(AB320),AB320-((C$4-C$3)/V320),"")</f>
        <v>2.5540177098444451E-2</v>
      </c>
      <c r="G320" s="60">
        <f>IF(ISNUMBER(AC320),AC320-((D$4-D$3)/W320),"")</f>
        <v>3.3826823543715925E-2</v>
      </c>
      <c r="H320" s="60">
        <f>IF(ISNUMBER(AD320),AD320-((E$4-E$3)/X320),"")</f>
        <v>4.0271195823203654E-2</v>
      </c>
      <c r="I320" s="60">
        <f>IF(ISNUMBER(AE320),AE320-((F$4-F$3)/Y320),"")</f>
        <v>4.2884167315889135E-2</v>
      </c>
      <c r="J320" s="63">
        <f>IF(ISNUMBER(AF320),AF320-((G$4-G$3)/Z320),"")</f>
        <v>4.5624043207418891E-2</v>
      </c>
      <c r="K320" s="60" t="str">
        <f>IF(ISNUMBER(AG320),IF(AG320-((C$4-C$3)/V320)&lt;0,"",AG320-((C$4-C$3)/V320)),"")</f>
        <v/>
      </c>
      <c r="L320" s="60">
        <f>IF(ISNUMBER(AH320),IF(AH320-((D$4-D$3)/W320)&lt;0,"",AH320-((D$4-D$3)/W320)),"")</f>
        <v>5.4515416437159164E-3</v>
      </c>
      <c r="M320" s="60">
        <f>IF(ISNUMBER(AI320),IF(AI320-((E$4-E$3)/X320)&lt;0,"",AI320-((E$4-E$3)/X320)),"")</f>
        <v>1.1201148423203654E-2</v>
      </c>
      <c r="N320" s="60">
        <f>IF(ISNUMBER(AJ320),IF(AJ320-((F$4-F$3)/Y320)&lt;0,"",AJ320-((F$4-F$3)/Y320)),"")</f>
        <v>1.298490211588914E-2</v>
      </c>
      <c r="O320" s="63">
        <f>IF(ISNUMBER(AK320),IF(AK320-((G$4-G$3)/Z320)&lt;0,"",AK320-((G$4-G$3)/Z320)),"")</f>
        <v>1.4416303307418891E-2</v>
      </c>
      <c r="P320" s="55" t="s">
        <v>644</v>
      </c>
      <c r="Q320" s="53" t="s">
        <v>645</v>
      </c>
      <c r="R320" s="94">
        <v>47545</v>
      </c>
      <c r="S320" s="71">
        <v>3.2159300000000002E-2</v>
      </c>
      <c r="T320" s="63">
        <f t="shared" ref="T320:T325" si="250">IF(S320="","",H320-S320)</f>
        <v>8.111895823203652E-3</v>
      </c>
      <c r="U320" s="53"/>
      <c r="V320" s="114">
        <v>1.1490652699999999</v>
      </c>
      <c r="W320" s="72">
        <v>2.9345309300000002</v>
      </c>
      <c r="X320" s="72">
        <v>4.5244015499999994</v>
      </c>
      <c r="Y320" s="72">
        <v>5.91154578</v>
      </c>
      <c r="Z320" s="115">
        <v>7.6826451500000008</v>
      </c>
      <c r="AA320" s="53"/>
      <c r="AB320" s="73">
        <v>2.5540177098444451E-2</v>
      </c>
      <c r="AC320" s="71">
        <v>3.3826823543715925E-2</v>
      </c>
      <c r="AD320" s="71">
        <v>4.0271195823203654E-2</v>
      </c>
      <c r="AE320" s="71">
        <v>4.2884167315889135E-2</v>
      </c>
      <c r="AF320" s="63">
        <v>4.5624043207418891E-2</v>
      </c>
      <c r="AG320" s="71" t="s">
        <v>21</v>
      </c>
      <c r="AH320" s="71">
        <v>5.4515416437159164E-3</v>
      </c>
      <c r="AI320" s="71">
        <v>1.1201148423203654E-2</v>
      </c>
      <c r="AJ320" s="71">
        <v>1.298490211588914E-2</v>
      </c>
      <c r="AK320" s="63">
        <v>1.4416303307418891E-2</v>
      </c>
    </row>
    <row r="321" spans="2:37" x14ac:dyDescent="0.35">
      <c r="B321" s="55" t="s">
        <v>646</v>
      </c>
      <c r="C321" s="53" t="s">
        <v>234</v>
      </c>
      <c r="D321" s="53" t="s">
        <v>647</v>
      </c>
      <c r="E321" s="53" t="s">
        <v>266</v>
      </c>
      <c r="F321" s="73">
        <f t="shared" ref="F321:F325" si="251">IF(ISNUMBER(AB321),AB321-((C$4-C$3)/V321),"")</f>
        <v>2.6275933968004823E-2</v>
      </c>
      <c r="G321" s="60">
        <f t="shared" ref="G321:G325" si="252">IF(ISNUMBER(AC321),AC321-((D$4-D$3)/W321),"")</f>
        <v>3.4213657027326587E-2</v>
      </c>
      <c r="H321" s="60">
        <f t="shared" ref="H321:H325" si="253">IF(ISNUMBER(AD321),AD321-((E$4-E$3)/X321),"")</f>
        <v>4.0225807512579419E-2</v>
      </c>
      <c r="I321" s="60">
        <f t="shared" ref="I321:I325" si="254">IF(ISNUMBER(AE321),AE321-((F$4-F$3)/Y321),"")</f>
        <v>4.2690895499271297E-2</v>
      </c>
      <c r="J321" s="63">
        <f t="shared" ref="J321:J325" si="255">IF(ISNUMBER(AF321),AF321-((G$4-G$3)/Z321),"")</f>
        <v>4.5479408703746213E-2</v>
      </c>
      <c r="K321" s="60" t="str">
        <f t="shared" ref="K321:K325" si="256">IF(ISNUMBER(AG321),IF(AG321-((C$4-C$3)/V321)&lt;0,"",AG321-((C$4-C$3)/V321)),"")</f>
        <v/>
      </c>
      <c r="L321" s="60">
        <f t="shared" ref="L321:L325" si="257">IF(ISNUMBER(AH321),IF(AH321-((D$4-D$3)/W321)&lt;0,"",AH321-((D$4-D$3)/W321)),"")</f>
        <v>5.8264436273265888E-3</v>
      </c>
      <c r="M321" s="60">
        <f t="shared" ref="M321:M325" si="258">IF(ISNUMBER(AI321),IF(AI321-((E$4-E$3)/X321)&lt;0,"",AI321-((E$4-E$3)/X321)),"")</f>
        <v>1.1158902812579419E-2</v>
      </c>
      <c r="N321" s="60">
        <f t="shared" ref="N321:N325" si="259">IF(ISNUMBER(AJ321),IF(AJ321-((F$4-F$3)/Y321)&lt;0,"",AJ321-((F$4-F$3)/Y321)),"")</f>
        <v>1.2799384099271296E-2</v>
      </c>
      <c r="O321" s="63">
        <f t="shared" ref="O321:O325" si="260">IF(ISNUMBER(AK321),IF(AK321-((G$4-G$3)/Z321)&lt;0,"",AK321-((G$4-G$3)/Z321)),"")</f>
        <v>1.4274672403746223E-2</v>
      </c>
      <c r="P321" s="55" t="s">
        <v>21</v>
      </c>
      <c r="Q321" s="53" t="s">
        <v>21</v>
      </c>
      <c r="R321" s="94" t="s">
        <v>21</v>
      </c>
      <c r="S321" s="71" t="s">
        <v>21</v>
      </c>
      <c r="T321" s="63" t="str">
        <f t="shared" si="250"/>
        <v/>
      </c>
      <c r="U321" s="53"/>
      <c r="V321" s="114">
        <v>1.14757358</v>
      </c>
      <c r="W321" s="72">
        <v>2.9291124700000002</v>
      </c>
      <c r="X321" s="72">
        <v>4.5185343299999996</v>
      </c>
      <c r="Y321" s="72">
        <v>5.9097292699999997</v>
      </c>
      <c r="Z321" s="115">
        <v>7.6862674100000001</v>
      </c>
      <c r="AA321" s="53"/>
      <c r="AB321" s="73">
        <v>2.6275933968004823E-2</v>
      </c>
      <c r="AC321" s="71">
        <v>3.4213657027326587E-2</v>
      </c>
      <c r="AD321" s="71">
        <v>4.0225807512579419E-2</v>
      </c>
      <c r="AE321" s="71">
        <v>4.2690895499271297E-2</v>
      </c>
      <c r="AF321" s="63">
        <v>4.5479408703746213E-2</v>
      </c>
      <c r="AG321" s="71" t="s">
        <v>21</v>
      </c>
      <c r="AH321" s="71">
        <v>5.8264436273265888E-3</v>
      </c>
      <c r="AI321" s="71">
        <v>1.1158902812579419E-2</v>
      </c>
      <c r="AJ321" s="71">
        <v>1.2799384099271296E-2</v>
      </c>
      <c r="AK321" s="63">
        <v>1.4274672403746223E-2</v>
      </c>
    </row>
    <row r="322" spans="2:37" x14ac:dyDescent="0.35">
      <c r="B322" s="55" t="s">
        <v>289</v>
      </c>
      <c r="C322" s="53" t="s">
        <v>234</v>
      </c>
      <c r="D322" s="53" t="s">
        <v>287</v>
      </c>
      <c r="E322" s="53" t="s">
        <v>181</v>
      </c>
      <c r="F322" s="73">
        <f t="shared" si="251"/>
        <v>2.434957753267623E-2</v>
      </c>
      <c r="G322" s="60">
        <f t="shared" si="252"/>
        <v>3.2154315259319485E-2</v>
      </c>
      <c r="H322" s="60">
        <f t="shared" si="253"/>
        <v>3.7569632694555627E-2</v>
      </c>
      <c r="I322" s="60">
        <f t="shared" si="254"/>
        <v>4.0603895257048529E-2</v>
      </c>
      <c r="J322" s="63">
        <f t="shared" si="255"/>
        <v>4.3699045673555606E-2</v>
      </c>
      <c r="K322" s="60" t="str">
        <f t="shared" si="256"/>
        <v/>
      </c>
      <c r="L322" s="60">
        <f t="shared" si="257"/>
        <v>3.8318062593194931E-3</v>
      </c>
      <c r="M322" s="60">
        <f t="shared" si="258"/>
        <v>8.5968215945556245E-3</v>
      </c>
      <c r="N322" s="60">
        <f t="shared" si="259"/>
        <v>1.0789084257048524E-2</v>
      </c>
      <c r="O322" s="63">
        <f t="shared" si="260"/>
        <v>1.2555201473555603E-2</v>
      </c>
      <c r="P322" s="55" t="s">
        <v>648</v>
      </c>
      <c r="Q322" s="53" t="s">
        <v>649</v>
      </c>
      <c r="R322" s="94" t="s">
        <v>32</v>
      </c>
      <c r="S322" s="71">
        <v>3.3295470000000001E-2</v>
      </c>
      <c r="T322" s="63">
        <f t="shared" si="250"/>
        <v>4.2741626945556263E-3</v>
      </c>
      <c r="U322" s="53"/>
      <c r="V322" s="114">
        <v>1.1515076200000001</v>
      </c>
      <c r="W322" s="72">
        <v>2.9504915600000001</v>
      </c>
      <c r="X322" s="72">
        <v>4.5735805900000006</v>
      </c>
      <c r="Y322" s="72">
        <v>5.9965882600000002</v>
      </c>
      <c r="Z322" s="115">
        <v>7.8180318299999998</v>
      </c>
      <c r="AA322" s="53"/>
      <c r="AB322" s="73">
        <v>2.434957753267623E-2</v>
      </c>
      <c r="AC322" s="71">
        <v>3.2154315259319485E-2</v>
      </c>
      <c r="AD322" s="71">
        <v>3.7569632694555627E-2</v>
      </c>
      <c r="AE322" s="71">
        <v>4.0603895257048529E-2</v>
      </c>
      <c r="AF322" s="63">
        <v>4.3699045673555606E-2</v>
      </c>
      <c r="AG322" s="71" t="s">
        <v>21</v>
      </c>
      <c r="AH322" s="71">
        <v>3.8318062593194931E-3</v>
      </c>
      <c r="AI322" s="71">
        <v>8.5968215945556245E-3</v>
      </c>
      <c r="AJ322" s="71">
        <v>1.0789084257048524E-2</v>
      </c>
      <c r="AK322" s="63">
        <v>1.2555201473555603E-2</v>
      </c>
    </row>
    <row r="323" spans="2:37" s="53" customFormat="1" x14ac:dyDescent="0.35">
      <c r="B323" s="55" t="s">
        <v>650</v>
      </c>
      <c r="C323" s="53" t="s">
        <v>234</v>
      </c>
      <c r="D323" s="53" t="s">
        <v>642</v>
      </c>
      <c r="E323" s="53" t="s">
        <v>651</v>
      </c>
      <c r="F323" s="73">
        <f t="shared" ref="F323" si="261">IF(ISNUMBER(AB323),AB323-((C$4-C$3)/V323),"")</f>
        <v>2.6061711157894504E-2</v>
      </c>
      <c r="G323" s="60">
        <f t="shared" ref="G323" si="262">IF(ISNUMBER(AC323),AC323-((D$4-D$3)/W323),"")</f>
        <v>3.5532792170661652E-2</v>
      </c>
      <c r="H323" s="60">
        <f t="shared" ref="H323" si="263">IF(ISNUMBER(AD323),AD323-((E$4-E$3)/X323),"")</f>
        <v>4.1741408222446139E-2</v>
      </c>
      <c r="I323" s="60">
        <f t="shared" ref="I323" si="264">IF(ISNUMBER(AE323),AE323-((F$4-F$3)/Y323),"")</f>
        <v>4.5179020767461303E-2</v>
      </c>
      <c r="J323" s="63">
        <f t="shared" ref="J323" si="265">IF(ISNUMBER(AF323),AF323-((G$4-G$3)/Z323),"")</f>
        <v>4.9219187069869171E-2</v>
      </c>
      <c r="K323" s="60" t="str">
        <f t="shared" ref="K323" si="266">IF(ISNUMBER(AG323),IF(AG323-((C$4-C$3)/V323)&lt;0,"",AG323-((C$4-C$3)/V323)),"")</f>
        <v/>
      </c>
      <c r="L323" s="60">
        <f t="shared" ref="L323" si="267">IF(ISNUMBER(AH323),IF(AH323-((D$4-D$3)/W323)&lt;0,"",AH323-((D$4-D$3)/W323)),"")</f>
        <v>7.0918974706616449E-3</v>
      </c>
      <c r="M323" s="60">
        <f t="shared" ref="M323" si="268">IF(ISNUMBER(AI323),IF(AI323-((E$4-E$3)/X323)&lt;0,"",AI323-((E$4-E$3)/X323)),"")</f>
        <v>1.2610128722446131E-2</v>
      </c>
      <c r="N323" s="60">
        <f t="shared" ref="N323" si="269">IF(ISNUMBER(AJ323),IF(AJ323-((F$4-F$3)/Y323)&lt;0,"",AJ323-((F$4-F$3)/Y323)),"")</f>
        <v>1.5179386067461307E-2</v>
      </c>
      <c r="O323" s="63">
        <f t="shared" ref="O323" si="270">IF(ISNUMBER(AK323),IF(AK323-((G$4-G$3)/Z323)&lt;0,"",AK323-((G$4-G$3)/Z323)),"")</f>
        <v>1.7871136969869177E-2</v>
      </c>
      <c r="P323" s="55" t="s">
        <v>652</v>
      </c>
      <c r="Q323" s="53" t="s">
        <v>653</v>
      </c>
      <c r="R323" s="94">
        <v>47651</v>
      </c>
      <c r="S323" s="71">
        <v>3.3862830000000003E-2</v>
      </c>
      <c r="T323" s="63">
        <f t="shared" si="250"/>
        <v>7.8785782224461351E-3</v>
      </c>
      <c r="V323" s="114">
        <v>1.1480703800000001</v>
      </c>
      <c r="W323" s="72">
        <v>2.9225072399999998</v>
      </c>
      <c r="X323" s="72">
        <v>4.4936700199999997</v>
      </c>
      <c r="Y323" s="72">
        <v>5.8472730200000003</v>
      </c>
      <c r="Z323" s="115">
        <v>7.522535079999999</v>
      </c>
      <c r="AB323" s="73">
        <v>2.6061711157894504E-2</v>
      </c>
      <c r="AC323" s="71">
        <v>3.5532792170661652E-2</v>
      </c>
      <c r="AD323" s="71">
        <v>4.1741408222446139E-2</v>
      </c>
      <c r="AE323" s="71">
        <v>4.5179020767461303E-2</v>
      </c>
      <c r="AF323" s="63">
        <v>4.9219187069869171E-2</v>
      </c>
      <c r="AG323" s="71" t="s">
        <v>21</v>
      </c>
      <c r="AH323" s="71">
        <v>7.0918974706616449E-3</v>
      </c>
      <c r="AI323" s="71">
        <v>1.2610128722446131E-2</v>
      </c>
      <c r="AJ323" s="71">
        <v>1.5179386067461307E-2</v>
      </c>
      <c r="AK323" s="63">
        <v>1.7871136969869177E-2</v>
      </c>
    </row>
    <row r="324" spans="2:37" x14ac:dyDescent="0.35">
      <c r="B324" s="55" t="s">
        <v>654</v>
      </c>
      <c r="C324" s="53" t="s">
        <v>234</v>
      </c>
      <c r="D324" s="53" t="s">
        <v>642</v>
      </c>
      <c r="E324" s="53" t="s">
        <v>643</v>
      </c>
      <c r="F324" s="73">
        <f t="shared" si="251"/>
        <v>2.6790540399183691E-2</v>
      </c>
      <c r="G324" s="60">
        <f t="shared" si="252"/>
        <v>3.5970771622846218E-2</v>
      </c>
      <c r="H324" s="60">
        <f t="shared" si="253"/>
        <v>4.2452620226086264E-2</v>
      </c>
      <c r="I324" s="60">
        <f t="shared" si="254"/>
        <v>4.5183461615614103E-2</v>
      </c>
      <c r="J324" s="63">
        <f t="shared" si="255"/>
        <v>4.856808152373477E-2</v>
      </c>
      <c r="K324" s="60" t="str">
        <f t="shared" si="256"/>
        <v/>
      </c>
      <c r="L324" s="60">
        <f t="shared" si="257"/>
        <v>7.5167262228462203E-3</v>
      </c>
      <c r="M324" s="60">
        <f t="shared" si="258"/>
        <v>1.3292979926086263E-2</v>
      </c>
      <c r="N324" s="60">
        <f t="shared" si="259"/>
        <v>1.5186118215614108E-2</v>
      </c>
      <c r="O324" s="63">
        <f t="shared" si="260"/>
        <v>1.7245546523734764E-2</v>
      </c>
      <c r="P324" s="55" t="s">
        <v>655</v>
      </c>
      <c r="Q324" s="53" t="s">
        <v>656</v>
      </c>
      <c r="R324" s="94">
        <v>47599</v>
      </c>
      <c r="S324" s="71">
        <v>3.3844739999999998E-2</v>
      </c>
      <c r="T324" s="63">
        <f t="shared" si="250"/>
        <v>8.6078802260862661E-3</v>
      </c>
      <c r="U324" s="53"/>
      <c r="V324" s="114">
        <v>1.1464945600000001</v>
      </c>
      <c r="W324" s="72">
        <v>2.9160166299999997</v>
      </c>
      <c r="X324" s="72">
        <v>4.4789515900000003</v>
      </c>
      <c r="Y324" s="72">
        <v>5.8313157900000006</v>
      </c>
      <c r="Z324" s="115">
        <v>7.5268527299999999</v>
      </c>
      <c r="AA324" s="53"/>
      <c r="AB324" s="73">
        <v>2.6790540399183691E-2</v>
      </c>
      <c r="AC324" s="71">
        <v>3.5970771622846218E-2</v>
      </c>
      <c r="AD324" s="71">
        <v>4.2452620226086264E-2</v>
      </c>
      <c r="AE324" s="71">
        <v>4.5183461615614103E-2</v>
      </c>
      <c r="AF324" s="63">
        <v>4.856808152373477E-2</v>
      </c>
      <c r="AG324" s="71" t="s">
        <v>21</v>
      </c>
      <c r="AH324" s="71">
        <v>7.5167262228462203E-3</v>
      </c>
      <c r="AI324" s="71">
        <v>1.3292979926086263E-2</v>
      </c>
      <c r="AJ324" s="71">
        <v>1.5186118215614108E-2</v>
      </c>
      <c r="AK324" s="63">
        <v>1.7245546523734764E-2</v>
      </c>
    </row>
    <row r="325" spans="2:37" x14ac:dyDescent="0.35">
      <c r="B325" s="57" t="s">
        <v>657</v>
      </c>
      <c r="C325" s="67" t="s">
        <v>234</v>
      </c>
      <c r="D325" s="67" t="s">
        <v>642</v>
      </c>
      <c r="E325" s="67" t="s">
        <v>658</v>
      </c>
      <c r="F325" s="74">
        <f t="shared" si="251"/>
        <v>2.7000172804188281E-2</v>
      </c>
      <c r="G325" s="76">
        <f t="shared" si="252"/>
        <v>3.6793616893545815E-2</v>
      </c>
      <c r="H325" s="76">
        <f t="shared" si="253"/>
        <v>4.2909276872478079E-2</v>
      </c>
      <c r="I325" s="76">
        <f t="shared" si="254"/>
        <v>4.5846968692525712E-2</v>
      </c>
      <c r="J325" s="64">
        <f t="shared" si="255"/>
        <v>4.9092543859912061E-2</v>
      </c>
      <c r="K325" s="76" t="str">
        <f t="shared" si="256"/>
        <v/>
      </c>
      <c r="L325" s="76">
        <f t="shared" si="257"/>
        <v>8.3090643935458102E-3</v>
      </c>
      <c r="M325" s="76">
        <f t="shared" si="258"/>
        <v>1.3730991972478079E-2</v>
      </c>
      <c r="N325" s="76">
        <f t="shared" si="259"/>
        <v>1.5820131892525714E-2</v>
      </c>
      <c r="O325" s="64">
        <f t="shared" si="260"/>
        <v>1.774956635991207E-2</v>
      </c>
      <c r="P325" s="57" t="s">
        <v>659</v>
      </c>
      <c r="Q325" s="67" t="s">
        <v>660</v>
      </c>
      <c r="R325" s="96">
        <v>47490</v>
      </c>
      <c r="S325" s="76">
        <v>3.3710230000000001E-2</v>
      </c>
      <c r="T325" s="64">
        <f t="shared" si="250"/>
        <v>9.1990468724780783E-3</v>
      </c>
      <c r="U325" s="53"/>
      <c r="V325" s="116">
        <v>1.14589596</v>
      </c>
      <c r="W325" s="108">
        <v>2.9096155399999999</v>
      </c>
      <c r="X325" s="108">
        <v>4.4656047599999997</v>
      </c>
      <c r="Y325" s="108">
        <v>5.8085621400000003</v>
      </c>
      <c r="Z325" s="117">
        <v>7.4891050200000002</v>
      </c>
      <c r="AA325" s="53"/>
      <c r="AB325" s="74">
        <v>2.7000172804188281E-2</v>
      </c>
      <c r="AC325" s="76">
        <v>3.6793616893545815E-2</v>
      </c>
      <c r="AD325" s="76">
        <v>4.2909276872478079E-2</v>
      </c>
      <c r="AE325" s="76">
        <v>4.5846968692525712E-2</v>
      </c>
      <c r="AF325" s="64">
        <v>4.9092543859912061E-2</v>
      </c>
      <c r="AG325" s="76" t="s">
        <v>21</v>
      </c>
      <c r="AH325" s="76">
        <v>8.3090643935458102E-3</v>
      </c>
      <c r="AI325" s="76">
        <v>1.3730991972478079E-2</v>
      </c>
      <c r="AJ325" s="76">
        <v>1.5820131892525714E-2</v>
      </c>
      <c r="AK325" s="64">
        <v>1.774956635991207E-2</v>
      </c>
    </row>
    <row r="326" spans="2:37" x14ac:dyDescent="0.35">
      <c r="B326" s="53"/>
      <c r="C326" s="53"/>
      <c r="D326" s="53"/>
      <c r="E326" s="53"/>
      <c r="P326" s="53"/>
      <c r="Q326" s="53"/>
      <c r="R326" s="53"/>
      <c r="S326" s="53"/>
      <c r="V326" s="53"/>
      <c r="W326" s="53"/>
      <c r="X326" s="53"/>
      <c r="Y326" s="53"/>
      <c r="Z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</row>
    <row r="327" spans="2:37" x14ac:dyDescent="0.35">
      <c r="B327" s="53"/>
      <c r="C327" s="53"/>
      <c r="D327" s="53"/>
      <c r="E327" s="53"/>
      <c r="P327" s="53"/>
      <c r="Q327" s="53"/>
      <c r="R327" s="53"/>
      <c r="S327" s="53"/>
      <c r="V327" s="53"/>
      <c r="W327" s="53"/>
      <c r="X327" s="53"/>
      <c r="Y327" s="53"/>
      <c r="Z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</row>
    <row r="328" spans="2:37" x14ac:dyDescent="0.35">
      <c r="B328" s="53"/>
      <c r="C328" s="53"/>
      <c r="D328" s="53"/>
      <c r="E328" s="53"/>
      <c r="P328" s="53"/>
      <c r="Q328" s="53"/>
      <c r="R328" s="53"/>
      <c r="S328" s="53"/>
      <c r="V328" s="53"/>
      <c r="W328" s="53"/>
      <c r="X328" s="53"/>
      <c r="Y328" s="53"/>
      <c r="Z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</row>
  </sheetData>
  <mergeCells count="10">
    <mergeCell ref="AG8:AK8"/>
    <mergeCell ref="F9:J9"/>
    <mergeCell ref="K9:O9"/>
    <mergeCell ref="AB9:AF9"/>
    <mergeCell ref="AG9:AK9"/>
    <mergeCell ref="V19:Z19"/>
    <mergeCell ref="V10:Z10"/>
    <mergeCell ref="F8:J8"/>
    <mergeCell ref="K8:O8"/>
    <mergeCell ref="AB8:AF8"/>
  </mergeCells>
  <conditionalFormatting sqref="F31">
    <cfRule type="colorScale" priority="431">
      <colorScale>
        <cfvo type="min"/>
        <cfvo type="max"/>
        <color rgb="FFFFEF9C"/>
        <color rgb="FF63BE7B"/>
      </colorScale>
    </cfRule>
  </conditionalFormatting>
  <conditionalFormatting sqref="F12:J17">
    <cfRule type="colorScale" priority="442">
      <colorScale>
        <cfvo type="min"/>
        <cfvo type="max"/>
        <color rgb="FFFFEF9C"/>
        <color rgb="FF63BE7B"/>
      </colorScale>
    </cfRule>
  </conditionalFormatting>
  <conditionalFormatting sqref="F21:J27">
    <cfRule type="colorScale" priority="346">
      <colorScale>
        <cfvo type="min"/>
        <cfvo type="max"/>
        <color rgb="FFFFEF9C"/>
        <color rgb="FF63BE7B"/>
      </colorScale>
    </cfRule>
  </conditionalFormatting>
  <conditionalFormatting sqref="F31:J70 F72:J78 F80:J110">
    <cfRule type="colorScale" priority="437">
      <colorScale>
        <cfvo type="min"/>
        <cfvo type="max"/>
        <color rgb="FFFFEF9C"/>
        <color rgb="FF63BE7B"/>
      </colorScale>
    </cfRule>
  </conditionalFormatting>
  <conditionalFormatting sqref="F31:J70 F72:J78">
    <cfRule type="colorScale" priority="1114">
      <colorScale>
        <cfvo type="min"/>
        <cfvo type="max"/>
        <color rgb="FFFFEF9C"/>
        <color rgb="FF63BE7B"/>
      </colorScale>
    </cfRule>
  </conditionalFormatting>
  <conditionalFormatting sqref="F31:J70 F72:J110">
    <cfRule type="colorScale" priority="1117">
      <colorScale>
        <cfvo type="min"/>
        <cfvo type="max"/>
        <color rgb="FFFFEF9C"/>
        <color rgb="FF63BE7B"/>
      </colorScale>
    </cfRule>
  </conditionalFormatting>
  <conditionalFormatting sqref="F32:J50 G31:J31 F52:J70 F72:J78 F80:J110">
    <cfRule type="colorScale" priority="436">
      <colorScale>
        <cfvo type="min"/>
        <cfvo type="max"/>
        <color rgb="FFFFEF9C"/>
        <color rgb="FF63BE7B"/>
      </colorScale>
    </cfRule>
  </conditionalFormatting>
  <conditionalFormatting sqref="F45:J53 F290:J316">
    <cfRule type="cellIs" dxfId="67" priority="433" operator="lessThan">
      <formula>0</formula>
    </cfRule>
  </conditionalFormatting>
  <conditionalFormatting sqref="F51:J51">
    <cfRule type="colorScale" priority="432">
      <colorScale>
        <cfvo type="min"/>
        <cfvo type="max"/>
        <color rgb="FFFFEF9C"/>
        <color rgb="FF63BE7B"/>
      </colorScale>
    </cfRule>
  </conditionalFormatting>
  <conditionalFormatting sqref="F55:J60 F62:J65 F73:J75 F77:J78 F80:J98">
    <cfRule type="cellIs" dxfId="66" priority="435" operator="lessThan">
      <formula>0</formula>
    </cfRule>
  </conditionalFormatting>
  <conditionalFormatting sqref="F67:J71">
    <cfRule type="cellIs" dxfId="65" priority="65" operator="lessThan">
      <formula>0</formula>
    </cfRule>
  </conditionalFormatting>
  <conditionalFormatting sqref="F71:J71">
    <cfRule type="colorScale" priority="66">
      <colorScale>
        <cfvo type="min"/>
        <cfvo type="max"/>
        <color rgb="FFFFEF9C"/>
        <color rgb="FF63BE7B"/>
      </colorScale>
    </cfRule>
    <cfRule type="colorScale" priority="70">
      <colorScale>
        <cfvo type="min"/>
        <cfvo type="max"/>
        <color rgb="FFFFEF9C"/>
        <color rgb="FF63BE7B"/>
      </colorScale>
    </cfRule>
    <cfRule type="colorScale" priority="68">
      <colorScale>
        <cfvo type="min"/>
        <cfvo type="max"/>
        <color rgb="FFFFEF9C"/>
        <color rgb="FF63BE7B"/>
      </colorScale>
    </cfRule>
    <cfRule type="colorScale" priority="67">
      <colorScale>
        <cfvo type="min"/>
        <cfvo type="max"/>
        <color rgb="FFFFEF9C"/>
        <color rgb="FF63BE7B"/>
      </colorScale>
    </cfRule>
  </conditionalFormatting>
  <conditionalFormatting sqref="F79:J79">
    <cfRule type="colorScale" priority="430">
      <colorScale>
        <cfvo type="min"/>
        <cfvo type="max"/>
        <color rgb="FFFFEF9C"/>
        <color rgb="FF63BE7B"/>
      </colorScale>
    </cfRule>
    <cfRule type="colorScale" priority="429">
      <colorScale>
        <cfvo type="min"/>
        <cfvo type="max"/>
        <color rgb="FFFFEF9C"/>
        <color rgb="FF63BE7B"/>
      </colorScale>
    </cfRule>
    <cfRule type="colorScale" priority="428">
      <colorScale>
        <cfvo type="min"/>
        <cfvo type="max"/>
        <color rgb="FFFFEF9C"/>
        <color rgb="FF63BE7B"/>
      </colorScale>
    </cfRule>
  </conditionalFormatting>
  <conditionalFormatting sqref="F111:J113">
    <cfRule type="colorScale" priority="591">
      <colorScale>
        <cfvo type="min"/>
        <cfvo type="max"/>
        <color rgb="FFFFEF9C"/>
        <color rgb="FF63BE7B"/>
      </colorScale>
    </cfRule>
  </conditionalFormatting>
  <conditionalFormatting sqref="F114:J114">
    <cfRule type="colorScale" priority="507">
      <colorScale>
        <cfvo type="min"/>
        <cfvo type="max"/>
        <color rgb="FFFFEF9C"/>
        <color rgb="FF63BE7B"/>
      </colorScale>
    </cfRule>
    <cfRule type="colorScale" priority="508">
      <colorScale>
        <cfvo type="min"/>
        <cfvo type="max"/>
        <color rgb="FFFFEF9C"/>
        <color rgb="FF63BE7B"/>
      </colorScale>
    </cfRule>
    <cfRule type="colorScale" priority="511">
      <colorScale>
        <cfvo type="min"/>
        <cfvo type="max"/>
        <color rgb="FFFFEF9C"/>
        <color rgb="FF63BE7B"/>
      </colorScale>
    </cfRule>
  </conditionalFormatting>
  <conditionalFormatting sqref="F115:J134 F136:J138">
    <cfRule type="cellIs" dxfId="64" priority="415" operator="lessThan">
      <formula>0</formula>
    </cfRule>
  </conditionalFormatting>
  <conditionalFormatting sqref="F115:J134">
    <cfRule type="colorScale" priority="417">
      <colorScale>
        <cfvo type="min"/>
        <cfvo type="max"/>
        <color rgb="FFFFEF9C"/>
        <color rgb="FF63BE7B"/>
      </colorScale>
    </cfRule>
    <cfRule type="colorScale" priority="416">
      <colorScale>
        <cfvo type="min"/>
        <cfvo type="max"/>
        <color rgb="FFFFEF9C"/>
        <color rgb="FF63BE7B"/>
      </colorScale>
    </cfRule>
  </conditionalFormatting>
  <conditionalFormatting sqref="F115:J138">
    <cfRule type="colorScale" priority="419">
      <colorScale>
        <cfvo type="min"/>
        <cfvo type="max"/>
        <color rgb="FFFFEF9C"/>
        <color rgb="FF63BE7B"/>
      </colorScale>
    </cfRule>
  </conditionalFormatting>
  <conditionalFormatting sqref="F135:J135">
    <cfRule type="colorScale" priority="414">
      <colorScale>
        <cfvo type="min"/>
        <cfvo type="max"/>
        <color rgb="FFFFEF9C"/>
        <color rgb="FF63BE7B"/>
      </colorScale>
    </cfRule>
    <cfRule type="colorScale" priority="413">
      <colorScale>
        <cfvo type="min"/>
        <cfvo type="max"/>
        <color rgb="FFFFEF9C"/>
        <color rgb="FF63BE7B"/>
      </colorScale>
    </cfRule>
  </conditionalFormatting>
  <conditionalFormatting sqref="F136:J138">
    <cfRule type="colorScale" priority="418">
      <colorScale>
        <cfvo type="min"/>
        <cfvo type="max"/>
        <color rgb="FFFFEF9C"/>
        <color rgb="FF63BE7B"/>
      </colorScale>
    </cfRule>
  </conditionalFormatting>
  <conditionalFormatting sqref="F142:J142">
    <cfRule type="colorScale" priority="400">
      <colorScale>
        <cfvo type="min"/>
        <cfvo type="max"/>
        <color rgb="FFFFEF9C"/>
        <color rgb="FF63BE7B"/>
      </colorScale>
    </cfRule>
    <cfRule type="colorScale" priority="399">
      <colorScale>
        <cfvo type="min"/>
        <cfvo type="max"/>
        <color rgb="FFFFEF9C"/>
        <color rgb="FF63BE7B"/>
      </colorScale>
    </cfRule>
  </conditionalFormatting>
  <conditionalFormatting sqref="F143:J258 F260:J276 F320:J325">
    <cfRule type="cellIs" dxfId="63" priority="590" operator="lessThan">
      <formula>0</formula>
    </cfRule>
  </conditionalFormatting>
  <conditionalFormatting sqref="F143:J258">
    <cfRule type="colorScale" priority="941">
      <colorScale>
        <cfvo type="min"/>
        <cfvo type="max"/>
        <color rgb="FFFFEF9C"/>
        <color rgb="FF63BE7B"/>
      </colorScale>
    </cfRule>
  </conditionalFormatting>
  <conditionalFormatting sqref="F259:J259">
    <cfRule type="colorScale" priority="398">
      <colorScale>
        <cfvo type="min"/>
        <cfvo type="max"/>
        <color rgb="FFFFEF9C"/>
        <color rgb="FF63BE7B"/>
      </colorScale>
    </cfRule>
    <cfRule type="colorScale" priority="397">
      <colorScale>
        <cfvo type="min"/>
        <cfvo type="max"/>
        <color rgb="FFFFEF9C"/>
        <color rgb="FF63BE7B"/>
      </colorScale>
    </cfRule>
  </conditionalFormatting>
  <conditionalFormatting sqref="F260:J276">
    <cfRule type="colorScale" priority="1075">
      <colorScale>
        <cfvo type="min"/>
        <cfvo type="max"/>
        <color rgb="FFFFEF9C"/>
        <color rgb="FF63BE7B"/>
      </colorScale>
    </cfRule>
  </conditionalFormatting>
  <conditionalFormatting sqref="F280:J286">
    <cfRule type="colorScale" priority="394">
      <colorScale>
        <cfvo type="min"/>
        <cfvo type="max"/>
        <color rgb="FFFFEF9C"/>
        <color rgb="FF63BE7B"/>
      </colorScale>
    </cfRule>
    <cfRule type="cellIs" dxfId="62" priority="393" operator="lessThan">
      <formula>0</formula>
    </cfRule>
  </conditionalFormatting>
  <conditionalFormatting sqref="F300:J310">
    <cfRule type="colorScale" priority="1136">
      <colorScale>
        <cfvo type="min"/>
        <cfvo type="max"/>
        <color rgb="FFFFEF9C"/>
        <color rgb="FF63BE7B"/>
      </colorScale>
    </cfRule>
  </conditionalFormatting>
  <conditionalFormatting sqref="F311:J316 F290:J299">
    <cfRule type="colorScale" priority="388">
      <colorScale>
        <cfvo type="min"/>
        <cfvo type="max"/>
        <color rgb="FFFFEF9C"/>
        <color rgb="FF63BE7B"/>
      </colorScale>
    </cfRule>
  </conditionalFormatting>
  <conditionalFormatting sqref="F320:J325">
    <cfRule type="colorScale" priority="829">
      <colorScale>
        <cfvo type="min"/>
        <cfvo type="max"/>
        <color rgb="FFFFEF9C"/>
        <color rgb="FF63BE7B"/>
      </colorScale>
    </cfRule>
  </conditionalFormatting>
  <conditionalFormatting sqref="G31:J31 F32:J39 F41:J43 F100:J112">
    <cfRule type="cellIs" dxfId="61" priority="434" operator="lessThan">
      <formula>0</formula>
    </cfRule>
  </conditionalFormatting>
  <conditionalFormatting sqref="K12:O17">
    <cfRule type="colorScale" priority="441">
      <colorScale>
        <cfvo type="min"/>
        <cfvo type="max"/>
        <color theme="0"/>
        <color theme="8" tint="0.39997558519241921"/>
      </colorScale>
    </cfRule>
  </conditionalFormatting>
  <conditionalFormatting sqref="K21:O27">
    <cfRule type="colorScale" priority="345">
      <colorScale>
        <cfvo type="min"/>
        <cfvo type="max"/>
        <color theme="0"/>
        <color theme="8" tint="0.39997558519241921"/>
      </colorScale>
    </cfRule>
  </conditionalFormatting>
  <conditionalFormatting sqref="K31:O70 K72:O110">
    <cfRule type="colorScale" priority="1115">
      <colorScale>
        <cfvo type="min"/>
        <cfvo type="max"/>
        <color theme="0"/>
        <color theme="8" tint="0.39997558519241921"/>
      </colorScale>
    </cfRule>
  </conditionalFormatting>
  <conditionalFormatting sqref="K71:O71">
    <cfRule type="colorScale" priority="69">
      <colorScale>
        <cfvo type="min"/>
        <cfvo type="max"/>
        <color theme="0"/>
        <color theme="8" tint="0.39997558519241921"/>
      </colorScale>
    </cfRule>
  </conditionalFormatting>
  <conditionalFormatting sqref="K115:O138">
    <cfRule type="colorScale" priority="412">
      <colorScale>
        <cfvo type="min"/>
        <cfvo type="max"/>
        <color theme="0"/>
        <color theme="8" tint="0.39997558519241921"/>
      </colorScale>
    </cfRule>
  </conditionalFormatting>
  <conditionalFormatting sqref="K143:O258">
    <cfRule type="colorScale" priority="943">
      <colorScale>
        <cfvo type="min"/>
        <cfvo type="max"/>
        <color theme="0"/>
        <color theme="8" tint="0.39997558519241921"/>
      </colorScale>
    </cfRule>
  </conditionalFormatting>
  <conditionalFormatting sqref="K260:O276">
    <cfRule type="colorScale" priority="1076">
      <colorScale>
        <cfvo type="min"/>
        <cfvo type="max"/>
        <color theme="0"/>
        <color theme="8" tint="0.39997558519241921"/>
      </colorScale>
    </cfRule>
  </conditionalFormatting>
  <conditionalFormatting sqref="K280:O286">
    <cfRule type="colorScale" priority="392">
      <colorScale>
        <cfvo type="min"/>
        <cfvo type="max"/>
        <color theme="0"/>
        <color theme="8" tint="0.39997558519241921"/>
      </colorScale>
    </cfRule>
  </conditionalFormatting>
  <conditionalFormatting sqref="K290:O316">
    <cfRule type="colorScale" priority="1139">
      <colorScale>
        <cfvo type="min"/>
        <cfvo type="max"/>
        <color theme="0"/>
        <color theme="8" tint="0.39997558519241921"/>
      </colorScale>
    </cfRule>
  </conditionalFormatting>
  <conditionalFormatting sqref="K320:O325">
    <cfRule type="colorScale" priority="831">
      <colorScale>
        <cfvo type="min"/>
        <cfvo type="max"/>
        <color theme="0"/>
        <color theme="8" tint="0.39997558519241921"/>
      </colorScale>
    </cfRule>
  </conditionalFormatting>
  <conditionalFormatting sqref="T31:T110">
    <cfRule type="colorScale" priority="112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4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5:T138">
    <cfRule type="colorScale" priority="359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6:T134"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5"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6:T138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9:T140"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2"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3:T276">
    <cfRule type="colorScale" priority="107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44:T258"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9"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60:T276"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8"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0:T286">
    <cfRule type="colorScale" priority="35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8"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0 T311 T292:T299"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1:T316">
    <cfRule type="colorScale" priority="114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92:T316"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0:T304"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5:T310"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2"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3:T314"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"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6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20:T325">
    <cfRule type="colorScale" priority="83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AB31">
    <cfRule type="colorScale" priority="34">
      <colorScale>
        <cfvo type="min"/>
        <cfvo type="max"/>
        <color rgb="FFFFEF9C"/>
        <color rgb="FF63BE7B"/>
      </colorScale>
    </cfRule>
  </conditionalFormatting>
  <conditionalFormatting sqref="AB12:AF17">
    <cfRule type="colorScale" priority="38">
      <colorScale>
        <cfvo type="min"/>
        <cfvo type="max"/>
        <color rgb="FFFFEF9C"/>
        <color rgb="FF63BE7B"/>
      </colorScale>
    </cfRule>
  </conditionalFormatting>
  <conditionalFormatting sqref="AB21:AF26">
    <cfRule type="colorScale" priority="5">
      <colorScale>
        <cfvo type="min"/>
        <cfvo type="max"/>
        <color rgb="FFFFEF9C"/>
        <color rgb="FF63BE7B"/>
      </colorScale>
    </cfRule>
  </conditionalFormatting>
  <conditionalFormatting sqref="AB31:AF39 AB41:AF43 AB100:AF112">
    <cfRule type="cellIs" dxfId="60" priority="37" operator="lessThan">
      <formula>0</formula>
    </cfRule>
  </conditionalFormatting>
  <conditionalFormatting sqref="AB31:AF110">
    <cfRule type="colorScale" priority="56">
      <colorScale>
        <cfvo type="min"/>
        <cfvo type="max"/>
        <color rgb="FFFFEF9C"/>
        <color rgb="FF63BE7B"/>
      </colorScale>
    </cfRule>
  </conditionalFormatting>
  <conditionalFormatting sqref="AB45:AF53">
    <cfRule type="cellIs" dxfId="59" priority="36" operator="lessThan">
      <formula>0</formula>
    </cfRule>
  </conditionalFormatting>
  <conditionalFormatting sqref="AB51:AF51">
    <cfRule type="colorScale" priority="35">
      <colorScale>
        <cfvo type="min"/>
        <cfvo type="max"/>
        <color rgb="FFFFEF9C"/>
        <color rgb="FF63BE7B"/>
      </colorScale>
    </cfRule>
  </conditionalFormatting>
  <conditionalFormatting sqref="AB55:AF60 AB62:AF65 AB67:AF71 AB73:AF75 AB77:AF78 AB80:AF98 AB115:AF134 AB136:AF138 AB143:AF258 AB260:AF276 AB320:AF325">
    <cfRule type="cellIs" dxfId="58" priority="39" operator="lessThan">
      <formula>0</formula>
    </cfRule>
  </conditionalFormatting>
  <conditionalFormatting sqref="AB79:AF79">
    <cfRule type="colorScale" priority="21">
      <colorScale>
        <cfvo type="min"/>
        <cfvo type="max"/>
        <color rgb="FFFFEF9C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AB80:AF110 AB31:AF78">
    <cfRule type="colorScale" priority="42">
      <colorScale>
        <cfvo type="min"/>
        <cfvo type="max"/>
        <color rgb="FFFFEF9C"/>
        <color rgb="FF63BE7B"/>
      </colorScale>
    </cfRule>
  </conditionalFormatting>
  <conditionalFormatting sqref="AB80:AF110 AB52:AF78 AB31:AF50">
    <cfRule type="colorScale" priority="41">
      <colorScale>
        <cfvo type="min"/>
        <cfvo type="max"/>
        <color rgb="FFFFEF9C"/>
        <color rgb="FF63BE7B"/>
      </colorScale>
    </cfRule>
  </conditionalFormatting>
  <conditionalFormatting sqref="AB80:AF134 AB31:AF78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114:AF114">
    <cfRule type="colorScale" priority="33">
      <colorScale>
        <cfvo type="min"/>
        <cfvo type="max"/>
        <color rgb="FFFFEF9C"/>
        <color rgb="FF63BE7B"/>
      </colorScale>
    </cfRule>
    <cfRule type="colorScale" priority="32">
      <colorScale>
        <cfvo type="min"/>
        <cfvo type="max"/>
        <color rgb="FFFFEF9C"/>
        <color rgb="FF63BE7B"/>
      </colorScale>
    </cfRule>
  </conditionalFormatting>
  <conditionalFormatting sqref="AB115:AF134">
    <cfRule type="colorScale" priority="40">
      <colorScale>
        <cfvo type="min"/>
        <cfvo type="max"/>
        <color rgb="FFFFEF9C"/>
        <color rgb="FF63BE7B"/>
      </colorScale>
    </cfRule>
  </conditionalFormatting>
  <conditionalFormatting sqref="AB115:AF138">
    <cfRule type="colorScale" priority="45">
      <colorScale>
        <cfvo type="min"/>
        <cfvo type="max"/>
        <color rgb="FFFFEF9C"/>
        <color rgb="FF63BE7B"/>
      </colorScale>
    </cfRule>
  </conditionalFormatting>
  <conditionalFormatting sqref="AB135:AF135">
    <cfRule type="colorScale" priority="31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max"/>
        <color rgb="FFFFEF9C"/>
        <color rgb="FF63BE7B"/>
      </colorScale>
    </cfRule>
  </conditionalFormatting>
  <conditionalFormatting sqref="AB136:AF138">
    <cfRule type="colorScale" priority="44">
      <colorScale>
        <cfvo type="min"/>
        <cfvo type="max"/>
        <color rgb="FFFFEF9C"/>
        <color rgb="FF63BE7B"/>
      </colorScale>
    </cfRule>
  </conditionalFormatting>
  <conditionalFormatting sqref="AB142:AF142">
    <cfRule type="colorScale" priority="29">
      <colorScale>
        <cfvo type="min"/>
        <cfvo type="max"/>
        <color rgb="FFFFEF9C"/>
        <color rgb="FF63BE7B"/>
      </colorScale>
    </cfRule>
    <cfRule type="colorScale" priority="28">
      <colorScale>
        <cfvo type="min"/>
        <cfvo type="max"/>
        <color rgb="FFFFEF9C"/>
        <color rgb="FF63BE7B"/>
      </colorScale>
    </cfRule>
  </conditionalFormatting>
  <conditionalFormatting sqref="AB143:AF258">
    <cfRule type="colorScale" priority="53">
      <colorScale>
        <cfvo type="min"/>
        <cfvo type="max"/>
        <color rgb="FFFFEF9C"/>
        <color rgb="FF63BE7B"/>
      </colorScale>
    </cfRule>
  </conditionalFormatting>
  <conditionalFormatting sqref="AB259:AF259">
    <cfRule type="colorScale" priority="27">
      <colorScale>
        <cfvo type="min"/>
        <cfvo type="max"/>
        <color rgb="FFFFEF9C"/>
        <color rgb="FF63BE7B"/>
      </colorScale>
    </cfRule>
    <cfRule type="colorScale" priority="26">
      <colorScale>
        <cfvo type="min"/>
        <cfvo type="max"/>
        <color rgb="FFFFEF9C"/>
        <color rgb="FF63BE7B"/>
      </colorScale>
    </cfRule>
  </conditionalFormatting>
  <conditionalFormatting sqref="AB260:AF276">
    <cfRule type="colorScale" priority="57">
      <colorScale>
        <cfvo type="min"/>
        <cfvo type="max"/>
        <color rgb="FFFFEF9C"/>
        <color rgb="FF63BE7B"/>
      </colorScale>
    </cfRule>
  </conditionalFormatting>
  <conditionalFormatting sqref="AB280:AF280 AB282:AF286">
    <cfRule type="colorScale" priority="25">
      <colorScale>
        <cfvo type="min"/>
        <cfvo type="max"/>
        <color rgb="FFFFEF9C"/>
        <color rgb="FF63BE7B"/>
      </colorScale>
    </cfRule>
  </conditionalFormatting>
  <conditionalFormatting sqref="AB280:AF286">
    <cfRule type="cellIs" dxfId="57" priority="7" operator="lessThan">
      <formula>0</formula>
    </cfRule>
  </conditionalFormatting>
  <conditionalFormatting sqref="AB281:AF281">
    <cfRule type="colorScale" priority="8">
      <colorScale>
        <cfvo type="min"/>
        <cfvo type="max"/>
        <color rgb="FFFFEF9C"/>
        <color rgb="FF63BE7B"/>
      </colorScale>
    </cfRule>
  </conditionalFormatting>
  <conditionalFormatting sqref="AB290:AF299">
    <cfRule type="colorScale" priority="46">
      <colorScale>
        <cfvo type="min"/>
        <cfvo type="max"/>
        <color rgb="FFFFEF9C"/>
        <color rgb="FF63BE7B"/>
      </colorScale>
    </cfRule>
  </conditionalFormatting>
  <conditionalFormatting sqref="AB290:AF316">
    <cfRule type="cellIs" dxfId="56" priority="1" operator="lessThan">
      <formula>0</formula>
    </cfRule>
  </conditionalFormatting>
  <conditionalFormatting sqref="AB300:AF303">
    <cfRule type="colorScale" priority="48">
      <colorScale>
        <cfvo type="min"/>
        <cfvo type="max"/>
        <color rgb="FFFFEF9C"/>
        <color rgb="FF63BE7B"/>
      </colorScale>
    </cfRule>
  </conditionalFormatting>
  <conditionalFormatting sqref="AB304:AF310">
    <cfRule type="colorScale" priority="16">
      <colorScale>
        <cfvo type="min"/>
        <cfvo type="max"/>
        <color rgb="FFFFEF9C"/>
        <color rgb="FF63BE7B"/>
      </colorScale>
    </cfRule>
  </conditionalFormatting>
  <conditionalFormatting sqref="AB311:AF311">
    <cfRule type="colorScale" priority="2">
      <colorScale>
        <cfvo type="min"/>
        <cfvo type="max"/>
        <color rgb="FFFFEF9C"/>
        <color rgb="FF63BE7B"/>
      </colorScale>
    </cfRule>
  </conditionalFormatting>
  <conditionalFormatting sqref="AB312:AF315">
    <cfRule type="colorScale" priority="13">
      <colorScale>
        <cfvo type="min"/>
        <cfvo type="max"/>
        <color rgb="FFFFEF9C"/>
        <color rgb="FF63BE7B"/>
      </colorScale>
    </cfRule>
  </conditionalFormatting>
  <conditionalFormatting sqref="AB316:AF316">
    <cfRule type="colorScale" priority="10">
      <colorScale>
        <cfvo type="min"/>
        <cfvo type="max"/>
        <color rgb="FFFFEF9C"/>
        <color rgb="FF63BE7B"/>
      </colorScale>
    </cfRule>
  </conditionalFormatting>
  <conditionalFormatting sqref="AB320:AF325">
    <cfRule type="colorScale" priority="50">
      <colorScale>
        <cfvo type="min"/>
        <cfvo type="max"/>
        <color rgb="FFFFEF9C"/>
        <color rgb="FF63BE7B"/>
      </colorScale>
    </cfRule>
  </conditionalFormatting>
  <conditionalFormatting sqref="AC290:AD316">
    <cfRule type="colorScale" priority="49">
      <colorScale>
        <cfvo type="min"/>
        <cfvo type="max"/>
        <color rgb="FFFFEF9C"/>
        <color rgb="FF63BE7B"/>
      </colorScale>
    </cfRule>
  </conditionalFormatting>
  <conditionalFormatting sqref="AC320:AD325">
    <cfRule type="colorScale" priority="52">
      <colorScale>
        <cfvo type="min"/>
        <cfvo type="max"/>
        <color rgb="FFFFEF9C"/>
        <color rgb="FF63BE7B"/>
      </colorScale>
    </cfRule>
  </conditionalFormatting>
  <conditionalFormatting sqref="AG12:AK17">
    <cfRule type="colorScale" priority="20">
      <colorScale>
        <cfvo type="min"/>
        <cfvo type="max"/>
        <color theme="0"/>
        <color theme="8" tint="0.39997558519241921"/>
      </colorScale>
    </cfRule>
  </conditionalFormatting>
  <conditionalFormatting sqref="AG21:AK26">
    <cfRule type="colorScale" priority="4">
      <colorScale>
        <cfvo type="min"/>
        <cfvo type="max"/>
        <color theme="0"/>
        <color theme="8" tint="0.39997558519241921"/>
      </colorScale>
    </cfRule>
  </conditionalFormatting>
  <conditionalFormatting sqref="AG31:AK110">
    <cfRule type="colorScale" priority="55">
      <colorScale>
        <cfvo type="min"/>
        <cfvo type="max"/>
        <color theme="0"/>
        <color theme="8" tint="0.39997558519241921"/>
      </colorScale>
    </cfRule>
  </conditionalFormatting>
  <conditionalFormatting sqref="AG115:AK138">
    <cfRule type="colorScale" priority="19">
      <colorScale>
        <cfvo type="min"/>
        <cfvo type="max"/>
        <color theme="0"/>
        <color theme="8" tint="0.39997558519241921"/>
      </colorScale>
    </cfRule>
  </conditionalFormatting>
  <conditionalFormatting sqref="AG143:AK258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AG260:AK276">
    <cfRule type="colorScale" priority="58">
      <colorScale>
        <cfvo type="min"/>
        <cfvo type="max"/>
        <color theme="0"/>
        <color theme="8" tint="0.39997558519241921"/>
      </colorScale>
    </cfRule>
  </conditionalFormatting>
  <conditionalFormatting sqref="AG280:AK280 AG282:AK286">
    <cfRule type="colorScale" priority="18">
      <colorScale>
        <cfvo type="min"/>
        <cfvo type="max"/>
        <color theme="0"/>
        <color theme="8" tint="0.39997558519241921"/>
      </colorScale>
    </cfRule>
  </conditionalFormatting>
  <conditionalFormatting sqref="AG281:AK281">
    <cfRule type="colorScale" priority="6">
      <colorScale>
        <cfvo type="min"/>
        <cfvo type="max"/>
        <color theme="0"/>
        <color theme="8" tint="0.39997558519241921"/>
      </colorScale>
    </cfRule>
  </conditionalFormatting>
  <conditionalFormatting sqref="AG290:AK303">
    <cfRule type="colorScale" priority="47">
      <colorScale>
        <cfvo type="min"/>
        <cfvo type="max"/>
        <color theme="0"/>
        <color theme="8" tint="0.39997558519241921"/>
      </colorScale>
    </cfRule>
  </conditionalFormatting>
  <conditionalFormatting sqref="AG304:AK310">
    <cfRule type="colorScale" priority="17">
      <colorScale>
        <cfvo type="min"/>
        <cfvo type="max"/>
        <color theme="0"/>
        <color theme="8" tint="0.39997558519241921"/>
      </colorScale>
    </cfRule>
  </conditionalFormatting>
  <conditionalFormatting sqref="AG311:AK311">
    <cfRule type="colorScale" priority="3">
      <colorScale>
        <cfvo type="min"/>
        <cfvo type="max"/>
        <color theme="0"/>
        <color theme="8" tint="0.39997558519241921"/>
      </colorScale>
    </cfRule>
  </conditionalFormatting>
  <conditionalFormatting sqref="AG312:AK315">
    <cfRule type="colorScale" priority="14">
      <colorScale>
        <cfvo type="min"/>
        <cfvo type="max"/>
        <color theme="0"/>
        <color theme="8" tint="0.39997558519241921"/>
      </colorScale>
    </cfRule>
  </conditionalFormatting>
  <conditionalFormatting sqref="AG316:AK316">
    <cfRule type="colorScale" priority="11">
      <colorScale>
        <cfvo type="min"/>
        <cfvo type="max"/>
        <color theme="0"/>
        <color theme="8" tint="0.39997558519241921"/>
      </colorScale>
    </cfRule>
  </conditionalFormatting>
  <conditionalFormatting sqref="AG320:AK325">
    <cfRule type="colorScale" priority="51">
      <colorScale>
        <cfvo type="min"/>
        <cfvo type="max"/>
        <color theme="0"/>
        <color theme="8" tint="0.39997558519241921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3346-4B66-4871-AE13-9F6A6701FF08}">
  <sheetPr>
    <tabColor theme="7" tint="0.39997558519241921"/>
  </sheetPr>
  <dimension ref="B2:AK325"/>
  <sheetViews>
    <sheetView showGridLines="0" topLeftCell="A285" zoomScale="85" zoomScaleNormal="85" workbookViewId="0">
      <selection activeCell="C327" sqref="C327"/>
    </sheetView>
  </sheetViews>
  <sheetFormatPr defaultRowHeight="14.5" x14ac:dyDescent="0.35"/>
  <cols>
    <col min="1" max="1" width="8.7265625" style="53"/>
    <col min="2" max="2" width="76" style="53" bestFit="1" customWidth="1"/>
    <col min="3" max="3" width="16.1796875" style="53" bestFit="1" customWidth="1"/>
    <col min="4" max="4" width="24" style="53" bestFit="1" customWidth="1"/>
    <col min="5" max="5" width="21" style="53" bestFit="1" customWidth="1"/>
    <col min="6" max="7" width="7.81640625" style="53" bestFit="1" customWidth="1"/>
    <col min="8" max="10" width="7.1796875" style="53" bestFit="1" customWidth="1"/>
    <col min="11" max="11" width="6.81640625" style="53" bestFit="1" customWidth="1"/>
    <col min="12" max="15" width="6.1796875" style="53" bestFit="1" customWidth="1"/>
    <col min="16" max="16" width="15.26953125" style="53" bestFit="1" customWidth="1"/>
    <col min="17" max="17" width="22.1796875" style="53" bestFit="1" customWidth="1"/>
    <col min="18" max="18" width="13.7265625" style="53" bestFit="1" customWidth="1"/>
    <col min="19" max="19" width="9.54296875" style="53" bestFit="1" customWidth="1"/>
    <col min="20" max="20" width="19.81640625" style="53" bestFit="1" customWidth="1"/>
    <col min="21" max="21" width="8.7265625" style="53"/>
    <col min="22" max="26" width="4.7265625" style="53" hidden="1" customWidth="1"/>
    <col min="27" max="27" width="0" style="53" hidden="1" customWidth="1"/>
    <col min="28" max="31" width="6.1796875" style="53" hidden="1" customWidth="1"/>
    <col min="32" max="32" width="7.26953125" style="53" hidden="1" customWidth="1"/>
    <col min="33" max="37" width="6.1796875" style="53" hidden="1" customWidth="1"/>
    <col min="38" max="16384" width="8.7265625" style="53"/>
  </cols>
  <sheetData>
    <row r="2" spans="2:37" ht="15" thickBot="1" x14ac:dyDescent="0.4">
      <c r="C2" s="130" t="s">
        <v>9</v>
      </c>
      <c r="D2" s="130" t="s">
        <v>10</v>
      </c>
      <c r="E2" s="130" t="s">
        <v>11</v>
      </c>
      <c r="F2" s="130" t="s">
        <v>12</v>
      </c>
      <c r="G2" s="130" t="s">
        <v>13</v>
      </c>
    </row>
    <row r="3" spans="2:37" ht="17.5" thickBot="1" x14ac:dyDescent="0.45">
      <c r="B3" s="52" t="s">
        <v>220</v>
      </c>
      <c r="C3" s="129">
        <f>C4</f>
        <v>0.998</v>
      </c>
      <c r="D3" s="131">
        <f>D4</f>
        <v>0.99399999999999999</v>
      </c>
      <c r="E3" s="131">
        <f>E4</f>
        <v>0.99399999999999999</v>
      </c>
      <c r="F3" s="131">
        <f>F4</f>
        <v>0.99399999999999999</v>
      </c>
      <c r="G3" s="131">
        <f>G4</f>
        <v>0.99399999999999999</v>
      </c>
    </row>
    <row r="4" spans="2:37" x14ac:dyDescent="0.35">
      <c r="B4" s="53" t="s">
        <v>219</v>
      </c>
      <c r="C4" s="132">
        <v>0.998</v>
      </c>
      <c r="D4" s="132">
        <v>0.99399999999999999</v>
      </c>
      <c r="E4" s="132">
        <v>0.99399999999999999</v>
      </c>
      <c r="F4" s="132">
        <v>0.99399999999999999</v>
      </c>
      <c r="G4" s="132">
        <v>0.99399999999999999</v>
      </c>
    </row>
    <row r="8" spans="2:37" x14ac:dyDescent="0.35">
      <c r="F8" s="159" t="s">
        <v>222</v>
      </c>
      <c r="G8" s="160"/>
      <c r="H8" s="160"/>
      <c r="I8" s="160"/>
      <c r="J8" s="161"/>
      <c r="K8" s="159" t="s">
        <v>221</v>
      </c>
      <c r="L8" s="160"/>
      <c r="M8" s="160"/>
      <c r="N8" s="160"/>
      <c r="O8" s="161"/>
      <c r="AB8" s="159" t="s">
        <v>222</v>
      </c>
      <c r="AC8" s="160"/>
      <c r="AD8" s="160"/>
      <c r="AE8" s="160"/>
      <c r="AF8" s="161"/>
      <c r="AG8" s="159" t="s">
        <v>223</v>
      </c>
      <c r="AH8" s="160"/>
      <c r="AI8" s="160"/>
      <c r="AJ8" s="160"/>
      <c r="AK8" s="161"/>
    </row>
    <row r="9" spans="2:37" x14ac:dyDescent="0.35">
      <c r="F9" s="156" t="s">
        <v>1</v>
      </c>
      <c r="G9" s="157"/>
      <c r="H9" s="157"/>
      <c r="I9" s="157"/>
      <c r="J9" s="158"/>
      <c r="K9" s="156" t="s">
        <v>2</v>
      </c>
      <c r="L9" s="157"/>
      <c r="M9" s="157"/>
      <c r="N9" s="157"/>
      <c r="O9" s="158"/>
      <c r="AB9" s="156" t="s">
        <v>1</v>
      </c>
      <c r="AC9" s="157"/>
      <c r="AD9" s="157"/>
      <c r="AE9" s="157"/>
      <c r="AF9" s="158"/>
      <c r="AG9" s="156" t="s">
        <v>2</v>
      </c>
      <c r="AH9" s="157"/>
      <c r="AI9" s="157"/>
      <c r="AJ9" s="157"/>
      <c r="AK9" s="158"/>
    </row>
    <row r="10" spans="2:37" ht="15.5" x14ac:dyDescent="0.35">
      <c r="B10" s="122" t="s">
        <v>3</v>
      </c>
      <c r="C10" s="123"/>
      <c r="D10" s="123"/>
      <c r="E10" s="123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Q10" s="126"/>
      <c r="R10" s="126"/>
      <c r="S10" s="126"/>
      <c r="T10" s="126"/>
      <c r="V10" s="156" t="s">
        <v>217</v>
      </c>
      <c r="W10" s="157"/>
      <c r="X10" s="157"/>
      <c r="Y10" s="157"/>
      <c r="Z10" s="158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</row>
    <row r="11" spans="2:37" x14ac:dyDescent="0.35">
      <c r="B11" s="85" t="s">
        <v>5</v>
      </c>
      <c r="C11" s="84" t="s">
        <v>6</v>
      </c>
      <c r="D11" s="84" t="s">
        <v>7</v>
      </c>
      <c r="E11" s="84" t="s">
        <v>8</v>
      </c>
      <c r="F11" s="83" t="s">
        <v>9</v>
      </c>
      <c r="G11" s="82" t="s">
        <v>10</v>
      </c>
      <c r="H11" s="82" t="s">
        <v>11</v>
      </c>
      <c r="I11" s="82" t="s">
        <v>12</v>
      </c>
      <c r="J11" s="81" t="s">
        <v>13</v>
      </c>
      <c r="K11" s="83" t="s">
        <v>9</v>
      </c>
      <c r="L11" s="82" t="s">
        <v>10</v>
      </c>
      <c r="M11" s="82" t="s">
        <v>11</v>
      </c>
      <c r="N11" s="82" t="s">
        <v>12</v>
      </c>
      <c r="O11" s="81" t="s">
        <v>13</v>
      </c>
      <c r="P11" s="70" t="s">
        <v>14</v>
      </c>
      <c r="Q11" s="58" t="s">
        <v>15</v>
      </c>
      <c r="R11" s="58" t="s">
        <v>16</v>
      </c>
      <c r="S11" s="58" t="s">
        <v>218</v>
      </c>
      <c r="T11" s="58" t="s">
        <v>18</v>
      </c>
      <c r="V11" s="110" t="s">
        <v>9</v>
      </c>
      <c r="W11" s="106" t="s">
        <v>10</v>
      </c>
      <c r="X11" s="106" t="s">
        <v>11</v>
      </c>
      <c r="Y11" s="106" t="s">
        <v>12</v>
      </c>
      <c r="Z11" s="111" t="s">
        <v>13</v>
      </c>
      <c r="AB11" s="83" t="s">
        <v>9</v>
      </c>
      <c r="AC11" s="82" t="s">
        <v>10</v>
      </c>
      <c r="AD11" s="82" t="s">
        <v>11</v>
      </c>
      <c r="AE11" s="82" t="s">
        <v>12</v>
      </c>
      <c r="AF11" s="81" t="s">
        <v>13</v>
      </c>
      <c r="AG11" s="83" t="s">
        <v>9</v>
      </c>
      <c r="AH11" s="82" t="s">
        <v>10</v>
      </c>
      <c r="AI11" s="82" t="s">
        <v>11</v>
      </c>
      <c r="AJ11" s="82" t="s">
        <v>12</v>
      </c>
      <c r="AK11" s="81" t="s">
        <v>13</v>
      </c>
    </row>
    <row r="12" spans="2:37" x14ac:dyDescent="0.35">
      <c r="B12" s="56" t="s">
        <v>19</v>
      </c>
      <c r="C12" s="124"/>
      <c r="D12" s="11" t="s">
        <v>20</v>
      </c>
      <c r="E12" s="124"/>
      <c r="F12" s="75" t="str">
        <f t="shared" ref="F12:J17" si="0">IF(ISNUMBER(AB12),AB12-((C$4-C$3)/V12),"")</f>
        <v/>
      </c>
      <c r="G12" s="80">
        <f t="shared" si="0"/>
        <v>4.5707362834040047E-2</v>
      </c>
      <c r="H12" s="80">
        <f t="shared" si="0"/>
        <v>5.1400560070454689E-2</v>
      </c>
      <c r="I12" s="80">
        <f t="shared" si="0"/>
        <v>5.5640998001194812E-2</v>
      </c>
      <c r="J12" s="62">
        <f t="shared" si="0"/>
        <v>5.9876039679068932E-2</v>
      </c>
      <c r="K12" s="89" t="str">
        <f t="shared" ref="K12:O17" si="1">IF(ISNUMBER(AG12),IF(AG12-((C$4-C$3)/V12)&lt;0,"",AG12-((C$4-C$3)/V12)),"")</f>
        <v/>
      </c>
      <c r="L12" s="87">
        <f t="shared" si="1"/>
        <v>8.6891561340400429E-3</v>
      </c>
      <c r="M12" s="87">
        <f t="shared" si="1"/>
        <v>1.3673185870454701E-2</v>
      </c>
      <c r="N12" s="87">
        <f t="shared" si="1"/>
        <v>1.6862651801194825E-2</v>
      </c>
      <c r="O12" s="90">
        <f t="shared" si="1"/>
        <v>1.9748065779068923E-2</v>
      </c>
      <c r="P12" s="15"/>
      <c r="Q12" s="133"/>
      <c r="R12" s="133"/>
      <c r="S12" s="133"/>
      <c r="T12" s="16"/>
      <c r="V12" s="17">
        <v>1.1302210700000002</v>
      </c>
      <c r="W12" s="18">
        <v>2.8651184499999998</v>
      </c>
      <c r="X12" s="18">
        <v>4.3861542</v>
      </c>
      <c r="Y12" s="18">
        <v>5.67944373</v>
      </c>
      <c r="Z12" s="19">
        <v>7.2615625000000001</v>
      </c>
      <c r="AB12" s="75"/>
      <c r="AC12" s="80">
        <v>4.5707362834040047E-2</v>
      </c>
      <c r="AD12" s="80">
        <v>5.1400560070454689E-2</v>
      </c>
      <c r="AE12" s="80">
        <v>5.5640998001194812E-2</v>
      </c>
      <c r="AF12" s="62">
        <v>5.9876039679068932E-2</v>
      </c>
      <c r="AG12" s="75"/>
      <c r="AH12" s="80">
        <v>8.6891561340400429E-3</v>
      </c>
      <c r="AI12" s="80">
        <v>1.3673185870454701E-2</v>
      </c>
      <c r="AJ12" s="80">
        <v>1.6862651801194825E-2</v>
      </c>
      <c r="AK12" s="62">
        <v>1.9748065779068923E-2</v>
      </c>
    </row>
    <row r="13" spans="2:37" x14ac:dyDescent="0.35">
      <c r="B13" s="55" t="s">
        <v>22</v>
      </c>
      <c r="C13" s="123"/>
      <c r="D13" s="20" t="s">
        <v>23</v>
      </c>
      <c r="E13" s="123"/>
      <c r="F13" s="73">
        <f t="shared" si="0"/>
        <v>3.8511347855419972E-2</v>
      </c>
      <c r="G13" s="71">
        <f t="shared" si="0"/>
        <v>4.5521692429439146E-2</v>
      </c>
      <c r="H13" s="71">
        <f t="shared" si="0"/>
        <v>5.1566797829784607E-2</v>
      </c>
      <c r="I13" s="71">
        <f t="shared" si="0"/>
        <v>5.579853985563412E-2</v>
      </c>
      <c r="J13" s="63">
        <f t="shared" si="0"/>
        <v>6.0042493623819373E-2</v>
      </c>
      <c r="K13" s="86">
        <f t="shared" si="1"/>
        <v>6.3145195541997393E-4</v>
      </c>
      <c r="L13" s="68">
        <f t="shared" si="1"/>
        <v>8.4839576294391469E-3</v>
      </c>
      <c r="M13" s="68">
        <f t="shared" si="1"/>
        <v>1.3803194829784617E-2</v>
      </c>
      <c r="N13" s="68">
        <f t="shared" si="1"/>
        <v>1.6987015755634122E-2</v>
      </c>
      <c r="O13" s="91">
        <f t="shared" si="1"/>
        <v>1.9880182223819372E-2</v>
      </c>
      <c r="P13" s="24"/>
      <c r="Q13" s="25"/>
      <c r="R13" s="25"/>
      <c r="S13" s="25"/>
      <c r="T13" s="26"/>
      <c r="V13" s="27">
        <v>1.1347345899999999</v>
      </c>
      <c r="W13" s="28">
        <v>2.8691937899999997</v>
      </c>
      <c r="X13" s="28">
        <v>4.3824265599999999</v>
      </c>
      <c r="Y13" s="28">
        <v>5.6657424299999999</v>
      </c>
      <c r="Z13" s="29">
        <v>7.2316057599999999</v>
      </c>
      <c r="AB13" s="73">
        <v>3.8511347855419972E-2</v>
      </c>
      <c r="AC13" s="71">
        <v>4.5521692429439146E-2</v>
      </c>
      <c r="AD13" s="71">
        <v>5.1566797829784607E-2</v>
      </c>
      <c r="AE13" s="71">
        <v>5.579853985563412E-2</v>
      </c>
      <c r="AF13" s="63">
        <v>6.0042493623819373E-2</v>
      </c>
      <c r="AG13" s="73">
        <v>6.3145195541997393E-4</v>
      </c>
      <c r="AH13" s="71">
        <v>8.4839576294391469E-3</v>
      </c>
      <c r="AI13" s="71">
        <v>1.3803194829784617E-2</v>
      </c>
      <c r="AJ13" s="71">
        <v>1.6987015755634122E-2</v>
      </c>
      <c r="AK13" s="63">
        <v>1.9880182223819372E-2</v>
      </c>
    </row>
    <row r="14" spans="2:37" x14ac:dyDescent="0.35">
      <c r="B14" s="56" t="s">
        <v>24</v>
      </c>
      <c r="C14" s="124"/>
      <c r="D14" s="11" t="s">
        <v>20</v>
      </c>
      <c r="E14" s="124"/>
      <c r="F14" s="75">
        <f t="shared" si="0"/>
        <v>6.5332896569048546E-2</v>
      </c>
      <c r="G14" s="80">
        <f t="shared" si="0"/>
        <v>7.420334136323542E-2</v>
      </c>
      <c r="H14" s="80">
        <f t="shared" si="0"/>
        <v>8.2678099994503415E-2</v>
      </c>
      <c r="I14" s="80" t="str">
        <f t="shared" si="0"/>
        <v/>
      </c>
      <c r="J14" s="62" t="str">
        <f t="shared" si="0"/>
        <v/>
      </c>
      <c r="K14" s="89">
        <f t="shared" si="1"/>
        <v>2.6298963469048559E-2</v>
      </c>
      <c r="L14" s="87">
        <f t="shared" si="1"/>
        <v>3.5518706763235416E-2</v>
      </c>
      <c r="M14" s="87">
        <f t="shared" si="1"/>
        <v>4.2938903294503429E-2</v>
      </c>
      <c r="N14" s="87" t="str">
        <f t="shared" si="1"/>
        <v/>
      </c>
      <c r="O14" s="90" t="str">
        <f t="shared" si="1"/>
        <v/>
      </c>
      <c r="P14" s="15"/>
      <c r="Q14" s="133"/>
      <c r="R14" s="133"/>
      <c r="S14" s="133"/>
      <c r="T14" s="16"/>
      <c r="V14" s="17">
        <v>1.0924468999999999</v>
      </c>
      <c r="W14" s="18">
        <v>2.6538738500000001</v>
      </c>
      <c r="X14" s="18">
        <v>3.9055927999999995</v>
      </c>
      <c r="Y14" s="18">
        <v>4.8973240699999998</v>
      </c>
      <c r="Z14" s="19">
        <v>6.0282932300000001</v>
      </c>
      <c r="AB14" s="75">
        <v>6.5332896569048546E-2</v>
      </c>
      <c r="AC14" s="80">
        <v>7.420334136323542E-2</v>
      </c>
      <c r="AD14" s="80">
        <v>8.2678099994503415E-2</v>
      </c>
      <c r="AE14" s="80"/>
      <c r="AF14" s="62"/>
      <c r="AG14" s="75">
        <v>2.6298963469048559E-2</v>
      </c>
      <c r="AH14" s="80">
        <v>3.5518706763235416E-2</v>
      </c>
      <c r="AI14" s="80">
        <v>4.2938903294503429E-2</v>
      </c>
      <c r="AJ14" s="80"/>
      <c r="AK14" s="62"/>
    </row>
    <row r="15" spans="2:37" x14ac:dyDescent="0.35">
      <c r="B15" s="57" t="s">
        <v>25</v>
      </c>
      <c r="C15" s="125"/>
      <c r="D15" s="20" t="s">
        <v>23</v>
      </c>
      <c r="E15" s="125"/>
      <c r="F15" s="74">
        <f t="shared" si="0"/>
        <v>5.5115140902492789E-2</v>
      </c>
      <c r="G15" s="76">
        <f t="shared" si="0"/>
        <v>4.8860158065557983E-2</v>
      </c>
      <c r="H15" s="76">
        <f t="shared" si="0"/>
        <v>8.310222672261533E-2</v>
      </c>
      <c r="I15" s="76">
        <f t="shared" si="0"/>
        <v>8.8898839709390248E-2</v>
      </c>
      <c r="J15" s="64">
        <f t="shared" si="0"/>
        <v>9.4969425624729681E-2</v>
      </c>
      <c r="K15" s="92">
        <f t="shared" si="1"/>
        <v>1.6502262802492795E-2</v>
      </c>
      <c r="L15" s="88">
        <f t="shared" si="1"/>
        <v>1.1668721865557985E-2</v>
      </c>
      <c r="M15" s="88">
        <f t="shared" si="1"/>
        <v>4.3041941622615321E-2</v>
      </c>
      <c r="N15" s="88">
        <f t="shared" si="1"/>
        <v>4.7674181709390251E-2</v>
      </c>
      <c r="O15" s="93">
        <f t="shared" si="1"/>
        <v>5.2313950824729692E-2</v>
      </c>
      <c r="P15" s="33"/>
      <c r="Q15" s="134"/>
      <c r="R15" s="134"/>
      <c r="S15" s="134"/>
      <c r="T15" s="34"/>
      <c r="V15" s="27">
        <v>1.12321753</v>
      </c>
      <c r="W15" s="28">
        <v>2.8307361900000001</v>
      </c>
      <c r="X15" s="28">
        <v>4.0301318500000001</v>
      </c>
      <c r="Y15" s="28">
        <v>4.8890289300000003</v>
      </c>
      <c r="Z15" s="29">
        <v>5.7835737900000002</v>
      </c>
      <c r="AB15" s="74">
        <v>5.5115140902492789E-2</v>
      </c>
      <c r="AC15" s="76">
        <v>4.8860158065557983E-2</v>
      </c>
      <c r="AD15" s="76">
        <v>8.310222672261533E-2</v>
      </c>
      <c r="AE15" s="76">
        <v>8.8898839709390248E-2</v>
      </c>
      <c r="AF15" s="64">
        <v>9.4969425624729681E-2</v>
      </c>
      <c r="AG15" s="74">
        <v>1.6502262802492795E-2</v>
      </c>
      <c r="AH15" s="76">
        <v>1.1668721865557985E-2</v>
      </c>
      <c r="AI15" s="76">
        <v>4.3041941622615321E-2</v>
      </c>
      <c r="AJ15" s="76">
        <v>4.7674181709390251E-2</v>
      </c>
      <c r="AK15" s="64">
        <v>5.2313950824729692E-2</v>
      </c>
    </row>
    <row r="16" spans="2:37" x14ac:dyDescent="0.35">
      <c r="B16" s="55" t="s">
        <v>26</v>
      </c>
      <c r="C16" s="123"/>
      <c r="D16" s="11" t="s">
        <v>23</v>
      </c>
      <c r="E16" s="123"/>
      <c r="F16" s="73">
        <f t="shared" si="0"/>
        <v>3.8918247271470925E-2</v>
      </c>
      <c r="G16" s="71">
        <f t="shared" si="0"/>
        <v>4.5902638891390457E-2</v>
      </c>
      <c r="H16" s="71">
        <f t="shared" si="0"/>
        <v>5.2392673968881497E-2</v>
      </c>
      <c r="I16" s="71" t="str">
        <f t="shared" si="0"/>
        <v/>
      </c>
      <c r="J16" s="63" t="str">
        <f t="shared" si="0"/>
        <v/>
      </c>
      <c r="K16" s="86">
        <f t="shared" si="1"/>
        <v>1.0240636714709218E-3</v>
      </c>
      <c r="L16" s="68">
        <f t="shared" si="1"/>
        <v>8.8530678913904606E-3</v>
      </c>
      <c r="M16" s="68">
        <f t="shared" si="1"/>
        <v>1.4590480268881502E-2</v>
      </c>
      <c r="N16" s="68" t="str">
        <f t="shared" si="1"/>
        <v/>
      </c>
      <c r="O16" s="91" t="str">
        <f t="shared" si="1"/>
        <v/>
      </c>
      <c r="P16" s="24"/>
      <c r="Q16" s="25"/>
      <c r="R16" s="25"/>
      <c r="S16" s="25"/>
      <c r="T16" s="26"/>
      <c r="V16" s="17">
        <v>1.1232734200000001</v>
      </c>
      <c r="W16" s="18">
        <v>2.83100957</v>
      </c>
      <c r="X16" s="18">
        <v>4.3333909300000002</v>
      </c>
      <c r="Y16" s="18">
        <v>5.5825576199999993</v>
      </c>
      <c r="Z16" s="19">
        <v>7.0621111099999991</v>
      </c>
      <c r="AB16" s="73">
        <v>3.8918247271470925E-2</v>
      </c>
      <c r="AC16" s="71">
        <v>4.5902638891390457E-2</v>
      </c>
      <c r="AD16" s="71">
        <v>5.2392673968881497E-2</v>
      </c>
      <c r="AE16" s="71"/>
      <c r="AF16" s="63"/>
      <c r="AG16" s="73">
        <v>1.0240636714709218E-3</v>
      </c>
      <c r="AH16" s="71">
        <v>8.8530678913904606E-3</v>
      </c>
      <c r="AI16" s="71">
        <v>1.4590480268881502E-2</v>
      </c>
      <c r="AJ16" s="71"/>
      <c r="AK16" s="63"/>
    </row>
    <row r="17" spans="2:37" x14ac:dyDescent="0.35">
      <c r="B17" s="57" t="s">
        <v>27</v>
      </c>
      <c r="C17" s="125"/>
      <c r="D17" s="35" t="s">
        <v>23</v>
      </c>
      <c r="E17" s="125"/>
      <c r="F17" s="74" t="str">
        <f t="shared" si="0"/>
        <v/>
      </c>
      <c r="G17" s="76">
        <f t="shared" si="0"/>
        <v>4.9646030325982901E-2</v>
      </c>
      <c r="H17" s="76">
        <f t="shared" si="0"/>
        <v>5.8223000729073701E-2</v>
      </c>
      <c r="I17" s="76" t="str">
        <f t="shared" si="0"/>
        <v/>
      </c>
      <c r="J17" s="64">
        <f t="shared" si="0"/>
        <v>7.3815242736752468E-2</v>
      </c>
      <c r="K17" s="92" t="str">
        <f t="shared" si="1"/>
        <v/>
      </c>
      <c r="L17" s="88">
        <f t="shared" si="1"/>
        <v>1.2488411325982909E-2</v>
      </c>
      <c r="M17" s="88">
        <f t="shared" si="1"/>
        <v>2.0213448429073695E-2</v>
      </c>
      <c r="N17" s="88" t="str">
        <f t="shared" si="1"/>
        <v/>
      </c>
      <c r="O17" s="93">
        <f t="shared" si="1"/>
        <v>3.3003535336752467E-2</v>
      </c>
      <c r="P17" s="33"/>
      <c r="Q17" s="134"/>
      <c r="R17" s="134"/>
      <c r="S17" s="134"/>
      <c r="T17" s="34"/>
      <c r="V17" s="36">
        <v>1.1184658700000001</v>
      </c>
      <c r="W17" s="37">
        <v>2.8075566599999999</v>
      </c>
      <c r="X17" s="37">
        <v>4.2815649599999999</v>
      </c>
      <c r="Y17" s="37">
        <v>5.4821660899999998</v>
      </c>
      <c r="Z17" s="38">
        <v>6.8613552300000009</v>
      </c>
      <c r="AB17" s="74"/>
      <c r="AC17" s="76">
        <v>4.9646030325982901E-2</v>
      </c>
      <c r="AD17" s="76">
        <v>5.8223000729073701E-2</v>
      </c>
      <c r="AE17" s="76"/>
      <c r="AF17" s="64">
        <v>7.3815242736752468E-2</v>
      </c>
      <c r="AG17" s="74"/>
      <c r="AH17" s="76">
        <v>1.2488411325982909E-2</v>
      </c>
      <c r="AI17" s="76">
        <v>2.0213448429073695E-2</v>
      </c>
      <c r="AJ17" s="76"/>
      <c r="AK17" s="64">
        <v>3.3003535336752467E-2</v>
      </c>
    </row>
    <row r="18" spans="2:37" x14ac:dyDescent="0.35">
      <c r="C18" s="123"/>
      <c r="D18" s="123"/>
      <c r="E18" s="123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V18" s="40"/>
      <c r="W18" s="40"/>
      <c r="X18" s="40"/>
      <c r="Y18" s="40"/>
      <c r="Z18" s="40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</row>
    <row r="19" spans="2:37" ht="15.5" x14ac:dyDescent="0.35">
      <c r="B19" s="122" t="s">
        <v>225</v>
      </c>
      <c r="C19" s="123"/>
      <c r="D19" s="123"/>
      <c r="E19" s="123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Q19" s="126"/>
      <c r="R19" s="126"/>
      <c r="T19" s="126"/>
      <c r="V19" s="156" t="s">
        <v>217</v>
      </c>
      <c r="W19" s="157"/>
      <c r="X19" s="157"/>
      <c r="Y19" s="157"/>
      <c r="Z19" s="158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</row>
    <row r="20" spans="2:37" x14ac:dyDescent="0.35">
      <c r="B20" s="85" t="s">
        <v>5</v>
      </c>
      <c r="C20" s="84" t="s">
        <v>6</v>
      </c>
      <c r="D20" s="84" t="s">
        <v>7</v>
      </c>
      <c r="E20" s="84" t="s">
        <v>8</v>
      </c>
      <c r="F20" s="83" t="s">
        <v>9</v>
      </c>
      <c r="G20" s="82" t="s">
        <v>10</v>
      </c>
      <c r="H20" s="82" t="s">
        <v>11</v>
      </c>
      <c r="I20" s="82" t="s">
        <v>12</v>
      </c>
      <c r="J20" s="81" t="s">
        <v>13</v>
      </c>
      <c r="K20" s="83" t="s">
        <v>9</v>
      </c>
      <c r="L20" s="82" t="s">
        <v>10</v>
      </c>
      <c r="M20" s="82" t="s">
        <v>11</v>
      </c>
      <c r="N20" s="82" t="s">
        <v>12</v>
      </c>
      <c r="O20" s="81" t="s">
        <v>13</v>
      </c>
      <c r="P20" s="70" t="s">
        <v>14</v>
      </c>
      <c r="Q20" s="58" t="s">
        <v>15</v>
      </c>
      <c r="R20" s="58" t="s">
        <v>16</v>
      </c>
      <c r="S20" s="58" t="s">
        <v>218</v>
      </c>
      <c r="T20" s="58" t="s">
        <v>18</v>
      </c>
      <c r="V20" s="110" t="s">
        <v>9</v>
      </c>
      <c r="W20" s="106" t="s">
        <v>10</v>
      </c>
      <c r="X20" s="106" t="s">
        <v>11</v>
      </c>
      <c r="Y20" s="106" t="s">
        <v>12</v>
      </c>
      <c r="Z20" s="111" t="s">
        <v>13</v>
      </c>
      <c r="AB20" s="83" t="s">
        <v>9</v>
      </c>
      <c r="AC20" s="82" t="s">
        <v>10</v>
      </c>
      <c r="AD20" s="82" t="s">
        <v>11</v>
      </c>
      <c r="AE20" s="82" t="s">
        <v>12</v>
      </c>
      <c r="AF20" s="81" t="s">
        <v>13</v>
      </c>
      <c r="AG20" s="83" t="s">
        <v>9</v>
      </c>
      <c r="AH20" s="82" t="s">
        <v>10</v>
      </c>
      <c r="AI20" s="82" t="s">
        <v>11</v>
      </c>
      <c r="AJ20" s="82" t="s">
        <v>12</v>
      </c>
      <c r="AK20" s="81" t="s">
        <v>13</v>
      </c>
    </row>
    <row r="21" spans="2:37" x14ac:dyDescent="0.35">
      <c r="B21" s="56" t="s">
        <v>19</v>
      </c>
      <c r="C21" s="124"/>
      <c r="D21" s="11" t="s">
        <v>20</v>
      </c>
      <c r="E21" s="124"/>
      <c r="F21" s="75" t="str">
        <f t="shared" ref="F21:J26" si="2">IF(ISNUMBER(AB21),AB21-((C$4-C$3)/V21),"")</f>
        <v/>
      </c>
      <c r="G21" s="80">
        <f t="shared" si="2"/>
        <v>4.8683428271948145E-2</v>
      </c>
      <c r="H21" s="80">
        <f t="shared" si="2"/>
        <v>5.5201056341029099E-2</v>
      </c>
      <c r="I21" s="80">
        <f t="shared" si="2"/>
        <v>6.0025995303757997E-2</v>
      </c>
      <c r="J21" s="62">
        <f t="shared" si="2"/>
        <v>6.4595431136811418E-2</v>
      </c>
      <c r="K21" s="89" t="str">
        <f t="shared" ref="K21:O26" si="3">IF(ISNUMBER(AG21),IF(AG21-((C$4-C$3)/V21)&lt;0,"",AG21-((C$4-C$3)/V21)),"")</f>
        <v/>
      </c>
      <c r="L21" s="87">
        <f t="shared" si="3"/>
        <v>1.1622331471948147E-2</v>
      </c>
      <c r="M21" s="87">
        <f t="shared" si="3"/>
        <v>1.74020948410291E-2</v>
      </c>
      <c r="N21" s="87">
        <f t="shared" si="3"/>
        <v>2.1143295803758014E-2</v>
      </c>
      <c r="O21" s="90">
        <f t="shared" si="3"/>
        <v>2.4323355536811427E-2</v>
      </c>
      <c r="P21" s="15"/>
      <c r="Q21" s="133"/>
      <c r="R21" s="133"/>
      <c r="S21" s="133"/>
      <c r="T21" s="16"/>
      <c r="V21" s="17">
        <v>1.1302210700000002</v>
      </c>
      <c r="W21" s="18">
        <v>2.8651184499999998</v>
      </c>
      <c r="X21" s="18">
        <v>4.3861542</v>
      </c>
      <c r="Y21" s="18">
        <v>5.67944373</v>
      </c>
      <c r="Z21" s="19">
        <v>7.2615625000000001</v>
      </c>
      <c r="AB21" s="75"/>
      <c r="AC21" s="80">
        <v>4.8683428271948145E-2</v>
      </c>
      <c r="AD21" s="80">
        <v>5.5201056341029099E-2</v>
      </c>
      <c r="AE21" s="80">
        <v>6.0025995303757997E-2</v>
      </c>
      <c r="AF21" s="62">
        <v>6.4595431136811418E-2</v>
      </c>
      <c r="AG21" s="75"/>
      <c r="AH21" s="80">
        <v>1.1622331471948147E-2</v>
      </c>
      <c r="AI21" s="80">
        <v>1.74020948410291E-2</v>
      </c>
      <c r="AJ21" s="80">
        <v>2.1143295803758014E-2</v>
      </c>
      <c r="AK21" s="62">
        <v>2.4323355536811427E-2</v>
      </c>
    </row>
    <row r="22" spans="2:37" x14ac:dyDescent="0.35">
      <c r="B22" s="55" t="s">
        <v>22</v>
      </c>
      <c r="C22" s="123"/>
      <c r="D22" s="20" t="s">
        <v>23</v>
      </c>
      <c r="E22" s="123"/>
      <c r="F22" s="73">
        <f t="shared" si="2"/>
        <v>3.9592553305240079E-2</v>
      </c>
      <c r="G22" s="71">
        <f t="shared" si="2"/>
        <v>4.863751223583887E-2</v>
      </c>
      <c r="H22" s="71">
        <f t="shared" si="2"/>
        <v>5.5632068789397755E-2</v>
      </c>
      <c r="I22" s="71">
        <f t="shared" si="2"/>
        <v>6.0418539967939729E-2</v>
      </c>
      <c r="J22" s="63">
        <f t="shared" si="2"/>
        <v>6.4966383394798044E-2</v>
      </c>
      <c r="K22" s="86">
        <f t="shared" si="3"/>
        <v>1.6921728052400782E-3</v>
      </c>
      <c r="L22" s="68">
        <f t="shared" si="3"/>
        <v>1.1552362335838879E-2</v>
      </c>
      <c r="M22" s="68">
        <f t="shared" si="3"/>
        <v>1.7786397289397758E-2</v>
      </c>
      <c r="N22" s="68">
        <f t="shared" si="3"/>
        <v>2.1487590767939733E-2</v>
      </c>
      <c r="O22" s="91">
        <f t="shared" si="3"/>
        <v>2.4649190894798053E-2</v>
      </c>
      <c r="P22" s="24"/>
      <c r="Q22" s="25"/>
      <c r="R22" s="25"/>
      <c r="S22" s="25"/>
      <c r="T22" s="26"/>
      <c r="V22" s="27">
        <v>1.1347345899999999</v>
      </c>
      <c r="W22" s="28">
        <v>2.8691937899999997</v>
      </c>
      <c r="X22" s="28">
        <v>4.3824265599999999</v>
      </c>
      <c r="Y22" s="28">
        <v>5.6657424299999999</v>
      </c>
      <c r="Z22" s="29">
        <v>7.2316057599999999</v>
      </c>
      <c r="AB22" s="73">
        <v>3.9592553305240079E-2</v>
      </c>
      <c r="AC22" s="71">
        <v>4.863751223583887E-2</v>
      </c>
      <c r="AD22" s="71">
        <v>5.5632068789397755E-2</v>
      </c>
      <c r="AE22" s="71">
        <v>6.0418539967939729E-2</v>
      </c>
      <c r="AF22" s="63">
        <v>6.4966383394798044E-2</v>
      </c>
      <c r="AG22" s="73">
        <v>1.6921728052400782E-3</v>
      </c>
      <c r="AH22" s="71">
        <v>1.1552362335838879E-2</v>
      </c>
      <c r="AI22" s="71">
        <v>1.7786397289397758E-2</v>
      </c>
      <c r="AJ22" s="71">
        <v>2.1487590767939733E-2</v>
      </c>
      <c r="AK22" s="63">
        <v>2.4649190894798053E-2</v>
      </c>
    </row>
    <row r="23" spans="2:37" x14ac:dyDescent="0.35">
      <c r="B23" s="56" t="s">
        <v>24</v>
      </c>
      <c r="C23" s="124"/>
      <c r="D23" s="11" t="s">
        <v>20</v>
      </c>
      <c r="E23" s="124"/>
      <c r="F23" s="75">
        <f t="shared" si="2"/>
        <v>7.2221842183275251E-2</v>
      </c>
      <c r="G23" s="80">
        <f t="shared" si="2"/>
        <v>8.2656799921449461E-2</v>
      </c>
      <c r="H23" s="80">
        <f>IF(ISNUMBER(AD23),AD23-((E$4-E$3)/X23),"")</f>
        <v>9.1625907852185523E-2</v>
      </c>
      <c r="I23" s="80" t="str">
        <f>IF(ISNUMBER(AE23),AE23-((F$4-F$3)/Y23),"")</f>
        <v/>
      </c>
      <c r="J23" s="62" t="str">
        <f>IF(ISNUMBER(AF23),AF23-((G$4-G$3)/Z23),"")</f>
        <v/>
      </c>
      <c r="K23" s="89">
        <f>IF(ISNUMBER(AG23),IF(AG23-((C$4-C$3)/V23)&lt;0,"",AG23-((C$4-C$3)/V23)),"")</f>
        <v>3.2868967483275252E-2</v>
      </c>
      <c r="L23" s="87">
        <f>IF(ISNUMBER(AH23),IF(AH23-((D$4-D$3)/W23)&lt;0,"",AH23-((D$4-D$3)/W23)),"")</f>
        <v>4.3534213221449458E-2</v>
      </c>
      <c r="M23" s="87">
        <f t="shared" si="3"/>
        <v>5.135632835218551E-2</v>
      </c>
      <c r="N23" s="87" t="str">
        <f t="shared" si="3"/>
        <v/>
      </c>
      <c r="O23" s="90" t="str">
        <f t="shared" si="3"/>
        <v/>
      </c>
      <c r="P23" s="15"/>
      <c r="Q23" s="133"/>
      <c r="R23" s="133"/>
      <c r="S23" s="133"/>
      <c r="T23" s="16"/>
      <c r="V23" s="17">
        <v>1.0924468999999999</v>
      </c>
      <c r="W23" s="18">
        <v>2.6538738500000001</v>
      </c>
      <c r="X23" s="18">
        <v>3.9055927999999995</v>
      </c>
      <c r="Y23" s="18">
        <v>4.8973240699999998</v>
      </c>
      <c r="Z23" s="19">
        <v>6.0282932300000001</v>
      </c>
      <c r="AB23" s="75">
        <v>7.2221842183275251E-2</v>
      </c>
      <c r="AC23" s="80">
        <v>8.2656799921449461E-2</v>
      </c>
      <c r="AD23" s="80">
        <v>9.1625907852185523E-2</v>
      </c>
      <c r="AE23" s="80"/>
      <c r="AF23" s="62"/>
      <c r="AG23" s="75">
        <v>3.2868967483275252E-2</v>
      </c>
      <c r="AH23" s="80">
        <v>4.3534213221449458E-2</v>
      </c>
      <c r="AI23" s="80">
        <v>5.135632835218551E-2</v>
      </c>
      <c r="AJ23" s="80"/>
      <c r="AK23" s="62"/>
    </row>
    <row r="24" spans="2:37" x14ac:dyDescent="0.35">
      <c r="B24" s="57" t="s">
        <v>25</v>
      </c>
      <c r="C24" s="125"/>
      <c r="D24" s="20" t="s">
        <v>23</v>
      </c>
      <c r="E24" s="125"/>
      <c r="F24" s="74">
        <f t="shared" si="2"/>
        <v>6.1727423832578683E-2</v>
      </c>
      <c r="G24" s="76">
        <f t="shared" si="2"/>
        <v>5.2620103605519747E-2</v>
      </c>
      <c r="H24" s="76">
        <f t="shared" si="2"/>
        <v>9.6177001195383707E-2</v>
      </c>
      <c r="I24" s="76">
        <f t="shared" si="2"/>
        <v>0.10145437220570133</v>
      </c>
      <c r="J24" s="64">
        <f t="shared" si="2"/>
        <v>0.10623702071990412</v>
      </c>
      <c r="K24" s="92">
        <f t="shared" si="3"/>
        <v>2.2821756232578691E-2</v>
      </c>
      <c r="L24" s="88">
        <f t="shared" si="3"/>
        <v>1.533507010551975E-2</v>
      </c>
      <c r="M24" s="88">
        <f t="shared" si="3"/>
        <v>5.5143191095383688E-2</v>
      </c>
      <c r="N24" s="88">
        <f t="shared" si="3"/>
        <v>5.9211515905701333E-2</v>
      </c>
      <c r="O24" s="93">
        <f t="shared" si="3"/>
        <v>6.255539321990411E-2</v>
      </c>
      <c r="P24" s="33"/>
      <c r="Q24" s="134"/>
      <c r="R24" s="134"/>
      <c r="S24" s="134"/>
      <c r="T24" s="34"/>
      <c r="V24" s="27">
        <v>1.12321753</v>
      </c>
      <c r="W24" s="28">
        <v>2.8307361900000001</v>
      </c>
      <c r="X24" s="28">
        <v>4.0301318500000001</v>
      </c>
      <c r="Y24" s="28">
        <v>4.8890289300000003</v>
      </c>
      <c r="Z24" s="29">
        <v>5.7835737900000002</v>
      </c>
      <c r="AB24" s="74">
        <v>6.1727423832578683E-2</v>
      </c>
      <c r="AC24" s="76">
        <v>5.2620103605519747E-2</v>
      </c>
      <c r="AD24" s="76">
        <v>9.6177001195383707E-2</v>
      </c>
      <c r="AE24" s="76">
        <v>0.10145437220570133</v>
      </c>
      <c r="AF24" s="64">
        <v>0.10623702071990412</v>
      </c>
      <c r="AG24" s="74">
        <v>2.2821756232578691E-2</v>
      </c>
      <c r="AH24" s="76">
        <v>1.533507010551975E-2</v>
      </c>
      <c r="AI24" s="76">
        <v>5.5143191095383688E-2</v>
      </c>
      <c r="AJ24" s="76">
        <v>5.9211515905701333E-2</v>
      </c>
      <c r="AK24" s="64">
        <v>6.255539321990411E-2</v>
      </c>
    </row>
    <row r="25" spans="2:37" x14ac:dyDescent="0.35">
      <c r="B25" s="55" t="s">
        <v>26</v>
      </c>
      <c r="C25" s="123"/>
      <c r="D25" s="11" t="s">
        <v>23</v>
      </c>
      <c r="E25" s="123"/>
      <c r="F25" s="73">
        <f t="shared" si="2"/>
        <v>4.0172028669254657E-2</v>
      </c>
      <c r="G25" s="71">
        <f t="shared" si="2"/>
        <v>4.9155106122487448E-2</v>
      </c>
      <c r="H25" s="71">
        <f t="shared" si="2"/>
        <v>5.6666372194429541E-2</v>
      </c>
      <c r="I25" s="71" t="str">
        <f t="shared" si="2"/>
        <v/>
      </c>
      <c r="J25" s="63" t="str">
        <f t="shared" si="2"/>
        <v/>
      </c>
      <c r="K25" s="86">
        <f t="shared" si="3"/>
        <v>2.253476369254665E-3</v>
      </c>
      <c r="L25" s="68">
        <f t="shared" si="3"/>
        <v>1.2054035922487454E-2</v>
      </c>
      <c r="M25" s="68">
        <f t="shared" si="3"/>
        <v>1.8772120594429554E-2</v>
      </c>
      <c r="N25" s="68" t="str">
        <f t="shared" si="3"/>
        <v/>
      </c>
      <c r="O25" s="91" t="str">
        <f t="shared" si="3"/>
        <v/>
      </c>
      <c r="P25" s="24"/>
      <c r="Q25" s="25"/>
      <c r="R25" s="25"/>
      <c r="S25" s="25"/>
      <c r="T25" s="26"/>
      <c r="V25" s="17">
        <v>1.1232734200000001</v>
      </c>
      <c r="W25" s="18">
        <v>2.83100957</v>
      </c>
      <c r="X25" s="18">
        <v>4.3333909300000002</v>
      </c>
      <c r="Y25" s="18">
        <v>5.5825576199999993</v>
      </c>
      <c r="Z25" s="19">
        <v>7.0621111099999991</v>
      </c>
      <c r="AB25" s="73">
        <v>4.0172028669254657E-2</v>
      </c>
      <c r="AC25" s="71">
        <v>4.9155106122487448E-2</v>
      </c>
      <c r="AD25" s="71">
        <v>5.6666372194429541E-2</v>
      </c>
      <c r="AE25" s="71"/>
      <c r="AF25" s="63"/>
      <c r="AG25" s="73">
        <v>2.253476369254665E-3</v>
      </c>
      <c r="AH25" s="71">
        <v>1.2054035922487454E-2</v>
      </c>
      <c r="AI25" s="71">
        <v>1.8772120594429554E-2</v>
      </c>
      <c r="AJ25" s="71"/>
      <c r="AK25" s="63"/>
    </row>
    <row r="26" spans="2:37" x14ac:dyDescent="0.35">
      <c r="B26" s="57" t="s">
        <v>27</v>
      </c>
      <c r="C26" s="125"/>
      <c r="D26" s="35" t="s">
        <v>23</v>
      </c>
      <c r="E26" s="125"/>
      <c r="F26" s="74" t="str">
        <f t="shared" si="2"/>
        <v/>
      </c>
      <c r="G26" s="76">
        <f t="shared" si="2"/>
        <v>5.1991457381904589E-2</v>
      </c>
      <c r="H26" s="76">
        <f t="shared" si="2"/>
        <v>6.1223817085512555E-2</v>
      </c>
      <c r="I26" s="76" t="str">
        <f t="shared" si="2"/>
        <v/>
      </c>
      <c r="J26" s="64">
        <f t="shared" si="2"/>
        <v>7.7885033532714476E-2</v>
      </c>
      <c r="K26" s="92" t="str">
        <f t="shared" si="3"/>
        <v/>
      </c>
      <c r="L26" s="88">
        <f t="shared" si="3"/>
        <v>1.4796916181904589E-2</v>
      </c>
      <c r="M26" s="88">
        <f t="shared" si="3"/>
        <v>2.3137581085512567E-2</v>
      </c>
      <c r="N26" s="88" t="str">
        <f t="shared" si="3"/>
        <v/>
      </c>
      <c r="O26" s="93">
        <f t="shared" si="3"/>
        <v>3.6917391332714482E-2</v>
      </c>
      <c r="P26" s="33"/>
      <c r="Q26" s="134"/>
      <c r="R26" s="134"/>
      <c r="S26" s="134"/>
      <c r="T26" s="34"/>
      <c r="V26" s="36">
        <v>1.1184658700000001</v>
      </c>
      <c r="W26" s="37">
        <v>2.8075566599999999</v>
      </c>
      <c r="X26" s="37">
        <v>4.2815649599999999</v>
      </c>
      <c r="Y26" s="37">
        <v>5.4821660899999998</v>
      </c>
      <c r="Z26" s="38">
        <v>6.8613552300000009</v>
      </c>
      <c r="AB26" s="74"/>
      <c r="AC26" s="76">
        <v>5.1991457381904589E-2</v>
      </c>
      <c r="AD26" s="76">
        <v>6.1223817085512555E-2</v>
      </c>
      <c r="AE26" s="76"/>
      <c r="AF26" s="64">
        <v>7.7885033532714476E-2</v>
      </c>
      <c r="AG26" s="74"/>
      <c r="AH26" s="76">
        <v>1.4796916181904589E-2</v>
      </c>
      <c r="AI26" s="76">
        <v>2.3137581085512567E-2</v>
      </c>
      <c r="AJ26" s="76"/>
      <c r="AK26" s="64">
        <v>3.6917391332714482E-2</v>
      </c>
    </row>
    <row r="27" spans="2:37" x14ac:dyDescent="0.35">
      <c r="C27" s="123"/>
      <c r="D27" s="123"/>
      <c r="E27" s="123"/>
      <c r="F27" s="60"/>
      <c r="G27" s="60"/>
      <c r="H27" s="60"/>
      <c r="I27" s="60"/>
      <c r="J27" s="60"/>
      <c r="K27" s="68"/>
      <c r="L27" s="68"/>
      <c r="M27" s="68"/>
      <c r="N27" s="68"/>
      <c r="O27" s="68"/>
      <c r="P27" s="127"/>
      <c r="Q27" s="127"/>
      <c r="R27" s="127"/>
      <c r="S27" s="127"/>
      <c r="T27" s="135"/>
      <c r="V27" s="40"/>
      <c r="W27" s="40"/>
      <c r="X27" s="40"/>
      <c r="Y27" s="40"/>
      <c r="Z27" s="40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</row>
    <row r="28" spans="2:37" ht="15.5" x14ac:dyDescent="0.35">
      <c r="B28" s="122" t="s">
        <v>28</v>
      </c>
      <c r="C28" s="123"/>
      <c r="D28" s="123"/>
      <c r="E28" s="123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V28" s="40"/>
      <c r="W28" s="40"/>
      <c r="X28" s="40"/>
      <c r="Y28" s="40"/>
      <c r="Z28" s="40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</row>
    <row r="29" spans="2:37" x14ac:dyDescent="0.35">
      <c r="B29" s="85" t="s">
        <v>5</v>
      </c>
      <c r="C29" s="84" t="s">
        <v>6</v>
      </c>
      <c r="D29" s="84" t="s">
        <v>7</v>
      </c>
      <c r="E29" s="84" t="s">
        <v>8</v>
      </c>
      <c r="F29" s="83" t="s">
        <v>9</v>
      </c>
      <c r="G29" s="82" t="s">
        <v>10</v>
      </c>
      <c r="H29" s="82" t="s">
        <v>11</v>
      </c>
      <c r="I29" s="82" t="s">
        <v>12</v>
      </c>
      <c r="J29" s="81" t="s">
        <v>13</v>
      </c>
      <c r="K29" s="83" t="s">
        <v>9</v>
      </c>
      <c r="L29" s="82" t="s">
        <v>10</v>
      </c>
      <c r="M29" s="82" t="s">
        <v>11</v>
      </c>
      <c r="N29" s="82" t="s">
        <v>12</v>
      </c>
      <c r="O29" s="81" t="s">
        <v>13</v>
      </c>
      <c r="P29" s="70" t="s">
        <v>14</v>
      </c>
      <c r="Q29" s="58" t="s">
        <v>15</v>
      </c>
      <c r="R29" s="58" t="s">
        <v>16</v>
      </c>
      <c r="S29" s="58" t="s">
        <v>218</v>
      </c>
      <c r="T29" s="58" t="s">
        <v>18</v>
      </c>
      <c r="V29" s="110" t="s">
        <v>9</v>
      </c>
      <c r="W29" s="106" t="s">
        <v>10</v>
      </c>
      <c r="X29" s="106" t="s">
        <v>11</v>
      </c>
      <c r="Y29" s="106" t="s">
        <v>12</v>
      </c>
      <c r="Z29" s="111" t="s">
        <v>13</v>
      </c>
      <c r="AB29" s="83" t="s">
        <v>9</v>
      </c>
      <c r="AC29" s="82" t="s">
        <v>10</v>
      </c>
      <c r="AD29" s="82" t="s">
        <v>11</v>
      </c>
      <c r="AE29" s="82" t="s">
        <v>12</v>
      </c>
      <c r="AF29" s="81" t="s">
        <v>13</v>
      </c>
      <c r="AG29" s="83" t="s">
        <v>9</v>
      </c>
      <c r="AH29" s="82" t="s">
        <v>10</v>
      </c>
      <c r="AI29" s="82" t="s">
        <v>11</v>
      </c>
      <c r="AJ29" s="82" t="s">
        <v>12</v>
      </c>
      <c r="AK29" s="81" t="s">
        <v>13</v>
      </c>
    </row>
    <row r="30" spans="2:37" x14ac:dyDescent="0.35">
      <c r="B30" s="79" t="s">
        <v>410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7"/>
      <c r="P30" s="79"/>
      <c r="Q30" s="78"/>
      <c r="R30" s="78"/>
      <c r="S30" s="78"/>
      <c r="T30" s="77"/>
      <c r="V30" s="112"/>
      <c r="W30" s="107"/>
      <c r="X30" s="107"/>
      <c r="Y30" s="107"/>
      <c r="Z30" s="113"/>
      <c r="AB30" s="78"/>
      <c r="AC30" s="78"/>
      <c r="AD30" s="78"/>
      <c r="AE30" s="78"/>
      <c r="AF30" s="78"/>
      <c r="AG30" s="78"/>
      <c r="AH30" s="78"/>
      <c r="AI30" s="78"/>
      <c r="AJ30" s="78"/>
      <c r="AK30" s="77"/>
    </row>
    <row r="31" spans="2:37" x14ac:dyDescent="0.35">
      <c r="B31" s="56" t="s">
        <v>29</v>
      </c>
      <c r="C31" s="53" t="s">
        <v>30</v>
      </c>
      <c r="D31" s="53" t="s">
        <v>31</v>
      </c>
      <c r="E31" s="53" t="s">
        <v>411</v>
      </c>
      <c r="F31" s="89">
        <f>IF(ISNUMBER(AB31),AB31-((C$4-C$3)/V31),"")</f>
        <v>3.6940754402002507E-2</v>
      </c>
      <c r="G31" s="60">
        <f>IF(ISNUMBER(AC31),AC31-((D$4-D$3)/W31),"")</f>
        <v>4.2428462045228439E-2</v>
      </c>
      <c r="H31" s="71">
        <f>IF(ISNUMBER(AD31),AD31-((E$4-E$3)/X31),"")</f>
        <v>4.8367422214930858E-2</v>
      </c>
      <c r="I31" s="71">
        <f>IF(ISNUMBER(AE31),AE31-((F$4-F$3)/Y31),"")</f>
        <v>5.1650204424373486E-2</v>
      </c>
      <c r="J31" s="63">
        <f>IF(ISNUMBER(AF31),AF31-((G$4-G$3)/Z31),"")</f>
        <v>5.467941656191988E-2</v>
      </c>
      <c r="K31" s="73" t="str">
        <f>IF(ISNUMBER(AG31),IF(AG31-((C$4-C$3)/V31)&lt;0,"",AG31-((C$4-C$3)/V31)),"")</f>
        <v/>
      </c>
      <c r="L31" s="60">
        <f>IF(ISNUMBER(AH31),IF(AH31-((D$4-D$3)/W31)&lt;0,"",AH31-((D$4-D$3)/W31)),"")</f>
        <v>5.4861858452284369E-3</v>
      </c>
      <c r="M31" s="71">
        <f>IF(ISNUMBER(AI31),IF(AI31-((E$4-E$3)/X31)&lt;0,"",AI31-((E$4-E$3)/X31)),"")</f>
        <v>1.0746951314930857E-2</v>
      </c>
      <c r="N31" s="71">
        <f>IF(ISNUMBER(AJ31),IF(AJ31-((F$4-F$3)/Y31)&lt;0,"",AJ31-((F$4-F$3)/Y31)),"")</f>
        <v>1.3005025224373499E-2</v>
      </c>
      <c r="O31" s="63">
        <f>IF(ISNUMBER(AK31),IF(AK31-((G$4-G$3)/Z31)&lt;0,"",AK31-((G$4-G$3)/Z31)),"")</f>
        <v>1.4699967661919871E-2</v>
      </c>
      <c r="P31" s="55" t="s">
        <v>412</v>
      </c>
      <c r="Q31" s="53" t="s">
        <v>413</v>
      </c>
      <c r="R31" s="94" t="s">
        <v>32</v>
      </c>
      <c r="S31" s="71">
        <v>5.006352E-2</v>
      </c>
      <c r="T31" s="63">
        <f>IF(S31="","",H31-S31)</f>
        <v>-1.6960977850691422E-3</v>
      </c>
      <c r="V31" s="114">
        <v>1.1360858899999999</v>
      </c>
      <c r="W31" s="72">
        <v>2.8869602099999998</v>
      </c>
      <c r="X31" s="72">
        <v>4.4352298699999997</v>
      </c>
      <c r="Y31" s="72">
        <v>5.7695796599999998</v>
      </c>
      <c r="Z31" s="115">
        <v>7.4380211700000007</v>
      </c>
      <c r="AB31" s="75">
        <v>3.6940754402002507E-2</v>
      </c>
      <c r="AC31" s="71">
        <v>4.2428462045228439E-2</v>
      </c>
      <c r="AD31" s="71">
        <v>4.8367422214930858E-2</v>
      </c>
      <c r="AE31" s="71">
        <v>5.1650204424373486E-2</v>
      </c>
      <c r="AF31" s="63">
        <v>5.467941656191988E-2</v>
      </c>
      <c r="AG31" s="73" t="s">
        <v>21</v>
      </c>
      <c r="AH31" s="71">
        <v>5.4861858452284369E-3</v>
      </c>
      <c r="AI31" s="71">
        <v>1.0746951314930857E-2</v>
      </c>
      <c r="AJ31" s="71">
        <v>1.3005025224373499E-2</v>
      </c>
      <c r="AK31" s="63">
        <v>1.4699967661919871E-2</v>
      </c>
    </row>
    <row r="32" spans="2:37" x14ac:dyDescent="0.35">
      <c r="B32" s="55" t="s">
        <v>29</v>
      </c>
      <c r="C32" s="53" t="s">
        <v>33</v>
      </c>
      <c r="D32" s="53" t="s">
        <v>31</v>
      </c>
      <c r="E32" s="53" t="s">
        <v>34</v>
      </c>
      <c r="F32" s="73">
        <f t="shared" ref="F32:J89" si="4">IF(ISNUMBER(AB32),AB32-((C$4-C$3)/V32),"")</f>
        <v>3.7350262139691275E-2</v>
      </c>
      <c r="G32" s="60">
        <f t="shared" si="4"/>
        <v>4.439365926096947E-2</v>
      </c>
      <c r="H32" s="71">
        <f t="shared" si="4"/>
        <v>5.1759642616030138E-2</v>
      </c>
      <c r="I32" s="71">
        <f t="shared" si="4"/>
        <v>5.5894399335446876E-2</v>
      </c>
      <c r="J32" s="63">
        <f t="shared" si="4"/>
        <v>5.944944617453031E-2</v>
      </c>
      <c r="K32" s="73" t="str">
        <f t="shared" ref="K32:O89" si="5">IF(ISNUMBER(AG32),IF(AG32-((C$4-C$3)/V32)&lt;0,"",AG32-((C$4-C$3)/V32)),"")</f>
        <v/>
      </c>
      <c r="L32" s="60">
        <f t="shared" si="5"/>
        <v>7.3612930609694652E-3</v>
      </c>
      <c r="M32" s="71">
        <f t="shared" si="5"/>
        <v>1.3972322716030144E-2</v>
      </c>
      <c r="N32" s="71">
        <f t="shared" si="5"/>
        <v>1.7040540735446873E-2</v>
      </c>
      <c r="O32" s="63">
        <f t="shared" si="5"/>
        <v>1.9253434974530304E-2</v>
      </c>
      <c r="P32" s="55" t="s">
        <v>21</v>
      </c>
      <c r="Q32" s="53" t="s">
        <v>21</v>
      </c>
      <c r="R32" s="94" t="s">
        <v>21</v>
      </c>
      <c r="S32" s="71" t="s">
        <v>21</v>
      </c>
      <c r="T32" s="63" t="str">
        <f t="shared" ref="T32:T110" si="6">IF(S32="","",H32-S32)</f>
        <v/>
      </c>
      <c r="V32" s="114">
        <v>1.13532246</v>
      </c>
      <c r="W32" s="72">
        <v>2.8734499200000001</v>
      </c>
      <c r="X32" s="72">
        <v>4.3845833000000001</v>
      </c>
      <c r="Y32" s="72">
        <v>5.65710376</v>
      </c>
      <c r="Z32" s="115">
        <v>7.2068122900000002</v>
      </c>
      <c r="AB32" s="73">
        <v>3.7350262139691275E-2</v>
      </c>
      <c r="AC32" s="71">
        <v>4.439365926096947E-2</v>
      </c>
      <c r="AD32" s="71">
        <v>5.1759642616030138E-2</v>
      </c>
      <c r="AE32" s="71">
        <v>5.5894399335446876E-2</v>
      </c>
      <c r="AF32" s="63">
        <v>5.944944617453031E-2</v>
      </c>
      <c r="AG32" s="73" t="s">
        <v>21</v>
      </c>
      <c r="AH32" s="71">
        <v>7.3612930609694652E-3</v>
      </c>
      <c r="AI32" s="71">
        <v>1.3972322716030144E-2</v>
      </c>
      <c r="AJ32" s="71">
        <v>1.7040540735446873E-2</v>
      </c>
      <c r="AK32" s="63">
        <v>1.9253434974530304E-2</v>
      </c>
    </row>
    <row r="33" spans="2:37" x14ac:dyDescent="0.35">
      <c r="B33" s="57" t="s">
        <v>29</v>
      </c>
      <c r="C33" s="67" t="s">
        <v>35</v>
      </c>
      <c r="D33" s="67" t="s">
        <v>31</v>
      </c>
      <c r="E33" s="67" t="s">
        <v>339</v>
      </c>
      <c r="F33" s="74">
        <f t="shared" si="4"/>
        <v>3.8351703027806022E-2</v>
      </c>
      <c r="G33" s="76">
        <f t="shared" si="4"/>
        <v>4.7098624145944706E-2</v>
      </c>
      <c r="H33" s="76">
        <f t="shared" si="4"/>
        <v>5.6074884227937521E-2</v>
      </c>
      <c r="I33" s="76">
        <f t="shared" si="4"/>
        <v>6.1161756460821927E-2</v>
      </c>
      <c r="J33" s="64">
        <f t="shared" si="4"/>
        <v>6.5524001427883186E-2</v>
      </c>
      <c r="K33" s="74">
        <f t="shared" si="5"/>
        <v>4.4196272780601831E-4</v>
      </c>
      <c r="L33" s="76">
        <f t="shared" si="5"/>
        <v>9.9919982459447075E-3</v>
      </c>
      <c r="M33" s="76">
        <f t="shared" si="5"/>
        <v>1.8150064127937522E-2</v>
      </c>
      <c r="N33" s="76">
        <f t="shared" si="5"/>
        <v>2.2112333060821946E-2</v>
      </c>
      <c r="O33" s="64">
        <f t="shared" si="5"/>
        <v>2.5093508727883199E-2</v>
      </c>
      <c r="P33" s="55" t="s">
        <v>21</v>
      </c>
      <c r="Q33" s="53" t="s">
        <v>21</v>
      </c>
      <c r="R33" s="94" t="s">
        <v>21</v>
      </c>
      <c r="S33" s="71" t="s">
        <v>21</v>
      </c>
      <c r="T33" s="63" t="str">
        <f t="shared" si="6"/>
        <v/>
      </c>
      <c r="V33" s="116">
        <v>1.13501853</v>
      </c>
      <c r="W33" s="108">
        <v>2.8674930500000002</v>
      </c>
      <c r="X33" s="108">
        <v>4.3626366599999997</v>
      </c>
      <c r="Y33" s="108">
        <v>5.6091325999999997</v>
      </c>
      <c r="Z33" s="117">
        <v>7.1052651100000004</v>
      </c>
      <c r="AB33" s="74">
        <v>3.8351703027806022E-2</v>
      </c>
      <c r="AC33" s="76">
        <v>4.7098624145944706E-2</v>
      </c>
      <c r="AD33" s="76">
        <v>5.6074884227937521E-2</v>
      </c>
      <c r="AE33" s="76">
        <v>6.1161756460821927E-2</v>
      </c>
      <c r="AF33" s="64">
        <v>6.5524001427883186E-2</v>
      </c>
      <c r="AG33" s="74">
        <v>4.4196272780601831E-4</v>
      </c>
      <c r="AH33" s="76">
        <v>9.9919982459447075E-3</v>
      </c>
      <c r="AI33" s="76">
        <v>1.8150064127937522E-2</v>
      </c>
      <c r="AJ33" s="76">
        <v>2.2112333060821946E-2</v>
      </c>
      <c r="AK33" s="64">
        <v>2.5093508727883199E-2</v>
      </c>
    </row>
    <row r="34" spans="2:37" x14ac:dyDescent="0.35">
      <c r="B34" s="55" t="s">
        <v>37</v>
      </c>
      <c r="C34" s="53" t="s">
        <v>30</v>
      </c>
      <c r="D34" s="53" t="s">
        <v>31</v>
      </c>
      <c r="E34" s="53" t="s">
        <v>339</v>
      </c>
      <c r="F34" s="73">
        <f t="shared" si="4"/>
        <v>3.7391501748377937E-2</v>
      </c>
      <c r="G34" s="60">
        <f t="shared" si="4"/>
        <v>4.3303185249774848E-2</v>
      </c>
      <c r="H34" s="71">
        <f t="shared" si="4"/>
        <v>4.8912305458924797E-2</v>
      </c>
      <c r="I34" s="71">
        <f t="shared" si="4"/>
        <v>5.2233884817300069E-2</v>
      </c>
      <c r="J34" s="63">
        <f t="shared" si="4"/>
        <v>5.5227906443876706E-2</v>
      </c>
      <c r="K34" s="73" t="str">
        <f t="shared" si="5"/>
        <v/>
      </c>
      <c r="L34" s="60">
        <f t="shared" si="5"/>
        <v>6.3220937497748542E-3</v>
      </c>
      <c r="M34" s="71">
        <f t="shared" si="5"/>
        <v>1.1265858258924797E-2</v>
      </c>
      <c r="N34" s="71">
        <f t="shared" si="5"/>
        <v>1.356042851730007E-2</v>
      </c>
      <c r="O34" s="63">
        <f t="shared" si="5"/>
        <v>1.522471574387671E-2</v>
      </c>
      <c r="P34" s="56" t="s">
        <v>21</v>
      </c>
      <c r="Q34" s="66" t="s">
        <v>21</v>
      </c>
      <c r="R34" s="100" t="s">
        <v>21</v>
      </c>
      <c r="S34" s="80" t="s">
        <v>21</v>
      </c>
      <c r="T34" s="62" t="str">
        <f t="shared" si="6"/>
        <v/>
      </c>
      <c r="V34" s="114">
        <v>1.13522324</v>
      </c>
      <c r="W34" s="72">
        <v>2.8800280099999997</v>
      </c>
      <c r="X34" s="72">
        <v>4.42134743</v>
      </c>
      <c r="Y34" s="72">
        <v>5.7477102699999998</v>
      </c>
      <c r="Z34" s="115">
        <v>7.4031288099999992</v>
      </c>
      <c r="AB34" s="73">
        <v>3.7391501748377937E-2</v>
      </c>
      <c r="AC34" s="71">
        <v>4.3303185249774848E-2</v>
      </c>
      <c r="AD34" s="71">
        <v>4.8912305458924797E-2</v>
      </c>
      <c r="AE34" s="71">
        <v>5.2233884817300069E-2</v>
      </c>
      <c r="AF34" s="63">
        <v>5.5227906443876706E-2</v>
      </c>
      <c r="AG34" s="73" t="s">
        <v>21</v>
      </c>
      <c r="AH34" s="71">
        <v>6.3220937497748542E-3</v>
      </c>
      <c r="AI34" s="71">
        <v>1.1265858258924797E-2</v>
      </c>
      <c r="AJ34" s="71">
        <v>1.356042851730007E-2</v>
      </c>
      <c r="AK34" s="63">
        <v>1.522471574387671E-2</v>
      </c>
    </row>
    <row r="35" spans="2:37" x14ac:dyDescent="0.35">
      <c r="B35" s="55" t="s">
        <v>37</v>
      </c>
      <c r="C35" s="53" t="s">
        <v>33</v>
      </c>
      <c r="D35" s="53" t="s">
        <v>31</v>
      </c>
      <c r="E35" s="53" t="s">
        <v>38</v>
      </c>
      <c r="F35" s="73">
        <f t="shared" si="4"/>
        <v>3.7828915811807945E-2</v>
      </c>
      <c r="G35" s="60">
        <f t="shared" si="4"/>
        <v>4.4571628313981232E-2</v>
      </c>
      <c r="H35" s="71">
        <f t="shared" si="4"/>
        <v>5.1868386027860654E-2</v>
      </c>
      <c r="I35" s="71">
        <f t="shared" si="4"/>
        <v>5.5907708472169325E-2</v>
      </c>
      <c r="J35" s="63">
        <f t="shared" si="4"/>
        <v>5.9551998196599031E-2</v>
      </c>
      <c r="K35" s="73" t="str">
        <f t="shared" si="5"/>
        <v/>
      </c>
      <c r="L35" s="60">
        <f t="shared" si="5"/>
        <v>7.5329531139812379E-3</v>
      </c>
      <c r="M35" s="71">
        <f t="shared" si="5"/>
        <v>1.4076635827860656E-2</v>
      </c>
      <c r="N35" s="71">
        <f t="shared" si="5"/>
        <v>1.705383827216933E-2</v>
      </c>
      <c r="O35" s="63">
        <f t="shared" si="5"/>
        <v>1.9349548396599026E-2</v>
      </c>
      <c r="P35" s="55" t="s">
        <v>21</v>
      </c>
      <c r="Q35" s="53" t="s">
        <v>21</v>
      </c>
      <c r="R35" s="94" t="s">
        <v>21</v>
      </c>
      <c r="S35" s="71" t="s">
        <v>21</v>
      </c>
      <c r="T35" s="63" t="str">
        <f t="shared" si="6"/>
        <v/>
      </c>
      <c r="V35" s="114">
        <v>1.1343734700000001</v>
      </c>
      <c r="W35" s="72">
        <v>2.8707009999999999</v>
      </c>
      <c r="X35" s="72">
        <v>4.3805735300000004</v>
      </c>
      <c r="Y35" s="72">
        <v>5.6530423500000007</v>
      </c>
      <c r="Z35" s="115">
        <v>7.2012387100000002</v>
      </c>
      <c r="AB35" s="73">
        <v>3.7828915811807945E-2</v>
      </c>
      <c r="AC35" s="71">
        <v>4.4571628313981232E-2</v>
      </c>
      <c r="AD35" s="71">
        <v>5.1868386027860654E-2</v>
      </c>
      <c r="AE35" s="71">
        <v>5.5907708472169325E-2</v>
      </c>
      <c r="AF35" s="63">
        <v>5.9551998196599031E-2</v>
      </c>
      <c r="AG35" s="73" t="s">
        <v>21</v>
      </c>
      <c r="AH35" s="71">
        <v>7.5329531139812379E-3</v>
      </c>
      <c r="AI35" s="71">
        <v>1.4076635827860656E-2</v>
      </c>
      <c r="AJ35" s="71">
        <v>1.705383827216933E-2</v>
      </c>
      <c r="AK35" s="63">
        <v>1.9349548396599026E-2</v>
      </c>
    </row>
    <row r="36" spans="2:37" x14ac:dyDescent="0.35">
      <c r="B36" s="57" t="s">
        <v>37</v>
      </c>
      <c r="C36" s="67" t="s">
        <v>35</v>
      </c>
      <c r="D36" s="67" t="s">
        <v>31</v>
      </c>
      <c r="E36" s="67" t="s">
        <v>39</v>
      </c>
      <c r="F36" s="74">
        <f t="shared" si="4"/>
        <v>3.8413732063286889E-2</v>
      </c>
      <c r="G36" s="76">
        <f t="shared" si="4"/>
        <v>4.733509608033868E-2</v>
      </c>
      <c r="H36" s="76">
        <f t="shared" si="4"/>
        <v>5.6264530485334877E-2</v>
      </c>
      <c r="I36" s="76">
        <f t="shared" si="4"/>
        <v>6.1262299882858064E-2</v>
      </c>
      <c r="J36" s="64">
        <f t="shared" si="4"/>
        <v>6.5710758253760992E-2</v>
      </c>
      <c r="K36" s="74">
        <f t="shared" si="5"/>
        <v>5.1679876328689436E-4</v>
      </c>
      <c r="L36" s="76">
        <f t="shared" si="5"/>
        <v>1.0225584280338679E-2</v>
      </c>
      <c r="M36" s="76">
        <f t="shared" si="5"/>
        <v>1.833538998533488E-2</v>
      </c>
      <c r="N36" s="76">
        <f t="shared" si="5"/>
        <v>2.2211517082858078E-2</v>
      </c>
      <c r="O36" s="64">
        <f t="shared" si="5"/>
        <v>2.5272977453760996E-2</v>
      </c>
      <c r="P36" s="57" t="s">
        <v>21</v>
      </c>
      <c r="Q36" s="67" t="s">
        <v>21</v>
      </c>
      <c r="R36" s="96" t="s">
        <v>21</v>
      </c>
      <c r="S36" s="76" t="s">
        <v>21</v>
      </c>
      <c r="T36" s="64" t="str">
        <f t="shared" si="6"/>
        <v/>
      </c>
      <c r="V36" s="116">
        <v>1.13484064</v>
      </c>
      <c r="W36" s="108">
        <v>2.8660492799999999</v>
      </c>
      <c r="X36" s="108">
        <v>4.3593371999999997</v>
      </c>
      <c r="Y36" s="108">
        <v>5.6046469800000001</v>
      </c>
      <c r="Z36" s="117">
        <v>7.0978521200000007</v>
      </c>
      <c r="AB36" s="74">
        <v>3.8413732063286889E-2</v>
      </c>
      <c r="AC36" s="76">
        <v>4.733509608033868E-2</v>
      </c>
      <c r="AD36" s="76">
        <v>5.6264530485334877E-2</v>
      </c>
      <c r="AE36" s="76">
        <v>6.1262299882858064E-2</v>
      </c>
      <c r="AF36" s="64">
        <v>6.5710758253760992E-2</v>
      </c>
      <c r="AG36" s="74">
        <v>5.1679876328689436E-4</v>
      </c>
      <c r="AH36" s="76">
        <v>1.0225584280338679E-2</v>
      </c>
      <c r="AI36" s="76">
        <v>1.833538998533488E-2</v>
      </c>
      <c r="AJ36" s="76">
        <v>2.2211517082858078E-2</v>
      </c>
      <c r="AK36" s="64">
        <v>2.5272977453760996E-2</v>
      </c>
    </row>
    <row r="37" spans="2:37" x14ac:dyDescent="0.35">
      <c r="B37" s="55" t="s">
        <v>40</v>
      </c>
      <c r="C37" s="53" t="s">
        <v>30</v>
      </c>
      <c r="D37" s="53" t="s">
        <v>31</v>
      </c>
      <c r="E37" s="53" t="s">
        <v>21</v>
      </c>
      <c r="F37" s="73">
        <f t="shared" si="4"/>
        <v>3.7850433480812615E-2</v>
      </c>
      <c r="G37" s="60">
        <f t="shared" si="4"/>
        <v>4.3498281386072778E-2</v>
      </c>
      <c r="H37" s="71">
        <f t="shared" si="4"/>
        <v>4.9433382739205056E-2</v>
      </c>
      <c r="I37" s="71">
        <f t="shared" si="4"/>
        <v>5.3131503518092843E-2</v>
      </c>
      <c r="J37" s="63">
        <f t="shared" si="4"/>
        <v>5.6614538332325666E-2</v>
      </c>
      <c r="K37" s="73" t="str">
        <f t="shared" si="5"/>
        <v/>
      </c>
      <c r="L37" s="60">
        <f t="shared" si="5"/>
        <v>6.5082210860727702E-3</v>
      </c>
      <c r="M37" s="71">
        <f t="shared" si="5"/>
        <v>1.1762041939205062E-2</v>
      </c>
      <c r="N37" s="71">
        <f t="shared" si="5"/>
        <v>1.441524271809284E-2</v>
      </c>
      <c r="O37" s="63">
        <f t="shared" si="5"/>
        <v>1.6553309132325666E-2</v>
      </c>
      <c r="P37" s="55" t="s">
        <v>21</v>
      </c>
      <c r="Q37" s="53" t="s">
        <v>21</v>
      </c>
      <c r="R37" s="94" t="s">
        <v>21</v>
      </c>
      <c r="S37" s="71" t="s">
        <v>21</v>
      </c>
      <c r="T37" s="63" t="str">
        <f t="shared" si="6"/>
        <v/>
      </c>
      <c r="V37" s="114">
        <v>1.1343449999999999</v>
      </c>
      <c r="W37" s="72">
        <v>2.87729912</v>
      </c>
      <c r="X37" s="72">
        <v>4.4132162900000003</v>
      </c>
      <c r="Y37" s="72">
        <v>5.7266928899999998</v>
      </c>
      <c r="Z37" s="115">
        <v>7.3475267999999998</v>
      </c>
      <c r="AB37" s="73">
        <v>3.7850433480812615E-2</v>
      </c>
      <c r="AC37" s="71">
        <v>4.3498281386072778E-2</v>
      </c>
      <c r="AD37" s="71">
        <v>4.9433382739205056E-2</v>
      </c>
      <c r="AE37" s="71">
        <v>5.3131503518092843E-2</v>
      </c>
      <c r="AF37" s="63">
        <v>5.6614538332325666E-2</v>
      </c>
      <c r="AG37" s="73" t="s">
        <v>21</v>
      </c>
      <c r="AH37" s="71">
        <v>6.5082210860727702E-3</v>
      </c>
      <c r="AI37" s="71">
        <v>1.1762041939205062E-2</v>
      </c>
      <c r="AJ37" s="71">
        <v>1.441524271809284E-2</v>
      </c>
      <c r="AK37" s="63">
        <v>1.6553309132325666E-2</v>
      </c>
    </row>
    <row r="38" spans="2:37" x14ac:dyDescent="0.35">
      <c r="B38" s="55" t="s">
        <v>40</v>
      </c>
      <c r="C38" s="53" t="s">
        <v>33</v>
      </c>
      <c r="D38" s="53" t="s">
        <v>31</v>
      </c>
      <c r="E38" s="53" t="s">
        <v>41</v>
      </c>
      <c r="F38" s="73">
        <f t="shared" si="4"/>
        <v>3.8154137353285773E-2</v>
      </c>
      <c r="G38" s="60">
        <f t="shared" si="4"/>
        <v>4.5332367651310421E-2</v>
      </c>
      <c r="H38" s="71">
        <f t="shared" si="4"/>
        <v>5.3120832183452059E-2</v>
      </c>
      <c r="I38" s="71">
        <f t="shared" si="4"/>
        <v>5.770150038093888E-2</v>
      </c>
      <c r="J38" s="63">
        <f t="shared" si="4"/>
        <v>6.175264497343394E-2</v>
      </c>
      <c r="K38" s="73">
        <f t="shared" si="5"/>
        <v>2.4006805328577203E-4</v>
      </c>
      <c r="L38" s="60">
        <f t="shared" si="5"/>
        <v>8.255454451310415E-3</v>
      </c>
      <c r="M38" s="71">
        <f t="shared" si="5"/>
        <v>1.5261314783452055E-2</v>
      </c>
      <c r="N38" s="71">
        <f t="shared" si="5"/>
        <v>1.8745253380938871E-2</v>
      </c>
      <c r="O38" s="63">
        <f t="shared" si="5"/>
        <v>2.1425215373433941E-2</v>
      </c>
      <c r="P38" s="55" t="s">
        <v>414</v>
      </c>
      <c r="Q38" s="53" t="s">
        <v>415</v>
      </c>
      <c r="R38" s="94">
        <v>47729</v>
      </c>
      <c r="S38" s="71">
        <v>4.8385800000000007E-2</v>
      </c>
      <c r="T38" s="63">
        <f t="shared" si="6"/>
        <v>4.7350321834520523E-3</v>
      </c>
      <c r="V38" s="114">
        <v>1.13377876</v>
      </c>
      <c r="W38" s="72">
        <v>2.8649943600000003</v>
      </c>
      <c r="X38" s="72">
        <v>4.36136035</v>
      </c>
      <c r="Y38" s="72">
        <v>5.60869763</v>
      </c>
      <c r="Z38" s="115">
        <v>7.1042834700000004</v>
      </c>
      <c r="AB38" s="73">
        <v>3.8154137353285773E-2</v>
      </c>
      <c r="AC38" s="71">
        <v>4.5332367651310421E-2</v>
      </c>
      <c r="AD38" s="71">
        <v>5.3120832183452059E-2</v>
      </c>
      <c r="AE38" s="71">
        <v>5.770150038093888E-2</v>
      </c>
      <c r="AF38" s="63">
        <v>6.175264497343394E-2</v>
      </c>
      <c r="AG38" s="73">
        <v>2.4006805328577203E-4</v>
      </c>
      <c r="AH38" s="71">
        <v>8.255454451310415E-3</v>
      </c>
      <c r="AI38" s="71">
        <v>1.5261314783452055E-2</v>
      </c>
      <c r="AJ38" s="71">
        <v>1.8745253380938871E-2</v>
      </c>
      <c r="AK38" s="63">
        <v>2.1425215373433941E-2</v>
      </c>
    </row>
    <row r="39" spans="2:37" x14ac:dyDescent="0.35">
      <c r="B39" s="57" t="s">
        <v>40</v>
      </c>
      <c r="C39" s="67" t="s">
        <v>35</v>
      </c>
      <c r="D39" s="67" t="s">
        <v>31</v>
      </c>
      <c r="E39" s="67" t="s">
        <v>21</v>
      </c>
      <c r="F39" s="74">
        <f t="shared" si="4"/>
        <v>3.8747438833716785E-2</v>
      </c>
      <c r="G39" s="76">
        <f t="shared" si="4"/>
        <v>4.8198235517792162E-2</v>
      </c>
      <c r="H39" s="76">
        <f t="shared" si="4"/>
        <v>5.782823240656617E-2</v>
      </c>
      <c r="I39" s="76">
        <f t="shared" si="4"/>
        <v>6.3630917476375809E-2</v>
      </c>
      <c r="J39" s="64">
        <f t="shared" si="4"/>
        <v>6.8595627274354296E-2</v>
      </c>
      <c r="K39" s="74">
        <f t="shared" si="5"/>
        <v>8.3582463371679669E-4</v>
      </c>
      <c r="L39" s="76">
        <f t="shared" si="5"/>
        <v>1.1050229317792166E-2</v>
      </c>
      <c r="M39" s="76">
        <f t="shared" si="5"/>
        <v>1.9814476906566156E-2</v>
      </c>
      <c r="N39" s="76">
        <f t="shared" si="5"/>
        <v>2.4446273576375806E-2</v>
      </c>
      <c r="O39" s="64">
        <f t="shared" si="5"/>
        <v>2.7999522874354293E-2</v>
      </c>
      <c r="P39" s="55" t="s">
        <v>21</v>
      </c>
      <c r="Q39" s="53" t="s">
        <v>21</v>
      </c>
      <c r="R39" s="94" t="s">
        <v>21</v>
      </c>
      <c r="S39" s="71" t="s">
        <v>21</v>
      </c>
      <c r="T39" s="63" t="str">
        <f t="shared" si="6"/>
        <v/>
      </c>
      <c r="V39" s="116">
        <v>1.1343801099999999</v>
      </c>
      <c r="W39" s="108">
        <v>2.8612147800000001</v>
      </c>
      <c r="X39" s="108">
        <v>4.3413930699999996</v>
      </c>
      <c r="Y39" s="108">
        <v>5.5612516100000002</v>
      </c>
      <c r="Z39" s="117">
        <v>7.0010489300000005</v>
      </c>
      <c r="AB39" s="74">
        <v>3.8747438833716785E-2</v>
      </c>
      <c r="AC39" s="76">
        <v>4.8198235517792162E-2</v>
      </c>
      <c r="AD39" s="76">
        <v>5.782823240656617E-2</v>
      </c>
      <c r="AE39" s="76">
        <v>6.3630917476375809E-2</v>
      </c>
      <c r="AF39" s="64">
        <v>6.8595627274354296E-2</v>
      </c>
      <c r="AG39" s="74">
        <v>8.3582463371679669E-4</v>
      </c>
      <c r="AH39" s="76">
        <v>1.1050229317792166E-2</v>
      </c>
      <c r="AI39" s="76">
        <v>1.9814476906566156E-2</v>
      </c>
      <c r="AJ39" s="76">
        <v>2.4446273576375806E-2</v>
      </c>
      <c r="AK39" s="64">
        <v>2.7999522874354293E-2</v>
      </c>
    </row>
    <row r="40" spans="2:37" x14ac:dyDescent="0.35">
      <c r="B40" s="79" t="s">
        <v>416</v>
      </c>
      <c r="C40" s="78"/>
      <c r="D40" s="78"/>
      <c r="E40" s="78"/>
      <c r="F40" s="78" t="str">
        <f t="shared" si="4"/>
        <v/>
      </c>
      <c r="G40" s="78" t="str">
        <f t="shared" si="4"/>
        <v/>
      </c>
      <c r="H40" s="78" t="str">
        <f t="shared" si="4"/>
        <v/>
      </c>
      <c r="I40" s="78" t="str">
        <f t="shared" si="4"/>
        <v/>
      </c>
      <c r="J40" s="78" t="str">
        <f t="shared" si="4"/>
        <v/>
      </c>
      <c r="K40" s="78" t="str">
        <f t="shared" si="5"/>
        <v/>
      </c>
      <c r="L40" s="78" t="str">
        <f t="shared" si="5"/>
        <v/>
      </c>
      <c r="M40" s="78" t="str">
        <f t="shared" si="5"/>
        <v/>
      </c>
      <c r="N40" s="78" t="str">
        <f t="shared" si="5"/>
        <v/>
      </c>
      <c r="O40" s="77" t="str">
        <f t="shared" si="5"/>
        <v/>
      </c>
      <c r="P40" s="79"/>
      <c r="Q40" s="78"/>
      <c r="R40" s="95"/>
      <c r="S40" s="78"/>
      <c r="T40" s="77" t="str">
        <f t="shared" si="6"/>
        <v/>
      </c>
      <c r="V40" s="112"/>
      <c r="W40" s="107"/>
      <c r="X40" s="107"/>
      <c r="Y40" s="107"/>
      <c r="Z40" s="113"/>
      <c r="AB40" s="78"/>
      <c r="AC40" s="78"/>
      <c r="AD40" s="78"/>
      <c r="AE40" s="78"/>
      <c r="AF40" s="78"/>
      <c r="AG40" s="78"/>
      <c r="AH40" s="78"/>
      <c r="AI40" s="78"/>
      <c r="AJ40" s="78"/>
      <c r="AK40" s="77"/>
    </row>
    <row r="41" spans="2:37" x14ac:dyDescent="0.35">
      <c r="B41" s="55" t="s">
        <v>42</v>
      </c>
      <c r="C41" s="53" t="s">
        <v>30</v>
      </c>
      <c r="D41" s="53" t="s">
        <v>43</v>
      </c>
      <c r="E41" s="53" t="s">
        <v>417</v>
      </c>
      <c r="F41" s="73">
        <f t="shared" si="4"/>
        <v>3.7524695015059562E-2</v>
      </c>
      <c r="G41" s="60">
        <f t="shared" si="4"/>
        <v>4.3355582747589362E-2</v>
      </c>
      <c r="H41" s="71">
        <f t="shared" si="4"/>
        <v>4.9632110448555151E-2</v>
      </c>
      <c r="I41" s="71">
        <f t="shared" si="4"/>
        <v>5.3279222213789834E-2</v>
      </c>
      <c r="J41" s="63">
        <f t="shared" si="4"/>
        <v>5.653557818696274E-2</v>
      </c>
      <c r="K41" s="73" t="str">
        <f t="shared" si="5"/>
        <v/>
      </c>
      <c r="L41" s="60">
        <f t="shared" si="5"/>
        <v>6.371385047589358E-3</v>
      </c>
      <c r="M41" s="71">
        <f t="shared" si="5"/>
        <v>1.1951143648555146E-2</v>
      </c>
      <c r="N41" s="71">
        <f t="shared" si="5"/>
        <v>1.4556605613789833E-2</v>
      </c>
      <c r="O41" s="63">
        <f t="shared" si="5"/>
        <v>1.6479832286962738E-2</v>
      </c>
      <c r="P41" s="55" t="s">
        <v>418</v>
      </c>
      <c r="Q41" s="53" t="s">
        <v>419</v>
      </c>
      <c r="R41" s="94" t="s">
        <v>32</v>
      </c>
      <c r="S41" s="71">
        <v>4.7545560000000001E-2</v>
      </c>
      <c r="T41" s="63">
        <f t="shared" si="6"/>
        <v>2.0865504485551509E-3</v>
      </c>
      <c r="V41" s="114">
        <v>1.13497877</v>
      </c>
      <c r="W41" s="72">
        <v>2.8792841</v>
      </c>
      <c r="X41" s="72">
        <v>4.4134024900000002</v>
      </c>
      <c r="Y41" s="72">
        <v>5.7241902400000004</v>
      </c>
      <c r="Z41" s="115">
        <v>7.3460438799999999</v>
      </c>
      <c r="AB41" s="73">
        <v>3.7524695015059562E-2</v>
      </c>
      <c r="AC41" s="71">
        <v>4.3355582747589362E-2</v>
      </c>
      <c r="AD41" s="71">
        <v>4.9632110448555151E-2</v>
      </c>
      <c r="AE41" s="71">
        <v>5.3279222213789834E-2</v>
      </c>
      <c r="AF41" s="63">
        <v>5.653557818696274E-2</v>
      </c>
      <c r="AG41" s="73" t="s">
        <v>21</v>
      </c>
      <c r="AH41" s="71">
        <v>6.371385047589358E-3</v>
      </c>
      <c r="AI41" s="71">
        <v>1.1951143648555146E-2</v>
      </c>
      <c r="AJ41" s="71">
        <v>1.4556605613789833E-2</v>
      </c>
      <c r="AK41" s="63">
        <v>1.6479832286962738E-2</v>
      </c>
    </row>
    <row r="42" spans="2:37" x14ac:dyDescent="0.35">
      <c r="B42" s="55" t="s">
        <v>42</v>
      </c>
      <c r="C42" s="53" t="s">
        <v>33</v>
      </c>
      <c r="D42" s="53" t="s">
        <v>43</v>
      </c>
      <c r="E42" s="53" t="s">
        <v>420</v>
      </c>
      <c r="F42" s="73">
        <f t="shared" si="4"/>
        <v>3.7452749715663841E-2</v>
      </c>
      <c r="G42" s="60">
        <f t="shared" si="4"/>
        <v>4.5544268410828065E-2</v>
      </c>
      <c r="H42" s="71">
        <f t="shared" si="4"/>
        <v>5.3423407101555319E-2</v>
      </c>
      <c r="I42" s="71">
        <f t="shared" si="4"/>
        <v>5.8231927060832377E-2</v>
      </c>
      <c r="J42" s="63">
        <f t="shared" si="4"/>
        <v>6.2255321913325355E-2</v>
      </c>
      <c r="K42" s="73" t="str">
        <f t="shared" si="5"/>
        <v/>
      </c>
      <c r="L42" s="60">
        <f t="shared" si="5"/>
        <v>8.4609825108280679E-3</v>
      </c>
      <c r="M42" s="71">
        <f t="shared" si="5"/>
        <v>1.5550631501555312E-2</v>
      </c>
      <c r="N42" s="71">
        <f t="shared" si="5"/>
        <v>1.9246023860832372E-2</v>
      </c>
      <c r="O42" s="63">
        <f t="shared" si="5"/>
        <v>2.1902533613325365E-2</v>
      </c>
      <c r="P42" s="55" t="s">
        <v>421</v>
      </c>
      <c r="Q42" s="53" t="s">
        <v>422</v>
      </c>
      <c r="R42" s="94" t="s">
        <v>32</v>
      </c>
      <c r="S42" s="71">
        <v>5.1422249999999996E-2</v>
      </c>
      <c r="T42" s="63">
        <f t="shared" si="6"/>
        <v>2.0011571015553231E-3</v>
      </c>
      <c r="V42" s="114">
        <v>1.1350689199999999</v>
      </c>
      <c r="W42" s="72">
        <v>2.8658863999999999</v>
      </c>
      <c r="X42" s="72">
        <v>4.3586406100000001</v>
      </c>
      <c r="Y42" s="72">
        <v>5.59841766</v>
      </c>
      <c r="Z42" s="115">
        <v>7.08119576</v>
      </c>
      <c r="AB42" s="73">
        <v>3.7452749715663841E-2</v>
      </c>
      <c r="AC42" s="71">
        <v>4.5544268410828065E-2</v>
      </c>
      <c r="AD42" s="71">
        <v>5.3423407101555319E-2</v>
      </c>
      <c r="AE42" s="71">
        <v>5.8231927060832377E-2</v>
      </c>
      <c r="AF42" s="63">
        <v>6.2255321913325355E-2</v>
      </c>
      <c r="AG42" s="73" t="s">
        <v>21</v>
      </c>
      <c r="AH42" s="71">
        <v>8.4609825108280679E-3</v>
      </c>
      <c r="AI42" s="71">
        <v>1.5550631501555312E-2</v>
      </c>
      <c r="AJ42" s="71">
        <v>1.9246023860832372E-2</v>
      </c>
      <c r="AK42" s="63">
        <v>2.1902533613325365E-2</v>
      </c>
    </row>
    <row r="43" spans="2:37" x14ac:dyDescent="0.35">
      <c r="B43" s="55" t="s">
        <v>42</v>
      </c>
      <c r="C43" s="53" t="s">
        <v>35</v>
      </c>
      <c r="D43" s="53" t="s">
        <v>43</v>
      </c>
      <c r="E43" s="53" t="s">
        <v>423</v>
      </c>
      <c r="F43" s="73">
        <f t="shared" si="4"/>
        <v>3.9097205707825225E-2</v>
      </c>
      <c r="G43" s="60">
        <f t="shared" si="4"/>
        <v>4.9069685893087842E-2</v>
      </c>
      <c r="H43" s="71">
        <f t="shared" si="4"/>
        <v>5.9200108088651567E-2</v>
      </c>
      <c r="I43" s="71">
        <f t="shared" si="4"/>
        <v>6.5173518307529529E-2</v>
      </c>
      <c r="J43" s="63">
        <f t="shared" si="4"/>
        <v>7.0637447178350646E-2</v>
      </c>
      <c r="K43" s="73">
        <f t="shared" si="5"/>
        <v>1.1682375078252297E-3</v>
      </c>
      <c r="L43" s="60">
        <f t="shared" si="5"/>
        <v>1.1880888993087842E-2</v>
      </c>
      <c r="M43" s="71">
        <f t="shared" si="5"/>
        <v>2.1107579588651552E-2</v>
      </c>
      <c r="N43" s="71">
        <f t="shared" si="5"/>
        <v>2.5897692707529514E-2</v>
      </c>
      <c r="O43" s="63">
        <f t="shared" si="5"/>
        <v>2.9921414378350643E-2</v>
      </c>
      <c r="P43" s="55" t="s">
        <v>21</v>
      </c>
      <c r="Q43" s="53" t="s">
        <v>21</v>
      </c>
      <c r="R43" s="94" t="s">
        <v>21</v>
      </c>
      <c r="S43" s="71" t="s">
        <v>21</v>
      </c>
      <c r="T43" s="63" t="str">
        <f t="shared" si="6"/>
        <v/>
      </c>
      <c r="V43" s="114">
        <v>1.1339082300000001</v>
      </c>
      <c r="W43" s="72">
        <v>2.8563367900000003</v>
      </c>
      <c r="X43" s="72">
        <v>4.3249538300000001</v>
      </c>
      <c r="Y43" s="72">
        <v>5.5281515699999995</v>
      </c>
      <c r="Z43" s="115">
        <v>6.9324200399999993</v>
      </c>
      <c r="AB43" s="73">
        <v>3.9097205707825225E-2</v>
      </c>
      <c r="AC43" s="71">
        <v>4.9069685893087842E-2</v>
      </c>
      <c r="AD43" s="71">
        <v>5.9200108088651567E-2</v>
      </c>
      <c r="AE43" s="71">
        <v>6.5173518307529529E-2</v>
      </c>
      <c r="AF43" s="63">
        <v>7.0637447178350646E-2</v>
      </c>
      <c r="AG43" s="73">
        <v>1.1682375078252297E-3</v>
      </c>
      <c r="AH43" s="71">
        <v>1.1880888993087842E-2</v>
      </c>
      <c r="AI43" s="71">
        <v>2.1107579588651552E-2</v>
      </c>
      <c r="AJ43" s="71">
        <v>2.5897692707529514E-2</v>
      </c>
      <c r="AK43" s="63">
        <v>2.9921414378350643E-2</v>
      </c>
    </row>
    <row r="44" spans="2:37" x14ac:dyDescent="0.35">
      <c r="B44" s="79" t="s">
        <v>45</v>
      </c>
      <c r="C44" s="78"/>
      <c r="D44" s="78"/>
      <c r="E44" s="78"/>
      <c r="F44" s="78" t="str">
        <f t="shared" si="4"/>
        <v/>
      </c>
      <c r="G44" s="78" t="str">
        <f t="shared" si="4"/>
        <v/>
      </c>
      <c r="H44" s="78" t="str">
        <f t="shared" si="4"/>
        <v/>
      </c>
      <c r="I44" s="78" t="str">
        <f t="shared" si="4"/>
        <v/>
      </c>
      <c r="J44" s="78" t="str">
        <f t="shared" si="4"/>
        <v/>
      </c>
      <c r="K44" s="78" t="str">
        <f t="shared" si="5"/>
        <v/>
      </c>
      <c r="L44" s="78" t="str">
        <f t="shared" si="5"/>
        <v/>
      </c>
      <c r="M44" s="78" t="str">
        <f t="shared" si="5"/>
        <v/>
      </c>
      <c r="N44" s="78" t="str">
        <f t="shared" si="5"/>
        <v/>
      </c>
      <c r="O44" s="77" t="str">
        <f t="shared" si="5"/>
        <v/>
      </c>
      <c r="P44" s="79"/>
      <c r="Q44" s="78"/>
      <c r="R44" s="95"/>
      <c r="S44" s="78"/>
      <c r="T44" s="77" t="str">
        <f t="shared" si="6"/>
        <v/>
      </c>
      <c r="V44" s="112"/>
      <c r="W44" s="107"/>
      <c r="X44" s="107"/>
      <c r="Y44" s="107"/>
      <c r="Z44" s="113"/>
      <c r="AB44" s="78"/>
      <c r="AC44" s="78"/>
      <c r="AD44" s="78"/>
      <c r="AE44" s="78"/>
      <c r="AF44" s="78"/>
      <c r="AG44" s="78"/>
      <c r="AH44" s="78"/>
      <c r="AI44" s="78"/>
      <c r="AJ44" s="78"/>
      <c r="AK44" s="77"/>
    </row>
    <row r="45" spans="2:37" x14ac:dyDescent="0.35">
      <c r="B45" s="56" t="s">
        <v>46</v>
      </c>
      <c r="C45" s="66" t="s">
        <v>30</v>
      </c>
      <c r="D45" s="66" t="s">
        <v>47</v>
      </c>
      <c r="E45" s="66" t="s">
        <v>424</v>
      </c>
      <c r="F45" s="75">
        <f t="shared" si="4"/>
        <v>3.6844892141034931E-2</v>
      </c>
      <c r="G45" s="80">
        <f t="shared" si="4"/>
        <v>4.3034496604983978E-2</v>
      </c>
      <c r="H45" s="80">
        <f t="shared" si="4"/>
        <v>4.9209195242803719E-2</v>
      </c>
      <c r="I45" s="80">
        <f t="shared" si="4"/>
        <v>5.3197387834529014E-2</v>
      </c>
      <c r="J45" s="62">
        <f t="shared" si="4"/>
        <v>5.6870105708401467E-2</v>
      </c>
      <c r="K45" s="75" t="str">
        <f t="shared" si="5"/>
        <v/>
      </c>
      <c r="L45" s="80">
        <f t="shared" si="5"/>
        <v>6.064333204983975E-3</v>
      </c>
      <c r="M45" s="80">
        <f t="shared" si="5"/>
        <v>1.1548518342803727E-2</v>
      </c>
      <c r="N45" s="80">
        <f t="shared" si="5"/>
        <v>1.4478617334529011E-2</v>
      </c>
      <c r="O45" s="62">
        <f t="shared" si="5"/>
        <v>1.6800201408401463E-2</v>
      </c>
      <c r="P45" s="55" t="s">
        <v>425</v>
      </c>
      <c r="Q45" s="53" t="s">
        <v>426</v>
      </c>
      <c r="R45" s="94" t="s">
        <v>32</v>
      </c>
      <c r="S45" s="71">
        <v>4.4522769999999996E-2</v>
      </c>
      <c r="T45" s="63">
        <f t="shared" si="6"/>
        <v>4.6864252428037226E-3</v>
      </c>
      <c r="V45" s="118">
        <v>1.1362903099999999</v>
      </c>
      <c r="W45" s="61">
        <v>2.88355118</v>
      </c>
      <c r="X45" s="61">
        <v>4.4222701500000001</v>
      </c>
      <c r="Y45" s="61">
        <v>5.7345174200000004</v>
      </c>
      <c r="Z45" s="119">
        <v>7.3475124200000002</v>
      </c>
      <c r="AB45" s="75">
        <v>3.6844892141034931E-2</v>
      </c>
      <c r="AC45" s="80">
        <v>4.3034496604983978E-2</v>
      </c>
      <c r="AD45" s="80">
        <v>4.9209195242803719E-2</v>
      </c>
      <c r="AE45" s="80">
        <v>5.3197387834529014E-2</v>
      </c>
      <c r="AF45" s="62">
        <v>5.6870105708401467E-2</v>
      </c>
      <c r="AG45" s="75" t="s">
        <v>21</v>
      </c>
      <c r="AH45" s="80">
        <v>6.064333204983975E-3</v>
      </c>
      <c r="AI45" s="80">
        <v>1.1548518342803727E-2</v>
      </c>
      <c r="AJ45" s="80">
        <v>1.4478617334529011E-2</v>
      </c>
      <c r="AK45" s="62">
        <v>1.6800201408401463E-2</v>
      </c>
    </row>
    <row r="46" spans="2:37" x14ac:dyDescent="0.35">
      <c r="B46" s="55" t="s">
        <v>46</v>
      </c>
      <c r="C46" s="53" t="s">
        <v>33</v>
      </c>
      <c r="D46" s="53" t="s">
        <v>47</v>
      </c>
      <c r="E46" s="53" t="s">
        <v>427</v>
      </c>
      <c r="F46" s="73">
        <f t="shared" si="4"/>
        <v>3.762062454149482E-2</v>
      </c>
      <c r="G46" s="60">
        <f t="shared" si="4"/>
        <v>4.5104979204293905E-2</v>
      </c>
      <c r="H46" s="71">
        <f t="shared" si="4"/>
        <v>5.3057713270655837E-2</v>
      </c>
      <c r="I46" s="71">
        <f t="shared" si="4"/>
        <v>5.7639303273018486E-2</v>
      </c>
      <c r="J46" s="63">
        <f t="shared" si="4"/>
        <v>6.1423127471174829E-2</v>
      </c>
      <c r="K46" s="73" t="str">
        <f t="shared" si="5"/>
        <v/>
      </c>
      <c r="L46" s="60">
        <f t="shared" si="5"/>
        <v>8.0384068042939107E-3</v>
      </c>
      <c r="M46" s="71">
        <f t="shared" si="5"/>
        <v>1.5201512970655825E-2</v>
      </c>
      <c r="N46" s="71">
        <f t="shared" si="5"/>
        <v>1.868739697301848E-2</v>
      </c>
      <c r="O46" s="63">
        <f t="shared" si="5"/>
        <v>2.1117043371174829E-2</v>
      </c>
      <c r="P46" s="55" t="s">
        <v>21</v>
      </c>
      <c r="Q46" s="53" t="s">
        <v>21</v>
      </c>
      <c r="R46" s="94" t="s">
        <v>21</v>
      </c>
      <c r="S46" s="71" t="s">
        <v>21</v>
      </c>
      <c r="T46" s="63" t="str">
        <f t="shared" si="6"/>
        <v/>
      </c>
      <c r="V46" s="114">
        <v>1.13481107</v>
      </c>
      <c r="W46" s="72">
        <v>2.8681767000000002</v>
      </c>
      <c r="X46" s="72">
        <v>4.3653911299999999</v>
      </c>
      <c r="Y46" s="72">
        <v>5.6132126600000003</v>
      </c>
      <c r="Z46" s="115">
        <v>7.1153858300000001</v>
      </c>
      <c r="AB46" s="73">
        <v>3.762062454149482E-2</v>
      </c>
      <c r="AC46" s="71">
        <v>4.5104979204293905E-2</v>
      </c>
      <c r="AD46" s="71">
        <v>5.3057713270655837E-2</v>
      </c>
      <c r="AE46" s="71">
        <v>5.7639303273018486E-2</v>
      </c>
      <c r="AF46" s="63">
        <v>6.1423127471174829E-2</v>
      </c>
      <c r="AG46" s="73" t="s">
        <v>21</v>
      </c>
      <c r="AH46" s="71">
        <v>8.0384068042939107E-3</v>
      </c>
      <c r="AI46" s="71">
        <v>1.5201512970655825E-2</v>
      </c>
      <c r="AJ46" s="71">
        <v>1.868739697301848E-2</v>
      </c>
      <c r="AK46" s="63">
        <v>2.1117043371174829E-2</v>
      </c>
    </row>
    <row r="47" spans="2:37" x14ac:dyDescent="0.35">
      <c r="B47" s="57" t="s">
        <v>46</v>
      </c>
      <c r="C47" s="67" t="s">
        <v>35</v>
      </c>
      <c r="D47" s="67" t="s">
        <v>47</v>
      </c>
      <c r="E47" s="67" t="s">
        <v>21</v>
      </c>
      <c r="F47" s="74">
        <f t="shared" si="4"/>
        <v>3.8848746468969006E-2</v>
      </c>
      <c r="G47" s="76">
        <f t="shared" si="4"/>
        <v>4.8372463071966451E-2</v>
      </c>
      <c r="H47" s="76">
        <f t="shared" si="4"/>
        <v>5.8325404588104299E-2</v>
      </c>
      <c r="I47" s="76">
        <f t="shared" si="4"/>
        <v>6.4304508313298384E-2</v>
      </c>
      <c r="J47" s="64">
        <f t="shared" si="4"/>
        <v>6.8934172935840407E-2</v>
      </c>
      <c r="K47" s="74">
        <f t="shared" si="5"/>
        <v>9.1826066896901534E-4</v>
      </c>
      <c r="L47" s="76">
        <f t="shared" si="5"/>
        <v>1.1209493971966449E-2</v>
      </c>
      <c r="M47" s="76">
        <f t="shared" si="5"/>
        <v>2.0278627388104299E-2</v>
      </c>
      <c r="N47" s="76">
        <f t="shared" si="5"/>
        <v>2.5076613813298378E-2</v>
      </c>
      <c r="O47" s="64">
        <f t="shared" si="5"/>
        <v>2.8316891735840406E-2</v>
      </c>
      <c r="P47" s="55" t="s">
        <v>21</v>
      </c>
      <c r="Q47" s="53" t="s">
        <v>21</v>
      </c>
      <c r="R47" s="94" t="s">
        <v>21</v>
      </c>
      <c r="S47" s="71" t="s">
        <v>21</v>
      </c>
      <c r="T47" s="63" t="str">
        <f t="shared" si="6"/>
        <v/>
      </c>
      <c r="V47" s="116">
        <v>1.1343249099999999</v>
      </c>
      <c r="W47" s="108">
        <v>2.8603323500000002</v>
      </c>
      <c r="X47" s="108">
        <v>4.3365684900000003</v>
      </c>
      <c r="Y47" s="108">
        <v>5.5491561899999997</v>
      </c>
      <c r="Z47" s="117">
        <v>6.9818319399999993</v>
      </c>
      <c r="AB47" s="74">
        <v>3.8848746468969006E-2</v>
      </c>
      <c r="AC47" s="76">
        <v>4.8372463071966451E-2</v>
      </c>
      <c r="AD47" s="76">
        <v>5.8325404588104299E-2</v>
      </c>
      <c r="AE47" s="76">
        <v>6.4304508313298384E-2</v>
      </c>
      <c r="AF47" s="64">
        <v>6.8934172935840407E-2</v>
      </c>
      <c r="AG47" s="74">
        <v>9.1826066896901534E-4</v>
      </c>
      <c r="AH47" s="76">
        <v>1.1209493971966449E-2</v>
      </c>
      <c r="AI47" s="76">
        <v>2.0278627388104299E-2</v>
      </c>
      <c r="AJ47" s="76">
        <v>2.5076613813298378E-2</v>
      </c>
      <c r="AK47" s="64">
        <v>2.8316891735840406E-2</v>
      </c>
    </row>
    <row r="48" spans="2:37" x14ac:dyDescent="0.35">
      <c r="B48" s="55" t="s">
        <v>49</v>
      </c>
      <c r="C48" s="53" t="s">
        <v>30</v>
      </c>
      <c r="D48" s="53" t="s">
        <v>47</v>
      </c>
      <c r="E48" s="53" t="s">
        <v>356</v>
      </c>
      <c r="F48" s="73">
        <f t="shared" si="4"/>
        <v>3.6635978559148061E-2</v>
      </c>
      <c r="G48" s="60">
        <f t="shared" si="4"/>
        <v>4.2386298204671817E-2</v>
      </c>
      <c r="H48" s="71">
        <f t="shared" si="4"/>
        <v>4.8468384699379218E-2</v>
      </c>
      <c r="I48" s="71">
        <f t="shared" si="4"/>
        <v>5.1893852589458424E-2</v>
      </c>
      <c r="J48" s="63">
        <f t="shared" si="4"/>
        <v>5.5673981167446124E-2</v>
      </c>
      <c r="K48" s="73" t="str">
        <f t="shared" si="5"/>
        <v/>
      </c>
      <c r="L48" s="60">
        <f t="shared" si="5"/>
        <v>5.4451331046718203E-3</v>
      </c>
      <c r="M48" s="71">
        <f t="shared" si="5"/>
        <v>1.0842958199379213E-2</v>
      </c>
      <c r="N48" s="71">
        <f t="shared" si="5"/>
        <v>1.3237562589458416E-2</v>
      </c>
      <c r="O48" s="63">
        <f t="shared" si="5"/>
        <v>1.5652487067446128E-2</v>
      </c>
      <c r="P48" s="56" t="s">
        <v>428</v>
      </c>
      <c r="Q48" s="66" t="s">
        <v>429</v>
      </c>
      <c r="R48" s="100" t="s">
        <v>32</v>
      </c>
      <c r="S48" s="80">
        <v>4.6024429999999998E-2</v>
      </c>
      <c r="T48" s="62">
        <f t="shared" si="6"/>
        <v>2.4439546993792194E-3</v>
      </c>
      <c r="V48" s="114">
        <v>1.13668342</v>
      </c>
      <c r="W48" s="72">
        <v>2.8882641600000003</v>
      </c>
      <c r="X48" s="72">
        <v>4.4355240499999997</v>
      </c>
      <c r="Y48" s="72">
        <v>5.7662111999999999</v>
      </c>
      <c r="Z48" s="115">
        <v>7.4108874800000004</v>
      </c>
      <c r="AB48" s="73">
        <v>3.6635978559148061E-2</v>
      </c>
      <c r="AC48" s="71">
        <v>4.2386298204671817E-2</v>
      </c>
      <c r="AD48" s="71">
        <v>4.8468384699379218E-2</v>
      </c>
      <c r="AE48" s="71">
        <v>5.1893852589458424E-2</v>
      </c>
      <c r="AF48" s="63">
        <v>5.5673981167446124E-2</v>
      </c>
      <c r="AG48" s="73" t="s">
        <v>21</v>
      </c>
      <c r="AH48" s="71">
        <v>5.4451331046718203E-3</v>
      </c>
      <c r="AI48" s="71">
        <v>1.0842958199379213E-2</v>
      </c>
      <c r="AJ48" s="71">
        <v>1.3237562589458416E-2</v>
      </c>
      <c r="AK48" s="63">
        <v>1.5652487067446128E-2</v>
      </c>
    </row>
    <row r="49" spans="2:37" x14ac:dyDescent="0.35">
      <c r="B49" s="55" t="s">
        <v>49</v>
      </c>
      <c r="C49" s="53" t="s">
        <v>33</v>
      </c>
      <c r="D49" s="53" t="s">
        <v>47</v>
      </c>
      <c r="E49" s="53" t="s">
        <v>276</v>
      </c>
      <c r="F49" s="73">
        <f t="shared" si="4"/>
        <v>3.7131047356000806E-2</v>
      </c>
      <c r="G49" s="60">
        <f t="shared" si="4"/>
        <v>4.4608313471620586E-2</v>
      </c>
      <c r="H49" s="71">
        <f t="shared" si="4"/>
        <v>5.2167848956465597E-2</v>
      </c>
      <c r="I49" s="71">
        <f t="shared" si="4"/>
        <v>5.6484881447346598E-2</v>
      </c>
      <c r="J49" s="63">
        <f t="shared" si="4"/>
        <v>6.0552209058244273E-2</v>
      </c>
      <c r="K49" s="73" t="str">
        <f t="shared" si="5"/>
        <v/>
      </c>
      <c r="L49" s="60">
        <f t="shared" si="5"/>
        <v>7.5695011716205921E-3</v>
      </c>
      <c r="M49" s="71">
        <f t="shared" si="5"/>
        <v>1.4362049456465596E-2</v>
      </c>
      <c r="N49" s="71">
        <f t="shared" si="5"/>
        <v>1.7602013847346595E-2</v>
      </c>
      <c r="O49" s="63">
        <f t="shared" si="5"/>
        <v>2.0295676458244285E-2</v>
      </c>
      <c r="P49" s="55" t="s">
        <v>430</v>
      </c>
      <c r="Q49" s="53" t="s">
        <v>431</v>
      </c>
      <c r="R49" s="94" t="s">
        <v>32</v>
      </c>
      <c r="S49" s="71">
        <v>5.0673459999999997E-2</v>
      </c>
      <c r="T49" s="63">
        <f t="shared" si="6"/>
        <v>1.4943889564656004E-3</v>
      </c>
      <c r="V49" s="114">
        <v>1.13569071</v>
      </c>
      <c r="W49" s="72">
        <v>2.8727368100000001</v>
      </c>
      <c r="X49" s="72">
        <v>4.37935243</v>
      </c>
      <c r="Y49" s="72">
        <v>5.64337029</v>
      </c>
      <c r="Z49" s="115">
        <v>7.16718454</v>
      </c>
      <c r="AB49" s="73">
        <v>3.7131047356000806E-2</v>
      </c>
      <c r="AC49" s="71">
        <v>4.4608313471620586E-2</v>
      </c>
      <c r="AD49" s="71">
        <v>5.2167848956465597E-2</v>
      </c>
      <c r="AE49" s="71">
        <v>5.6484881447346598E-2</v>
      </c>
      <c r="AF49" s="63">
        <v>6.0552209058244273E-2</v>
      </c>
      <c r="AG49" s="73" t="s">
        <v>21</v>
      </c>
      <c r="AH49" s="71">
        <v>7.5695011716205921E-3</v>
      </c>
      <c r="AI49" s="71">
        <v>1.4362049456465596E-2</v>
      </c>
      <c r="AJ49" s="71">
        <v>1.7602013847346595E-2</v>
      </c>
      <c r="AK49" s="63">
        <v>2.0295676458244285E-2</v>
      </c>
    </row>
    <row r="50" spans="2:37" x14ac:dyDescent="0.35">
      <c r="B50" s="57" t="s">
        <v>49</v>
      </c>
      <c r="C50" s="67" t="s">
        <v>35</v>
      </c>
      <c r="D50" s="67" t="s">
        <v>47</v>
      </c>
      <c r="E50" s="67" t="s">
        <v>21</v>
      </c>
      <c r="F50" s="74">
        <f t="shared" si="4"/>
        <v>3.8489534954531307E-2</v>
      </c>
      <c r="G50" s="76">
        <f t="shared" si="4"/>
        <v>4.74011621283306E-2</v>
      </c>
      <c r="H50" s="76">
        <f t="shared" si="4"/>
        <v>5.6758609957492538E-2</v>
      </c>
      <c r="I50" s="76">
        <f t="shared" si="4"/>
        <v>6.2564836098949958E-2</v>
      </c>
      <c r="J50" s="64">
        <f t="shared" si="4"/>
        <v>6.7443507181937062E-2</v>
      </c>
      <c r="K50" s="74">
        <f t="shared" si="5"/>
        <v>5.7096825453130818E-4</v>
      </c>
      <c r="L50" s="76">
        <f t="shared" si="5"/>
        <v>1.0279794128330603E-2</v>
      </c>
      <c r="M50" s="76">
        <f t="shared" si="5"/>
        <v>1.8798019657492546E-2</v>
      </c>
      <c r="N50" s="76">
        <f t="shared" si="5"/>
        <v>2.343615429894997E-2</v>
      </c>
      <c r="O50" s="64">
        <f t="shared" si="5"/>
        <v>2.6908589281937064E-2</v>
      </c>
      <c r="P50" s="57" t="s">
        <v>21</v>
      </c>
      <c r="Q50" s="67" t="s">
        <v>21</v>
      </c>
      <c r="R50" s="96" t="s">
        <v>21</v>
      </c>
      <c r="S50" s="76" t="s">
        <v>21</v>
      </c>
      <c r="T50" s="64" t="str">
        <f t="shared" si="6"/>
        <v/>
      </c>
      <c r="V50" s="116">
        <v>1.1348445299999999</v>
      </c>
      <c r="W50" s="108">
        <v>2.8657793099999997</v>
      </c>
      <c r="X50" s="108">
        <v>4.3552907899999997</v>
      </c>
      <c r="Y50" s="108">
        <v>5.5868856999999998</v>
      </c>
      <c r="Z50" s="117">
        <v>7.0469977700000008</v>
      </c>
      <c r="AB50" s="74">
        <v>3.8489534954531307E-2</v>
      </c>
      <c r="AC50" s="76">
        <v>4.74011621283306E-2</v>
      </c>
      <c r="AD50" s="76">
        <v>5.6758609957492538E-2</v>
      </c>
      <c r="AE50" s="76">
        <v>6.2564836098949958E-2</v>
      </c>
      <c r="AF50" s="64">
        <v>6.7443507181937062E-2</v>
      </c>
      <c r="AG50" s="74">
        <v>5.7096825453130818E-4</v>
      </c>
      <c r="AH50" s="76">
        <v>1.0279794128330603E-2</v>
      </c>
      <c r="AI50" s="76">
        <v>1.8798019657492546E-2</v>
      </c>
      <c r="AJ50" s="76">
        <v>2.343615429894997E-2</v>
      </c>
      <c r="AK50" s="64">
        <v>2.6908589281937064E-2</v>
      </c>
    </row>
    <row r="51" spans="2:37" x14ac:dyDescent="0.35">
      <c r="B51" s="56" t="s">
        <v>50</v>
      </c>
      <c r="C51" s="66" t="s">
        <v>30</v>
      </c>
      <c r="D51" s="66" t="s">
        <v>47</v>
      </c>
      <c r="E51" s="66" t="s">
        <v>181</v>
      </c>
      <c r="F51" s="75">
        <f t="shared" si="4"/>
        <v>3.6443376587196534E-2</v>
      </c>
      <c r="G51" s="80">
        <f t="shared" si="4"/>
        <v>4.2445744113572929E-2</v>
      </c>
      <c r="H51" s="80">
        <f t="shared" si="4"/>
        <v>4.8775711478861464E-2</v>
      </c>
      <c r="I51" s="80">
        <f t="shared" si="4"/>
        <v>5.2484775753015196E-2</v>
      </c>
      <c r="J51" s="62">
        <f t="shared" si="4"/>
        <v>5.609535132258113E-2</v>
      </c>
      <c r="K51" s="75" t="str">
        <f t="shared" si="5"/>
        <v/>
      </c>
      <c r="L51" s="80">
        <f t="shared" si="5"/>
        <v>5.5027705135729322E-3</v>
      </c>
      <c r="M51" s="80">
        <f t="shared" si="5"/>
        <v>1.1136748478861463E-2</v>
      </c>
      <c r="N51" s="80">
        <f t="shared" si="5"/>
        <v>1.3801848753015185E-2</v>
      </c>
      <c r="O51" s="62">
        <f t="shared" si="5"/>
        <v>1.6059607022581135E-2</v>
      </c>
      <c r="P51" s="55" t="s">
        <v>432</v>
      </c>
      <c r="Q51" s="53" t="s">
        <v>433</v>
      </c>
      <c r="R51" s="94" t="s">
        <v>32</v>
      </c>
      <c r="S51" s="71">
        <v>4.5176420000000002E-2</v>
      </c>
      <c r="T51" s="63">
        <f t="shared" si="6"/>
        <v>3.5992914788614619E-3</v>
      </c>
      <c r="V51" s="118">
        <v>1.1370425900000001</v>
      </c>
      <c r="W51" s="61">
        <v>2.88851236</v>
      </c>
      <c r="X51" s="61">
        <v>4.43252238</v>
      </c>
      <c r="Y51" s="61">
        <v>5.7545214300000005</v>
      </c>
      <c r="Z51" s="119">
        <v>7.3868866199999994</v>
      </c>
      <c r="AB51" s="75">
        <v>3.6443376587196534E-2</v>
      </c>
      <c r="AC51" s="80">
        <v>4.2445744113572929E-2</v>
      </c>
      <c r="AD51" s="80">
        <v>4.8775711478861464E-2</v>
      </c>
      <c r="AE51" s="80">
        <v>5.2484775753015196E-2</v>
      </c>
      <c r="AF51" s="62">
        <v>5.609535132258113E-2</v>
      </c>
      <c r="AG51" s="75" t="s">
        <v>21</v>
      </c>
      <c r="AH51" s="80">
        <v>5.5027705135729322E-3</v>
      </c>
      <c r="AI51" s="80">
        <v>1.1136748478861463E-2</v>
      </c>
      <c r="AJ51" s="80">
        <v>1.3801848753015185E-2</v>
      </c>
      <c r="AK51" s="62">
        <v>1.6059607022581135E-2</v>
      </c>
    </row>
    <row r="52" spans="2:37" x14ac:dyDescent="0.35">
      <c r="B52" s="55" t="s">
        <v>50</v>
      </c>
      <c r="C52" s="53" t="s">
        <v>33</v>
      </c>
      <c r="D52" s="53" t="s">
        <v>47</v>
      </c>
      <c r="E52" s="53" t="s">
        <v>133</v>
      </c>
      <c r="F52" s="73">
        <f t="shared" si="4"/>
        <v>3.7381401561261789E-2</v>
      </c>
      <c r="G52" s="60">
        <f t="shared" si="4"/>
        <v>4.4829016243520745E-2</v>
      </c>
      <c r="H52" s="71">
        <f t="shared" si="4"/>
        <v>5.2588851696482003E-2</v>
      </c>
      <c r="I52" s="71">
        <f t="shared" si="4"/>
        <v>5.7272420051707691E-2</v>
      </c>
      <c r="J52" s="63">
        <f t="shared" si="4"/>
        <v>6.1048749636438998E-2</v>
      </c>
      <c r="K52" s="73" t="str">
        <f t="shared" si="5"/>
        <v/>
      </c>
      <c r="L52" s="60">
        <f t="shared" si="5"/>
        <v>7.775927243520742E-3</v>
      </c>
      <c r="M52" s="71">
        <f t="shared" si="5"/>
        <v>1.4758006196482008E-2</v>
      </c>
      <c r="N52" s="71">
        <f t="shared" si="5"/>
        <v>1.8342792251707679E-2</v>
      </c>
      <c r="O52" s="63">
        <f t="shared" si="5"/>
        <v>2.0764782136438995E-2</v>
      </c>
      <c r="P52" s="55" t="s">
        <v>434</v>
      </c>
      <c r="Q52" s="53" t="s">
        <v>435</v>
      </c>
      <c r="R52" s="94" t="s">
        <v>32</v>
      </c>
      <c r="S52" s="71">
        <v>4.5713290000000004E-2</v>
      </c>
      <c r="T52" s="63">
        <f t="shared" si="6"/>
        <v>6.8755616964819993E-3</v>
      </c>
      <c r="V52" s="114">
        <v>1.1352658899999999</v>
      </c>
      <c r="W52" s="72">
        <v>2.87066219</v>
      </c>
      <c r="X52" s="72">
        <v>4.3728783299999998</v>
      </c>
      <c r="Y52" s="72">
        <v>5.6260445199999998</v>
      </c>
      <c r="Z52" s="115">
        <v>7.1363910399999995</v>
      </c>
      <c r="AB52" s="73">
        <v>3.7381401561261789E-2</v>
      </c>
      <c r="AC52" s="71">
        <v>4.4829016243520745E-2</v>
      </c>
      <c r="AD52" s="71">
        <v>5.2588851696482003E-2</v>
      </c>
      <c r="AE52" s="71">
        <v>5.7272420051707691E-2</v>
      </c>
      <c r="AF52" s="63">
        <v>6.1048749636438998E-2</v>
      </c>
      <c r="AG52" s="73" t="s">
        <v>21</v>
      </c>
      <c r="AH52" s="71">
        <v>7.775927243520742E-3</v>
      </c>
      <c r="AI52" s="71">
        <v>1.4758006196482008E-2</v>
      </c>
      <c r="AJ52" s="71">
        <v>1.8342792251707679E-2</v>
      </c>
      <c r="AK52" s="63">
        <v>2.0764782136438995E-2</v>
      </c>
    </row>
    <row r="53" spans="2:37" x14ac:dyDescent="0.35">
      <c r="B53" s="57" t="s">
        <v>50</v>
      </c>
      <c r="C53" s="67" t="s">
        <v>35</v>
      </c>
      <c r="D53" s="67" t="s">
        <v>47</v>
      </c>
      <c r="E53" s="67" t="s">
        <v>21</v>
      </c>
      <c r="F53" s="74">
        <f t="shared" si="4"/>
        <v>3.882833730296302E-2</v>
      </c>
      <c r="G53" s="76">
        <f t="shared" si="4"/>
        <v>4.8190121368712174E-2</v>
      </c>
      <c r="H53" s="76">
        <f t="shared" si="4"/>
        <v>5.802902119212168E-2</v>
      </c>
      <c r="I53" s="76">
        <f t="shared" si="4"/>
        <v>6.3828527395635368E-2</v>
      </c>
      <c r="J53" s="64">
        <f t="shared" si="4"/>
        <v>6.8708550375420716E-2</v>
      </c>
      <c r="K53" s="74">
        <f t="shared" si="5"/>
        <v>8.994036029630172E-4</v>
      </c>
      <c r="L53" s="76">
        <f t="shared" si="5"/>
        <v>1.1035469568712182E-2</v>
      </c>
      <c r="M53" s="76">
        <f t="shared" si="5"/>
        <v>1.9999032392121686E-2</v>
      </c>
      <c r="N53" s="76">
        <f t="shared" si="5"/>
        <v>2.4628402295635374E-2</v>
      </c>
      <c r="O53" s="64">
        <f t="shared" si="5"/>
        <v>2.8102956875420717E-2</v>
      </c>
      <c r="P53" s="55" t="s">
        <v>21</v>
      </c>
      <c r="Q53" s="53" t="s">
        <v>21</v>
      </c>
      <c r="R53" s="94" t="s">
        <v>21</v>
      </c>
      <c r="S53" s="71" t="s">
        <v>21</v>
      </c>
      <c r="T53" s="63" t="str">
        <f t="shared" si="6"/>
        <v/>
      </c>
      <c r="V53" s="116">
        <v>1.1343492900000001</v>
      </c>
      <c r="W53" s="108">
        <v>2.8612243500000001</v>
      </c>
      <c r="X53" s="108">
        <v>4.3399690099999999</v>
      </c>
      <c r="Y53" s="108">
        <v>5.5575987799999993</v>
      </c>
      <c r="Z53" s="117">
        <v>6.9951914200000003</v>
      </c>
      <c r="AB53" s="74">
        <v>3.882833730296302E-2</v>
      </c>
      <c r="AC53" s="76">
        <v>4.8190121368712174E-2</v>
      </c>
      <c r="AD53" s="76">
        <v>5.802902119212168E-2</v>
      </c>
      <c r="AE53" s="76">
        <v>6.3828527395635368E-2</v>
      </c>
      <c r="AF53" s="64">
        <v>6.8708550375420716E-2</v>
      </c>
      <c r="AG53" s="74">
        <v>8.994036029630172E-4</v>
      </c>
      <c r="AH53" s="76">
        <v>1.1035469568712182E-2</v>
      </c>
      <c r="AI53" s="76">
        <v>1.9999032392121686E-2</v>
      </c>
      <c r="AJ53" s="76">
        <v>2.4628402295635374E-2</v>
      </c>
      <c r="AK53" s="64">
        <v>2.8102956875420717E-2</v>
      </c>
    </row>
    <row r="54" spans="2:37" x14ac:dyDescent="0.35">
      <c r="B54" s="79" t="s">
        <v>51</v>
      </c>
      <c r="C54" s="78"/>
      <c r="D54" s="78"/>
      <c r="E54" s="78"/>
      <c r="F54" s="78" t="str">
        <f t="shared" si="4"/>
        <v/>
      </c>
      <c r="G54" s="78" t="str">
        <f t="shared" si="4"/>
        <v/>
      </c>
      <c r="H54" s="78" t="str">
        <f t="shared" si="4"/>
        <v/>
      </c>
      <c r="I54" s="78" t="str">
        <f t="shared" si="4"/>
        <v/>
      </c>
      <c r="J54" s="78" t="str">
        <f t="shared" si="4"/>
        <v/>
      </c>
      <c r="K54" s="78" t="str">
        <f t="shared" si="5"/>
        <v/>
      </c>
      <c r="L54" s="78" t="str">
        <f t="shared" si="5"/>
        <v/>
      </c>
      <c r="M54" s="78" t="str">
        <f t="shared" si="5"/>
        <v/>
      </c>
      <c r="N54" s="78" t="str">
        <f t="shared" si="5"/>
        <v/>
      </c>
      <c r="O54" s="77" t="str">
        <f t="shared" si="5"/>
        <v/>
      </c>
      <c r="P54" s="79"/>
      <c r="Q54" s="78"/>
      <c r="R54" s="95"/>
      <c r="S54" s="78"/>
      <c r="T54" s="77" t="str">
        <f t="shared" si="6"/>
        <v/>
      </c>
      <c r="V54" s="112"/>
      <c r="W54" s="107"/>
      <c r="X54" s="107"/>
      <c r="Y54" s="107"/>
      <c r="Z54" s="113"/>
      <c r="AB54" s="78"/>
      <c r="AC54" s="78"/>
      <c r="AD54" s="78"/>
      <c r="AE54" s="78"/>
      <c r="AF54" s="78"/>
      <c r="AG54" s="78"/>
      <c r="AH54" s="78"/>
      <c r="AI54" s="78"/>
      <c r="AJ54" s="78"/>
      <c r="AK54" s="77"/>
    </row>
    <row r="55" spans="2:37" x14ac:dyDescent="0.35">
      <c r="B55" s="56" t="s">
        <v>52</v>
      </c>
      <c r="C55" s="66" t="s">
        <v>30</v>
      </c>
      <c r="D55" s="66" t="s">
        <v>53</v>
      </c>
      <c r="E55" s="66" t="s">
        <v>57</v>
      </c>
      <c r="F55" s="75">
        <f t="shared" si="4"/>
        <v>3.7637495868663044E-2</v>
      </c>
      <c r="G55" s="80">
        <f t="shared" si="4"/>
        <v>4.3262300483758405E-2</v>
      </c>
      <c r="H55" s="80">
        <f t="shared" si="4"/>
        <v>4.9015719654529756E-2</v>
      </c>
      <c r="I55" s="80">
        <f t="shared" si="4"/>
        <v>5.2432117153026439E-2</v>
      </c>
      <c r="J55" s="62">
        <f t="shared" si="4"/>
        <v>5.5711281529997138E-2</v>
      </c>
      <c r="K55" s="75" t="str">
        <f t="shared" si="5"/>
        <v/>
      </c>
      <c r="L55" s="80">
        <f t="shared" si="5"/>
        <v>6.282004283758409E-3</v>
      </c>
      <c r="M55" s="80">
        <f t="shared" si="5"/>
        <v>1.1363656354529761E-2</v>
      </c>
      <c r="N55" s="80">
        <f t="shared" si="5"/>
        <v>1.3748791153026442E-2</v>
      </c>
      <c r="O55" s="62">
        <f t="shared" si="5"/>
        <v>1.5687215929997146E-2</v>
      </c>
      <c r="P55" s="55" t="s">
        <v>436</v>
      </c>
      <c r="Q55" s="53" t="s">
        <v>437</v>
      </c>
      <c r="R55" s="94" t="s">
        <v>32</v>
      </c>
      <c r="S55" s="71">
        <v>4.4177960000000002E-2</v>
      </c>
      <c r="T55" s="63">
        <f t="shared" si="6"/>
        <v>4.8377596545297538E-3</v>
      </c>
      <c r="V55" s="118">
        <v>1.1347665</v>
      </c>
      <c r="W55" s="61">
        <v>2.8794971499999997</v>
      </c>
      <c r="X55" s="61">
        <v>4.4199530200000003</v>
      </c>
      <c r="Y55" s="61">
        <v>5.7434459700000007</v>
      </c>
      <c r="Z55" s="119">
        <v>7.3871535899999996</v>
      </c>
      <c r="AB55" s="75">
        <v>3.7637495868663044E-2</v>
      </c>
      <c r="AC55" s="80">
        <v>4.3262300483758405E-2</v>
      </c>
      <c r="AD55" s="80">
        <v>4.9015719654529756E-2</v>
      </c>
      <c r="AE55" s="80">
        <v>5.2432117153026439E-2</v>
      </c>
      <c r="AF55" s="62">
        <v>5.5711281529997138E-2</v>
      </c>
      <c r="AG55" s="75" t="s">
        <v>21</v>
      </c>
      <c r="AH55" s="80">
        <v>6.282004283758409E-3</v>
      </c>
      <c r="AI55" s="80">
        <v>1.1363656354529761E-2</v>
      </c>
      <c r="AJ55" s="80">
        <v>1.3748791153026442E-2</v>
      </c>
      <c r="AK55" s="62">
        <v>1.5687215929997146E-2</v>
      </c>
    </row>
    <row r="56" spans="2:37" x14ac:dyDescent="0.35">
      <c r="B56" s="55" t="s">
        <v>52</v>
      </c>
      <c r="C56" s="53" t="s">
        <v>33</v>
      </c>
      <c r="D56" s="53" t="s">
        <v>53</v>
      </c>
      <c r="E56" s="53" t="s">
        <v>58</v>
      </c>
      <c r="F56" s="73">
        <f t="shared" si="4"/>
        <v>3.8087726683991102E-2</v>
      </c>
      <c r="G56" s="60">
        <f t="shared" si="4"/>
        <v>4.4840530149053329E-2</v>
      </c>
      <c r="H56" s="71">
        <f t="shared" si="4"/>
        <v>5.2391817958215993E-2</v>
      </c>
      <c r="I56" s="71">
        <f t="shared" si="4"/>
        <v>5.6610301026395436E-2</v>
      </c>
      <c r="J56" s="63">
        <f t="shared" si="4"/>
        <v>6.0363181783007924E-2</v>
      </c>
      <c r="K56" s="73">
        <f t="shared" si="5"/>
        <v>1.7466828399110516E-4</v>
      </c>
      <c r="L56" s="60">
        <f t="shared" si="5"/>
        <v>7.7864217490533263E-3</v>
      </c>
      <c r="M56" s="71">
        <f t="shared" si="5"/>
        <v>1.4570662058216E-2</v>
      </c>
      <c r="N56" s="71">
        <f t="shared" si="5"/>
        <v>1.7717236626395426E-2</v>
      </c>
      <c r="O56" s="63">
        <f t="shared" si="5"/>
        <v>2.0114560183007911E-2</v>
      </c>
      <c r="P56" s="55" t="s">
        <v>438</v>
      </c>
      <c r="Q56" s="53" t="s">
        <v>439</v>
      </c>
      <c r="R56" s="94" t="s">
        <v>32</v>
      </c>
      <c r="S56" s="71">
        <v>4.6622240000000002E-2</v>
      </c>
      <c r="T56" s="63">
        <f t="shared" si="6"/>
        <v>5.7695779582159906E-3</v>
      </c>
      <c r="V56" s="114">
        <v>1.1339169499999999</v>
      </c>
      <c r="W56" s="72">
        <v>2.86826911</v>
      </c>
      <c r="X56" s="72">
        <v>4.3726359700000001</v>
      </c>
      <c r="Y56" s="72">
        <v>5.63517885</v>
      </c>
      <c r="Z56" s="115">
        <v>7.1638384400000001</v>
      </c>
      <c r="AB56" s="73">
        <v>3.8087726683991102E-2</v>
      </c>
      <c r="AC56" s="71">
        <v>4.4840530149053329E-2</v>
      </c>
      <c r="AD56" s="71">
        <v>5.2391817958215993E-2</v>
      </c>
      <c r="AE56" s="71">
        <v>5.6610301026395436E-2</v>
      </c>
      <c r="AF56" s="63">
        <v>6.0363181783007924E-2</v>
      </c>
      <c r="AG56" s="73">
        <v>1.7466828399110516E-4</v>
      </c>
      <c r="AH56" s="71">
        <v>7.7864217490533263E-3</v>
      </c>
      <c r="AI56" s="71">
        <v>1.4570662058216E-2</v>
      </c>
      <c r="AJ56" s="71">
        <v>1.7717236626395426E-2</v>
      </c>
      <c r="AK56" s="63">
        <v>2.0114560183007911E-2</v>
      </c>
    </row>
    <row r="57" spans="2:37" x14ac:dyDescent="0.35">
      <c r="B57" s="57" t="s">
        <v>52</v>
      </c>
      <c r="C57" s="67" t="s">
        <v>35</v>
      </c>
      <c r="D57" s="67" t="s">
        <v>53</v>
      </c>
      <c r="E57" s="67" t="s">
        <v>351</v>
      </c>
      <c r="F57" s="74">
        <f t="shared" si="4"/>
        <v>3.8829802868114598E-2</v>
      </c>
      <c r="G57" s="76">
        <f t="shared" si="4"/>
        <v>4.8213183203266424E-2</v>
      </c>
      <c r="H57" s="76">
        <f t="shared" si="4"/>
        <v>5.7838302397909547E-2</v>
      </c>
      <c r="I57" s="76">
        <f t="shared" si="4"/>
        <v>6.3638920071203836E-2</v>
      </c>
      <c r="J57" s="64">
        <f t="shared" si="4"/>
        <v>6.8266620674338571E-2</v>
      </c>
      <c r="K57" s="74">
        <f t="shared" si="5"/>
        <v>9.0228106811459773E-4</v>
      </c>
      <c r="L57" s="76">
        <f t="shared" si="5"/>
        <v>1.1058232703266429E-2</v>
      </c>
      <c r="M57" s="76">
        <f t="shared" si="5"/>
        <v>1.9819264697909553E-2</v>
      </c>
      <c r="N57" s="76">
        <f t="shared" si="5"/>
        <v>2.4449777571203833E-2</v>
      </c>
      <c r="O57" s="64">
        <f t="shared" si="5"/>
        <v>2.7686599274338558E-2</v>
      </c>
      <c r="P57" s="55" t="s">
        <v>21</v>
      </c>
      <c r="Q57" s="53" t="s">
        <v>21</v>
      </c>
      <c r="R57" s="94" t="s">
        <v>21</v>
      </c>
      <c r="S57" s="71" t="s">
        <v>21</v>
      </c>
      <c r="T57" s="63" t="str">
        <f t="shared" si="6"/>
        <v/>
      </c>
      <c r="V57" s="116">
        <v>1.1343385799999999</v>
      </c>
      <c r="W57" s="108">
        <v>2.8610954300000002</v>
      </c>
      <c r="X57" s="108">
        <v>4.3412581100000001</v>
      </c>
      <c r="Y57" s="108">
        <v>5.5611031200000003</v>
      </c>
      <c r="Z57" s="117">
        <v>7.0062999900000005</v>
      </c>
      <c r="AB57" s="74">
        <v>3.8829802868114598E-2</v>
      </c>
      <c r="AC57" s="76">
        <v>4.8213183203266424E-2</v>
      </c>
      <c r="AD57" s="76">
        <v>5.7838302397909547E-2</v>
      </c>
      <c r="AE57" s="76">
        <v>6.3638920071203836E-2</v>
      </c>
      <c r="AF57" s="64">
        <v>6.8266620674338571E-2</v>
      </c>
      <c r="AG57" s="74">
        <v>9.0228106811459773E-4</v>
      </c>
      <c r="AH57" s="76">
        <v>1.1058232703266429E-2</v>
      </c>
      <c r="AI57" s="76">
        <v>1.9819264697909553E-2</v>
      </c>
      <c r="AJ57" s="76">
        <v>2.4449777571203833E-2</v>
      </c>
      <c r="AK57" s="64">
        <v>2.7686599274338558E-2</v>
      </c>
    </row>
    <row r="58" spans="2:37" x14ac:dyDescent="0.35">
      <c r="B58" s="55" t="s">
        <v>56</v>
      </c>
      <c r="C58" s="53" t="s">
        <v>30</v>
      </c>
      <c r="D58" s="53" t="s">
        <v>53</v>
      </c>
      <c r="E58" s="53" t="s">
        <v>440</v>
      </c>
      <c r="F58" s="73">
        <f t="shared" si="4"/>
        <v>3.7242418777240036E-2</v>
      </c>
      <c r="G58" s="60">
        <f t="shared" si="4"/>
        <v>4.3199132878218437E-2</v>
      </c>
      <c r="H58" s="71">
        <f t="shared" si="4"/>
        <v>4.9011489821784882E-2</v>
      </c>
      <c r="I58" s="71">
        <f t="shared" si="4"/>
        <v>5.2619972898916657E-2</v>
      </c>
      <c r="J58" s="63">
        <f t="shared" si="4"/>
        <v>5.572008934644361E-2</v>
      </c>
      <c r="K58" s="73" t="str">
        <f t="shared" si="5"/>
        <v/>
      </c>
      <c r="L58" s="60">
        <f t="shared" si="5"/>
        <v>6.2219901782184367E-3</v>
      </c>
      <c r="M58" s="71">
        <f t="shared" si="5"/>
        <v>1.1360052221784879E-2</v>
      </c>
      <c r="N58" s="71">
        <f t="shared" si="5"/>
        <v>1.3928259198916656E-2</v>
      </c>
      <c r="O58" s="63">
        <f t="shared" si="5"/>
        <v>1.5698109146443609E-2</v>
      </c>
      <c r="P58" s="56" t="s">
        <v>441</v>
      </c>
      <c r="Q58" s="66" t="s">
        <v>442</v>
      </c>
      <c r="R58" s="100" t="s">
        <v>32</v>
      </c>
      <c r="S58" s="80">
        <v>5.1833780000000003E-2</v>
      </c>
      <c r="T58" s="62">
        <f t="shared" si="6"/>
        <v>-2.8222901782151213E-3</v>
      </c>
      <c r="V58" s="114">
        <v>1.1355204299999999</v>
      </c>
      <c r="W58" s="72">
        <v>2.8811926899999998</v>
      </c>
      <c r="X58" s="72">
        <v>4.4216855200000005</v>
      </c>
      <c r="Y58" s="72">
        <v>5.7424612899999996</v>
      </c>
      <c r="Z58" s="115">
        <v>7.3845018499999995</v>
      </c>
      <c r="AB58" s="73">
        <v>3.7242418777240036E-2</v>
      </c>
      <c r="AC58" s="71">
        <v>4.3199132878218437E-2</v>
      </c>
      <c r="AD58" s="71">
        <v>4.9011489821784882E-2</v>
      </c>
      <c r="AE58" s="71">
        <v>5.2619972898916657E-2</v>
      </c>
      <c r="AF58" s="63">
        <v>5.572008934644361E-2</v>
      </c>
      <c r="AG58" s="73" t="s">
        <v>21</v>
      </c>
      <c r="AH58" s="71">
        <v>6.2219901782184367E-3</v>
      </c>
      <c r="AI58" s="71">
        <v>1.1360052221784879E-2</v>
      </c>
      <c r="AJ58" s="71">
        <v>1.3928259198916656E-2</v>
      </c>
      <c r="AK58" s="63">
        <v>1.5698109146443609E-2</v>
      </c>
    </row>
    <row r="59" spans="2:37" x14ac:dyDescent="0.35">
      <c r="B59" s="55" t="s">
        <v>56</v>
      </c>
      <c r="C59" s="53" t="s">
        <v>33</v>
      </c>
      <c r="D59" s="53" t="s">
        <v>53</v>
      </c>
      <c r="E59" s="53" t="s">
        <v>443</v>
      </c>
      <c r="F59" s="73">
        <f t="shared" si="4"/>
        <v>3.8044315888532368E-2</v>
      </c>
      <c r="G59" s="60">
        <f t="shared" si="4"/>
        <v>4.478583241555438E-2</v>
      </c>
      <c r="H59" s="71">
        <f t="shared" si="4"/>
        <v>5.2187226055995482E-2</v>
      </c>
      <c r="I59" s="71">
        <f t="shared" si="4"/>
        <v>5.6267552111291481E-2</v>
      </c>
      <c r="J59" s="63">
        <f t="shared" si="4"/>
        <v>5.9919884991281168E-2</v>
      </c>
      <c r="K59" s="73">
        <f t="shared" si="5"/>
        <v>1.3185008853237347E-4</v>
      </c>
      <c r="L59" s="60">
        <f t="shared" si="5"/>
        <v>7.7338017155543764E-3</v>
      </c>
      <c r="M59" s="71">
        <f t="shared" si="5"/>
        <v>1.437641005599548E-2</v>
      </c>
      <c r="N59" s="71">
        <f t="shared" si="5"/>
        <v>1.7392521311291476E-2</v>
      </c>
      <c r="O59" s="63">
        <f t="shared" si="5"/>
        <v>1.9695397691281161E-2</v>
      </c>
      <c r="P59" s="55" t="s">
        <v>444</v>
      </c>
      <c r="Q59" s="53" t="s">
        <v>445</v>
      </c>
      <c r="R59" s="94" t="s">
        <v>32</v>
      </c>
      <c r="S59" s="71">
        <v>4.7109569999999996E-2</v>
      </c>
      <c r="T59" s="63">
        <f t="shared" si="6"/>
        <v>5.0776560559954859E-3</v>
      </c>
      <c r="V59" s="114">
        <v>1.1340077400000002</v>
      </c>
      <c r="W59" s="72">
        <v>2.8687660899999998</v>
      </c>
      <c r="X59" s="72">
        <v>4.3752310200000002</v>
      </c>
      <c r="Y59" s="72">
        <v>5.6426427500000003</v>
      </c>
      <c r="Z59" s="115">
        <v>7.1821636499999997</v>
      </c>
      <c r="AB59" s="73">
        <v>3.8044315888532368E-2</v>
      </c>
      <c r="AC59" s="71">
        <v>4.478583241555438E-2</v>
      </c>
      <c r="AD59" s="71">
        <v>5.2187226055995482E-2</v>
      </c>
      <c r="AE59" s="71">
        <v>5.6267552111291481E-2</v>
      </c>
      <c r="AF59" s="63">
        <v>5.9919884991281168E-2</v>
      </c>
      <c r="AG59" s="73">
        <v>1.3185008853237347E-4</v>
      </c>
      <c r="AH59" s="71">
        <v>7.7338017155543764E-3</v>
      </c>
      <c r="AI59" s="71">
        <v>1.437641005599548E-2</v>
      </c>
      <c r="AJ59" s="71">
        <v>1.7392521311291476E-2</v>
      </c>
      <c r="AK59" s="63">
        <v>1.9695397691281161E-2</v>
      </c>
    </row>
    <row r="60" spans="2:37" x14ac:dyDescent="0.35">
      <c r="B60" s="55" t="s">
        <v>56</v>
      </c>
      <c r="C60" s="53" t="s">
        <v>35</v>
      </c>
      <c r="D60" s="53" t="s">
        <v>53</v>
      </c>
      <c r="E60" s="53" t="s">
        <v>54</v>
      </c>
      <c r="F60" s="73">
        <f t="shared" si="4"/>
        <v>3.8480460750653915E-2</v>
      </c>
      <c r="G60" s="60">
        <f t="shared" si="4"/>
        <v>4.7406645270675368E-2</v>
      </c>
      <c r="H60" s="71">
        <f t="shared" si="4"/>
        <v>5.6564043016936127E-2</v>
      </c>
      <c r="I60" s="71">
        <f t="shared" si="4"/>
        <v>6.2101539151542824E-2</v>
      </c>
      <c r="J60" s="63">
        <f t="shared" si="4"/>
        <v>6.6809024372504203E-2</v>
      </c>
      <c r="K60" s="73">
        <f t="shared" si="5"/>
        <v>5.6733675065391651E-4</v>
      </c>
      <c r="L60" s="60">
        <f t="shared" si="5"/>
        <v>1.0287483870675365E-2</v>
      </c>
      <c r="M60" s="71">
        <f t="shared" si="5"/>
        <v>1.8615124816936127E-2</v>
      </c>
      <c r="N60" s="71">
        <f t="shared" si="5"/>
        <v>2.3000180951542829E-2</v>
      </c>
      <c r="O60" s="63">
        <f t="shared" si="5"/>
        <v>2.6309579672504198E-2</v>
      </c>
      <c r="P60" s="57" t="s">
        <v>446</v>
      </c>
      <c r="Q60" s="67" t="s">
        <v>447</v>
      </c>
      <c r="R60" s="96" t="s">
        <v>32</v>
      </c>
      <c r="S60" s="76">
        <v>5.3228159999999997E-2</v>
      </c>
      <c r="T60" s="64">
        <f t="shared" si="6"/>
        <v>3.3358830169361309E-3</v>
      </c>
      <c r="V60" s="114">
        <v>1.13482718</v>
      </c>
      <c r="W60" s="72">
        <v>2.8657146099999999</v>
      </c>
      <c r="X60" s="72">
        <v>4.3566841600000004</v>
      </c>
      <c r="Y60" s="72">
        <v>5.5932182699999995</v>
      </c>
      <c r="Z60" s="115">
        <v>7.0653616700000006</v>
      </c>
      <c r="AB60" s="73">
        <v>3.8480460750653915E-2</v>
      </c>
      <c r="AC60" s="71">
        <v>4.7406645270675368E-2</v>
      </c>
      <c r="AD60" s="71">
        <v>5.6564043016936127E-2</v>
      </c>
      <c r="AE60" s="71">
        <v>6.2101539151542824E-2</v>
      </c>
      <c r="AF60" s="63">
        <v>6.6809024372504203E-2</v>
      </c>
      <c r="AG60" s="73">
        <v>5.6733675065391651E-4</v>
      </c>
      <c r="AH60" s="71">
        <v>1.0287483870675365E-2</v>
      </c>
      <c r="AI60" s="71">
        <v>1.8615124816936127E-2</v>
      </c>
      <c r="AJ60" s="71">
        <v>2.3000180951542829E-2</v>
      </c>
      <c r="AK60" s="63">
        <v>2.6309579672504198E-2</v>
      </c>
    </row>
    <row r="61" spans="2:37" x14ac:dyDescent="0.35">
      <c r="B61" s="79" t="s">
        <v>59</v>
      </c>
      <c r="C61" s="78"/>
      <c r="D61" s="78"/>
      <c r="E61" s="78"/>
      <c r="F61" s="78" t="str">
        <f t="shared" si="4"/>
        <v/>
      </c>
      <c r="G61" s="78" t="str">
        <f t="shared" si="4"/>
        <v/>
      </c>
      <c r="H61" s="78" t="str">
        <f t="shared" si="4"/>
        <v/>
      </c>
      <c r="I61" s="78" t="str">
        <f t="shared" si="4"/>
        <v/>
      </c>
      <c r="J61" s="78" t="str">
        <f t="shared" si="4"/>
        <v/>
      </c>
      <c r="K61" s="78" t="str">
        <f t="shared" si="5"/>
        <v/>
      </c>
      <c r="L61" s="78" t="str">
        <f t="shared" si="5"/>
        <v/>
      </c>
      <c r="M61" s="78" t="str">
        <f t="shared" si="5"/>
        <v/>
      </c>
      <c r="N61" s="78" t="str">
        <f t="shared" si="5"/>
        <v/>
      </c>
      <c r="O61" s="77" t="str">
        <f t="shared" si="5"/>
        <v/>
      </c>
      <c r="P61" s="79"/>
      <c r="Q61" s="78"/>
      <c r="R61" s="95"/>
      <c r="S61" s="78"/>
      <c r="T61" s="77" t="str">
        <f t="shared" si="6"/>
        <v/>
      </c>
      <c r="V61" s="112"/>
      <c r="W61" s="107"/>
      <c r="X61" s="107"/>
      <c r="Y61" s="107"/>
      <c r="Z61" s="113"/>
      <c r="AB61" s="78"/>
      <c r="AC61" s="78"/>
      <c r="AD61" s="78"/>
      <c r="AE61" s="78"/>
      <c r="AF61" s="78"/>
      <c r="AG61" s="78"/>
      <c r="AH61" s="78"/>
      <c r="AI61" s="78"/>
      <c r="AJ61" s="78"/>
      <c r="AK61" s="77"/>
    </row>
    <row r="62" spans="2:37" x14ac:dyDescent="0.35">
      <c r="B62" s="56" t="s">
        <v>60</v>
      </c>
      <c r="C62" s="66" t="s">
        <v>61</v>
      </c>
      <c r="D62" s="66" t="s">
        <v>62</v>
      </c>
      <c r="E62" s="66" t="s">
        <v>181</v>
      </c>
      <c r="F62" s="75">
        <f t="shared" si="4"/>
        <v>3.8007123458543242E-2</v>
      </c>
      <c r="G62" s="80">
        <f t="shared" si="4"/>
        <v>4.3525115914378854E-2</v>
      </c>
      <c r="H62" s="80">
        <f t="shared" si="4"/>
        <v>4.9433664399838428E-2</v>
      </c>
      <c r="I62" s="80">
        <f t="shared" si="4"/>
        <v>5.2700343555804996E-2</v>
      </c>
      <c r="J62" s="62">
        <f t="shared" si="4"/>
        <v>5.5938091380189542E-2</v>
      </c>
      <c r="K62" s="75">
        <f t="shared" si="5"/>
        <v>1.0348785854324364E-4</v>
      </c>
      <c r="L62" s="80">
        <f t="shared" si="5"/>
        <v>6.5348008143788598E-3</v>
      </c>
      <c r="M62" s="80">
        <f t="shared" si="5"/>
        <v>1.1762905099838428E-2</v>
      </c>
      <c r="N62" s="80">
        <f t="shared" si="5"/>
        <v>1.400552655580499E-2</v>
      </c>
      <c r="O62" s="62">
        <f t="shared" si="5"/>
        <v>1.5904888180189543E-2</v>
      </c>
      <c r="P62" s="55" t="s">
        <v>448</v>
      </c>
      <c r="Q62" s="53" t="s">
        <v>449</v>
      </c>
      <c r="R62" s="94" t="s">
        <v>32</v>
      </c>
      <c r="S62" s="71">
        <v>0</v>
      </c>
      <c r="T62" s="63">
        <f t="shared" si="6"/>
        <v>4.9433664399838428E-2</v>
      </c>
      <c r="V62" s="118">
        <v>1.13403012</v>
      </c>
      <c r="W62" s="61">
        <v>2.8765824799999997</v>
      </c>
      <c r="X62" s="61">
        <v>4.4124822100000003</v>
      </c>
      <c r="Y62" s="61">
        <v>5.7318186299999994</v>
      </c>
      <c r="Z62" s="119">
        <v>7.3704630600000005</v>
      </c>
      <c r="AB62" s="75">
        <v>3.8007123458543242E-2</v>
      </c>
      <c r="AC62" s="80">
        <v>4.3525115914378854E-2</v>
      </c>
      <c r="AD62" s="80">
        <v>4.9433664399838428E-2</v>
      </c>
      <c r="AE62" s="80">
        <v>5.2700343555804996E-2</v>
      </c>
      <c r="AF62" s="62">
        <v>5.5938091380189542E-2</v>
      </c>
      <c r="AG62" s="75">
        <v>1.0348785854324364E-4</v>
      </c>
      <c r="AH62" s="80">
        <v>6.5348008143788598E-3</v>
      </c>
      <c r="AI62" s="80">
        <v>1.1762905099838428E-2</v>
      </c>
      <c r="AJ62" s="80">
        <v>1.400552655580499E-2</v>
      </c>
      <c r="AK62" s="62">
        <v>1.5904888180189543E-2</v>
      </c>
    </row>
    <row r="63" spans="2:37" x14ac:dyDescent="0.35">
      <c r="B63" s="57" t="s">
        <v>60</v>
      </c>
      <c r="C63" s="67" t="s">
        <v>63</v>
      </c>
      <c r="D63" s="67" t="s">
        <v>62</v>
      </c>
      <c r="E63" s="67" t="s">
        <v>21</v>
      </c>
      <c r="F63" s="74">
        <f t="shared" si="4"/>
        <v>3.9942098982163665E-2</v>
      </c>
      <c r="G63" s="76">
        <f t="shared" si="4"/>
        <v>4.7084113327441043E-2</v>
      </c>
      <c r="H63" s="76">
        <f t="shared" si="4"/>
        <v>5.4398143861376348E-2</v>
      </c>
      <c r="I63" s="76">
        <f t="shared" si="4"/>
        <v>5.865561700962299E-2</v>
      </c>
      <c r="J63" s="64">
        <f t="shared" si="4"/>
        <v>6.1958203560108879E-2</v>
      </c>
      <c r="K63" s="74">
        <f t="shared" si="5"/>
        <v>1.992823782163658E-3</v>
      </c>
      <c r="L63" s="76">
        <f t="shared" si="5"/>
        <v>9.9880239274410462E-3</v>
      </c>
      <c r="M63" s="76">
        <f t="shared" si="5"/>
        <v>1.6560362261376357E-2</v>
      </c>
      <c r="N63" s="76">
        <f t="shared" si="5"/>
        <v>1.9743136309622978E-2</v>
      </c>
      <c r="O63" s="64">
        <f t="shared" si="5"/>
        <v>2.1711910060108877E-2</v>
      </c>
      <c r="P63" s="55" t="s">
        <v>21</v>
      </c>
      <c r="Q63" s="53" t="s">
        <v>21</v>
      </c>
      <c r="R63" s="94" t="s">
        <v>21</v>
      </c>
      <c r="S63" s="71" t="s">
        <v>21</v>
      </c>
      <c r="T63" s="63" t="str">
        <f t="shared" si="6"/>
        <v/>
      </c>
      <c r="V63" s="116">
        <v>1.1322801199999999</v>
      </c>
      <c r="W63" s="108">
        <v>2.8628361400000002</v>
      </c>
      <c r="X63" s="108">
        <v>4.3711791299999998</v>
      </c>
      <c r="Y63" s="108">
        <v>5.6461647500000005</v>
      </c>
      <c r="Z63" s="117">
        <v>7.2103712700000004</v>
      </c>
      <c r="AB63" s="74">
        <v>3.9942098982163665E-2</v>
      </c>
      <c r="AC63" s="76">
        <v>4.7084113327441043E-2</v>
      </c>
      <c r="AD63" s="76">
        <v>5.4398143861376348E-2</v>
      </c>
      <c r="AE63" s="76">
        <v>5.865561700962299E-2</v>
      </c>
      <c r="AF63" s="64">
        <v>6.1958203560108879E-2</v>
      </c>
      <c r="AG63" s="74">
        <v>1.992823782163658E-3</v>
      </c>
      <c r="AH63" s="76">
        <v>9.9880239274410462E-3</v>
      </c>
      <c r="AI63" s="76">
        <v>1.6560362261376357E-2</v>
      </c>
      <c r="AJ63" s="76">
        <v>1.9743136309622978E-2</v>
      </c>
      <c r="AK63" s="64">
        <v>2.1711910060108877E-2</v>
      </c>
    </row>
    <row r="64" spans="2:37" x14ac:dyDescent="0.35">
      <c r="B64" s="56" t="s">
        <v>64</v>
      </c>
      <c r="C64" s="66" t="s">
        <v>65</v>
      </c>
      <c r="D64" s="66" t="s">
        <v>62</v>
      </c>
      <c r="E64" s="66" t="s">
        <v>181</v>
      </c>
      <c r="F64" s="75">
        <f t="shared" si="4"/>
        <v>3.7310339851764886E-2</v>
      </c>
      <c r="G64" s="80">
        <f t="shared" si="4"/>
        <v>4.3926786455403356E-2</v>
      </c>
      <c r="H64" s="80">
        <f t="shared" si="4"/>
        <v>5.1030953252406183E-2</v>
      </c>
      <c r="I64" s="80">
        <f t="shared" si="4"/>
        <v>5.4846294962243934E-2</v>
      </c>
      <c r="J64" s="62">
        <f t="shared" si="4"/>
        <v>5.8098230443167448E-2</v>
      </c>
      <c r="K64" s="75" t="str">
        <f t="shared" si="5"/>
        <v/>
      </c>
      <c r="L64" s="80">
        <f t="shared" si="5"/>
        <v>6.9151482554033524E-3</v>
      </c>
      <c r="M64" s="80">
        <f t="shared" si="5"/>
        <v>1.3280233852406191E-2</v>
      </c>
      <c r="N64" s="80">
        <f t="shared" si="5"/>
        <v>1.604640826224394E-2</v>
      </c>
      <c r="O64" s="62">
        <f t="shared" si="5"/>
        <v>1.7974768843167451E-2</v>
      </c>
      <c r="P64" s="56" t="s">
        <v>21</v>
      </c>
      <c r="Q64" s="66" t="s">
        <v>21</v>
      </c>
      <c r="R64" s="100" t="s">
        <v>21</v>
      </c>
      <c r="S64" s="80" t="s">
        <v>21</v>
      </c>
      <c r="T64" s="62" t="str">
        <f t="shared" si="6"/>
        <v/>
      </c>
      <c r="V64" s="118">
        <v>1.13541263</v>
      </c>
      <c r="W64" s="61">
        <v>2.87650133</v>
      </c>
      <c r="X64" s="61">
        <v>4.3956661800000001</v>
      </c>
      <c r="Y64" s="61">
        <v>5.6830768799999998</v>
      </c>
      <c r="Z64" s="119">
        <v>7.2656387499999999</v>
      </c>
      <c r="AB64" s="75">
        <v>3.7310339851764886E-2</v>
      </c>
      <c r="AC64" s="80">
        <v>4.3926786455403356E-2</v>
      </c>
      <c r="AD64" s="80">
        <v>5.1030953252406183E-2</v>
      </c>
      <c r="AE64" s="80">
        <v>5.4846294962243934E-2</v>
      </c>
      <c r="AF64" s="62">
        <v>5.8098230443167448E-2</v>
      </c>
      <c r="AG64" s="75" t="s">
        <v>21</v>
      </c>
      <c r="AH64" s="80">
        <v>6.9151482554033524E-3</v>
      </c>
      <c r="AI64" s="80">
        <v>1.3280233852406191E-2</v>
      </c>
      <c r="AJ64" s="80">
        <v>1.604640826224394E-2</v>
      </c>
      <c r="AK64" s="62">
        <v>1.7974768843167451E-2</v>
      </c>
    </row>
    <row r="65" spans="2:37" x14ac:dyDescent="0.35">
      <c r="B65" s="57" t="s">
        <v>64</v>
      </c>
      <c r="C65" s="67" t="s">
        <v>66</v>
      </c>
      <c r="D65" s="67" t="s">
        <v>62</v>
      </c>
      <c r="E65" s="67" t="s">
        <v>21</v>
      </c>
      <c r="F65" s="74">
        <f t="shared" si="4"/>
        <v>3.85557783622986E-2</v>
      </c>
      <c r="G65" s="76">
        <f t="shared" si="4"/>
        <v>4.6781543955034276E-2</v>
      </c>
      <c r="H65" s="76">
        <f t="shared" si="4"/>
        <v>5.5581157058665648E-2</v>
      </c>
      <c r="I65" s="76">
        <f t="shared" si="4"/>
        <v>5.9759803308323894E-2</v>
      </c>
      <c r="J65" s="64">
        <f t="shared" si="4"/>
        <v>6.394155390794809E-2</v>
      </c>
      <c r="K65" s="74">
        <f t="shared" si="5"/>
        <v>6.4642486229859238E-4</v>
      </c>
      <c r="L65" s="76">
        <f t="shared" si="5"/>
        <v>9.6914446550342738E-3</v>
      </c>
      <c r="M65" s="76">
        <f t="shared" si="5"/>
        <v>1.7683029758665647E-2</v>
      </c>
      <c r="N65" s="76">
        <f t="shared" si="5"/>
        <v>2.0788598908323894E-2</v>
      </c>
      <c r="O65" s="64">
        <f t="shared" si="5"/>
        <v>2.3593540107948095E-2</v>
      </c>
      <c r="P65" s="57" t="s">
        <v>21</v>
      </c>
      <c r="Q65" s="67" t="s">
        <v>21</v>
      </c>
      <c r="R65" s="96" t="s">
        <v>21</v>
      </c>
      <c r="S65" s="76" t="s">
        <v>21</v>
      </c>
      <c r="T65" s="64" t="str">
        <f t="shared" si="6"/>
        <v/>
      </c>
      <c r="V65" s="116">
        <v>1.1346812100000001</v>
      </c>
      <c r="W65" s="108">
        <v>2.8683825699999996</v>
      </c>
      <c r="X65" s="108">
        <v>4.3677909499999998</v>
      </c>
      <c r="Y65" s="108">
        <v>5.6289785000000006</v>
      </c>
      <c r="Z65" s="117">
        <v>7.1564950500000002</v>
      </c>
      <c r="AB65" s="74">
        <v>3.85557783622986E-2</v>
      </c>
      <c r="AC65" s="76">
        <v>4.6781543955034276E-2</v>
      </c>
      <c r="AD65" s="76">
        <v>5.5581157058665648E-2</v>
      </c>
      <c r="AE65" s="76">
        <v>5.9759803308323894E-2</v>
      </c>
      <c r="AF65" s="64">
        <v>6.394155390794809E-2</v>
      </c>
      <c r="AG65" s="74">
        <v>6.4642486229859238E-4</v>
      </c>
      <c r="AH65" s="76">
        <v>9.6914446550342738E-3</v>
      </c>
      <c r="AI65" s="76">
        <v>1.7683029758665647E-2</v>
      </c>
      <c r="AJ65" s="76">
        <v>2.0788598908323894E-2</v>
      </c>
      <c r="AK65" s="64">
        <v>2.3593540107948095E-2</v>
      </c>
    </row>
    <row r="66" spans="2:37" x14ac:dyDescent="0.35">
      <c r="B66" s="79" t="s">
        <v>228</v>
      </c>
      <c r="C66" s="78"/>
      <c r="D66" s="78"/>
      <c r="E66" s="78"/>
      <c r="F66" s="78" t="str">
        <f t="shared" si="4"/>
        <v/>
      </c>
      <c r="G66" s="78" t="str">
        <f t="shared" si="4"/>
        <v/>
      </c>
      <c r="H66" s="78" t="str">
        <f t="shared" si="4"/>
        <v/>
      </c>
      <c r="I66" s="78" t="str">
        <f t="shared" si="4"/>
        <v/>
      </c>
      <c r="J66" s="78" t="str">
        <f t="shared" si="4"/>
        <v/>
      </c>
      <c r="K66" s="78" t="str">
        <f t="shared" si="5"/>
        <v/>
      </c>
      <c r="L66" s="78" t="str">
        <f t="shared" si="5"/>
        <v/>
      </c>
      <c r="M66" s="78" t="str">
        <f t="shared" si="5"/>
        <v/>
      </c>
      <c r="N66" s="78" t="str">
        <f t="shared" si="5"/>
        <v/>
      </c>
      <c r="O66" s="77" t="str">
        <f t="shared" si="5"/>
        <v/>
      </c>
      <c r="P66" s="79"/>
      <c r="Q66" s="78"/>
      <c r="R66" s="95"/>
      <c r="S66" s="78"/>
      <c r="T66" s="77" t="str">
        <f t="shared" si="6"/>
        <v/>
      </c>
      <c r="V66" s="112"/>
      <c r="W66" s="107"/>
      <c r="X66" s="107"/>
      <c r="Y66" s="107"/>
      <c r="Z66" s="113"/>
      <c r="AB66" s="78"/>
      <c r="AC66" s="78"/>
      <c r="AD66" s="78"/>
      <c r="AE66" s="78"/>
      <c r="AF66" s="78"/>
      <c r="AG66" s="78"/>
      <c r="AH66" s="78"/>
      <c r="AI66" s="78"/>
      <c r="AJ66" s="78"/>
      <c r="AK66" s="77"/>
    </row>
    <row r="67" spans="2:37" x14ac:dyDescent="0.35">
      <c r="B67" s="56" t="s">
        <v>229</v>
      </c>
      <c r="C67" s="66" t="s">
        <v>61</v>
      </c>
      <c r="D67" s="66" t="s">
        <v>97</v>
      </c>
      <c r="E67" s="66" t="s">
        <v>21</v>
      </c>
      <c r="F67" s="75">
        <f t="shared" si="4"/>
        <v>3.6314628212667496E-2</v>
      </c>
      <c r="G67" s="80">
        <f t="shared" si="4"/>
        <v>4.1597398501656759E-2</v>
      </c>
      <c r="H67" s="80">
        <f t="shared" si="4"/>
        <v>4.6901967160165731E-2</v>
      </c>
      <c r="I67" s="80">
        <f t="shared" si="4"/>
        <v>4.9768945167302507E-2</v>
      </c>
      <c r="J67" s="62">
        <f t="shared" si="4"/>
        <v>5.2133143494187101E-2</v>
      </c>
      <c r="K67" s="75" t="str">
        <f t="shared" si="5"/>
        <v/>
      </c>
      <c r="L67" s="80">
        <f t="shared" si="5"/>
        <v>4.6893998016567639E-3</v>
      </c>
      <c r="M67" s="80">
        <f t="shared" si="5"/>
        <v>9.3462510601657299E-3</v>
      </c>
      <c r="N67" s="80">
        <f t="shared" si="5"/>
        <v>1.1205087967302511E-2</v>
      </c>
      <c r="O67" s="62">
        <f t="shared" si="5"/>
        <v>1.2247156594187096E-2</v>
      </c>
      <c r="P67" s="55" t="s">
        <v>21</v>
      </c>
      <c r="Q67" s="53" t="s">
        <v>21</v>
      </c>
      <c r="R67" s="94" t="s">
        <v>21</v>
      </c>
      <c r="S67" s="71" t="s">
        <v>21</v>
      </c>
      <c r="T67" s="63" t="str">
        <f t="shared" si="6"/>
        <v/>
      </c>
      <c r="V67" s="118">
        <v>1.1373086699999999</v>
      </c>
      <c r="W67" s="61">
        <v>2.8942767000000003</v>
      </c>
      <c r="X67" s="61">
        <v>4.4586669199999998</v>
      </c>
      <c r="Y67" s="61">
        <v>5.82096401</v>
      </c>
      <c r="Z67" s="119">
        <v>7.5541239499999993</v>
      </c>
      <c r="AB67" s="75">
        <v>3.6314628212667496E-2</v>
      </c>
      <c r="AC67" s="80">
        <v>4.1597398501656759E-2</v>
      </c>
      <c r="AD67" s="80">
        <v>4.6901967160165731E-2</v>
      </c>
      <c r="AE67" s="80">
        <v>4.9768945167302507E-2</v>
      </c>
      <c r="AF67" s="62">
        <v>5.2133143494187101E-2</v>
      </c>
      <c r="AG67" s="75" t="s">
        <v>21</v>
      </c>
      <c r="AH67" s="80">
        <v>4.6893998016567639E-3</v>
      </c>
      <c r="AI67" s="80">
        <v>9.3462510601657299E-3</v>
      </c>
      <c r="AJ67" s="80">
        <v>1.1205087967302511E-2</v>
      </c>
      <c r="AK67" s="62">
        <v>1.2247156594187096E-2</v>
      </c>
    </row>
    <row r="68" spans="2:37" x14ac:dyDescent="0.35">
      <c r="B68" s="57" t="s">
        <v>229</v>
      </c>
      <c r="C68" s="67" t="s">
        <v>63</v>
      </c>
      <c r="D68" s="67" t="s">
        <v>97</v>
      </c>
      <c r="E68" s="67" t="s">
        <v>21</v>
      </c>
      <c r="F68" s="74">
        <f t="shared" si="4"/>
        <v>3.7756362129197349E-2</v>
      </c>
      <c r="G68" s="76">
        <f t="shared" si="4"/>
        <v>4.4520236938047679E-2</v>
      </c>
      <c r="H68" s="76">
        <f t="shared" si="4"/>
        <v>5.1213235071612018E-2</v>
      </c>
      <c r="I68" s="76">
        <f t="shared" si="4"/>
        <v>5.5041069757382939E-2</v>
      </c>
      <c r="J68" s="64">
        <f t="shared" si="4"/>
        <v>5.8005624753410548E-2</v>
      </c>
      <c r="K68" s="74" t="str">
        <f t="shared" si="5"/>
        <v/>
      </c>
      <c r="L68" s="76">
        <f t="shared" si="5"/>
        <v>7.5221664380476722E-3</v>
      </c>
      <c r="M68" s="76">
        <f t="shared" si="5"/>
        <v>1.3513982971612021E-2</v>
      </c>
      <c r="N68" s="76">
        <f t="shared" si="5"/>
        <v>1.6298173857382942E-2</v>
      </c>
      <c r="O68" s="64">
        <f t="shared" si="5"/>
        <v>1.7947153853410554E-2</v>
      </c>
      <c r="P68" s="55" t="s">
        <v>21</v>
      </c>
      <c r="Q68" s="53" t="s">
        <v>21</v>
      </c>
      <c r="R68" s="94" t="s">
        <v>21</v>
      </c>
      <c r="S68" s="71" t="s">
        <v>21</v>
      </c>
      <c r="T68" s="63" t="str">
        <f t="shared" si="6"/>
        <v/>
      </c>
      <c r="V68" s="116">
        <v>1.13581321</v>
      </c>
      <c r="W68" s="72">
        <v>2.8809180799999998</v>
      </c>
      <c r="X68" s="72">
        <v>4.4163519600000001</v>
      </c>
      <c r="Y68" s="108">
        <v>5.7315758699999995</v>
      </c>
      <c r="Z68" s="117">
        <v>7.3715504400000009</v>
      </c>
      <c r="AB68" s="74">
        <v>3.7756362129197349E-2</v>
      </c>
      <c r="AC68" s="76">
        <v>4.4520236938047679E-2</v>
      </c>
      <c r="AD68" s="76">
        <v>5.1213235071612018E-2</v>
      </c>
      <c r="AE68" s="76">
        <v>5.5041069757382939E-2</v>
      </c>
      <c r="AF68" s="64">
        <v>5.8005624753410548E-2</v>
      </c>
      <c r="AG68" s="74" t="s">
        <v>21</v>
      </c>
      <c r="AH68" s="76">
        <v>7.5221664380476722E-3</v>
      </c>
      <c r="AI68" s="76">
        <v>1.3513982971612021E-2</v>
      </c>
      <c r="AJ68" s="76">
        <v>1.6298173857382942E-2</v>
      </c>
      <c r="AK68" s="64">
        <v>1.7947153853410554E-2</v>
      </c>
    </row>
    <row r="69" spans="2:37" x14ac:dyDescent="0.35">
      <c r="B69" s="56" t="s">
        <v>230</v>
      </c>
      <c r="C69" s="66" t="s">
        <v>65</v>
      </c>
      <c r="D69" s="66" t="s">
        <v>97</v>
      </c>
      <c r="E69" s="66" t="s">
        <v>21</v>
      </c>
      <c r="F69" s="75">
        <f t="shared" si="4"/>
        <v>3.7164775769618554E-2</v>
      </c>
      <c r="G69" s="80">
        <f t="shared" si="4"/>
        <v>4.3923075156549515E-2</v>
      </c>
      <c r="H69" s="80">
        <f t="shared" si="4"/>
        <v>5.107914802050556E-2</v>
      </c>
      <c r="I69" s="80">
        <f t="shared" si="4"/>
        <v>5.4846648177119345E-2</v>
      </c>
      <c r="J69" s="62">
        <f t="shared" si="4"/>
        <v>5.846367692775533E-2</v>
      </c>
      <c r="K69" s="75" t="str">
        <f t="shared" si="5"/>
        <v/>
      </c>
      <c r="L69" s="80">
        <f t="shared" si="5"/>
        <v>6.9128608565495187E-3</v>
      </c>
      <c r="M69" s="80">
        <f t="shared" si="5"/>
        <v>1.3326980320505562E-2</v>
      </c>
      <c r="N69" s="80">
        <f t="shared" si="5"/>
        <v>1.6047780377119344E-2</v>
      </c>
      <c r="O69" s="62">
        <f t="shared" si="5"/>
        <v>1.8319874127755341E-2</v>
      </c>
      <c r="P69" s="56" t="s">
        <v>21</v>
      </c>
      <c r="Q69" s="66" t="s">
        <v>21</v>
      </c>
      <c r="R69" s="100" t="s">
        <v>21</v>
      </c>
      <c r="S69" s="80" t="s">
        <v>21</v>
      </c>
      <c r="T69" s="62" t="str">
        <f t="shared" si="6"/>
        <v/>
      </c>
      <c r="V69" s="118">
        <v>1.1356737800000001</v>
      </c>
      <c r="W69" s="61">
        <v>2.8769683099999996</v>
      </c>
      <c r="X69" s="61">
        <v>4.39560175</v>
      </c>
      <c r="Y69" s="61">
        <v>5.68284023</v>
      </c>
      <c r="Z69" s="119">
        <v>7.2574691499999995</v>
      </c>
      <c r="AB69" s="75">
        <v>3.7164775769618554E-2</v>
      </c>
      <c r="AC69" s="80">
        <v>4.3923075156549515E-2</v>
      </c>
      <c r="AD69" s="80">
        <v>5.107914802050556E-2</v>
      </c>
      <c r="AE69" s="80">
        <v>5.4846648177119345E-2</v>
      </c>
      <c r="AF69" s="62">
        <v>5.846367692775533E-2</v>
      </c>
      <c r="AG69" s="75" t="s">
        <v>21</v>
      </c>
      <c r="AH69" s="80">
        <v>6.9128608565495187E-3</v>
      </c>
      <c r="AI69" s="80">
        <v>1.3326980320505562E-2</v>
      </c>
      <c r="AJ69" s="80">
        <v>1.6047780377119344E-2</v>
      </c>
      <c r="AK69" s="62">
        <v>1.8319874127755341E-2</v>
      </c>
    </row>
    <row r="70" spans="2:37" x14ac:dyDescent="0.35">
      <c r="B70" s="57" t="s">
        <v>230</v>
      </c>
      <c r="C70" s="67" t="s">
        <v>66</v>
      </c>
      <c r="D70" s="67" t="s">
        <v>97</v>
      </c>
      <c r="E70" s="67" t="s">
        <v>21</v>
      </c>
      <c r="F70" s="74">
        <f t="shared" si="4"/>
        <v>3.854905714545391E-2</v>
      </c>
      <c r="G70" s="76">
        <f t="shared" si="4"/>
        <v>4.7588043588469409E-2</v>
      </c>
      <c r="H70" s="76">
        <f t="shared" si="4"/>
        <v>5.6855161163014215E-2</v>
      </c>
      <c r="I70" s="76">
        <f t="shared" si="4"/>
        <v>6.2030554459396404E-2</v>
      </c>
      <c r="J70" s="64">
        <f t="shared" si="4"/>
        <v>6.6225937200843993E-2</v>
      </c>
      <c r="K70" s="74">
        <f t="shared" si="5"/>
        <v>6.371867454539144E-4</v>
      </c>
      <c r="L70" s="76">
        <f t="shared" si="5"/>
        <v>1.0462877688469404E-2</v>
      </c>
      <c r="M70" s="76">
        <f t="shared" si="5"/>
        <v>1.8892259963014215E-2</v>
      </c>
      <c r="N70" s="76">
        <f t="shared" si="5"/>
        <v>2.2934446559396408E-2</v>
      </c>
      <c r="O70" s="64">
        <f t="shared" si="5"/>
        <v>2.5759518000843983E-2</v>
      </c>
      <c r="P70" s="57" t="s">
        <v>21</v>
      </c>
      <c r="Q70" s="67" t="s">
        <v>21</v>
      </c>
      <c r="R70" s="96" t="s">
        <v>21</v>
      </c>
      <c r="S70" s="76" t="s">
        <v>21</v>
      </c>
      <c r="T70" s="64" t="str">
        <f t="shared" si="6"/>
        <v/>
      </c>
      <c r="V70" s="114">
        <v>1.13470713</v>
      </c>
      <c r="W70" s="108">
        <v>2.86465003</v>
      </c>
      <c r="X70" s="72">
        <v>4.3531262100000001</v>
      </c>
      <c r="Y70" s="108">
        <v>5.5900187299999997</v>
      </c>
      <c r="Z70" s="117">
        <v>7.0728084200000003</v>
      </c>
      <c r="AB70" s="74">
        <v>3.854905714545391E-2</v>
      </c>
      <c r="AC70" s="76">
        <v>4.7588043588469409E-2</v>
      </c>
      <c r="AD70" s="76">
        <v>5.6855161163014215E-2</v>
      </c>
      <c r="AE70" s="76">
        <v>6.2030554459396404E-2</v>
      </c>
      <c r="AF70" s="64">
        <v>6.6225937200843993E-2</v>
      </c>
      <c r="AG70" s="74">
        <v>6.371867454539144E-4</v>
      </c>
      <c r="AH70" s="76">
        <v>1.0462877688469404E-2</v>
      </c>
      <c r="AI70" s="76">
        <v>1.8892259963014215E-2</v>
      </c>
      <c r="AJ70" s="76">
        <v>2.2934446559396408E-2</v>
      </c>
      <c r="AK70" s="64">
        <v>2.5759518000843983E-2</v>
      </c>
    </row>
    <row r="71" spans="2:37" x14ac:dyDescent="0.35">
      <c r="B71" s="57" t="s">
        <v>308</v>
      </c>
      <c r="C71" s="67" t="s">
        <v>61</v>
      </c>
      <c r="D71" s="67" t="s">
        <v>97</v>
      </c>
      <c r="E71" s="67" t="s">
        <v>21</v>
      </c>
      <c r="F71" s="74">
        <f t="shared" si="4"/>
        <v>3.6016642017247989E-2</v>
      </c>
      <c r="G71" s="76">
        <f t="shared" si="4"/>
        <v>4.1353589732951522E-2</v>
      </c>
      <c r="H71" s="76">
        <f t="shared" si="4"/>
        <v>4.6634910372027556E-2</v>
      </c>
      <c r="I71" s="76">
        <f t="shared" si="4"/>
        <v>4.9603332322499118E-2</v>
      </c>
      <c r="J71" s="64">
        <f t="shared" si="4"/>
        <v>5.2250581429292425E-2</v>
      </c>
      <c r="K71" s="74" t="str">
        <f t="shared" si="5"/>
        <v/>
      </c>
      <c r="L71" s="76">
        <f t="shared" si="5"/>
        <v>4.4566747329515257E-3</v>
      </c>
      <c r="M71" s="76">
        <f t="shared" si="5"/>
        <v>9.0914940720275578E-3</v>
      </c>
      <c r="N71" s="76">
        <f t="shared" si="5"/>
        <v>1.1047017222499116E-2</v>
      </c>
      <c r="O71" s="64">
        <f t="shared" si="5"/>
        <v>1.2360580229292425E-2</v>
      </c>
      <c r="P71" s="57" t="s">
        <v>21</v>
      </c>
      <c r="Q71" s="67" t="s">
        <v>21</v>
      </c>
      <c r="R71" s="96" t="s">
        <v>21</v>
      </c>
      <c r="S71" s="76" t="s">
        <v>21</v>
      </c>
      <c r="T71" s="64" t="str">
        <f t="shared" si="6"/>
        <v/>
      </c>
      <c r="V71" s="118">
        <v>1.1378683999999999</v>
      </c>
      <c r="W71" s="61">
        <v>2.8967697600000002</v>
      </c>
      <c r="X71" s="61">
        <v>4.4642253099999998</v>
      </c>
      <c r="Y71" s="61">
        <v>5.8290651100000002</v>
      </c>
      <c r="Z71" s="119">
        <v>7.5594730799999992</v>
      </c>
      <c r="AB71" s="74">
        <v>3.6016642017247989E-2</v>
      </c>
      <c r="AC71" s="76">
        <v>4.1353589732951522E-2</v>
      </c>
      <c r="AD71" s="76">
        <v>4.6634910372027556E-2</v>
      </c>
      <c r="AE71" s="76">
        <v>4.9603332322499118E-2</v>
      </c>
      <c r="AF71" s="64">
        <v>5.2250581429292425E-2</v>
      </c>
      <c r="AG71" s="74" t="s">
        <v>21</v>
      </c>
      <c r="AH71" s="76">
        <v>4.4566747329515257E-3</v>
      </c>
      <c r="AI71" s="76">
        <v>9.0914940720275578E-3</v>
      </c>
      <c r="AJ71" s="76">
        <v>1.1047017222499116E-2</v>
      </c>
      <c r="AK71" s="64">
        <v>1.2360580229292425E-2</v>
      </c>
    </row>
    <row r="72" spans="2:37" x14ac:dyDescent="0.35">
      <c r="B72" s="79" t="s">
        <v>303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7"/>
      <c r="P72" s="79"/>
      <c r="Q72" s="78"/>
      <c r="R72" s="95"/>
      <c r="S72" s="78"/>
      <c r="T72" s="77"/>
      <c r="V72" s="112"/>
      <c r="W72" s="107"/>
      <c r="X72" s="107"/>
      <c r="Y72" s="107"/>
      <c r="Z72" s="113"/>
      <c r="AB72" s="78"/>
      <c r="AC72" s="78"/>
      <c r="AD72" s="78"/>
      <c r="AE72" s="78"/>
      <c r="AF72" s="78"/>
      <c r="AG72" s="78"/>
      <c r="AH72" s="78"/>
      <c r="AI72" s="78"/>
      <c r="AJ72" s="78"/>
      <c r="AK72" s="77"/>
    </row>
    <row r="73" spans="2:37" s="137" customFormat="1" x14ac:dyDescent="0.35">
      <c r="B73" s="56" t="s">
        <v>305</v>
      </c>
      <c r="C73" s="66" t="s">
        <v>30</v>
      </c>
      <c r="D73" s="66" t="s">
        <v>306</v>
      </c>
      <c r="E73" s="66" t="s">
        <v>21</v>
      </c>
      <c r="F73" s="75">
        <f t="shared" ref="F73:J75" si="7">IF(ISNUMBER(AB73),AB73-((C$4-C$3)/V73),"")</f>
        <v>3.6398064214781124E-2</v>
      </c>
      <c r="G73" s="80">
        <f t="shared" si="7"/>
        <v>4.202586224023256E-2</v>
      </c>
      <c r="H73" s="80">
        <f t="shared" si="7"/>
        <v>4.753231710085757E-2</v>
      </c>
      <c r="I73" s="80">
        <f t="shared" si="7"/>
        <v>5.1020331077818885E-2</v>
      </c>
      <c r="J73" s="62">
        <f t="shared" si="7"/>
        <v>5.4223333139920657E-2</v>
      </c>
      <c r="K73" s="75" t="str">
        <f t="shared" ref="K73:O75" si="8">IF(ISNUMBER(AG73),IF(AG73-((C$4-C$3)/V73)&lt;0,"",AG73-((C$4-C$3)/V73)),"")</f>
        <v/>
      </c>
      <c r="L73" s="80">
        <f t="shared" si="8"/>
        <v>5.1001619402325556E-3</v>
      </c>
      <c r="M73" s="80">
        <f t="shared" si="8"/>
        <v>9.949192300857574E-3</v>
      </c>
      <c r="N73" s="80">
        <f t="shared" si="8"/>
        <v>1.2402376877818876E-2</v>
      </c>
      <c r="O73" s="62">
        <f t="shared" si="8"/>
        <v>1.4260880739920656E-2</v>
      </c>
      <c r="P73" s="55" t="s">
        <v>21</v>
      </c>
      <c r="Q73" s="53" t="s">
        <v>21</v>
      </c>
      <c r="R73" s="94" t="s">
        <v>21</v>
      </c>
      <c r="S73" s="71" t="s">
        <v>21</v>
      </c>
      <c r="T73" s="63" t="str">
        <f t="shared" si="6"/>
        <v/>
      </c>
      <c r="U73" s="55"/>
      <c r="V73" s="118">
        <v>1.13714179</v>
      </c>
      <c r="W73" s="61">
        <v>2.8913080599999996</v>
      </c>
      <c r="X73" s="61">
        <v>4.4485568799999999</v>
      </c>
      <c r="Y73" s="61">
        <v>5.7927868399999998</v>
      </c>
      <c r="Z73" s="119">
        <v>7.4725114300000008</v>
      </c>
      <c r="AB73" s="75">
        <v>3.6398064214781124E-2</v>
      </c>
      <c r="AC73" s="80">
        <v>4.202586224023256E-2</v>
      </c>
      <c r="AD73" s="80">
        <v>4.753231710085757E-2</v>
      </c>
      <c r="AE73" s="80">
        <v>5.1020331077818885E-2</v>
      </c>
      <c r="AF73" s="62">
        <v>5.4223333139920657E-2</v>
      </c>
      <c r="AG73" s="75" t="s">
        <v>21</v>
      </c>
      <c r="AH73" s="80">
        <v>5.1001619402325556E-3</v>
      </c>
      <c r="AI73" s="80">
        <v>9.949192300857574E-3</v>
      </c>
      <c r="AJ73" s="80">
        <v>1.2402376877818876E-2</v>
      </c>
      <c r="AK73" s="62">
        <v>1.4260880739920656E-2</v>
      </c>
    </row>
    <row r="74" spans="2:37" s="137" customFormat="1" x14ac:dyDescent="0.35">
      <c r="B74" s="55" t="s">
        <v>305</v>
      </c>
      <c r="C74" s="67" t="s">
        <v>35</v>
      </c>
      <c r="D74" s="53" t="s">
        <v>306</v>
      </c>
      <c r="E74" s="53" t="s">
        <v>21</v>
      </c>
      <c r="F74" s="73">
        <f t="shared" si="7"/>
        <v>3.8780855900610527E-2</v>
      </c>
      <c r="G74" s="60">
        <f t="shared" si="7"/>
        <v>4.8090995282595597E-2</v>
      </c>
      <c r="H74" s="71">
        <f t="shared" si="7"/>
        <v>5.7643630595102399E-2</v>
      </c>
      <c r="I74" s="71">
        <f t="shared" si="7"/>
        <v>6.3175452404679561E-2</v>
      </c>
      <c r="J74" s="63">
        <f t="shared" si="7"/>
        <v>6.7038300593118036E-2</v>
      </c>
      <c r="K74" s="73">
        <f t="shared" si="8"/>
        <v>8.5372650061052522E-4</v>
      </c>
      <c r="L74" s="60">
        <f t="shared" si="8"/>
        <v>1.0940725582595593E-2</v>
      </c>
      <c r="M74" s="71">
        <f t="shared" si="8"/>
        <v>1.9634900395102389E-2</v>
      </c>
      <c r="N74" s="71">
        <f t="shared" si="8"/>
        <v>2.4012524604679571E-2</v>
      </c>
      <c r="O74" s="63">
        <f t="shared" si="8"/>
        <v>2.6527710693118028E-2</v>
      </c>
      <c r="P74" s="55" t="s">
        <v>21</v>
      </c>
      <c r="Q74" s="53" t="s">
        <v>21</v>
      </c>
      <c r="R74" s="94" t="s">
        <v>21</v>
      </c>
      <c r="S74" s="71" t="s">
        <v>21</v>
      </c>
      <c r="T74" s="63" t="str">
        <f t="shared" si="6"/>
        <v/>
      </c>
      <c r="U74" s="55"/>
      <c r="V74" s="114">
        <v>1.1344166500000001</v>
      </c>
      <c r="W74" s="72">
        <v>2.86180441</v>
      </c>
      <c r="X74" s="72">
        <v>4.34362154</v>
      </c>
      <c r="Y74" s="72">
        <v>5.5682817599999996</v>
      </c>
      <c r="Z74" s="115">
        <v>7.0348914699999998</v>
      </c>
      <c r="AB74" s="73">
        <v>3.8780855900610527E-2</v>
      </c>
      <c r="AC74" s="71">
        <v>4.8090995282595597E-2</v>
      </c>
      <c r="AD74" s="71">
        <v>5.7643630595102399E-2</v>
      </c>
      <c r="AE74" s="71">
        <v>6.3175452404679561E-2</v>
      </c>
      <c r="AF74" s="63">
        <v>6.7038300593118036E-2</v>
      </c>
      <c r="AG74" s="73">
        <v>8.5372650061052522E-4</v>
      </c>
      <c r="AH74" s="71">
        <v>1.0940725582595593E-2</v>
      </c>
      <c r="AI74" s="71">
        <v>1.9634900395102389E-2</v>
      </c>
      <c r="AJ74" s="71">
        <v>2.4012524604679571E-2</v>
      </c>
      <c r="AK74" s="63">
        <v>2.6527710693118028E-2</v>
      </c>
    </row>
    <row r="75" spans="2:37" s="137" customFormat="1" x14ac:dyDescent="0.35">
      <c r="B75" s="57" t="s">
        <v>305</v>
      </c>
      <c r="C75" s="53" t="s">
        <v>33</v>
      </c>
      <c r="D75" s="67" t="s">
        <v>306</v>
      </c>
      <c r="E75" s="54" t="s">
        <v>21</v>
      </c>
      <c r="F75" s="74">
        <f t="shared" si="7"/>
        <v>3.7227598312113176E-2</v>
      </c>
      <c r="G75" s="76">
        <f t="shared" si="7"/>
        <v>4.4699068706036023E-2</v>
      </c>
      <c r="H75" s="76">
        <f t="shared" si="7"/>
        <v>5.217378677939595E-2</v>
      </c>
      <c r="I75" s="76">
        <f t="shared" si="7"/>
        <v>5.6443218840596159E-2</v>
      </c>
      <c r="J75" s="64">
        <f t="shared" si="7"/>
        <v>6.0194030411294779E-2</v>
      </c>
      <c r="K75" s="74" t="str">
        <f t="shared" si="8"/>
        <v/>
      </c>
      <c r="L75" s="76">
        <f t="shared" si="8"/>
        <v>7.654811106036029E-3</v>
      </c>
      <c r="M75" s="76">
        <f t="shared" si="8"/>
        <v>1.4366721779395943E-2</v>
      </c>
      <c r="N75" s="76">
        <f t="shared" si="8"/>
        <v>1.7561655140596162E-2</v>
      </c>
      <c r="O75" s="64">
        <f t="shared" si="8"/>
        <v>1.9957754511294765E-2</v>
      </c>
      <c r="P75" s="55" t="s">
        <v>21</v>
      </c>
      <c r="Q75" s="53" t="s">
        <v>21</v>
      </c>
      <c r="R75" s="94" t="s">
        <v>21</v>
      </c>
      <c r="S75" s="71" t="s">
        <v>21</v>
      </c>
      <c r="T75" s="63" t="str">
        <f t="shared" si="6"/>
        <v/>
      </c>
      <c r="U75" s="55"/>
      <c r="V75" s="116">
        <v>1.1355222599999999</v>
      </c>
      <c r="W75" s="72">
        <v>2.8718919000000001</v>
      </c>
      <c r="X75" s="72">
        <v>4.3783324700000001</v>
      </c>
      <c r="Y75" s="108">
        <v>5.6430435000000001</v>
      </c>
      <c r="Z75" s="117">
        <v>7.1750410900000006</v>
      </c>
      <c r="AB75" s="74">
        <v>3.7227598312113176E-2</v>
      </c>
      <c r="AC75" s="76">
        <v>4.4699068706036023E-2</v>
      </c>
      <c r="AD75" s="76">
        <v>5.217378677939595E-2</v>
      </c>
      <c r="AE75" s="76">
        <v>5.6443218840596159E-2</v>
      </c>
      <c r="AF75" s="64">
        <v>6.0194030411294779E-2</v>
      </c>
      <c r="AG75" s="74" t="s">
        <v>21</v>
      </c>
      <c r="AH75" s="76">
        <v>7.654811106036029E-3</v>
      </c>
      <c r="AI75" s="76">
        <v>1.4366721779395943E-2</v>
      </c>
      <c r="AJ75" s="76">
        <v>1.7561655140596162E-2</v>
      </c>
      <c r="AK75" s="64">
        <v>1.9957754511294765E-2</v>
      </c>
    </row>
    <row r="76" spans="2:37" s="137" customFormat="1" x14ac:dyDescent="0.35">
      <c r="B76" s="79" t="s">
        <v>304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9"/>
      <c r="Q76" s="78"/>
      <c r="R76" s="95"/>
      <c r="S76" s="78"/>
      <c r="T76" s="78"/>
      <c r="U76" s="55"/>
      <c r="V76" s="112"/>
      <c r="W76" s="107"/>
      <c r="X76" s="107"/>
      <c r="Y76" s="107"/>
      <c r="Z76" s="113"/>
      <c r="AB76" s="78"/>
      <c r="AC76" s="78"/>
      <c r="AD76" s="78"/>
      <c r="AE76" s="78"/>
      <c r="AF76" s="78"/>
      <c r="AG76" s="78"/>
      <c r="AH76" s="78"/>
      <c r="AI76" s="78"/>
      <c r="AJ76" s="78"/>
      <c r="AK76" s="77"/>
    </row>
    <row r="77" spans="2:37" s="137" customFormat="1" x14ac:dyDescent="0.35">
      <c r="B77" s="56" t="s">
        <v>307</v>
      </c>
      <c r="C77" s="66" t="s">
        <v>30</v>
      </c>
      <c r="D77" s="66" t="s">
        <v>131</v>
      </c>
      <c r="E77" s="66" t="s">
        <v>21</v>
      </c>
      <c r="F77" s="75">
        <f t="shared" ref="F77:J78" si="9">IF(ISNUMBER(AB77),AB77-((C$4-C$3)/V77),"")</f>
        <v>3.6513151033416721E-2</v>
      </c>
      <c r="G77" s="80">
        <f t="shared" si="9"/>
        <v>4.2068153787856957E-2</v>
      </c>
      <c r="H77" s="80">
        <f t="shared" si="9"/>
        <v>4.7636627252275979E-2</v>
      </c>
      <c r="I77" s="80">
        <f t="shared" si="9"/>
        <v>5.0881399793283551E-2</v>
      </c>
      <c r="J77" s="62">
        <f t="shared" si="9"/>
        <v>5.3656412077059901E-2</v>
      </c>
      <c r="K77" s="75" t="str">
        <f t="shared" ref="K77:O78" si="10">IF(ISNUMBER(AG77),IF(AG77-((C$4-C$3)/V77)&lt;0,"",AG77-((C$4-C$3)/V77)),"")</f>
        <v/>
      </c>
      <c r="L77" s="80">
        <f t="shared" si="10"/>
        <v>5.140744587856955E-3</v>
      </c>
      <c r="M77" s="80">
        <f t="shared" si="10"/>
        <v>1.0048894752275972E-2</v>
      </c>
      <c r="N77" s="80">
        <f t="shared" si="10"/>
        <v>1.226993939328355E-2</v>
      </c>
      <c r="O77" s="62">
        <f t="shared" si="10"/>
        <v>1.371632997705991E-2</v>
      </c>
      <c r="P77" s="56" t="s">
        <v>21</v>
      </c>
      <c r="Q77" s="66" t="s">
        <v>21</v>
      </c>
      <c r="R77" s="100" t="s">
        <v>21</v>
      </c>
      <c r="S77" s="80" t="s">
        <v>21</v>
      </c>
      <c r="T77" s="62" t="str">
        <f t="shared" si="6"/>
        <v/>
      </c>
      <c r="U77" s="55"/>
      <c r="V77" s="118">
        <v>1.1369186200000001</v>
      </c>
      <c r="W77" s="61">
        <v>2.8906558700000002</v>
      </c>
      <c r="X77" s="61">
        <v>4.4468098700000001</v>
      </c>
      <c r="Y77" s="61">
        <v>5.7927665299999997</v>
      </c>
      <c r="Z77" s="119">
        <v>7.4865999099999998</v>
      </c>
      <c r="AB77" s="75">
        <v>3.6513151033416721E-2</v>
      </c>
      <c r="AC77" s="80">
        <v>4.2068153787856957E-2</v>
      </c>
      <c r="AD77" s="80">
        <v>4.7636627252275979E-2</v>
      </c>
      <c r="AE77" s="80">
        <v>5.0881399793283551E-2</v>
      </c>
      <c r="AF77" s="62">
        <v>5.3656412077059901E-2</v>
      </c>
      <c r="AG77" s="75" t="s">
        <v>21</v>
      </c>
      <c r="AH77" s="80">
        <v>5.140744587856955E-3</v>
      </c>
      <c r="AI77" s="80">
        <v>1.0048894752275972E-2</v>
      </c>
      <c r="AJ77" s="80">
        <v>1.226993939328355E-2</v>
      </c>
      <c r="AK77" s="62">
        <v>1.371632997705991E-2</v>
      </c>
    </row>
    <row r="78" spans="2:37" s="137" customFormat="1" x14ac:dyDescent="0.35">
      <c r="B78" s="57" t="s">
        <v>307</v>
      </c>
      <c r="C78" s="67" t="s">
        <v>35</v>
      </c>
      <c r="D78" s="67" t="s">
        <v>131</v>
      </c>
      <c r="E78" s="67" t="s">
        <v>21</v>
      </c>
      <c r="F78" s="74">
        <f t="shared" si="9"/>
        <v>3.8797599115149115E-2</v>
      </c>
      <c r="G78" s="76">
        <f t="shared" si="9"/>
        <v>4.8097591213774403E-2</v>
      </c>
      <c r="H78" s="76">
        <f t="shared" si="9"/>
        <v>5.7647972840045525E-2</v>
      </c>
      <c r="I78" s="76">
        <f t="shared" si="9"/>
        <v>6.3178852223365778E-2</v>
      </c>
      <c r="J78" s="64">
        <f t="shared" si="9"/>
        <v>6.7380161625271606E-2</v>
      </c>
      <c r="K78" s="74">
        <f t="shared" si="10"/>
        <v>8.6407661514911749E-4</v>
      </c>
      <c r="L78" s="76">
        <f t="shared" si="10"/>
        <v>1.0944252613774397E-2</v>
      </c>
      <c r="M78" s="76">
        <f t="shared" si="10"/>
        <v>1.9636922540045516E-2</v>
      </c>
      <c r="N78" s="76">
        <f t="shared" si="10"/>
        <v>2.4013968323365779E-2</v>
      </c>
      <c r="O78" s="64">
        <f t="shared" si="10"/>
        <v>2.6848234925271584E-2</v>
      </c>
      <c r="P78" s="57" t="s">
        <v>21</v>
      </c>
      <c r="Q78" s="67" t="s">
        <v>21</v>
      </c>
      <c r="R78" s="96" t="s">
        <v>21</v>
      </c>
      <c r="S78" s="76" t="s">
        <v>21</v>
      </c>
      <c r="T78" s="64" t="str">
        <f t="shared" si="6"/>
        <v/>
      </c>
      <c r="U78" s="55"/>
      <c r="V78" s="114">
        <v>1.1344267800000001</v>
      </c>
      <c r="W78" s="108">
        <v>2.8618011000000001</v>
      </c>
      <c r="X78" s="72">
        <v>4.3436077500000003</v>
      </c>
      <c r="Y78" s="108">
        <v>5.5682588700000002</v>
      </c>
      <c r="Z78" s="117">
        <v>7.0293645099999997</v>
      </c>
      <c r="AB78" s="74">
        <v>3.8797599115149115E-2</v>
      </c>
      <c r="AC78" s="76">
        <v>4.8097591213774403E-2</v>
      </c>
      <c r="AD78" s="76">
        <v>5.7647972840045525E-2</v>
      </c>
      <c r="AE78" s="76">
        <v>6.3178852223365778E-2</v>
      </c>
      <c r="AF78" s="64">
        <v>6.7380161625271606E-2</v>
      </c>
      <c r="AG78" s="74">
        <v>8.6407661514911749E-4</v>
      </c>
      <c r="AH78" s="76">
        <v>1.0944252613774397E-2</v>
      </c>
      <c r="AI78" s="76">
        <v>1.9636922540045516E-2</v>
      </c>
      <c r="AJ78" s="76">
        <v>2.4013968323365779E-2</v>
      </c>
      <c r="AK78" s="64">
        <v>2.6848234925271584E-2</v>
      </c>
    </row>
    <row r="79" spans="2:37" x14ac:dyDescent="0.35">
      <c r="B79" s="79" t="s">
        <v>67</v>
      </c>
      <c r="C79" s="78"/>
      <c r="D79" s="78"/>
      <c r="E79" s="78"/>
      <c r="F79" s="78" t="str">
        <f t="shared" si="4"/>
        <v/>
      </c>
      <c r="G79" s="78" t="str">
        <f t="shared" si="4"/>
        <v/>
      </c>
      <c r="H79" s="78" t="str">
        <f t="shared" si="4"/>
        <v/>
      </c>
      <c r="I79" s="78" t="str">
        <f t="shared" si="4"/>
        <v/>
      </c>
      <c r="J79" s="78" t="str">
        <f t="shared" si="4"/>
        <v/>
      </c>
      <c r="K79" s="78" t="str">
        <f t="shared" si="5"/>
        <v/>
      </c>
      <c r="L79" s="78" t="str">
        <f t="shared" si="5"/>
        <v/>
      </c>
      <c r="M79" s="78" t="str">
        <f t="shared" si="5"/>
        <v/>
      </c>
      <c r="N79" s="78" t="str">
        <f t="shared" si="5"/>
        <v/>
      </c>
      <c r="O79" s="77" t="str">
        <f t="shared" si="5"/>
        <v/>
      </c>
      <c r="P79" s="79"/>
      <c r="Q79" s="78"/>
      <c r="R79" s="95"/>
      <c r="S79" s="78"/>
      <c r="T79" s="77" t="str">
        <f t="shared" si="6"/>
        <v/>
      </c>
      <c r="V79" s="112"/>
      <c r="W79" s="107"/>
      <c r="X79" s="107"/>
      <c r="Y79" s="107"/>
      <c r="Z79" s="113"/>
      <c r="AB79" s="78"/>
      <c r="AC79" s="78"/>
      <c r="AD79" s="78"/>
      <c r="AE79" s="78"/>
      <c r="AF79" s="78"/>
      <c r="AG79" s="78"/>
      <c r="AH79" s="78"/>
      <c r="AI79" s="78"/>
      <c r="AJ79" s="78"/>
      <c r="AK79" s="77"/>
    </row>
    <row r="80" spans="2:37" x14ac:dyDescent="0.35">
      <c r="B80" s="56" t="s">
        <v>68</v>
      </c>
      <c r="C80" s="66" t="s">
        <v>61</v>
      </c>
      <c r="D80" s="66" t="s">
        <v>69</v>
      </c>
      <c r="E80" s="66" t="s">
        <v>21</v>
      </c>
      <c r="F80" s="75">
        <f t="shared" si="4"/>
        <v>3.9295445298171382E-2</v>
      </c>
      <c r="G80" s="80">
        <f t="shared" si="4"/>
        <v>4.5183639707416373E-2</v>
      </c>
      <c r="H80" s="80">
        <f t="shared" si="4"/>
        <v>5.1650894111608711E-2</v>
      </c>
      <c r="I80" s="80">
        <f t="shared" si="4"/>
        <v>5.5170417600640724E-2</v>
      </c>
      <c r="J80" s="62">
        <f t="shared" si="4"/>
        <v>5.8420649508275586E-2</v>
      </c>
      <c r="K80" s="75">
        <f t="shared" si="5"/>
        <v>1.3336805981713782E-3</v>
      </c>
      <c r="L80" s="80">
        <f t="shared" si="5"/>
        <v>8.113359707416383E-3</v>
      </c>
      <c r="M80" s="80">
        <f t="shared" si="5"/>
        <v>1.3867462011608709E-2</v>
      </c>
      <c r="N80" s="80">
        <f t="shared" si="5"/>
        <v>1.6351043500640726E-2</v>
      </c>
      <c r="O80" s="62">
        <f t="shared" si="5"/>
        <v>1.8273340808275584E-2</v>
      </c>
      <c r="P80" s="56" t="s">
        <v>21</v>
      </c>
      <c r="Q80" s="66" t="s">
        <v>21</v>
      </c>
      <c r="R80" s="100" t="s">
        <v>21</v>
      </c>
      <c r="S80" s="80" t="s">
        <v>21</v>
      </c>
      <c r="T80" s="62" t="str">
        <f t="shared" si="6"/>
        <v/>
      </c>
      <c r="V80" s="118">
        <v>1.1315980300000001</v>
      </c>
      <c r="W80" s="61">
        <v>2.8621592299999996</v>
      </c>
      <c r="X80" s="61">
        <v>4.3735715500000003</v>
      </c>
      <c r="Y80" s="61">
        <v>5.6574965200000005</v>
      </c>
      <c r="Z80" s="119">
        <v>7.2356661500000001</v>
      </c>
      <c r="AB80" s="75">
        <v>3.9295445298171382E-2</v>
      </c>
      <c r="AC80" s="80">
        <v>4.5183639707416373E-2</v>
      </c>
      <c r="AD80" s="80">
        <v>5.1650894111608711E-2</v>
      </c>
      <c r="AE80" s="80">
        <v>5.5170417600640724E-2</v>
      </c>
      <c r="AF80" s="62">
        <v>5.8420649508275586E-2</v>
      </c>
      <c r="AG80" s="75">
        <v>1.3336805981713782E-3</v>
      </c>
      <c r="AH80" s="80">
        <v>8.113359707416383E-3</v>
      </c>
      <c r="AI80" s="80">
        <v>1.3867462011608709E-2</v>
      </c>
      <c r="AJ80" s="80">
        <v>1.6351043500640726E-2</v>
      </c>
      <c r="AK80" s="62">
        <v>1.8273340808275584E-2</v>
      </c>
    </row>
    <row r="81" spans="2:37" x14ac:dyDescent="0.35">
      <c r="B81" s="57" t="s">
        <v>68</v>
      </c>
      <c r="C81" s="67" t="s">
        <v>63</v>
      </c>
      <c r="D81" s="67" t="s">
        <v>69</v>
      </c>
      <c r="E81" s="67" t="s">
        <v>81</v>
      </c>
      <c r="F81" s="74">
        <f t="shared" si="4"/>
        <v>4.0914961686458924E-2</v>
      </c>
      <c r="G81" s="76">
        <f t="shared" si="4"/>
        <v>4.8099593223694996E-2</v>
      </c>
      <c r="H81" s="76">
        <f t="shared" si="4"/>
        <v>5.5130460607742869E-2</v>
      </c>
      <c r="I81" s="76">
        <f t="shared" si="4"/>
        <v>5.8937012874530653E-2</v>
      </c>
      <c r="J81" s="64">
        <f t="shared" si="4"/>
        <v>6.2144789036147147E-2</v>
      </c>
      <c r="K81" s="74">
        <f t="shared" si="5"/>
        <v>2.90143308645892E-3</v>
      </c>
      <c r="L81" s="76">
        <f t="shared" si="5"/>
        <v>1.0951419123695003E-2</v>
      </c>
      <c r="M81" s="76">
        <f t="shared" si="5"/>
        <v>1.7250398907742871E-2</v>
      </c>
      <c r="N81" s="76">
        <f t="shared" si="5"/>
        <v>2.0003054274530665E-2</v>
      </c>
      <c r="O81" s="64">
        <f t="shared" si="5"/>
        <v>2.1881149736147146E-2</v>
      </c>
      <c r="P81" s="57" t="s">
        <v>21</v>
      </c>
      <c r="Q81" s="67" t="s">
        <v>21</v>
      </c>
      <c r="R81" s="96" t="s">
        <v>21</v>
      </c>
      <c r="S81" s="76" t="s">
        <v>21</v>
      </c>
      <c r="T81" s="64" t="str">
        <f t="shared" si="6"/>
        <v/>
      </c>
      <c r="V81" s="116">
        <v>1.13058178</v>
      </c>
      <c r="W81" s="108">
        <v>2.85507249</v>
      </c>
      <c r="X81" s="108">
        <v>4.3566872700000001</v>
      </c>
      <c r="Y81" s="108">
        <v>5.6286827800000001</v>
      </c>
      <c r="Z81" s="117">
        <v>7.1914171700000002</v>
      </c>
      <c r="AB81" s="74">
        <v>4.0914961686458924E-2</v>
      </c>
      <c r="AC81" s="76">
        <v>4.8099593223694996E-2</v>
      </c>
      <c r="AD81" s="76">
        <v>5.5130460607742869E-2</v>
      </c>
      <c r="AE81" s="76">
        <v>5.8937012874530653E-2</v>
      </c>
      <c r="AF81" s="64">
        <v>6.2144789036147147E-2</v>
      </c>
      <c r="AG81" s="74">
        <v>2.90143308645892E-3</v>
      </c>
      <c r="AH81" s="76">
        <v>1.0951419123695003E-2</v>
      </c>
      <c r="AI81" s="76">
        <v>1.7250398907742871E-2</v>
      </c>
      <c r="AJ81" s="76">
        <v>2.0003054274530665E-2</v>
      </c>
      <c r="AK81" s="64">
        <v>2.1881149736147146E-2</v>
      </c>
    </row>
    <row r="82" spans="2:37" x14ac:dyDescent="0.35">
      <c r="B82" s="56" t="s">
        <v>70</v>
      </c>
      <c r="C82" s="66" t="s">
        <v>65</v>
      </c>
      <c r="D82" s="66" t="s">
        <v>69</v>
      </c>
      <c r="E82" s="66" t="s">
        <v>231</v>
      </c>
      <c r="F82" s="75">
        <f t="shared" si="4"/>
        <v>3.9578396753627308E-2</v>
      </c>
      <c r="G82" s="80">
        <f t="shared" si="4"/>
        <v>4.6089589114700152E-2</v>
      </c>
      <c r="H82" s="80">
        <f t="shared" si="4"/>
        <v>5.2857370141697405E-2</v>
      </c>
      <c r="I82" s="80">
        <f t="shared" si="4"/>
        <v>5.6878676463167167E-2</v>
      </c>
      <c r="J82" s="62">
        <f t="shared" si="4"/>
        <v>6.0448949008332226E-2</v>
      </c>
      <c r="K82" s="75">
        <f t="shared" si="5"/>
        <v>1.6055240536272993E-3</v>
      </c>
      <c r="L82" s="80">
        <f t="shared" si="5"/>
        <v>8.977123214700157E-3</v>
      </c>
      <c r="M82" s="80">
        <f t="shared" si="5"/>
        <v>1.5011772541697411E-2</v>
      </c>
      <c r="N82" s="80">
        <f t="shared" si="5"/>
        <v>1.7969194063167167E-2</v>
      </c>
      <c r="O82" s="62">
        <f t="shared" si="5"/>
        <v>2.0190979808332236E-2</v>
      </c>
      <c r="P82" s="55" t="s">
        <v>450</v>
      </c>
      <c r="Q82" s="53" t="s">
        <v>451</v>
      </c>
      <c r="R82" s="94">
        <v>47371</v>
      </c>
      <c r="S82" s="71">
        <v>4.8669989999999996E-2</v>
      </c>
      <c r="T82" s="63">
        <f t="shared" si="6"/>
        <v>4.1873801416974082E-3</v>
      </c>
      <c r="V82" s="118">
        <v>1.1308549699999999</v>
      </c>
      <c r="W82" s="61">
        <v>2.8553059799999998</v>
      </c>
      <c r="X82" s="61">
        <v>4.35339528</v>
      </c>
      <c r="Y82" s="61">
        <v>5.6134922600000001</v>
      </c>
      <c r="Z82" s="119">
        <v>7.1428033399999995</v>
      </c>
      <c r="AB82" s="75">
        <v>3.9578396753627308E-2</v>
      </c>
      <c r="AC82" s="80">
        <v>4.6089589114700152E-2</v>
      </c>
      <c r="AD82" s="80">
        <v>5.2857370141697405E-2</v>
      </c>
      <c r="AE82" s="80">
        <v>5.6878676463167167E-2</v>
      </c>
      <c r="AF82" s="62">
        <v>6.0448949008332226E-2</v>
      </c>
      <c r="AG82" s="75">
        <v>1.6055240536272993E-3</v>
      </c>
      <c r="AH82" s="80">
        <v>8.977123214700157E-3</v>
      </c>
      <c r="AI82" s="80">
        <v>1.5011772541697411E-2</v>
      </c>
      <c r="AJ82" s="80">
        <v>1.7969194063167167E-2</v>
      </c>
      <c r="AK82" s="62">
        <v>2.0190979808332236E-2</v>
      </c>
    </row>
    <row r="83" spans="2:37" x14ac:dyDescent="0.35">
      <c r="B83" s="55" t="s">
        <v>70</v>
      </c>
      <c r="C83" s="53" t="s">
        <v>66</v>
      </c>
      <c r="D83" s="53" t="s">
        <v>69</v>
      </c>
      <c r="E83" s="53" t="s">
        <v>81</v>
      </c>
      <c r="F83" s="73">
        <f t="shared" si="4"/>
        <v>4.1058230019459852E-2</v>
      </c>
      <c r="G83" s="60">
        <f t="shared" si="4"/>
        <v>4.9601530396579031E-2</v>
      </c>
      <c r="H83" s="60">
        <f t="shared" si="4"/>
        <v>5.8574892646333199E-2</v>
      </c>
      <c r="I83" s="60">
        <f t="shared" si="4"/>
        <v>6.4014049078561147E-2</v>
      </c>
      <c r="J83" s="63">
        <f t="shared" si="4"/>
        <v>6.8044412040566049E-2</v>
      </c>
      <c r="K83" s="73">
        <f t="shared" si="5"/>
        <v>3.0343053194598537E-3</v>
      </c>
      <c r="L83" s="60">
        <f t="shared" si="5"/>
        <v>1.2385554096579031E-2</v>
      </c>
      <c r="M83" s="60">
        <f t="shared" si="5"/>
        <v>2.0513440446333207E-2</v>
      </c>
      <c r="N83" s="60">
        <f t="shared" si="5"/>
        <v>2.4800166878561149E-2</v>
      </c>
      <c r="O83" s="63">
        <f t="shared" si="5"/>
        <v>2.7472185040566057E-2</v>
      </c>
      <c r="P83" s="55" t="s">
        <v>21</v>
      </c>
      <c r="Q83" s="53" t="s">
        <v>21</v>
      </c>
      <c r="R83" s="94" t="s">
        <v>21</v>
      </c>
      <c r="S83" s="71" t="s">
        <v>21</v>
      </c>
      <c r="T83" s="63" t="str">
        <f t="shared" si="6"/>
        <v/>
      </c>
      <c r="V83" s="116">
        <v>1.1303371099999999</v>
      </c>
      <c r="W83" s="108">
        <v>2.84769812</v>
      </c>
      <c r="X83" s="108">
        <v>4.3209481799999994</v>
      </c>
      <c r="Y83" s="108">
        <v>5.5376963999999997</v>
      </c>
      <c r="Z83" s="117">
        <v>6.9888267899999992</v>
      </c>
      <c r="AB83" s="73">
        <v>4.1058230019459852E-2</v>
      </c>
      <c r="AC83" s="71">
        <v>4.9601530396579031E-2</v>
      </c>
      <c r="AD83" s="71">
        <v>5.8574892646333199E-2</v>
      </c>
      <c r="AE83" s="71">
        <v>6.4014049078561147E-2</v>
      </c>
      <c r="AF83" s="63">
        <v>6.8044412040566049E-2</v>
      </c>
      <c r="AG83" s="73">
        <v>3.0343053194598537E-3</v>
      </c>
      <c r="AH83" s="71">
        <v>1.2385554096579031E-2</v>
      </c>
      <c r="AI83" s="71">
        <v>2.0513440446333207E-2</v>
      </c>
      <c r="AJ83" s="71">
        <v>2.4800166878561149E-2</v>
      </c>
      <c r="AK83" s="63">
        <v>2.7472185040566057E-2</v>
      </c>
    </row>
    <row r="84" spans="2:37" x14ac:dyDescent="0.35">
      <c r="B84" s="56" t="s">
        <v>71</v>
      </c>
      <c r="C84" s="66" t="s">
        <v>61</v>
      </c>
      <c r="D84" s="66" t="s">
        <v>69</v>
      </c>
      <c r="E84" s="66" t="s">
        <v>21</v>
      </c>
      <c r="F84" s="75">
        <f t="shared" si="4"/>
        <v>3.7237386973378014E-2</v>
      </c>
      <c r="G84" s="80">
        <f t="shared" si="4"/>
        <v>4.2602786459495036E-2</v>
      </c>
      <c r="H84" s="80">
        <f t="shared" si="4"/>
        <v>4.79105510633729E-2</v>
      </c>
      <c r="I84" s="80">
        <f t="shared" si="4"/>
        <v>5.1006440988690963E-2</v>
      </c>
      <c r="J84" s="62">
        <f t="shared" si="4"/>
        <v>5.3687543904807469E-2</v>
      </c>
      <c r="K84" s="75" t="str">
        <f t="shared" si="5"/>
        <v/>
      </c>
      <c r="L84" s="80">
        <f t="shared" si="5"/>
        <v>5.6542888594950345E-3</v>
      </c>
      <c r="M84" s="80">
        <f t="shared" si="5"/>
        <v>1.0311400263372895E-2</v>
      </c>
      <c r="N84" s="80">
        <f t="shared" si="5"/>
        <v>1.2389460588690969E-2</v>
      </c>
      <c r="O84" s="62">
        <f t="shared" si="5"/>
        <v>1.3744916004807473E-2</v>
      </c>
      <c r="P84" s="56" t="s">
        <v>21</v>
      </c>
      <c r="Q84" s="66" t="s">
        <v>21</v>
      </c>
      <c r="R84" s="100" t="s">
        <v>21</v>
      </c>
      <c r="S84" s="80" t="s">
        <v>21</v>
      </c>
      <c r="T84" s="62" t="str">
        <f t="shared" si="6"/>
        <v/>
      </c>
      <c r="V84" s="118">
        <v>1.1354947900000001</v>
      </c>
      <c r="W84" s="61">
        <v>2.8848414299999998</v>
      </c>
      <c r="X84" s="61">
        <v>4.43741319</v>
      </c>
      <c r="Y84" s="61">
        <v>5.7818266600000001</v>
      </c>
      <c r="Z84" s="119">
        <v>7.4759395199999998</v>
      </c>
      <c r="AB84" s="75">
        <v>3.7237386973378014E-2</v>
      </c>
      <c r="AC84" s="80">
        <v>4.2602786459495036E-2</v>
      </c>
      <c r="AD84" s="80">
        <v>4.79105510633729E-2</v>
      </c>
      <c r="AE84" s="80">
        <v>5.1006440988690963E-2</v>
      </c>
      <c r="AF84" s="62">
        <v>5.3687543904807469E-2</v>
      </c>
      <c r="AG84" s="75" t="s">
        <v>21</v>
      </c>
      <c r="AH84" s="80">
        <v>5.6542888594950345E-3</v>
      </c>
      <c r="AI84" s="80">
        <v>1.0311400263372895E-2</v>
      </c>
      <c r="AJ84" s="80">
        <v>1.2389460588690969E-2</v>
      </c>
      <c r="AK84" s="62">
        <v>1.3744916004807473E-2</v>
      </c>
    </row>
    <row r="85" spans="2:37" x14ac:dyDescent="0.35">
      <c r="B85" s="57" t="s">
        <v>71</v>
      </c>
      <c r="C85" s="67" t="s">
        <v>63</v>
      </c>
      <c r="D85" s="67" t="s">
        <v>69</v>
      </c>
      <c r="E85" s="67" t="s">
        <v>21</v>
      </c>
      <c r="F85" s="74">
        <f t="shared" si="4"/>
        <v>3.86912776142498E-2</v>
      </c>
      <c r="G85" s="76">
        <f t="shared" si="4"/>
        <v>4.4835873926085956E-2</v>
      </c>
      <c r="H85" s="76">
        <f t="shared" si="4"/>
        <v>5.0834075204161874E-2</v>
      </c>
      <c r="I85" s="76">
        <f t="shared" si="4"/>
        <v>5.4445886237148682E-2</v>
      </c>
      <c r="J85" s="64">
        <f t="shared" si="4"/>
        <v>5.7256248147427115E-2</v>
      </c>
      <c r="K85" s="74">
        <f t="shared" si="5"/>
        <v>7.8550081424979667E-4</v>
      </c>
      <c r="L85" s="76">
        <f t="shared" si="5"/>
        <v>7.8274664260859599E-3</v>
      </c>
      <c r="M85" s="76">
        <f t="shared" si="5"/>
        <v>1.3151060304161877E-2</v>
      </c>
      <c r="N85" s="76">
        <f t="shared" si="5"/>
        <v>1.5727647037148677E-2</v>
      </c>
      <c r="O85" s="64">
        <f t="shared" si="5"/>
        <v>1.7224018047427112E-2</v>
      </c>
      <c r="P85" s="57" t="s">
        <v>21</v>
      </c>
      <c r="Q85" s="67" t="s">
        <v>21</v>
      </c>
      <c r="R85" s="96" t="s">
        <v>21</v>
      </c>
      <c r="S85" s="76" t="s">
        <v>21</v>
      </c>
      <c r="T85" s="64" t="str">
        <f t="shared" si="6"/>
        <v/>
      </c>
      <c r="V85" s="116">
        <v>1.1344378100000001</v>
      </c>
      <c r="W85" s="108">
        <v>2.8773007400000004</v>
      </c>
      <c r="X85" s="108">
        <v>4.4159953999999999</v>
      </c>
      <c r="Y85" s="108">
        <v>5.7383420100000002</v>
      </c>
      <c r="Z85" s="117">
        <v>7.3939833299999993</v>
      </c>
      <c r="AB85" s="74">
        <v>3.86912776142498E-2</v>
      </c>
      <c r="AC85" s="76">
        <v>4.4835873926085956E-2</v>
      </c>
      <c r="AD85" s="76">
        <v>5.0834075204161874E-2</v>
      </c>
      <c r="AE85" s="76">
        <v>5.4445886237148682E-2</v>
      </c>
      <c r="AF85" s="64">
        <v>5.7256248147427115E-2</v>
      </c>
      <c r="AG85" s="74">
        <v>7.8550081424979667E-4</v>
      </c>
      <c r="AH85" s="76">
        <v>7.8274664260859599E-3</v>
      </c>
      <c r="AI85" s="76">
        <v>1.3151060304161877E-2</v>
      </c>
      <c r="AJ85" s="76">
        <v>1.5727647037148677E-2</v>
      </c>
      <c r="AK85" s="64">
        <v>1.7224018047427112E-2</v>
      </c>
    </row>
    <row r="86" spans="2:37" x14ac:dyDescent="0.35">
      <c r="B86" s="55" t="s">
        <v>72</v>
      </c>
      <c r="C86" s="53" t="s">
        <v>65</v>
      </c>
      <c r="D86" s="53" t="s">
        <v>69</v>
      </c>
      <c r="E86" s="53" t="s">
        <v>34</v>
      </c>
      <c r="F86" s="73">
        <f t="shared" si="4"/>
        <v>3.7182647533895337E-2</v>
      </c>
      <c r="G86" s="60">
        <f t="shared" si="4"/>
        <v>4.3501337931627151E-2</v>
      </c>
      <c r="H86" s="60">
        <f t="shared" si="4"/>
        <v>5.0351486192272858E-2</v>
      </c>
      <c r="I86" s="60">
        <f t="shared" si="4"/>
        <v>5.4082668194839263E-2</v>
      </c>
      <c r="J86" s="63">
        <f t="shared" si="4"/>
        <v>5.7727356517628808E-2</v>
      </c>
      <c r="K86" s="73" t="str">
        <f t="shared" si="5"/>
        <v/>
      </c>
      <c r="L86" s="60">
        <f t="shared" si="5"/>
        <v>6.5096641316271537E-3</v>
      </c>
      <c r="M86" s="60">
        <f t="shared" si="5"/>
        <v>1.2635154092272862E-2</v>
      </c>
      <c r="N86" s="60">
        <f t="shared" si="5"/>
        <v>1.5321451294839262E-2</v>
      </c>
      <c r="O86" s="63">
        <f t="shared" si="5"/>
        <v>1.7619875017628801E-2</v>
      </c>
      <c r="P86" s="55" t="s">
        <v>21</v>
      </c>
      <c r="Q86" s="53" t="s">
        <v>21</v>
      </c>
      <c r="R86" s="94" t="s">
        <v>21</v>
      </c>
      <c r="S86" s="71" t="s">
        <v>21</v>
      </c>
      <c r="T86" s="63" t="str">
        <f t="shared" si="6"/>
        <v/>
      </c>
      <c r="V86" s="118">
        <v>1.1356495799999999</v>
      </c>
      <c r="W86" s="61">
        <v>2.8795457399999997</v>
      </c>
      <c r="X86" s="61">
        <v>4.4061651799999995</v>
      </c>
      <c r="Y86" s="61">
        <v>5.7046785699999996</v>
      </c>
      <c r="Z86" s="119">
        <v>7.2973741900000002</v>
      </c>
      <c r="AB86" s="73">
        <v>3.7182647533895337E-2</v>
      </c>
      <c r="AC86" s="71">
        <v>4.3501337931627151E-2</v>
      </c>
      <c r="AD86" s="71">
        <v>5.0351486192272858E-2</v>
      </c>
      <c r="AE86" s="71">
        <v>5.4082668194839263E-2</v>
      </c>
      <c r="AF86" s="63">
        <v>5.7727356517628808E-2</v>
      </c>
      <c r="AG86" s="73" t="s">
        <v>21</v>
      </c>
      <c r="AH86" s="71">
        <v>6.5096641316271537E-3</v>
      </c>
      <c r="AI86" s="71">
        <v>1.2635154092272862E-2</v>
      </c>
      <c r="AJ86" s="71">
        <v>1.5321451294839262E-2</v>
      </c>
      <c r="AK86" s="63">
        <v>1.7619875017628801E-2</v>
      </c>
    </row>
    <row r="87" spans="2:37" x14ac:dyDescent="0.35">
      <c r="B87" s="57" t="s">
        <v>72</v>
      </c>
      <c r="C87" s="67" t="s">
        <v>66</v>
      </c>
      <c r="D87" s="67" t="s">
        <v>69</v>
      </c>
      <c r="E87" s="67" t="s">
        <v>36</v>
      </c>
      <c r="F87" s="74">
        <f t="shared" si="4"/>
        <v>3.8383497834785438E-2</v>
      </c>
      <c r="G87" s="76">
        <f t="shared" si="4"/>
        <v>4.7154867485454895E-2</v>
      </c>
      <c r="H87" s="76">
        <f t="shared" si="4"/>
        <v>5.5975964890297665E-2</v>
      </c>
      <c r="I87" s="76">
        <f t="shared" si="4"/>
        <v>6.1018947025554007E-2</v>
      </c>
      <c r="J87" s="64">
        <f t="shared" si="4"/>
        <v>6.4909670973003319E-2</v>
      </c>
      <c r="K87" s="74">
        <f t="shared" si="5"/>
        <v>4.8031033478544444E-4</v>
      </c>
      <c r="L87" s="76">
        <f t="shared" si="5"/>
        <v>1.0049479785454903E-2</v>
      </c>
      <c r="M87" s="76">
        <f t="shared" si="5"/>
        <v>1.805858089029767E-2</v>
      </c>
      <c r="N87" s="76">
        <f t="shared" si="5"/>
        <v>2.1979290325553999E-2</v>
      </c>
      <c r="O87" s="64">
        <f t="shared" si="5"/>
        <v>2.4514470373003326E-2</v>
      </c>
      <c r="P87" s="57" t="s">
        <v>21</v>
      </c>
      <c r="Q87" s="67" t="s">
        <v>21</v>
      </c>
      <c r="R87" s="96" t="s">
        <v>21</v>
      </c>
      <c r="S87" s="76" t="s">
        <v>21</v>
      </c>
      <c r="T87" s="64" t="str">
        <f t="shared" si="6"/>
        <v/>
      </c>
      <c r="V87" s="116">
        <v>1.1349273900000001</v>
      </c>
      <c r="W87" s="108">
        <v>2.8670576999999997</v>
      </c>
      <c r="X87" s="108">
        <v>4.3628506300000005</v>
      </c>
      <c r="Y87" s="108">
        <v>5.6109749799999999</v>
      </c>
      <c r="Z87" s="117">
        <v>7.1176998199999995</v>
      </c>
      <c r="AB87" s="74">
        <v>3.8383497834785438E-2</v>
      </c>
      <c r="AC87" s="76">
        <v>4.7154867485454895E-2</v>
      </c>
      <c r="AD87" s="76">
        <v>5.5975964890297665E-2</v>
      </c>
      <c r="AE87" s="76">
        <v>6.1018947025554007E-2</v>
      </c>
      <c r="AF87" s="64">
        <v>6.4909670973003319E-2</v>
      </c>
      <c r="AG87" s="74">
        <v>4.8031033478544444E-4</v>
      </c>
      <c r="AH87" s="76">
        <v>1.0049479785454903E-2</v>
      </c>
      <c r="AI87" s="76">
        <v>1.805858089029767E-2</v>
      </c>
      <c r="AJ87" s="76">
        <v>2.1979290325553999E-2</v>
      </c>
      <c r="AK87" s="64">
        <v>2.4514470373003326E-2</v>
      </c>
    </row>
    <row r="88" spans="2:37" x14ac:dyDescent="0.35">
      <c r="B88" s="57" t="s">
        <v>74</v>
      </c>
      <c r="C88" s="67" t="s">
        <v>61</v>
      </c>
      <c r="D88" s="67" t="s">
        <v>69</v>
      </c>
      <c r="E88" s="67" t="s">
        <v>314</v>
      </c>
      <c r="F88" s="74">
        <f t="shared" si="4"/>
        <v>3.8095345108537251E-2</v>
      </c>
      <c r="G88" s="76">
        <f t="shared" si="4"/>
        <v>4.4182185587096641E-2</v>
      </c>
      <c r="H88" s="76">
        <f t="shared" si="4"/>
        <v>5.0481360017599917E-2</v>
      </c>
      <c r="I88" s="76">
        <f t="shared" si="4"/>
        <v>5.4210209031573808E-2</v>
      </c>
      <c r="J88" s="64">
        <f t="shared" si="4"/>
        <v>5.7534121043308573E-2</v>
      </c>
      <c r="K88" s="74">
        <f t="shared" si="5"/>
        <v>1.867465085372633E-4</v>
      </c>
      <c r="L88" s="76">
        <f t="shared" si="5"/>
        <v>7.1611278870966459E-3</v>
      </c>
      <c r="M88" s="76">
        <f t="shared" si="5"/>
        <v>1.2759103017599919E-2</v>
      </c>
      <c r="N88" s="76">
        <f t="shared" si="5"/>
        <v>1.5441530331573812E-2</v>
      </c>
      <c r="O88" s="64">
        <f t="shared" si="5"/>
        <v>1.7434090143308573E-2</v>
      </c>
      <c r="P88" s="57" t="s">
        <v>21</v>
      </c>
      <c r="Q88" s="67" t="s">
        <v>21</v>
      </c>
      <c r="R88" s="96" t="s">
        <v>21</v>
      </c>
      <c r="S88" s="76" t="s">
        <v>21</v>
      </c>
      <c r="T88" s="64" t="str">
        <f t="shared" si="6"/>
        <v/>
      </c>
      <c r="V88" s="118">
        <v>1.13387069</v>
      </c>
      <c r="W88" s="61">
        <v>2.8722435900000001</v>
      </c>
      <c r="X88" s="61">
        <v>4.3965873899999997</v>
      </c>
      <c r="Y88" s="61">
        <v>5.69419509</v>
      </c>
      <c r="Z88" s="119">
        <v>7.2921679800000003</v>
      </c>
      <c r="AB88" s="74">
        <v>3.8095345108537251E-2</v>
      </c>
      <c r="AC88" s="76">
        <v>4.4182185587096641E-2</v>
      </c>
      <c r="AD88" s="76">
        <v>5.0481360017599917E-2</v>
      </c>
      <c r="AE88" s="76">
        <v>5.4210209031573808E-2</v>
      </c>
      <c r="AF88" s="64">
        <v>5.7534121043308573E-2</v>
      </c>
      <c r="AG88" s="74">
        <v>1.867465085372633E-4</v>
      </c>
      <c r="AH88" s="76">
        <v>7.1611278870966459E-3</v>
      </c>
      <c r="AI88" s="76">
        <v>1.2759103017599919E-2</v>
      </c>
      <c r="AJ88" s="76">
        <v>1.5441530331573812E-2</v>
      </c>
      <c r="AK88" s="64">
        <v>1.7434090143308573E-2</v>
      </c>
    </row>
    <row r="89" spans="2:37" x14ac:dyDescent="0.35">
      <c r="B89" s="55" t="s">
        <v>76</v>
      </c>
      <c r="C89" s="53" t="s">
        <v>65</v>
      </c>
      <c r="D89" s="53" t="s">
        <v>69</v>
      </c>
      <c r="E89" s="53" t="s">
        <v>34</v>
      </c>
      <c r="F89" s="73">
        <f t="shared" si="4"/>
        <v>3.8301532753340292E-2</v>
      </c>
      <c r="G89" s="60">
        <f t="shared" si="4"/>
        <v>4.4879599499973839E-2</v>
      </c>
      <c r="H89" s="60">
        <f t="shared" si="4"/>
        <v>5.2441970072308726E-2</v>
      </c>
      <c r="I89" s="60">
        <f t="shared" si="4"/>
        <v>5.6472344371781398E-2</v>
      </c>
      <c r="J89" s="63">
        <f t="shared" si="4"/>
        <v>6.0039748436757572E-2</v>
      </c>
      <c r="K89" s="73">
        <f t="shared" si="5"/>
        <v>3.8560445334028925E-4</v>
      </c>
      <c r="L89" s="60">
        <f t="shared" si="5"/>
        <v>7.8262138999738527E-3</v>
      </c>
      <c r="M89" s="60">
        <f t="shared" si="5"/>
        <v>1.4619953672308722E-2</v>
      </c>
      <c r="N89" s="60">
        <f t="shared" si="5"/>
        <v>1.7588302971781405E-2</v>
      </c>
      <c r="O89" s="63">
        <f t="shared" si="5"/>
        <v>1.981027753675757E-2</v>
      </c>
      <c r="P89" s="55" t="s">
        <v>21</v>
      </c>
      <c r="Q89" s="53" t="s">
        <v>21</v>
      </c>
      <c r="R89" s="94" t="s">
        <v>21</v>
      </c>
      <c r="S89" s="71" t="s">
        <v>21</v>
      </c>
      <c r="T89" s="63" t="str">
        <f t="shared" si="6"/>
        <v/>
      </c>
      <c r="V89" s="118">
        <v>1.1334696</v>
      </c>
      <c r="W89" s="61">
        <v>2.8672426099999999</v>
      </c>
      <c r="X89" s="61">
        <v>4.3710863900000003</v>
      </c>
      <c r="Y89" s="61">
        <v>5.6354362599999996</v>
      </c>
      <c r="Z89" s="119">
        <v>7.172136430000001</v>
      </c>
      <c r="AB89" s="73">
        <v>3.8301532753340292E-2</v>
      </c>
      <c r="AC89" s="71">
        <v>4.4879599499973839E-2</v>
      </c>
      <c r="AD89" s="71">
        <v>5.2441970072308726E-2</v>
      </c>
      <c r="AE89" s="71">
        <v>5.6472344371781398E-2</v>
      </c>
      <c r="AF89" s="63">
        <v>6.0039748436757572E-2</v>
      </c>
      <c r="AG89" s="73">
        <v>3.8560445334028925E-4</v>
      </c>
      <c r="AH89" s="71">
        <v>7.8262138999738527E-3</v>
      </c>
      <c r="AI89" s="71">
        <v>1.4619953672308722E-2</v>
      </c>
      <c r="AJ89" s="71">
        <v>1.7588302971781405E-2</v>
      </c>
      <c r="AK89" s="63">
        <v>1.981027753675757E-2</v>
      </c>
    </row>
    <row r="90" spans="2:37" x14ac:dyDescent="0.35">
      <c r="B90" s="57" t="s">
        <v>76</v>
      </c>
      <c r="C90" s="67" t="s">
        <v>66</v>
      </c>
      <c r="D90" s="67" t="s">
        <v>69</v>
      </c>
      <c r="E90" s="67" t="s">
        <v>21</v>
      </c>
      <c r="F90" s="74">
        <f t="shared" ref="F90:J110" si="11">IF(ISNUMBER(AB90),AB90-((C$4-C$3)/V90),"")</f>
        <v>3.9379584671919717E-2</v>
      </c>
      <c r="G90" s="76">
        <f t="shared" si="11"/>
        <v>4.8437477919630711E-2</v>
      </c>
      <c r="H90" s="76">
        <f t="shared" si="11"/>
        <v>5.8217100979117031E-2</v>
      </c>
      <c r="I90" s="76">
        <f t="shared" si="11"/>
        <v>6.3480919601435981E-2</v>
      </c>
      <c r="J90" s="64">
        <f t="shared" si="11"/>
        <v>6.7260175082096738E-2</v>
      </c>
      <c r="K90" s="74">
        <f t="shared" ref="K90:O110" si="12">IF(ISNUMBER(AG90),IF(AG90-((C$4-C$3)/V90)&lt;0,"",AG90-((C$4-C$3)/V90)),"")</f>
        <v>1.4532625719197133E-3</v>
      </c>
      <c r="L90" s="76">
        <f t="shared" si="12"/>
        <v>1.1282844519630708E-2</v>
      </c>
      <c r="M90" s="76">
        <f t="shared" si="12"/>
        <v>2.0184413679117039E-2</v>
      </c>
      <c r="N90" s="76">
        <f t="shared" si="12"/>
        <v>2.4307168401435993E-2</v>
      </c>
      <c r="O90" s="64">
        <f t="shared" si="12"/>
        <v>2.674183108209674E-2</v>
      </c>
      <c r="P90" s="57" t="s">
        <v>21</v>
      </c>
      <c r="Q90" s="67" t="s">
        <v>21</v>
      </c>
      <c r="R90" s="96" t="s">
        <v>21</v>
      </c>
      <c r="S90" s="76" t="s">
        <v>21</v>
      </c>
      <c r="T90" s="64" t="str">
        <f t="shared" si="6"/>
        <v/>
      </c>
      <c r="V90" s="116">
        <v>1.13335936</v>
      </c>
      <c r="W90" s="108">
        <v>2.85831452</v>
      </c>
      <c r="X90" s="108">
        <v>4.3353060699999997</v>
      </c>
      <c r="Y90" s="108">
        <v>5.5563278700000005</v>
      </c>
      <c r="Z90" s="117">
        <v>7.0196384099999998</v>
      </c>
      <c r="AB90" s="74">
        <v>3.9379584671919717E-2</v>
      </c>
      <c r="AC90" s="76">
        <v>4.8437477919630711E-2</v>
      </c>
      <c r="AD90" s="76">
        <v>5.8217100979117031E-2</v>
      </c>
      <c r="AE90" s="76">
        <v>6.3480919601435981E-2</v>
      </c>
      <c r="AF90" s="64">
        <v>6.7260175082096738E-2</v>
      </c>
      <c r="AG90" s="74">
        <v>1.4532625719197133E-3</v>
      </c>
      <c r="AH90" s="76">
        <v>1.1282844519630708E-2</v>
      </c>
      <c r="AI90" s="76">
        <v>2.0184413679117039E-2</v>
      </c>
      <c r="AJ90" s="76">
        <v>2.4307168401435993E-2</v>
      </c>
      <c r="AK90" s="64">
        <v>2.674183108209674E-2</v>
      </c>
    </row>
    <row r="91" spans="2:37" x14ac:dyDescent="0.35">
      <c r="B91" s="55" t="s">
        <v>77</v>
      </c>
      <c r="C91" s="53" t="s">
        <v>61</v>
      </c>
      <c r="D91" s="53" t="s">
        <v>69</v>
      </c>
      <c r="E91" s="53" t="s">
        <v>21</v>
      </c>
      <c r="F91" s="73">
        <f t="shared" si="11"/>
        <v>3.7361000568546548E-2</v>
      </c>
      <c r="G91" s="60">
        <f t="shared" si="11"/>
        <v>4.291723106791389E-2</v>
      </c>
      <c r="H91" s="60">
        <f t="shared" si="11"/>
        <v>4.8386657789789685E-2</v>
      </c>
      <c r="I91" s="60">
        <f t="shared" si="11"/>
        <v>5.1716383551462922E-2</v>
      </c>
      <c r="J91" s="63">
        <f t="shared" si="11"/>
        <v>5.441700877905558E-2</v>
      </c>
      <c r="K91" s="73" t="str">
        <f t="shared" si="12"/>
        <v/>
      </c>
      <c r="L91" s="60">
        <f t="shared" si="12"/>
        <v>5.9528610679138909E-3</v>
      </c>
      <c r="M91" s="60">
        <f t="shared" si="12"/>
        <v>1.0764335489789679E-2</v>
      </c>
      <c r="N91" s="60">
        <f t="shared" si="12"/>
        <v>1.3066280951462925E-2</v>
      </c>
      <c r="O91" s="63">
        <f t="shared" si="12"/>
        <v>1.4446766979055579E-2</v>
      </c>
      <c r="P91" s="55" t="s">
        <v>21</v>
      </c>
      <c r="Q91" s="53" t="s">
        <v>21</v>
      </c>
      <c r="R91" s="94" t="s">
        <v>21</v>
      </c>
      <c r="S91" s="71" t="s">
        <v>21</v>
      </c>
      <c r="T91" s="63" t="str">
        <f t="shared" si="6"/>
        <v/>
      </c>
      <c r="V91" s="118">
        <v>1.13528885</v>
      </c>
      <c r="W91" s="61">
        <v>2.8825414199999999</v>
      </c>
      <c r="X91" s="61">
        <v>4.42982415</v>
      </c>
      <c r="Y91" s="61">
        <v>5.7639303599999998</v>
      </c>
      <c r="Z91" s="119">
        <v>7.4388129200000002</v>
      </c>
      <c r="AB91" s="73">
        <v>3.7361000568546548E-2</v>
      </c>
      <c r="AC91" s="71">
        <v>4.291723106791389E-2</v>
      </c>
      <c r="AD91" s="71">
        <v>4.8386657789789685E-2</v>
      </c>
      <c r="AE91" s="71">
        <v>5.1716383551462922E-2</v>
      </c>
      <c r="AF91" s="63">
        <v>5.441700877905558E-2</v>
      </c>
      <c r="AG91" s="73" t="s">
        <v>21</v>
      </c>
      <c r="AH91" s="71">
        <v>5.9528610679138909E-3</v>
      </c>
      <c r="AI91" s="71">
        <v>1.0764335489789679E-2</v>
      </c>
      <c r="AJ91" s="71">
        <v>1.3066280951462925E-2</v>
      </c>
      <c r="AK91" s="63">
        <v>1.4446766979055579E-2</v>
      </c>
    </row>
    <row r="92" spans="2:37" x14ac:dyDescent="0.35">
      <c r="B92" s="57" t="s">
        <v>77</v>
      </c>
      <c r="C92" s="67" t="s">
        <v>63</v>
      </c>
      <c r="D92" s="67" t="s">
        <v>69</v>
      </c>
      <c r="E92" s="67" t="s">
        <v>21</v>
      </c>
      <c r="F92" s="74">
        <f t="shared" si="11"/>
        <v>3.9194957867065221E-2</v>
      </c>
      <c r="G92" s="76">
        <f t="shared" si="11"/>
        <v>4.5393928068320225E-2</v>
      </c>
      <c r="H92" s="76">
        <f t="shared" si="11"/>
        <v>5.1921429349207029E-2</v>
      </c>
      <c r="I92" s="76">
        <f t="shared" si="11"/>
        <v>5.5259247245578194E-2</v>
      </c>
      <c r="J92" s="64">
        <f t="shared" si="11"/>
        <v>5.7811742992870549E-2</v>
      </c>
      <c r="K92" s="74">
        <f t="shared" si="12"/>
        <v>1.2674905670652199E-3</v>
      </c>
      <c r="L92" s="76">
        <f t="shared" si="12"/>
        <v>8.3613897683202307E-3</v>
      </c>
      <c r="M92" s="76">
        <f t="shared" si="12"/>
        <v>1.4191137649207026E-2</v>
      </c>
      <c r="N92" s="76">
        <f t="shared" si="12"/>
        <v>1.65055574455782E-2</v>
      </c>
      <c r="O92" s="64">
        <f t="shared" si="12"/>
        <v>1.7757872592870552E-2</v>
      </c>
      <c r="P92" s="57" t="s">
        <v>21</v>
      </c>
      <c r="Q92" s="67" t="s">
        <v>21</v>
      </c>
      <c r="R92" s="96" t="s">
        <v>21</v>
      </c>
      <c r="S92" s="76" t="s">
        <v>21</v>
      </c>
      <c r="T92" s="64" t="str">
        <f t="shared" si="6"/>
        <v/>
      </c>
      <c r="V92" s="116">
        <v>1.13373916</v>
      </c>
      <c r="W92" s="108">
        <v>2.8732238300000001</v>
      </c>
      <c r="X92" s="108">
        <v>4.4023817899999997</v>
      </c>
      <c r="Y92" s="108">
        <v>5.7149847899999999</v>
      </c>
      <c r="Z92" s="117">
        <v>7.3597037399999996</v>
      </c>
      <c r="AB92" s="74">
        <v>3.9194957867065221E-2</v>
      </c>
      <c r="AC92" s="76">
        <v>4.5393928068320225E-2</v>
      </c>
      <c r="AD92" s="76">
        <v>5.1921429349207029E-2</v>
      </c>
      <c r="AE92" s="76">
        <v>5.5259247245578194E-2</v>
      </c>
      <c r="AF92" s="64">
        <v>5.7811742992870549E-2</v>
      </c>
      <c r="AG92" s="74">
        <v>1.2674905670652199E-3</v>
      </c>
      <c r="AH92" s="76">
        <v>8.3613897683202307E-3</v>
      </c>
      <c r="AI92" s="76">
        <v>1.4191137649207026E-2</v>
      </c>
      <c r="AJ92" s="76">
        <v>1.65055574455782E-2</v>
      </c>
      <c r="AK92" s="64">
        <v>1.7757872592870552E-2</v>
      </c>
    </row>
    <row r="93" spans="2:37" x14ac:dyDescent="0.35">
      <c r="B93" s="55" t="s">
        <v>78</v>
      </c>
      <c r="C93" s="53" t="s">
        <v>65</v>
      </c>
      <c r="D93" s="53" t="s">
        <v>69</v>
      </c>
      <c r="E93" s="53" t="s">
        <v>79</v>
      </c>
      <c r="F93" s="73">
        <f t="shared" si="11"/>
        <v>3.7456276788661404E-2</v>
      </c>
      <c r="G93" s="60">
        <f t="shared" si="11"/>
        <v>4.4171232464417051E-2</v>
      </c>
      <c r="H93" s="60">
        <f t="shared" si="11"/>
        <v>5.1443417792620377E-2</v>
      </c>
      <c r="I93" s="60">
        <f t="shared" si="11"/>
        <v>5.5395418464345009E-2</v>
      </c>
      <c r="J93" s="63">
        <f t="shared" si="11"/>
        <v>5.9072983855676706E-2</v>
      </c>
      <c r="K93" s="73" t="str">
        <f t="shared" si="12"/>
        <v/>
      </c>
      <c r="L93" s="60">
        <f t="shared" si="12"/>
        <v>7.1516138644170538E-3</v>
      </c>
      <c r="M93" s="60">
        <f t="shared" si="12"/>
        <v>1.3674069892620376E-2</v>
      </c>
      <c r="N93" s="60">
        <f t="shared" si="12"/>
        <v>1.6569144664345004E-2</v>
      </c>
      <c r="O93" s="63">
        <f t="shared" si="12"/>
        <v>1.8897328355676701E-2</v>
      </c>
      <c r="P93" s="55" t="s">
        <v>21</v>
      </c>
      <c r="Q93" s="53" t="s">
        <v>21</v>
      </c>
      <c r="R93" s="94" t="s">
        <v>21</v>
      </c>
      <c r="S93" s="71" t="s">
        <v>21</v>
      </c>
      <c r="T93" s="63" t="str">
        <f t="shared" si="6"/>
        <v/>
      </c>
      <c r="V93" s="118">
        <v>1.1350832900000001</v>
      </c>
      <c r="W93" s="61">
        <v>2.8743997000000001</v>
      </c>
      <c r="X93" s="61">
        <v>4.3890549299999995</v>
      </c>
      <c r="Y93" s="61">
        <v>5.6685958200000002</v>
      </c>
      <c r="Z93" s="119">
        <v>7.2281944599999992</v>
      </c>
      <c r="AB93" s="73">
        <v>3.7456276788661404E-2</v>
      </c>
      <c r="AC93" s="71">
        <v>4.4171232464417051E-2</v>
      </c>
      <c r="AD93" s="71">
        <v>5.1443417792620377E-2</v>
      </c>
      <c r="AE93" s="71">
        <v>5.5395418464345009E-2</v>
      </c>
      <c r="AF93" s="63">
        <v>5.9072983855676706E-2</v>
      </c>
      <c r="AG93" s="73" t="s">
        <v>21</v>
      </c>
      <c r="AH93" s="71">
        <v>7.1516138644170538E-3</v>
      </c>
      <c r="AI93" s="71">
        <v>1.3674069892620376E-2</v>
      </c>
      <c r="AJ93" s="71">
        <v>1.6569144664345004E-2</v>
      </c>
      <c r="AK93" s="63">
        <v>1.8897328355676701E-2</v>
      </c>
    </row>
    <row r="94" spans="2:37" x14ac:dyDescent="0.35">
      <c r="B94" s="57" t="s">
        <v>78</v>
      </c>
      <c r="C94" s="67" t="s">
        <v>66</v>
      </c>
      <c r="D94" s="67" t="s">
        <v>69</v>
      </c>
      <c r="E94" s="67" t="s">
        <v>133</v>
      </c>
      <c r="F94" s="74">
        <f t="shared" si="11"/>
        <v>3.8877222119318967E-2</v>
      </c>
      <c r="G94" s="76">
        <f t="shared" si="11"/>
        <v>4.8186532032593085E-2</v>
      </c>
      <c r="H94" s="76">
        <f t="shared" si="11"/>
        <v>5.8026958860424818E-2</v>
      </c>
      <c r="I94" s="76">
        <f t="shared" si="11"/>
        <v>6.3288122197825966E-2</v>
      </c>
      <c r="J94" s="64">
        <f t="shared" si="11"/>
        <v>6.7404305952053337E-2</v>
      </c>
      <c r="K94" s="74">
        <f t="shared" si="12"/>
        <v>9.498933193189639E-4</v>
      </c>
      <c r="L94" s="76">
        <f t="shared" si="12"/>
        <v>1.1033582032593083E-2</v>
      </c>
      <c r="M94" s="76">
        <f t="shared" si="12"/>
        <v>1.9998229460424809E-2</v>
      </c>
      <c r="N94" s="76">
        <f t="shared" si="12"/>
        <v>2.4120186397825968E-2</v>
      </c>
      <c r="O94" s="64">
        <f t="shared" si="12"/>
        <v>2.6873148752053332E-2</v>
      </c>
      <c r="P94" s="57" t="s">
        <v>21</v>
      </c>
      <c r="Q94" s="67" t="s">
        <v>21</v>
      </c>
      <c r="R94" s="96" t="s">
        <v>21</v>
      </c>
      <c r="S94" s="76" t="s">
        <v>21</v>
      </c>
      <c r="T94" s="64" t="str">
        <f t="shared" si="6"/>
        <v/>
      </c>
      <c r="V94" s="116">
        <v>1.1342596</v>
      </c>
      <c r="W94" s="108">
        <v>2.8610801299999999</v>
      </c>
      <c r="X94" s="108">
        <v>4.3398411400000008</v>
      </c>
      <c r="Y94" s="108">
        <v>5.5628243900000003</v>
      </c>
      <c r="Z94" s="117">
        <v>7.0239117100000001</v>
      </c>
      <c r="AB94" s="74">
        <v>3.8877222119318967E-2</v>
      </c>
      <c r="AC94" s="76">
        <v>4.8186532032593085E-2</v>
      </c>
      <c r="AD94" s="76">
        <v>5.8026958860424818E-2</v>
      </c>
      <c r="AE94" s="76">
        <v>6.3288122197825966E-2</v>
      </c>
      <c r="AF94" s="64">
        <v>6.7404305952053337E-2</v>
      </c>
      <c r="AG94" s="74">
        <v>9.498933193189639E-4</v>
      </c>
      <c r="AH94" s="76">
        <v>1.1033582032593083E-2</v>
      </c>
      <c r="AI94" s="76">
        <v>1.9998229460424809E-2</v>
      </c>
      <c r="AJ94" s="76">
        <v>2.4120186397825968E-2</v>
      </c>
      <c r="AK94" s="64">
        <v>2.6873148752053332E-2</v>
      </c>
    </row>
    <row r="95" spans="2:37" x14ac:dyDescent="0.35">
      <c r="B95" s="55" t="s">
        <v>80</v>
      </c>
      <c r="C95" s="53" t="s">
        <v>61</v>
      </c>
      <c r="D95" s="53" t="s">
        <v>69</v>
      </c>
      <c r="E95" s="53" t="s">
        <v>21</v>
      </c>
      <c r="F95" s="73">
        <f t="shared" si="11"/>
        <v>3.689406494418776E-2</v>
      </c>
      <c r="G95" s="60">
        <f t="shared" si="11"/>
        <v>4.2563380142099427E-2</v>
      </c>
      <c r="H95" s="71">
        <f t="shared" si="11"/>
        <v>4.8779496194390919E-2</v>
      </c>
      <c r="I95" s="71">
        <f t="shared" si="11"/>
        <v>5.2056849290156512E-2</v>
      </c>
      <c r="J95" s="63">
        <f t="shared" si="11"/>
        <v>5.514330108661715E-2</v>
      </c>
      <c r="K95" s="73" t="str">
        <f t="shared" si="12"/>
        <v/>
      </c>
      <c r="L95" s="60">
        <f t="shared" si="12"/>
        <v>5.616722642099432E-3</v>
      </c>
      <c r="M95" s="71">
        <f t="shared" si="12"/>
        <v>1.1141108794390923E-2</v>
      </c>
      <c r="N95" s="71">
        <f t="shared" si="12"/>
        <v>1.3394503690156507E-2</v>
      </c>
      <c r="O95" s="63">
        <f t="shared" si="12"/>
        <v>1.514673338661714E-2</v>
      </c>
      <c r="P95" s="55" t="s">
        <v>21</v>
      </c>
      <c r="Q95" s="53" t="s">
        <v>21</v>
      </c>
      <c r="R95" s="94" t="s">
        <v>21</v>
      </c>
      <c r="S95" s="71" t="s">
        <v>21</v>
      </c>
      <c r="T95" s="63" t="str">
        <f t="shared" si="6"/>
        <v/>
      </c>
      <c r="V95" s="118">
        <v>1.1361530200000001</v>
      </c>
      <c r="W95" s="61">
        <v>2.8862277000000001</v>
      </c>
      <c r="X95" s="61">
        <v>4.4300940099999995</v>
      </c>
      <c r="Y95" s="61">
        <v>5.75812144</v>
      </c>
      <c r="Z95" s="119">
        <v>7.41483325</v>
      </c>
      <c r="AB95" s="73">
        <v>3.689406494418776E-2</v>
      </c>
      <c r="AC95" s="71">
        <v>4.2563380142099427E-2</v>
      </c>
      <c r="AD95" s="71">
        <v>4.8779496194390919E-2</v>
      </c>
      <c r="AE95" s="71">
        <v>5.2056849290156512E-2</v>
      </c>
      <c r="AF95" s="63">
        <v>5.514330108661715E-2</v>
      </c>
      <c r="AG95" s="73" t="s">
        <v>21</v>
      </c>
      <c r="AH95" s="71">
        <v>5.616722642099432E-3</v>
      </c>
      <c r="AI95" s="71">
        <v>1.1141108794390923E-2</v>
      </c>
      <c r="AJ95" s="71">
        <v>1.3394503690156507E-2</v>
      </c>
      <c r="AK95" s="63">
        <v>1.514673338661714E-2</v>
      </c>
    </row>
    <row r="96" spans="2:37" x14ac:dyDescent="0.35">
      <c r="B96" s="55" t="s">
        <v>80</v>
      </c>
      <c r="C96" s="53" t="s">
        <v>63</v>
      </c>
      <c r="D96" s="53" t="s">
        <v>69</v>
      </c>
      <c r="E96" s="53" t="s">
        <v>36</v>
      </c>
      <c r="F96" s="73">
        <f t="shared" si="11"/>
        <v>3.9049686163134825E-2</v>
      </c>
      <c r="G96" s="60">
        <f t="shared" si="11"/>
        <v>4.552412762192036E-2</v>
      </c>
      <c r="H96" s="71">
        <f t="shared" si="11"/>
        <v>5.1977959431034657E-2</v>
      </c>
      <c r="I96" s="71">
        <f t="shared" si="11"/>
        <v>5.5890971342463951E-2</v>
      </c>
      <c r="J96" s="63">
        <f t="shared" si="11"/>
        <v>5.9222816593146134E-2</v>
      </c>
      <c r="K96" s="73">
        <f t="shared" si="12"/>
        <v>1.1271811631348222E-3</v>
      </c>
      <c r="L96" s="60">
        <f t="shared" si="12"/>
        <v>8.4864637219203634E-3</v>
      </c>
      <c r="M96" s="71">
        <f t="shared" si="12"/>
        <v>1.4245086031034655E-2</v>
      </c>
      <c r="N96" s="71">
        <f t="shared" si="12"/>
        <v>1.7109492442463955E-2</v>
      </c>
      <c r="O96" s="63">
        <f t="shared" si="12"/>
        <v>1.9106027793146133E-2</v>
      </c>
      <c r="P96" s="55" t="s">
        <v>21</v>
      </c>
      <c r="Q96" s="53" t="s">
        <v>21</v>
      </c>
      <c r="R96" s="94" t="s">
        <v>21</v>
      </c>
      <c r="S96" s="71" t="s">
        <v>21</v>
      </c>
      <c r="T96" s="63" t="str">
        <f t="shared" si="6"/>
        <v/>
      </c>
      <c r="V96" s="116">
        <v>1.1339483699999999</v>
      </c>
      <c r="W96" s="108">
        <v>2.8729515800000001</v>
      </c>
      <c r="X96" s="108">
        <v>4.4023436700000005</v>
      </c>
      <c r="Y96" s="108">
        <v>5.70834727</v>
      </c>
      <c r="Z96" s="117">
        <v>7.3258604099999998</v>
      </c>
      <c r="AB96" s="73">
        <v>3.9049686163134825E-2</v>
      </c>
      <c r="AC96" s="71">
        <v>4.552412762192036E-2</v>
      </c>
      <c r="AD96" s="71">
        <v>5.1977959431034657E-2</v>
      </c>
      <c r="AE96" s="71">
        <v>5.5890971342463951E-2</v>
      </c>
      <c r="AF96" s="63">
        <v>5.9222816593146134E-2</v>
      </c>
      <c r="AG96" s="73">
        <v>1.1271811631348222E-3</v>
      </c>
      <c r="AH96" s="71">
        <v>8.4864637219203634E-3</v>
      </c>
      <c r="AI96" s="71">
        <v>1.4245086031034655E-2</v>
      </c>
      <c r="AJ96" s="71">
        <v>1.7109492442463955E-2</v>
      </c>
      <c r="AK96" s="63">
        <v>1.9106027793146133E-2</v>
      </c>
    </row>
    <row r="97" spans="2:37" x14ac:dyDescent="0.35">
      <c r="B97" s="56" t="s">
        <v>82</v>
      </c>
      <c r="C97" s="66" t="s">
        <v>65</v>
      </c>
      <c r="D97" s="66" t="s">
        <v>69</v>
      </c>
      <c r="E97" s="66" t="s">
        <v>34</v>
      </c>
      <c r="F97" s="75">
        <f t="shared" si="11"/>
        <v>3.7888063159213378E-2</v>
      </c>
      <c r="G97" s="80">
        <f t="shared" si="11"/>
        <v>4.4819709574165027E-2</v>
      </c>
      <c r="H97" s="80">
        <f t="shared" si="11"/>
        <v>5.2488737131408822E-2</v>
      </c>
      <c r="I97" s="80">
        <f t="shared" si="11"/>
        <v>5.6518045437763037E-2</v>
      </c>
      <c r="J97" s="62">
        <f t="shared" si="11"/>
        <v>6.0132198750742973E-2</v>
      </c>
      <c r="K97" s="75" t="str">
        <f t="shared" si="12"/>
        <v/>
      </c>
      <c r="L97" s="80">
        <f t="shared" si="12"/>
        <v>7.7682827741650355E-3</v>
      </c>
      <c r="M97" s="80">
        <f t="shared" si="12"/>
        <v>1.4663839531408818E-2</v>
      </c>
      <c r="N97" s="80">
        <f t="shared" si="12"/>
        <v>1.763162963776304E-2</v>
      </c>
      <c r="O97" s="62">
        <f t="shared" si="12"/>
        <v>1.989786245074298E-2</v>
      </c>
      <c r="P97" s="56" t="s">
        <v>21</v>
      </c>
      <c r="Q97" s="66" t="s">
        <v>21</v>
      </c>
      <c r="R97" s="100" t="s">
        <v>21</v>
      </c>
      <c r="S97" s="80" t="s">
        <v>21</v>
      </c>
      <c r="T97" s="62" t="str">
        <f t="shared" si="6"/>
        <v/>
      </c>
      <c r="V97" s="114">
        <v>1.13427521</v>
      </c>
      <c r="W97" s="72">
        <v>2.8690054599999999</v>
      </c>
      <c r="X97" s="72">
        <v>4.3723723100000003</v>
      </c>
      <c r="Y97" s="72">
        <v>5.6358218500000001</v>
      </c>
      <c r="Z97" s="115">
        <v>7.1701267400000006</v>
      </c>
      <c r="AB97" s="75">
        <v>3.7888063159213378E-2</v>
      </c>
      <c r="AC97" s="80">
        <v>4.4819709574165027E-2</v>
      </c>
      <c r="AD97" s="80">
        <v>5.2488737131408822E-2</v>
      </c>
      <c r="AE97" s="80">
        <v>5.6518045437763037E-2</v>
      </c>
      <c r="AF97" s="62">
        <v>6.0132198750742973E-2</v>
      </c>
      <c r="AG97" s="75" t="s">
        <v>21</v>
      </c>
      <c r="AH97" s="80">
        <v>7.7682827741650355E-3</v>
      </c>
      <c r="AI97" s="80">
        <v>1.4663839531408818E-2</v>
      </c>
      <c r="AJ97" s="80">
        <v>1.763162963776304E-2</v>
      </c>
      <c r="AK97" s="62">
        <v>1.989786245074298E-2</v>
      </c>
    </row>
    <row r="98" spans="2:37" x14ac:dyDescent="0.35">
      <c r="B98" s="57" t="s">
        <v>82</v>
      </c>
      <c r="C98" s="67" t="s">
        <v>66</v>
      </c>
      <c r="D98" s="67" t="s">
        <v>69</v>
      </c>
      <c r="E98" s="67" t="s">
        <v>21</v>
      </c>
      <c r="F98" s="74">
        <f t="shared" si="11"/>
        <v>3.893629665682017E-2</v>
      </c>
      <c r="G98" s="76">
        <f t="shared" si="11"/>
        <v>4.8512385487840537E-2</v>
      </c>
      <c r="H98" s="76">
        <f t="shared" si="11"/>
        <v>5.832065381387997E-2</v>
      </c>
      <c r="I98" s="76">
        <f t="shared" si="11"/>
        <v>6.3671543623242455E-2</v>
      </c>
      <c r="J98" s="64">
        <f t="shared" si="11"/>
        <v>6.7790447297662773E-2</v>
      </c>
      <c r="K98" s="74">
        <f t="shared" si="12"/>
        <v>1.0138774568201692E-3</v>
      </c>
      <c r="L98" s="76">
        <f t="shared" si="12"/>
        <v>1.1348599887840535E-2</v>
      </c>
      <c r="M98" s="76">
        <f t="shared" si="12"/>
        <v>2.0277936013879963E-2</v>
      </c>
      <c r="N98" s="76">
        <f t="shared" si="12"/>
        <v>2.4483480623242449E-2</v>
      </c>
      <c r="O98" s="64">
        <f t="shared" si="12"/>
        <v>2.723941249766279E-2</v>
      </c>
      <c r="P98" s="57" t="s">
        <v>21</v>
      </c>
      <c r="Q98" s="67" t="s">
        <v>21</v>
      </c>
      <c r="R98" s="96" t="s">
        <v>21</v>
      </c>
      <c r="S98" s="76" t="s">
        <v>21</v>
      </c>
      <c r="T98" s="64" t="str">
        <f t="shared" si="6"/>
        <v/>
      </c>
      <c r="V98" s="114">
        <v>1.1341338400000001</v>
      </c>
      <c r="W98" s="72">
        <v>2.8593272600000001</v>
      </c>
      <c r="X98" s="72">
        <v>4.3353718899999993</v>
      </c>
      <c r="Y98" s="72">
        <v>5.5543291899999998</v>
      </c>
      <c r="Z98" s="115">
        <v>7.0084088700000002</v>
      </c>
      <c r="AB98" s="74">
        <v>3.893629665682017E-2</v>
      </c>
      <c r="AC98" s="76">
        <v>4.8512385487840537E-2</v>
      </c>
      <c r="AD98" s="76">
        <v>5.832065381387997E-2</v>
      </c>
      <c r="AE98" s="76">
        <v>6.3671543623242455E-2</v>
      </c>
      <c r="AF98" s="64">
        <v>6.7790447297662773E-2</v>
      </c>
      <c r="AG98" s="74">
        <v>1.0138774568201692E-3</v>
      </c>
      <c r="AH98" s="76">
        <v>1.1348599887840535E-2</v>
      </c>
      <c r="AI98" s="76">
        <v>2.0277936013879963E-2</v>
      </c>
      <c r="AJ98" s="76">
        <v>2.4483480623242449E-2</v>
      </c>
      <c r="AK98" s="64">
        <v>2.723941249766279E-2</v>
      </c>
    </row>
    <row r="99" spans="2:37" x14ac:dyDescent="0.35">
      <c r="B99" s="79" t="s">
        <v>452</v>
      </c>
      <c r="C99" s="78"/>
      <c r="D99" s="78"/>
      <c r="E99" s="78"/>
      <c r="F99" s="78" t="str">
        <f t="shared" si="11"/>
        <v/>
      </c>
      <c r="G99" s="78" t="str">
        <f t="shared" si="11"/>
        <v/>
      </c>
      <c r="H99" s="78" t="str">
        <f t="shared" si="11"/>
        <v/>
      </c>
      <c r="I99" s="78" t="str">
        <f t="shared" si="11"/>
        <v/>
      </c>
      <c r="J99" s="78" t="str">
        <f t="shared" si="11"/>
        <v/>
      </c>
      <c r="K99" s="78" t="str">
        <f t="shared" si="12"/>
        <v/>
      </c>
      <c r="L99" s="78" t="str">
        <f t="shared" si="12"/>
        <v/>
      </c>
      <c r="M99" s="78" t="str">
        <f t="shared" si="12"/>
        <v/>
      </c>
      <c r="N99" s="78" t="str">
        <f t="shared" si="12"/>
        <v/>
      </c>
      <c r="O99" s="77" t="str">
        <f t="shared" si="12"/>
        <v/>
      </c>
      <c r="P99" s="79"/>
      <c r="Q99" s="78"/>
      <c r="R99" s="95"/>
      <c r="S99" s="78"/>
      <c r="T99" s="77" t="str">
        <f t="shared" si="6"/>
        <v/>
      </c>
      <c r="V99" s="112"/>
      <c r="W99" s="107"/>
      <c r="X99" s="107"/>
      <c r="Y99" s="107"/>
      <c r="Z99" s="113"/>
      <c r="AB99" s="78"/>
      <c r="AC99" s="78"/>
      <c r="AD99" s="78"/>
      <c r="AE99" s="78"/>
      <c r="AF99" s="78"/>
      <c r="AG99" s="78"/>
      <c r="AH99" s="78"/>
      <c r="AI99" s="78"/>
      <c r="AJ99" s="78"/>
      <c r="AK99" s="77"/>
    </row>
    <row r="100" spans="2:37" x14ac:dyDescent="0.35">
      <c r="B100" s="55" t="s">
        <v>84</v>
      </c>
      <c r="C100" s="53" t="s">
        <v>85</v>
      </c>
      <c r="D100" s="53" t="s">
        <v>20</v>
      </c>
      <c r="E100" s="53" t="s">
        <v>453</v>
      </c>
      <c r="F100" s="73">
        <f t="shared" si="11"/>
        <v>3.9784662560414484E-2</v>
      </c>
      <c r="G100" s="60">
        <f t="shared" si="11"/>
        <v>4.5486441355580005E-2</v>
      </c>
      <c r="H100" s="71">
        <f t="shared" si="11"/>
        <v>5.1745688835111554E-2</v>
      </c>
      <c r="I100" s="71">
        <f t="shared" si="11"/>
        <v>5.5180447383329889E-2</v>
      </c>
      <c r="J100" s="63">
        <f t="shared" si="11"/>
        <v>5.8173835446610062E-2</v>
      </c>
      <c r="K100" s="73">
        <f t="shared" si="12"/>
        <v>1.8229157604144949E-3</v>
      </c>
      <c r="L100" s="60">
        <f t="shared" si="12"/>
        <v>8.4253562555800052E-3</v>
      </c>
      <c r="M100" s="71">
        <f t="shared" si="12"/>
        <v>1.3982613535111559E-2</v>
      </c>
      <c r="N100" s="71">
        <f t="shared" si="12"/>
        <v>1.63864067833299E-2</v>
      </c>
      <c r="O100" s="63">
        <f t="shared" si="12"/>
        <v>1.8065887946610067E-2</v>
      </c>
      <c r="P100" s="55" t="s">
        <v>21</v>
      </c>
      <c r="Q100" s="53" t="s">
        <v>21</v>
      </c>
      <c r="R100" s="94" t="s">
        <v>21</v>
      </c>
      <c r="S100" s="71" t="s">
        <v>21</v>
      </c>
      <c r="T100" s="63" t="str">
        <f t="shared" si="6"/>
        <v/>
      </c>
      <c r="V100" s="114">
        <v>1.1316808700000001</v>
      </c>
      <c r="W100" s="72">
        <v>2.8634681799999999</v>
      </c>
      <c r="X100" s="72">
        <v>4.38032194</v>
      </c>
      <c r="Y100" s="72">
        <v>5.67056366</v>
      </c>
      <c r="Z100" s="115">
        <v>7.2654849400000003</v>
      </c>
      <c r="AB100" s="73">
        <v>3.9784662560414484E-2</v>
      </c>
      <c r="AC100" s="71">
        <v>4.5486441355580005E-2</v>
      </c>
      <c r="AD100" s="71">
        <v>5.1745688835111554E-2</v>
      </c>
      <c r="AE100" s="71">
        <v>5.5180447383329889E-2</v>
      </c>
      <c r="AF100" s="63">
        <v>5.8173835446610062E-2</v>
      </c>
      <c r="AG100" s="73">
        <v>1.8229157604144949E-3</v>
      </c>
      <c r="AH100" s="71">
        <v>8.4253562555800052E-3</v>
      </c>
      <c r="AI100" s="71">
        <v>1.3982613535111559E-2</v>
      </c>
      <c r="AJ100" s="71">
        <v>1.63864067833299E-2</v>
      </c>
      <c r="AK100" s="63">
        <v>1.8065887946610067E-2</v>
      </c>
    </row>
    <row r="101" spans="2:37" x14ac:dyDescent="0.35">
      <c r="B101" s="55" t="s">
        <v>86</v>
      </c>
      <c r="C101" s="53" t="s">
        <v>85</v>
      </c>
      <c r="D101" s="53" t="s">
        <v>20</v>
      </c>
      <c r="E101" s="53" t="s">
        <v>453</v>
      </c>
      <c r="F101" s="73">
        <f t="shared" si="11"/>
        <v>3.9836933388666833E-2</v>
      </c>
      <c r="G101" s="60">
        <f t="shared" si="11"/>
        <v>4.5740212577093597E-2</v>
      </c>
      <c r="H101" s="71">
        <f t="shared" si="11"/>
        <v>5.1864113863823398E-2</v>
      </c>
      <c r="I101" s="71">
        <f t="shared" si="11"/>
        <v>5.5303938109326357E-2</v>
      </c>
      <c r="J101" s="63">
        <f t="shared" si="11"/>
        <v>5.8381144952890651E-2</v>
      </c>
      <c r="K101" s="73">
        <f t="shared" si="12"/>
        <v>1.8738522886668357E-3</v>
      </c>
      <c r="L101" s="60">
        <f t="shared" si="12"/>
        <v>8.6677315770936E-3</v>
      </c>
      <c r="M101" s="71">
        <f t="shared" si="12"/>
        <v>1.4095353263823406E-2</v>
      </c>
      <c r="N101" s="71">
        <f t="shared" si="12"/>
        <v>1.6504494809326354E-2</v>
      </c>
      <c r="O101" s="63">
        <f t="shared" si="12"/>
        <v>1.8263759452890656E-2</v>
      </c>
      <c r="P101" s="55" t="s">
        <v>21</v>
      </c>
      <c r="Q101" s="53" t="s">
        <v>21</v>
      </c>
      <c r="R101" s="94" t="s">
        <v>21</v>
      </c>
      <c r="S101" s="71" t="s">
        <v>21</v>
      </c>
      <c r="T101" s="63" t="str">
        <f t="shared" si="6"/>
        <v/>
      </c>
      <c r="V101" s="114">
        <v>1.13156703</v>
      </c>
      <c r="W101" s="72">
        <v>2.8624252299999999</v>
      </c>
      <c r="X101" s="72">
        <v>4.3781770099999999</v>
      </c>
      <c r="Y101" s="72">
        <v>5.6654493600000002</v>
      </c>
      <c r="Z101" s="115">
        <v>7.2560251199999994</v>
      </c>
      <c r="AB101" s="73">
        <v>3.9836933388666833E-2</v>
      </c>
      <c r="AC101" s="71">
        <v>4.5740212577093597E-2</v>
      </c>
      <c r="AD101" s="71">
        <v>5.1864113863823398E-2</v>
      </c>
      <c r="AE101" s="71">
        <v>5.5303938109326357E-2</v>
      </c>
      <c r="AF101" s="63">
        <v>5.8381144952890651E-2</v>
      </c>
      <c r="AG101" s="73">
        <v>1.8738522886668357E-3</v>
      </c>
      <c r="AH101" s="71">
        <v>8.6677315770936E-3</v>
      </c>
      <c r="AI101" s="71">
        <v>1.4095353263823406E-2</v>
      </c>
      <c r="AJ101" s="71">
        <v>1.6504494809326354E-2</v>
      </c>
      <c r="AK101" s="63">
        <v>1.8263759452890656E-2</v>
      </c>
    </row>
    <row r="102" spans="2:37" x14ac:dyDescent="0.35">
      <c r="B102" s="55" t="s">
        <v>87</v>
      </c>
      <c r="C102" s="53" t="s">
        <v>85</v>
      </c>
      <c r="D102" s="53" t="s">
        <v>20</v>
      </c>
      <c r="E102" s="53" t="s">
        <v>88</v>
      </c>
      <c r="F102" s="73">
        <f t="shared" si="11"/>
        <v>3.9636994740009243E-2</v>
      </c>
      <c r="G102" s="60">
        <f t="shared" si="11"/>
        <v>4.5593457846083485E-2</v>
      </c>
      <c r="H102" s="71">
        <f t="shared" si="11"/>
        <v>5.2018288512938965E-2</v>
      </c>
      <c r="I102" s="71">
        <f t="shared" si="11"/>
        <v>5.5183897854567038E-2</v>
      </c>
      <c r="J102" s="63">
        <f t="shared" si="11"/>
        <v>5.8226829110758965E-2</v>
      </c>
      <c r="K102" s="73">
        <f t="shared" si="12"/>
        <v>1.6841703400092495E-3</v>
      </c>
      <c r="L102" s="60">
        <f t="shared" si="12"/>
        <v>8.5283829460834799E-3</v>
      </c>
      <c r="M102" s="71">
        <f t="shared" si="12"/>
        <v>1.424204581293897E-2</v>
      </c>
      <c r="N102" s="71">
        <f t="shared" si="12"/>
        <v>1.6389821254567033E-2</v>
      </c>
      <c r="O102" s="63">
        <f t="shared" si="12"/>
        <v>1.8116336810758964E-2</v>
      </c>
      <c r="P102" s="55" t="s">
        <v>21</v>
      </c>
      <c r="Q102" s="53" t="s">
        <v>21</v>
      </c>
      <c r="R102" s="94" t="s">
        <v>21</v>
      </c>
      <c r="S102" s="71" t="s">
        <v>21</v>
      </c>
      <c r="T102" s="63" t="str">
        <f t="shared" si="6"/>
        <v/>
      </c>
      <c r="V102" s="114">
        <v>1.1319305399999999</v>
      </c>
      <c r="W102" s="72">
        <v>2.8628021299999999</v>
      </c>
      <c r="X102" s="72">
        <v>4.3772478399999999</v>
      </c>
      <c r="Y102" s="72">
        <v>5.6692708000000005</v>
      </c>
      <c r="Z102" s="115">
        <v>7.2626330799999996</v>
      </c>
      <c r="AB102" s="73">
        <v>3.9636994740009243E-2</v>
      </c>
      <c r="AC102" s="71">
        <v>4.5593457846083485E-2</v>
      </c>
      <c r="AD102" s="71">
        <v>5.2018288512938965E-2</v>
      </c>
      <c r="AE102" s="71">
        <v>5.5183897854567038E-2</v>
      </c>
      <c r="AF102" s="63">
        <v>5.8226829110758965E-2</v>
      </c>
      <c r="AG102" s="73">
        <v>1.6841703400092495E-3</v>
      </c>
      <c r="AH102" s="71">
        <v>8.5283829460834799E-3</v>
      </c>
      <c r="AI102" s="71">
        <v>1.424204581293897E-2</v>
      </c>
      <c r="AJ102" s="71">
        <v>1.6389821254567033E-2</v>
      </c>
      <c r="AK102" s="63">
        <v>1.8116336810758964E-2</v>
      </c>
    </row>
    <row r="103" spans="2:37" x14ac:dyDescent="0.35">
      <c r="B103" s="55" t="s">
        <v>89</v>
      </c>
      <c r="C103" s="53" t="s">
        <v>85</v>
      </c>
      <c r="D103" s="53" t="s">
        <v>20</v>
      </c>
      <c r="E103" s="53" t="s">
        <v>314</v>
      </c>
      <c r="F103" s="73">
        <f t="shared" si="11"/>
        <v>3.8372932248997196E-2</v>
      </c>
      <c r="G103" s="60">
        <f t="shared" si="11"/>
        <v>4.409802328610541E-2</v>
      </c>
      <c r="H103" s="71">
        <f t="shared" si="11"/>
        <v>4.9759378787831529E-2</v>
      </c>
      <c r="I103" s="71">
        <f t="shared" si="11"/>
        <v>5.3101777246917038E-2</v>
      </c>
      <c r="J103" s="63">
        <f t="shared" si="11"/>
        <v>5.6043074500214486E-2</v>
      </c>
      <c r="K103" s="73">
        <f t="shared" si="12"/>
        <v>4.7044174899719092E-4</v>
      </c>
      <c r="L103" s="60">
        <f t="shared" si="12"/>
        <v>7.1024692861054121E-3</v>
      </c>
      <c r="M103" s="71">
        <f t="shared" si="12"/>
        <v>1.2095359887831527E-2</v>
      </c>
      <c r="N103" s="71">
        <f t="shared" si="12"/>
        <v>1.4410325546917043E-2</v>
      </c>
      <c r="O103" s="63">
        <f t="shared" si="12"/>
        <v>1.6026396800214494E-2</v>
      </c>
      <c r="P103" s="55" t="s">
        <v>21</v>
      </c>
      <c r="Q103" s="53" t="s">
        <v>21</v>
      </c>
      <c r="R103" s="94" t="s">
        <v>21</v>
      </c>
      <c r="S103" s="71" t="s">
        <v>21</v>
      </c>
      <c r="T103" s="63" t="str">
        <f t="shared" si="6"/>
        <v/>
      </c>
      <c r="V103" s="114">
        <v>1.1343102900000002</v>
      </c>
      <c r="W103" s="72">
        <v>2.8763871600000002</v>
      </c>
      <c r="X103" s="72">
        <v>4.4145518600000004</v>
      </c>
      <c r="Y103" s="72">
        <v>5.7352806100000002</v>
      </c>
      <c r="Z103" s="115">
        <v>7.3832117700000008</v>
      </c>
      <c r="AB103" s="73">
        <v>3.8372932248997196E-2</v>
      </c>
      <c r="AC103" s="71">
        <v>4.409802328610541E-2</v>
      </c>
      <c r="AD103" s="71">
        <v>4.9759378787831529E-2</v>
      </c>
      <c r="AE103" s="71">
        <v>5.3101777246917038E-2</v>
      </c>
      <c r="AF103" s="63">
        <v>5.6043074500214486E-2</v>
      </c>
      <c r="AG103" s="73">
        <v>4.7044174899719092E-4</v>
      </c>
      <c r="AH103" s="71">
        <v>7.1024692861054121E-3</v>
      </c>
      <c r="AI103" s="71">
        <v>1.2095359887831527E-2</v>
      </c>
      <c r="AJ103" s="71">
        <v>1.4410325546917043E-2</v>
      </c>
      <c r="AK103" s="63">
        <v>1.6026396800214494E-2</v>
      </c>
    </row>
    <row r="104" spans="2:37" x14ac:dyDescent="0.35">
      <c r="B104" s="55" t="s">
        <v>90</v>
      </c>
      <c r="C104" s="53" t="s">
        <v>85</v>
      </c>
      <c r="D104" s="53" t="s">
        <v>20</v>
      </c>
      <c r="E104" s="53" t="s">
        <v>75</v>
      </c>
      <c r="F104" s="73">
        <f t="shared" si="11"/>
        <v>3.97198539358736E-2</v>
      </c>
      <c r="G104" s="60">
        <f t="shared" si="11"/>
        <v>4.5863100547109868E-2</v>
      </c>
      <c r="H104" s="71">
        <f t="shared" si="11"/>
        <v>5.2316429566037596E-2</v>
      </c>
      <c r="I104" s="71">
        <f t="shared" si="11"/>
        <v>5.5845551518668296E-2</v>
      </c>
      <c r="J104" s="63">
        <f t="shared" si="11"/>
        <v>5.8760239836054377E-2</v>
      </c>
      <c r="K104" s="73">
        <f t="shared" si="12"/>
        <v>1.7568926358735946E-3</v>
      </c>
      <c r="L104" s="60">
        <f t="shared" si="12"/>
        <v>8.7823445471098653E-3</v>
      </c>
      <c r="M104" s="71">
        <f t="shared" si="12"/>
        <v>1.4523034266037595E-2</v>
      </c>
      <c r="N104" s="71">
        <f t="shared" si="12"/>
        <v>1.70168147186683E-2</v>
      </c>
      <c r="O104" s="63">
        <f t="shared" si="12"/>
        <v>1.862354243605439E-2</v>
      </c>
      <c r="P104" s="55" t="s">
        <v>21</v>
      </c>
      <c r="Q104" s="53" t="s">
        <v>21</v>
      </c>
      <c r="R104" s="94" t="s">
        <v>21</v>
      </c>
      <c r="S104" s="71" t="s">
        <v>21</v>
      </c>
      <c r="T104" s="63" t="str">
        <f t="shared" si="6"/>
        <v/>
      </c>
      <c r="V104" s="114">
        <v>1.1317806500000001</v>
      </c>
      <c r="W104" s="72">
        <v>2.8619732299999998</v>
      </c>
      <c r="X104" s="72">
        <v>4.37232603</v>
      </c>
      <c r="Y104" s="72">
        <v>5.6529125000000002</v>
      </c>
      <c r="Z104" s="115">
        <v>7.2332486999999999</v>
      </c>
      <c r="AB104" s="73">
        <v>3.97198539358736E-2</v>
      </c>
      <c r="AC104" s="71">
        <v>4.5863100547109868E-2</v>
      </c>
      <c r="AD104" s="71">
        <v>5.2316429566037596E-2</v>
      </c>
      <c r="AE104" s="71">
        <v>5.5845551518668296E-2</v>
      </c>
      <c r="AF104" s="63">
        <v>5.8760239836054377E-2</v>
      </c>
      <c r="AG104" s="73">
        <v>1.7568926358735946E-3</v>
      </c>
      <c r="AH104" s="71">
        <v>8.7823445471098653E-3</v>
      </c>
      <c r="AI104" s="71">
        <v>1.4523034266037595E-2</v>
      </c>
      <c r="AJ104" s="71">
        <v>1.70168147186683E-2</v>
      </c>
      <c r="AK104" s="63">
        <v>1.862354243605439E-2</v>
      </c>
    </row>
    <row r="105" spans="2:37" x14ac:dyDescent="0.35">
      <c r="B105" s="55" t="s">
        <v>91</v>
      </c>
      <c r="C105" s="53" t="s">
        <v>85</v>
      </c>
      <c r="D105" s="53" t="s">
        <v>20</v>
      </c>
      <c r="E105" s="53" t="s">
        <v>92</v>
      </c>
      <c r="F105" s="73">
        <f t="shared" si="11"/>
        <v>3.9014060819407809E-2</v>
      </c>
      <c r="G105" s="60">
        <f t="shared" si="11"/>
        <v>4.4812998729638641E-2</v>
      </c>
      <c r="H105" s="71">
        <f t="shared" si="11"/>
        <v>5.1074433529211809E-2</v>
      </c>
      <c r="I105" s="71">
        <f t="shared" si="11"/>
        <v>5.4414603851628045E-2</v>
      </c>
      <c r="J105" s="63">
        <f t="shared" si="11"/>
        <v>5.741566217776483E-2</v>
      </c>
      <c r="K105" s="73">
        <f t="shared" si="12"/>
        <v>1.0809797194078095E-3</v>
      </c>
      <c r="L105" s="60">
        <f t="shared" si="12"/>
        <v>7.7824505296386444E-3</v>
      </c>
      <c r="M105" s="71">
        <f t="shared" si="12"/>
        <v>1.3344864729211814E-2</v>
      </c>
      <c r="N105" s="71">
        <f t="shared" si="12"/>
        <v>1.5659737051628042E-2</v>
      </c>
      <c r="O105" s="63">
        <f t="shared" si="12"/>
        <v>1.7341944277764823E-2</v>
      </c>
      <c r="P105" s="55" t="s">
        <v>21</v>
      </c>
      <c r="Q105" s="53" t="s">
        <v>21</v>
      </c>
      <c r="R105" s="94" t="s">
        <v>21</v>
      </c>
      <c r="S105" s="71" t="s">
        <v>21</v>
      </c>
      <c r="T105" s="63" t="str">
        <f t="shared" si="6"/>
        <v/>
      </c>
      <c r="V105" s="114">
        <v>1.1331249700000001</v>
      </c>
      <c r="W105" s="72">
        <v>2.8703326200000001</v>
      </c>
      <c r="X105" s="72">
        <v>4.3942344599999998</v>
      </c>
      <c r="Y105" s="72">
        <v>5.69422593</v>
      </c>
      <c r="Z105" s="115">
        <v>7.3069576999999999</v>
      </c>
      <c r="AB105" s="73">
        <v>3.9014060819407809E-2</v>
      </c>
      <c r="AC105" s="71">
        <v>4.4812998729638641E-2</v>
      </c>
      <c r="AD105" s="71">
        <v>5.1074433529211809E-2</v>
      </c>
      <c r="AE105" s="71">
        <v>5.4414603851628045E-2</v>
      </c>
      <c r="AF105" s="63">
        <v>5.741566217776483E-2</v>
      </c>
      <c r="AG105" s="73">
        <v>1.0809797194078095E-3</v>
      </c>
      <c r="AH105" s="71">
        <v>7.7824505296386444E-3</v>
      </c>
      <c r="AI105" s="71">
        <v>1.3344864729211814E-2</v>
      </c>
      <c r="AJ105" s="71">
        <v>1.5659737051628042E-2</v>
      </c>
      <c r="AK105" s="63">
        <v>1.7341944277764823E-2</v>
      </c>
    </row>
    <row r="106" spans="2:37" x14ac:dyDescent="0.35">
      <c r="B106" s="55" t="s">
        <v>309</v>
      </c>
      <c r="C106" s="53" t="s">
        <v>85</v>
      </c>
      <c r="D106" s="53" t="s">
        <v>20</v>
      </c>
      <c r="E106" s="53" t="s">
        <v>315</v>
      </c>
      <c r="F106" s="73">
        <f t="shared" si="11"/>
        <v>3.7084268590857221E-2</v>
      </c>
      <c r="G106" s="60">
        <f t="shared" si="11"/>
        <v>4.311750823408201E-2</v>
      </c>
      <c r="H106" s="71">
        <f t="shared" si="11"/>
        <v>4.907023514034492E-2</v>
      </c>
      <c r="I106" s="71">
        <f t="shared" si="11"/>
        <v>5.2417457015210327E-2</v>
      </c>
      <c r="J106" s="63">
        <f t="shared" si="11"/>
        <v>5.5395334499037524E-2</v>
      </c>
      <c r="K106" s="73" t="str">
        <f t="shared" si="12"/>
        <v/>
      </c>
      <c r="L106" s="60">
        <f t="shared" si="12"/>
        <v>6.1640547340820195E-3</v>
      </c>
      <c r="M106" s="71">
        <f t="shared" si="12"/>
        <v>1.1438341940344926E-2</v>
      </c>
      <c r="N106" s="71">
        <f t="shared" si="12"/>
        <v>1.3759264015210323E-2</v>
      </c>
      <c r="O106" s="63">
        <f t="shared" si="12"/>
        <v>1.5409221799037526E-2</v>
      </c>
      <c r="P106" s="55" t="s">
        <v>21</v>
      </c>
      <c r="Q106" s="53" t="s">
        <v>21</v>
      </c>
      <c r="R106" s="94" t="s">
        <v>21</v>
      </c>
      <c r="S106" s="71" t="s">
        <v>21</v>
      </c>
      <c r="T106" s="63" t="str">
        <f t="shared" si="6"/>
        <v/>
      </c>
      <c r="V106" s="114">
        <v>1.1368211099999999</v>
      </c>
      <c r="W106" s="72">
        <v>2.8872195199999999</v>
      </c>
      <c r="X106" s="72">
        <v>4.4337217999999998</v>
      </c>
      <c r="Y106" s="72">
        <v>5.7632832199999999</v>
      </c>
      <c r="Z106" s="115">
        <v>7.4230155000000009</v>
      </c>
      <c r="AB106" s="73">
        <v>3.7084268590857221E-2</v>
      </c>
      <c r="AC106" s="71">
        <v>4.311750823408201E-2</v>
      </c>
      <c r="AD106" s="71">
        <v>4.907023514034492E-2</v>
      </c>
      <c r="AE106" s="71">
        <v>5.2417457015210327E-2</v>
      </c>
      <c r="AF106" s="63">
        <v>5.5395334499037524E-2</v>
      </c>
      <c r="AG106" s="73" t="s">
        <v>21</v>
      </c>
      <c r="AH106" s="71">
        <v>6.1640547340820195E-3</v>
      </c>
      <c r="AI106" s="71">
        <v>1.1438341940344926E-2</v>
      </c>
      <c r="AJ106" s="71">
        <v>1.3759264015210323E-2</v>
      </c>
      <c r="AK106" s="63">
        <v>1.5409221799037526E-2</v>
      </c>
    </row>
    <row r="107" spans="2:37" x14ac:dyDescent="0.35">
      <c r="B107" s="55" t="s">
        <v>310</v>
      </c>
      <c r="C107" s="53" t="s">
        <v>85</v>
      </c>
      <c r="D107" s="53" t="s">
        <v>20</v>
      </c>
      <c r="E107" s="53" t="s">
        <v>73</v>
      </c>
      <c r="F107" s="73">
        <f t="shared" si="11"/>
        <v>3.9580361663827467E-2</v>
      </c>
      <c r="G107" s="60">
        <f t="shared" si="11"/>
        <v>4.70442193589053E-2</v>
      </c>
      <c r="H107" s="71">
        <f t="shared" si="11"/>
        <v>5.5196367650016148E-2</v>
      </c>
      <c r="I107" s="71">
        <f t="shared" si="11"/>
        <v>5.9153350552951109E-2</v>
      </c>
      <c r="J107" s="63">
        <f t="shared" si="11"/>
        <v>6.3060575947913755E-2</v>
      </c>
      <c r="K107" s="73">
        <f t="shared" si="12"/>
        <v>1.6216242638274637E-3</v>
      </c>
      <c r="L107" s="60">
        <f t="shared" si="12"/>
        <v>9.9044489589052934E-3</v>
      </c>
      <c r="M107" s="71">
        <f t="shared" si="12"/>
        <v>1.7246202050016139E-2</v>
      </c>
      <c r="N107" s="71">
        <f t="shared" si="12"/>
        <v>2.0138247152951105E-2</v>
      </c>
      <c r="O107" s="63">
        <f t="shared" si="12"/>
        <v>2.2686210747913757E-2</v>
      </c>
      <c r="P107" s="55" t="s">
        <v>21</v>
      </c>
      <c r="Q107" s="53" t="s">
        <v>21</v>
      </c>
      <c r="R107" s="94" t="s">
        <v>21</v>
      </c>
      <c r="S107" s="71" t="s">
        <v>21</v>
      </c>
      <c r="T107" s="63" t="str">
        <f t="shared" si="6"/>
        <v/>
      </c>
      <c r="V107" s="114">
        <v>1.1320520299999999</v>
      </c>
      <c r="W107" s="72">
        <v>2.85503295</v>
      </c>
      <c r="X107" s="72">
        <v>4.3346488699999997</v>
      </c>
      <c r="Y107" s="72">
        <v>5.5662403100000004</v>
      </c>
      <c r="Z107" s="115">
        <v>7.0402192299999999</v>
      </c>
      <c r="AB107" s="73">
        <v>3.9580361663827467E-2</v>
      </c>
      <c r="AC107" s="71">
        <v>4.70442193589053E-2</v>
      </c>
      <c r="AD107" s="71">
        <v>5.5196367650016148E-2</v>
      </c>
      <c r="AE107" s="71">
        <v>5.9153350552951109E-2</v>
      </c>
      <c r="AF107" s="63">
        <v>6.3060575947913755E-2</v>
      </c>
      <c r="AG107" s="73">
        <v>1.6216242638274637E-3</v>
      </c>
      <c r="AH107" s="71">
        <v>9.9044489589052934E-3</v>
      </c>
      <c r="AI107" s="71">
        <v>1.7246202050016139E-2</v>
      </c>
      <c r="AJ107" s="71">
        <v>2.0138247152951105E-2</v>
      </c>
      <c r="AK107" s="63">
        <v>2.2686210747913757E-2</v>
      </c>
    </row>
    <row r="108" spans="2:37" x14ac:dyDescent="0.35">
      <c r="B108" s="55" t="s">
        <v>311</v>
      </c>
      <c r="C108" s="53" t="s">
        <v>85</v>
      </c>
      <c r="D108" s="53" t="s">
        <v>20</v>
      </c>
      <c r="E108" s="53" t="s">
        <v>48</v>
      </c>
      <c r="F108" s="73">
        <f t="shared" si="11"/>
        <v>4.1513428759497754E-2</v>
      </c>
      <c r="G108" s="60">
        <f t="shared" si="11"/>
        <v>5.2873860443289955E-2</v>
      </c>
      <c r="H108" s="71">
        <f t="shared" si="11"/>
        <v>6.3612304900700314E-2</v>
      </c>
      <c r="I108" s="71">
        <f t="shared" si="11"/>
        <v>7.0056860462287929E-2</v>
      </c>
      <c r="J108" s="63">
        <f t="shared" si="11"/>
        <v>7.430479623604283E-2</v>
      </c>
      <c r="K108" s="73">
        <f t="shared" si="12"/>
        <v>3.4437980594977623E-3</v>
      </c>
      <c r="L108" s="60">
        <f t="shared" si="12"/>
        <v>1.5405938343289958E-2</v>
      </c>
      <c r="M108" s="71">
        <f t="shared" si="12"/>
        <v>2.5098299700700315E-2</v>
      </c>
      <c r="N108" s="71">
        <f t="shared" si="12"/>
        <v>3.0288647662287921E-2</v>
      </c>
      <c r="O108" s="63">
        <f t="shared" si="12"/>
        <v>3.3184000836042851E-2</v>
      </c>
      <c r="P108" s="55" t="s">
        <v>21</v>
      </c>
      <c r="Q108" s="53" t="s">
        <v>21</v>
      </c>
      <c r="R108" s="94" t="s">
        <v>21</v>
      </c>
      <c r="S108" s="71" t="s">
        <v>21</v>
      </c>
      <c r="T108" s="63" t="str">
        <f t="shared" si="6"/>
        <v/>
      </c>
      <c r="V108" s="114">
        <v>1.12739254</v>
      </c>
      <c r="W108" s="72">
        <v>2.8101363300000002</v>
      </c>
      <c r="X108" s="72">
        <v>4.2005800000000004</v>
      </c>
      <c r="Y108" s="72">
        <v>5.2892384000000003</v>
      </c>
      <c r="Z108" s="115">
        <v>6.5336790599999999</v>
      </c>
      <c r="AB108" s="73">
        <v>4.1513428759497754E-2</v>
      </c>
      <c r="AC108" s="71">
        <v>5.2873860443289955E-2</v>
      </c>
      <c r="AD108" s="71">
        <v>6.3612304900700314E-2</v>
      </c>
      <c r="AE108" s="71">
        <v>7.0056860462287929E-2</v>
      </c>
      <c r="AF108" s="63">
        <v>7.430479623604283E-2</v>
      </c>
      <c r="AG108" s="73">
        <v>3.4437980594977623E-3</v>
      </c>
      <c r="AH108" s="71">
        <v>1.5405938343289958E-2</v>
      </c>
      <c r="AI108" s="71">
        <v>2.5098299700700315E-2</v>
      </c>
      <c r="AJ108" s="71">
        <v>3.0288647662287921E-2</v>
      </c>
      <c r="AK108" s="63">
        <v>3.3184000836042851E-2</v>
      </c>
    </row>
    <row r="109" spans="2:37" x14ac:dyDescent="0.35">
      <c r="B109" s="55" t="s">
        <v>312</v>
      </c>
      <c r="C109" s="53" t="s">
        <v>85</v>
      </c>
      <c r="D109" s="53" t="s">
        <v>20</v>
      </c>
      <c r="E109" s="53" t="s">
        <v>161</v>
      </c>
      <c r="F109" s="73">
        <f t="shared" si="11"/>
        <v>3.7201453488953741E-2</v>
      </c>
      <c r="G109" s="60">
        <f t="shared" si="11"/>
        <v>4.3523199127012441E-2</v>
      </c>
      <c r="H109" s="71">
        <f t="shared" si="11"/>
        <v>4.9622276618847522E-2</v>
      </c>
      <c r="I109" s="71">
        <f t="shared" si="11"/>
        <v>5.4027852479302252E-2</v>
      </c>
      <c r="J109" s="63">
        <f t="shared" si="11"/>
        <v>5.6674230400700118E-2</v>
      </c>
      <c r="K109" s="73" t="str">
        <f t="shared" si="12"/>
        <v/>
      </c>
      <c r="L109" s="60">
        <f t="shared" si="12"/>
        <v>6.5535613270124391E-3</v>
      </c>
      <c r="M109" s="71">
        <f t="shared" si="12"/>
        <v>1.196581941884752E-2</v>
      </c>
      <c r="N109" s="71">
        <f t="shared" si="12"/>
        <v>1.5293589379302256E-2</v>
      </c>
      <c r="O109" s="63">
        <f t="shared" si="12"/>
        <v>1.6641209000700111E-2</v>
      </c>
      <c r="P109" s="55" t="s">
        <v>316</v>
      </c>
      <c r="Q109" s="53" t="s">
        <v>317</v>
      </c>
      <c r="R109" s="94">
        <v>47788</v>
      </c>
      <c r="S109" s="71">
        <v>4.7258370000000001E-2</v>
      </c>
      <c r="T109" s="63">
        <f t="shared" si="6"/>
        <v>2.3639066188475208E-3</v>
      </c>
      <c r="V109" s="114">
        <v>1.1365703700000001</v>
      </c>
      <c r="W109" s="72">
        <v>2.8840141699999999</v>
      </c>
      <c r="X109" s="72">
        <v>4.4234610299999995</v>
      </c>
      <c r="Y109" s="72">
        <v>5.7298921299999996</v>
      </c>
      <c r="Z109" s="115">
        <v>7.3551936100000006</v>
      </c>
      <c r="AB109" s="73">
        <v>3.7201453488953741E-2</v>
      </c>
      <c r="AC109" s="71">
        <v>4.3523199127012441E-2</v>
      </c>
      <c r="AD109" s="71">
        <v>4.9622276618847522E-2</v>
      </c>
      <c r="AE109" s="71">
        <v>5.4027852479302252E-2</v>
      </c>
      <c r="AF109" s="63">
        <v>5.6674230400700118E-2</v>
      </c>
      <c r="AG109" s="73" t="s">
        <v>21</v>
      </c>
      <c r="AH109" s="71">
        <v>6.5535613270124391E-3</v>
      </c>
      <c r="AI109" s="71">
        <v>1.196581941884752E-2</v>
      </c>
      <c r="AJ109" s="71">
        <v>1.5293589379302256E-2</v>
      </c>
      <c r="AK109" s="63">
        <v>1.6641209000700111E-2</v>
      </c>
    </row>
    <row r="110" spans="2:37" x14ac:dyDescent="0.35">
      <c r="B110" s="57" t="s">
        <v>313</v>
      </c>
      <c r="C110" s="53" t="s">
        <v>85</v>
      </c>
      <c r="D110" s="67" t="s">
        <v>20</v>
      </c>
      <c r="E110" s="67" t="s">
        <v>276</v>
      </c>
      <c r="F110" s="74">
        <f t="shared" si="11"/>
        <v>3.834277260731641E-2</v>
      </c>
      <c r="G110" s="76">
        <f t="shared" si="11"/>
        <v>4.5409745778103722E-2</v>
      </c>
      <c r="H110" s="76">
        <f t="shared" si="11"/>
        <v>5.3375115434986575E-2</v>
      </c>
      <c r="I110" s="76">
        <f t="shared" si="11"/>
        <v>5.8226341442365936E-2</v>
      </c>
      <c r="J110" s="64">
        <f t="shared" si="11"/>
        <v>6.2218492150681114E-2</v>
      </c>
      <c r="K110" s="74">
        <f t="shared" si="12"/>
        <v>4.4204480731641072E-4</v>
      </c>
      <c r="L110" s="76">
        <f t="shared" si="12"/>
        <v>8.3535680781037236E-3</v>
      </c>
      <c r="M110" s="76">
        <f t="shared" si="12"/>
        <v>1.5529545634986574E-2</v>
      </c>
      <c r="N110" s="76">
        <f t="shared" si="12"/>
        <v>1.9270726342365936E-2</v>
      </c>
      <c r="O110" s="64">
        <f t="shared" si="12"/>
        <v>2.1898502450681118E-2</v>
      </c>
      <c r="P110" s="57" t="s">
        <v>21</v>
      </c>
      <c r="Q110" s="67" t="s">
        <v>21</v>
      </c>
      <c r="R110" s="96" t="s">
        <v>21</v>
      </c>
      <c r="S110" s="76" t="s">
        <v>21</v>
      </c>
      <c r="T110" s="64" t="str">
        <f t="shared" si="6"/>
        <v/>
      </c>
      <c r="V110" s="116">
        <v>1.1343715699999999</v>
      </c>
      <c r="W110" s="108">
        <v>2.8686275299999999</v>
      </c>
      <c r="X110" s="108">
        <v>4.3681145400000005</v>
      </c>
      <c r="Y110" s="108">
        <v>5.6133336300000005</v>
      </c>
      <c r="Z110" s="117">
        <v>7.1056686199999994</v>
      </c>
      <c r="AB110" s="74">
        <v>3.834277260731641E-2</v>
      </c>
      <c r="AC110" s="76">
        <v>4.5409745778103722E-2</v>
      </c>
      <c r="AD110" s="76">
        <v>5.3375115434986575E-2</v>
      </c>
      <c r="AE110" s="76">
        <v>5.8226341442365936E-2</v>
      </c>
      <c r="AF110" s="64">
        <v>6.2218492150681114E-2</v>
      </c>
      <c r="AG110" s="74">
        <v>4.4204480731641072E-4</v>
      </c>
      <c r="AH110" s="76">
        <v>8.3535680781037236E-3</v>
      </c>
      <c r="AI110" s="76">
        <v>1.5529545634986574E-2</v>
      </c>
      <c r="AJ110" s="76">
        <v>1.9270726342365936E-2</v>
      </c>
      <c r="AK110" s="64">
        <v>2.1898502450681118E-2</v>
      </c>
    </row>
    <row r="111" spans="2:37" x14ac:dyDescent="0.35">
      <c r="B111" s="53" t="s">
        <v>21</v>
      </c>
      <c r="C111" s="53" t="s">
        <v>21</v>
      </c>
      <c r="E111" s="53" t="s">
        <v>21</v>
      </c>
      <c r="F111" s="71" t="s">
        <v>21</v>
      </c>
      <c r="G111" s="71"/>
      <c r="H111" s="71" t="s">
        <v>21</v>
      </c>
      <c r="I111" s="71"/>
      <c r="J111" s="71" t="s">
        <v>21</v>
      </c>
      <c r="K111" s="71" t="s">
        <v>21</v>
      </c>
      <c r="L111" s="71"/>
      <c r="M111" s="71" t="s">
        <v>21</v>
      </c>
      <c r="N111" s="71"/>
      <c r="O111" s="71" t="s">
        <v>21</v>
      </c>
      <c r="R111" s="94"/>
      <c r="V111" s="72"/>
      <c r="W111" s="72"/>
      <c r="X111" s="72"/>
      <c r="Y111" s="72"/>
      <c r="Z111" s="72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</row>
    <row r="112" spans="2:37" ht="15.5" x14ac:dyDescent="0.35">
      <c r="B112" s="122" t="s">
        <v>93</v>
      </c>
      <c r="C112" s="53" t="s">
        <v>21</v>
      </c>
      <c r="E112" s="53" t="s">
        <v>21</v>
      </c>
      <c r="F112" s="71" t="s">
        <v>21</v>
      </c>
      <c r="G112" s="71"/>
      <c r="H112" s="71" t="s">
        <v>21</v>
      </c>
      <c r="I112" s="71"/>
      <c r="J112" s="71" t="s">
        <v>21</v>
      </c>
      <c r="K112" s="71" t="s">
        <v>21</v>
      </c>
      <c r="L112" s="71"/>
      <c r="M112" s="71" t="s">
        <v>21</v>
      </c>
      <c r="N112" s="71"/>
      <c r="O112" s="71" t="s">
        <v>21</v>
      </c>
      <c r="R112" s="94"/>
      <c r="V112" s="72"/>
      <c r="W112" s="72"/>
      <c r="X112" s="72"/>
      <c r="Y112" s="72"/>
      <c r="Z112" s="72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</row>
    <row r="113" spans="2:37" x14ac:dyDescent="0.35">
      <c r="B113" s="85" t="s">
        <v>5</v>
      </c>
      <c r="C113" s="84" t="s">
        <v>6</v>
      </c>
      <c r="D113" s="84" t="s">
        <v>7</v>
      </c>
      <c r="E113" s="84" t="s">
        <v>8</v>
      </c>
      <c r="F113" s="83" t="s">
        <v>9</v>
      </c>
      <c r="G113" s="82" t="s">
        <v>10</v>
      </c>
      <c r="H113" s="82" t="s">
        <v>11</v>
      </c>
      <c r="I113" s="82" t="s">
        <v>12</v>
      </c>
      <c r="J113" s="81" t="s">
        <v>13</v>
      </c>
      <c r="K113" s="83" t="s">
        <v>9</v>
      </c>
      <c r="L113" s="82" t="s">
        <v>10</v>
      </c>
      <c r="M113" s="82" t="s">
        <v>11</v>
      </c>
      <c r="N113" s="82" t="s">
        <v>12</v>
      </c>
      <c r="O113" s="81" t="s">
        <v>13</v>
      </c>
      <c r="P113" s="70" t="s">
        <v>14</v>
      </c>
      <c r="Q113" s="58" t="s">
        <v>15</v>
      </c>
      <c r="R113" s="58" t="s">
        <v>16</v>
      </c>
      <c r="S113" s="58" t="s">
        <v>218</v>
      </c>
      <c r="T113" s="58" t="s">
        <v>18</v>
      </c>
      <c r="V113" s="110" t="s">
        <v>9</v>
      </c>
      <c r="W113" s="106" t="s">
        <v>10</v>
      </c>
      <c r="X113" s="106" t="s">
        <v>11</v>
      </c>
      <c r="Y113" s="106" t="s">
        <v>12</v>
      </c>
      <c r="Z113" s="111" t="s">
        <v>13</v>
      </c>
      <c r="AB113" s="83" t="s">
        <v>9</v>
      </c>
      <c r="AC113" s="82" t="s">
        <v>10</v>
      </c>
      <c r="AD113" s="82" t="s">
        <v>11</v>
      </c>
      <c r="AE113" s="82" t="s">
        <v>12</v>
      </c>
      <c r="AF113" s="81" t="s">
        <v>13</v>
      </c>
      <c r="AG113" s="83" t="s">
        <v>9</v>
      </c>
      <c r="AH113" s="82" t="s">
        <v>10</v>
      </c>
      <c r="AI113" s="82" t="s">
        <v>11</v>
      </c>
      <c r="AJ113" s="82" t="s">
        <v>12</v>
      </c>
      <c r="AK113" s="81" t="s">
        <v>13</v>
      </c>
    </row>
    <row r="114" spans="2:37" x14ac:dyDescent="0.35">
      <c r="B114" s="79" t="s">
        <v>94</v>
      </c>
      <c r="C114" s="78"/>
      <c r="D114" s="78"/>
      <c r="E114" s="78"/>
      <c r="F114" s="79"/>
      <c r="G114" s="78"/>
      <c r="H114" s="78"/>
      <c r="I114" s="78"/>
      <c r="J114" s="78"/>
      <c r="K114" s="78"/>
      <c r="L114" s="78"/>
      <c r="M114" s="78"/>
      <c r="N114" s="78"/>
      <c r="O114" s="77"/>
      <c r="P114" s="79"/>
      <c r="Q114" s="78"/>
      <c r="R114" s="95"/>
      <c r="S114" s="78"/>
      <c r="T114" s="77"/>
      <c r="V114" s="112"/>
      <c r="W114" s="107"/>
      <c r="X114" s="107"/>
      <c r="Y114" s="107"/>
      <c r="Z114" s="113"/>
      <c r="AB114" s="78"/>
      <c r="AC114" s="78"/>
      <c r="AD114" s="78"/>
      <c r="AE114" s="78"/>
      <c r="AF114" s="78"/>
      <c r="AG114" s="78"/>
      <c r="AH114" s="78"/>
      <c r="AI114" s="78"/>
      <c r="AJ114" s="78"/>
      <c r="AK114" s="77"/>
    </row>
    <row r="115" spans="2:37" x14ac:dyDescent="0.35">
      <c r="B115" s="56" t="s">
        <v>95</v>
      </c>
      <c r="C115" s="66" t="s">
        <v>85</v>
      </c>
      <c r="D115" s="66" t="s">
        <v>43</v>
      </c>
      <c r="E115" s="66" t="s">
        <v>232</v>
      </c>
      <c r="F115" s="75">
        <f t="shared" ref="F115:J130" si="13">IF(ISNUMBER(AB115),AB115-((C$4-C$3)/V115),"")</f>
        <v>3.6685807920524338E-2</v>
      </c>
      <c r="G115" s="80">
        <f t="shared" si="13"/>
        <v>4.3038909217589134E-2</v>
      </c>
      <c r="H115" s="80">
        <f t="shared" si="13"/>
        <v>4.9564213726325468E-2</v>
      </c>
      <c r="I115" s="80">
        <f t="shared" si="13"/>
        <v>5.2877486846782333E-2</v>
      </c>
      <c r="J115" s="62">
        <f t="shared" si="13"/>
        <v>5.5751348559955921E-2</v>
      </c>
      <c r="K115" s="75" t="str">
        <f t="shared" ref="K115:O130" si="14">IF(ISNUMBER(AG115),IF(AG115-((C$4-C$3)/V115)&lt;0,"",AG115-((C$4-C$3)/V115)),"")</f>
        <v/>
      </c>
      <c r="L115" s="80">
        <f t="shared" si="14"/>
        <v>6.0700161175891391E-3</v>
      </c>
      <c r="M115" s="80">
        <f t="shared" si="14"/>
        <v>1.1887856826325467E-2</v>
      </c>
      <c r="N115" s="80">
        <f t="shared" si="14"/>
        <v>1.4176589446782333E-2</v>
      </c>
      <c r="O115" s="62">
        <f t="shared" si="14"/>
        <v>1.5731501859955921E-2</v>
      </c>
      <c r="P115" s="56" t="s">
        <v>21</v>
      </c>
      <c r="Q115" s="66" t="s">
        <v>21</v>
      </c>
      <c r="R115" s="100" t="s">
        <v>21</v>
      </c>
      <c r="S115" s="80" t="s">
        <v>21</v>
      </c>
      <c r="T115" s="63" t="str">
        <f t="shared" ref="T115:T138" si="15">IF(S115="","",H115-S115)</f>
        <v/>
      </c>
      <c r="V115" s="118">
        <v>1.13657425</v>
      </c>
      <c r="W115" s="61">
        <v>2.88400692</v>
      </c>
      <c r="X115" s="61">
        <v>4.4191181300000002</v>
      </c>
      <c r="Y115" s="61">
        <v>5.7348116099999995</v>
      </c>
      <c r="Z115" s="119">
        <v>7.3755387399999996</v>
      </c>
      <c r="AB115" s="75">
        <v>3.6685807920524338E-2</v>
      </c>
      <c r="AC115" s="80">
        <v>4.3038909217589134E-2</v>
      </c>
      <c r="AD115" s="80">
        <v>4.9564213726325468E-2</v>
      </c>
      <c r="AE115" s="80">
        <v>5.2877486846782333E-2</v>
      </c>
      <c r="AF115" s="62">
        <v>5.5751348559955921E-2</v>
      </c>
      <c r="AG115" s="75" t="s">
        <v>21</v>
      </c>
      <c r="AH115" s="80">
        <v>6.0700161175891391E-3</v>
      </c>
      <c r="AI115" s="80">
        <v>1.1887856826325467E-2</v>
      </c>
      <c r="AJ115" s="80">
        <v>1.4176589446782333E-2</v>
      </c>
      <c r="AK115" s="62">
        <v>1.5731501859955921E-2</v>
      </c>
    </row>
    <row r="116" spans="2:37" x14ac:dyDescent="0.35">
      <c r="B116" s="57" t="s">
        <v>95</v>
      </c>
      <c r="C116" s="67" t="s">
        <v>35</v>
      </c>
      <c r="D116" s="67" t="s">
        <v>43</v>
      </c>
      <c r="E116" s="67" t="s">
        <v>233</v>
      </c>
      <c r="F116" s="74">
        <f t="shared" si="13"/>
        <v>3.8154224430677237E-2</v>
      </c>
      <c r="G116" s="76">
        <f t="shared" si="13"/>
        <v>4.6660605268613341E-2</v>
      </c>
      <c r="H116" s="76">
        <f t="shared" si="13"/>
        <v>5.5385146819456381E-2</v>
      </c>
      <c r="I116" s="76">
        <f t="shared" si="13"/>
        <v>5.9654691078266764E-2</v>
      </c>
      <c r="J116" s="64">
        <f t="shared" si="13"/>
        <v>6.331708656472175E-2</v>
      </c>
      <c r="K116" s="74">
        <f t="shared" si="14"/>
        <v>2.5568973067723218E-4</v>
      </c>
      <c r="L116" s="76">
        <f t="shared" si="14"/>
        <v>9.5744032686133386E-3</v>
      </c>
      <c r="M116" s="76">
        <f t="shared" si="14"/>
        <v>1.7495875319456376E-2</v>
      </c>
      <c r="N116" s="76">
        <f t="shared" si="14"/>
        <v>2.0688581578266758E-2</v>
      </c>
      <c r="O116" s="64">
        <f t="shared" si="14"/>
        <v>2.300282746472174E-2</v>
      </c>
      <c r="P116" s="57" t="s">
        <v>21</v>
      </c>
      <c r="Q116" s="67" t="s">
        <v>21</v>
      </c>
      <c r="R116" s="96" t="s">
        <v>21</v>
      </c>
      <c r="S116" s="76" t="s">
        <v>21</v>
      </c>
      <c r="T116" s="64" t="str">
        <f t="shared" si="15"/>
        <v/>
      </c>
      <c r="V116" s="116">
        <v>1.13527606</v>
      </c>
      <c r="W116" s="108">
        <v>2.8699890400000001</v>
      </c>
      <c r="X116" s="108">
        <v>4.3710068800000004</v>
      </c>
      <c r="Y116" s="108">
        <v>5.6334259800000002</v>
      </c>
      <c r="Z116" s="117">
        <v>7.1711440099999999</v>
      </c>
      <c r="AB116" s="74">
        <v>3.8154224430677237E-2</v>
      </c>
      <c r="AC116" s="76">
        <v>4.6660605268613341E-2</v>
      </c>
      <c r="AD116" s="76">
        <v>5.5385146819456381E-2</v>
      </c>
      <c r="AE116" s="76">
        <v>5.9654691078266764E-2</v>
      </c>
      <c r="AF116" s="64">
        <v>6.331708656472175E-2</v>
      </c>
      <c r="AG116" s="74">
        <v>2.5568973067723218E-4</v>
      </c>
      <c r="AH116" s="76">
        <v>9.5744032686133386E-3</v>
      </c>
      <c r="AI116" s="76">
        <v>1.7495875319456376E-2</v>
      </c>
      <c r="AJ116" s="76">
        <v>2.0688581578266758E-2</v>
      </c>
      <c r="AK116" s="64">
        <v>2.300282746472174E-2</v>
      </c>
    </row>
    <row r="117" spans="2:37" x14ac:dyDescent="0.35">
      <c r="B117" s="55" t="s">
        <v>96</v>
      </c>
      <c r="C117" s="53" t="s">
        <v>85</v>
      </c>
      <c r="D117" s="53" t="s">
        <v>97</v>
      </c>
      <c r="E117" s="53" t="s">
        <v>21</v>
      </c>
      <c r="F117" s="73">
        <f t="shared" si="13"/>
        <v>3.709279474582753E-2</v>
      </c>
      <c r="G117" s="60">
        <f t="shared" si="13"/>
        <v>4.3381113730743166E-2</v>
      </c>
      <c r="H117" s="60">
        <f t="shared" si="13"/>
        <v>4.9832608635557364E-2</v>
      </c>
      <c r="I117" s="60">
        <f t="shared" si="13"/>
        <v>5.3524422273531456E-2</v>
      </c>
      <c r="J117" s="63">
        <f t="shared" si="13"/>
        <v>5.6649746425470077E-2</v>
      </c>
      <c r="K117" s="73" t="str">
        <f t="shared" si="14"/>
        <v/>
      </c>
      <c r="L117" s="60">
        <f t="shared" si="14"/>
        <v>6.3964477307431652E-3</v>
      </c>
      <c r="M117" s="60">
        <f t="shared" si="14"/>
        <v>1.2142539035557365E-2</v>
      </c>
      <c r="N117" s="60">
        <f t="shared" si="14"/>
        <v>1.4790967773531449E-2</v>
      </c>
      <c r="O117" s="63">
        <f t="shared" si="14"/>
        <v>1.6591398025470071E-2</v>
      </c>
      <c r="P117" s="55" t="s">
        <v>21</v>
      </c>
      <c r="Q117" s="53" t="s">
        <v>21</v>
      </c>
      <c r="R117" s="94" t="s">
        <v>21</v>
      </c>
      <c r="S117" s="71" t="s">
        <v>21</v>
      </c>
      <c r="T117" s="63" t="str">
        <f t="shared" si="15"/>
        <v/>
      </c>
      <c r="V117" s="114">
        <v>1.1357976999999999</v>
      </c>
      <c r="W117" s="72">
        <v>2.8803722199999999</v>
      </c>
      <c r="X117" s="72">
        <v>4.4129119799999996</v>
      </c>
      <c r="Y117" s="72">
        <v>5.71979068</v>
      </c>
      <c r="Z117" s="115">
        <v>7.3379060200000001</v>
      </c>
      <c r="AB117" s="73">
        <v>3.709279474582753E-2</v>
      </c>
      <c r="AC117" s="71">
        <v>4.3381113730743166E-2</v>
      </c>
      <c r="AD117" s="71">
        <v>4.9832608635557364E-2</v>
      </c>
      <c r="AE117" s="71">
        <v>5.3524422273531456E-2</v>
      </c>
      <c r="AF117" s="63">
        <v>5.6649746425470077E-2</v>
      </c>
      <c r="AG117" s="73" t="s">
        <v>21</v>
      </c>
      <c r="AH117" s="71">
        <v>6.3964477307431652E-3</v>
      </c>
      <c r="AI117" s="71">
        <v>1.2142539035557365E-2</v>
      </c>
      <c r="AJ117" s="71">
        <v>1.4790967773531449E-2</v>
      </c>
      <c r="AK117" s="63">
        <v>1.6591398025470071E-2</v>
      </c>
    </row>
    <row r="118" spans="2:37" x14ac:dyDescent="0.35">
      <c r="B118" s="57" t="s">
        <v>96</v>
      </c>
      <c r="C118" s="67" t="s">
        <v>35</v>
      </c>
      <c r="D118" s="67" t="s">
        <v>97</v>
      </c>
      <c r="E118" s="67" t="s">
        <v>44</v>
      </c>
      <c r="F118" s="74">
        <f t="shared" si="13"/>
        <v>3.9404912519529101E-2</v>
      </c>
      <c r="G118" s="76">
        <f t="shared" si="13"/>
        <v>4.6884232427270495E-2</v>
      </c>
      <c r="H118" s="76">
        <f t="shared" si="13"/>
        <v>5.5011317619015947E-2</v>
      </c>
      <c r="I118" s="76">
        <f t="shared" si="13"/>
        <v>5.9922656245776397E-2</v>
      </c>
      <c r="J118" s="64">
        <f t="shared" si="13"/>
        <v>6.350346209804629E-2</v>
      </c>
      <c r="K118" s="74">
        <f t="shared" si="14"/>
        <v>1.4681037195291066E-3</v>
      </c>
      <c r="L118" s="76">
        <f t="shared" si="14"/>
        <v>9.7908624272704942E-3</v>
      </c>
      <c r="M118" s="76">
        <f t="shared" si="14"/>
        <v>1.7140849119015943E-2</v>
      </c>
      <c r="N118" s="76">
        <f t="shared" si="14"/>
        <v>2.0941146045776401E-2</v>
      </c>
      <c r="O118" s="64">
        <f t="shared" si="14"/>
        <v>2.3180001098046271E-2</v>
      </c>
      <c r="P118" s="57" t="s">
        <v>21</v>
      </c>
      <c r="Q118" s="67" t="s">
        <v>21</v>
      </c>
      <c r="R118" s="96" t="s">
        <v>21</v>
      </c>
      <c r="S118" s="76" t="s">
        <v>21</v>
      </c>
      <c r="T118" s="64" t="str">
        <f t="shared" si="15"/>
        <v/>
      </c>
      <c r="V118" s="116">
        <v>1.1333796899999999</v>
      </c>
      <c r="W118" s="108">
        <v>2.8653693699999998</v>
      </c>
      <c r="X118" s="108">
        <v>4.3694561399999996</v>
      </c>
      <c r="Y118" s="108">
        <v>5.6303060399999998</v>
      </c>
      <c r="Z118" s="117">
        <v>7.1635287600000002</v>
      </c>
      <c r="AB118" s="74">
        <v>3.9404912519529101E-2</v>
      </c>
      <c r="AC118" s="76">
        <v>4.6884232427270495E-2</v>
      </c>
      <c r="AD118" s="76">
        <v>5.5011317619015947E-2</v>
      </c>
      <c r="AE118" s="76">
        <v>5.9922656245776397E-2</v>
      </c>
      <c r="AF118" s="64">
        <v>6.350346209804629E-2</v>
      </c>
      <c r="AG118" s="74">
        <v>1.4681037195291066E-3</v>
      </c>
      <c r="AH118" s="76">
        <v>9.7908624272704942E-3</v>
      </c>
      <c r="AI118" s="76">
        <v>1.7140849119015943E-2</v>
      </c>
      <c r="AJ118" s="76">
        <v>2.0941146045776401E-2</v>
      </c>
      <c r="AK118" s="64">
        <v>2.3180001098046271E-2</v>
      </c>
    </row>
    <row r="119" spans="2:37" x14ac:dyDescent="0.35">
      <c r="B119" s="55" t="s">
        <v>98</v>
      </c>
      <c r="C119" s="53" t="s">
        <v>85</v>
      </c>
      <c r="D119" s="53" t="s">
        <v>47</v>
      </c>
      <c r="E119" s="53" t="s">
        <v>21</v>
      </c>
      <c r="F119" s="73">
        <f t="shared" si="13"/>
        <v>3.7313872776230751E-2</v>
      </c>
      <c r="G119" s="60">
        <f t="shared" si="13"/>
        <v>4.3918940110374088E-2</v>
      </c>
      <c r="H119" s="60">
        <f t="shared" si="13"/>
        <v>5.1025928706404794E-2</v>
      </c>
      <c r="I119" s="60">
        <f t="shared" si="13"/>
        <v>5.4747518296756864E-2</v>
      </c>
      <c r="J119" s="63">
        <f t="shared" si="13"/>
        <v>5.8042495044288475E-2</v>
      </c>
      <c r="K119" s="73" t="str">
        <f t="shared" si="14"/>
        <v/>
      </c>
      <c r="L119" s="60">
        <f t="shared" si="14"/>
        <v>6.9110988103740917E-3</v>
      </c>
      <c r="M119" s="60">
        <f t="shared" si="14"/>
        <v>1.3277943306404793E-2</v>
      </c>
      <c r="N119" s="60">
        <f t="shared" si="14"/>
        <v>1.5954810296756872E-2</v>
      </c>
      <c r="O119" s="63">
        <f t="shared" si="14"/>
        <v>1.7923101044288479E-2</v>
      </c>
      <c r="P119" s="55" t="s">
        <v>21</v>
      </c>
      <c r="Q119" s="53" t="s">
        <v>21</v>
      </c>
      <c r="R119" s="94" t="s">
        <v>21</v>
      </c>
      <c r="S119" s="71" t="s">
        <v>21</v>
      </c>
      <c r="T119" s="63" t="str">
        <f t="shared" si="15"/>
        <v/>
      </c>
      <c r="V119" s="114">
        <v>1.1353546699999999</v>
      </c>
      <c r="W119" s="72">
        <v>2.87642993</v>
      </c>
      <c r="X119" s="72">
        <v>4.3956163799999999</v>
      </c>
      <c r="Y119" s="72">
        <v>5.6843087799999994</v>
      </c>
      <c r="Z119" s="115">
        <v>7.2686230199999997</v>
      </c>
      <c r="AB119" s="73">
        <v>3.7313872776230751E-2</v>
      </c>
      <c r="AC119" s="71">
        <v>4.3918940110374088E-2</v>
      </c>
      <c r="AD119" s="71">
        <v>5.1025928706404794E-2</v>
      </c>
      <c r="AE119" s="71">
        <v>5.4747518296756864E-2</v>
      </c>
      <c r="AF119" s="63">
        <v>5.8042495044288475E-2</v>
      </c>
      <c r="AG119" s="73" t="s">
        <v>21</v>
      </c>
      <c r="AH119" s="71">
        <v>6.9110988103740917E-3</v>
      </c>
      <c r="AI119" s="71">
        <v>1.3277943306404793E-2</v>
      </c>
      <c r="AJ119" s="71">
        <v>1.5954810296756872E-2</v>
      </c>
      <c r="AK119" s="63">
        <v>1.7923101044288479E-2</v>
      </c>
    </row>
    <row r="120" spans="2:37" x14ac:dyDescent="0.35">
      <c r="B120" s="57" t="s">
        <v>98</v>
      </c>
      <c r="C120" s="67" t="s">
        <v>35</v>
      </c>
      <c r="D120" s="67" t="s">
        <v>47</v>
      </c>
      <c r="E120" s="67" t="s">
        <v>454</v>
      </c>
      <c r="F120" s="74">
        <f t="shared" si="13"/>
        <v>3.8956581305196962E-2</v>
      </c>
      <c r="G120" s="76">
        <f t="shared" si="13"/>
        <v>4.745386737247119E-2</v>
      </c>
      <c r="H120" s="76">
        <f t="shared" si="13"/>
        <v>5.6654754193239572E-2</v>
      </c>
      <c r="I120" s="76">
        <f t="shared" si="13"/>
        <v>6.1923425069583066E-2</v>
      </c>
      <c r="J120" s="64">
        <f t="shared" si="13"/>
        <v>6.5949719347275407E-2</v>
      </c>
      <c r="K120" s="74">
        <f t="shared" si="14"/>
        <v>1.0408226051969675E-3</v>
      </c>
      <c r="L120" s="76">
        <f t="shared" si="14"/>
        <v>1.0338910072471197E-2</v>
      </c>
      <c r="M120" s="76">
        <f t="shared" si="14"/>
        <v>1.8705762793239558E-2</v>
      </c>
      <c r="N120" s="76">
        <f t="shared" si="14"/>
        <v>2.2835710969583065E-2</v>
      </c>
      <c r="O120" s="64">
        <f t="shared" si="14"/>
        <v>2.5500864147275412E-2</v>
      </c>
      <c r="P120" s="57" t="s">
        <v>455</v>
      </c>
      <c r="Q120" s="67" t="s">
        <v>456</v>
      </c>
      <c r="R120" s="96" t="s">
        <v>32</v>
      </c>
      <c r="S120" s="76">
        <v>4.7715029999999999E-2</v>
      </c>
      <c r="T120" s="64">
        <f t="shared" si="15"/>
        <v>8.9397241932395732E-3</v>
      </c>
      <c r="V120" s="116">
        <v>1.1340615199999999</v>
      </c>
      <c r="W120" s="108">
        <v>2.86414138</v>
      </c>
      <c r="X120" s="108">
        <v>4.3543891800000001</v>
      </c>
      <c r="Y120" s="108">
        <v>5.5926408099999998</v>
      </c>
      <c r="Z120" s="117">
        <v>7.0799602300000002</v>
      </c>
      <c r="AB120" s="74">
        <v>3.8956581305196962E-2</v>
      </c>
      <c r="AC120" s="76">
        <v>4.745386737247119E-2</v>
      </c>
      <c r="AD120" s="76">
        <v>5.6654754193239572E-2</v>
      </c>
      <c r="AE120" s="76">
        <v>6.1923425069583066E-2</v>
      </c>
      <c r="AF120" s="64">
        <v>6.5949719347275407E-2</v>
      </c>
      <c r="AG120" s="74">
        <v>1.0408226051969675E-3</v>
      </c>
      <c r="AH120" s="76">
        <v>1.0338910072471197E-2</v>
      </c>
      <c r="AI120" s="76">
        <v>1.8705762793239558E-2</v>
      </c>
      <c r="AJ120" s="76">
        <v>2.2835710969583065E-2</v>
      </c>
      <c r="AK120" s="64">
        <v>2.5500864147275412E-2</v>
      </c>
    </row>
    <row r="121" spans="2:37" x14ac:dyDescent="0.35">
      <c r="B121" s="55" t="s">
        <v>99</v>
      </c>
      <c r="C121" s="53" t="s">
        <v>85</v>
      </c>
      <c r="D121" s="53" t="s">
        <v>69</v>
      </c>
      <c r="E121" s="53" t="s">
        <v>100</v>
      </c>
      <c r="F121" s="73">
        <f t="shared" si="13"/>
        <v>3.7057985223655325E-2</v>
      </c>
      <c r="G121" s="60">
        <f t="shared" si="13"/>
        <v>4.4449497691756698E-2</v>
      </c>
      <c r="H121" s="60">
        <f t="shared" si="13"/>
        <v>5.1906595451472526E-2</v>
      </c>
      <c r="I121" s="60">
        <f t="shared" si="13"/>
        <v>5.5851368429383395E-2</v>
      </c>
      <c r="J121" s="63">
        <f t="shared" si="13"/>
        <v>5.9494883975604693E-2</v>
      </c>
      <c r="K121" s="73" t="str">
        <f t="shared" si="14"/>
        <v/>
      </c>
      <c r="L121" s="60">
        <f t="shared" si="14"/>
        <v>7.4187792917566955E-3</v>
      </c>
      <c r="M121" s="60">
        <f t="shared" si="14"/>
        <v>1.4114899851472525E-2</v>
      </c>
      <c r="N121" s="60">
        <f t="shared" si="14"/>
        <v>1.7002983229383397E-2</v>
      </c>
      <c r="O121" s="63">
        <f t="shared" si="14"/>
        <v>1.9297944975604702E-2</v>
      </c>
      <c r="P121" s="55" t="s">
        <v>21</v>
      </c>
      <c r="Q121" s="53" t="s">
        <v>21</v>
      </c>
      <c r="R121" s="94" t="s">
        <v>21</v>
      </c>
      <c r="S121" s="71" t="s">
        <v>21</v>
      </c>
      <c r="T121" s="63" t="str">
        <f t="shared" si="15"/>
        <v/>
      </c>
      <c r="V121" s="114">
        <v>1.1358216399999999</v>
      </c>
      <c r="W121" s="72">
        <v>2.87394135</v>
      </c>
      <c r="X121" s="72">
        <v>4.3833800200000006</v>
      </c>
      <c r="Y121" s="72">
        <v>5.6560914900000006</v>
      </c>
      <c r="Z121" s="115">
        <v>7.2054019600000005</v>
      </c>
      <c r="AB121" s="73">
        <v>3.7057985223655325E-2</v>
      </c>
      <c r="AC121" s="71">
        <v>4.4449497691756698E-2</v>
      </c>
      <c r="AD121" s="71">
        <v>5.1906595451472526E-2</v>
      </c>
      <c r="AE121" s="71">
        <v>5.5851368429383395E-2</v>
      </c>
      <c r="AF121" s="63">
        <v>5.9494883975604693E-2</v>
      </c>
      <c r="AG121" s="73" t="s">
        <v>21</v>
      </c>
      <c r="AH121" s="71">
        <v>7.4187792917566955E-3</v>
      </c>
      <c r="AI121" s="71">
        <v>1.4114899851472525E-2</v>
      </c>
      <c r="AJ121" s="71">
        <v>1.7002983229383397E-2</v>
      </c>
      <c r="AK121" s="63">
        <v>1.9297944975604702E-2</v>
      </c>
    </row>
    <row r="122" spans="2:37" x14ac:dyDescent="0.35">
      <c r="B122" s="57" t="s">
        <v>99</v>
      </c>
      <c r="C122" s="67" t="s">
        <v>35</v>
      </c>
      <c r="D122" s="67" t="s">
        <v>69</v>
      </c>
      <c r="E122" s="67" t="s">
        <v>226</v>
      </c>
      <c r="F122" s="74">
        <f t="shared" si="13"/>
        <v>3.7846211092235481E-2</v>
      </c>
      <c r="G122" s="76">
        <f t="shared" si="13"/>
        <v>4.7495258824054414E-2</v>
      </c>
      <c r="H122" s="76">
        <f t="shared" si="13"/>
        <v>5.684569636801156E-2</v>
      </c>
      <c r="I122" s="76">
        <f t="shared" si="13"/>
        <v>6.2201726025102391E-2</v>
      </c>
      <c r="J122" s="64">
        <f t="shared" si="13"/>
        <v>6.5931311856394961E-2</v>
      </c>
      <c r="K122" s="74" t="str">
        <f t="shared" si="14"/>
        <v/>
      </c>
      <c r="L122" s="76">
        <f t="shared" si="14"/>
        <v>1.0375677924054411E-2</v>
      </c>
      <c r="M122" s="76">
        <f t="shared" si="14"/>
        <v>1.8884817068011567E-2</v>
      </c>
      <c r="N122" s="76">
        <f t="shared" si="14"/>
        <v>2.309763992510239E-2</v>
      </c>
      <c r="O122" s="64">
        <f t="shared" si="14"/>
        <v>2.5484540856394979E-2</v>
      </c>
      <c r="P122" s="57" t="s">
        <v>457</v>
      </c>
      <c r="Q122" s="67" t="s">
        <v>458</v>
      </c>
      <c r="R122" s="96" t="s">
        <v>32</v>
      </c>
      <c r="S122" s="76">
        <v>5.1302320000000005E-2</v>
      </c>
      <c r="T122" s="64">
        <f t="shared" si="15"/>
        <v>5.5433763680115544E-3</v>
      </c>
      <c r="V122" s="116">
        <v>1.13570379</v>
      </c>
      <c r="W122" s="108">
        <v>2.8668090100000003</v>
      </c>
      <c r="X122" s="108">
        <v>4.3553156800000004</v>
      </c>
      <c r="Y122" s="108">
        <v>5.5902637400000001</v>
      </c>
      <c r="Z122" s="117">
        <v>7.0766962200000005</v>
      </c>
      <c r="AB122" s="74">
        <v>3.7846211092235481E-2</v>
      </c>
      <c r="AC122" s="76">
        <v>4.7495258824054414E-2</v>
      </c>
      <c r="AD122" s="76">
        <v>5.684569636801156E-2</v>
      </c>
      <c r="AE122" s="76">
        <v>6.2201726025102391E-2</v>
      </c>
      <c r="AF122" s="64">
        <v>6.5931311856394961E-2</v>
      </c>
      <c r="AG122" s="74" t="s">
        <v>21</v>
      </c>
      <c r="AH122" s="76">
        <v>1.0375677924054411E-2</v>
      </c>
      <c r="AI122" s="76">
        <v>1.8884817068011567E-2</v>
      </c>
      <c r="AJ122" s="76">
        <v>2.309763992510239E-2</v>
      </c>
      <c r="AK122" s="64">
        <v>2.5484540856394979E-2</v>
      </c>
    </row>
    <row r="123" spans="2:37" x14ac:dyDescent="0.35">
      <c r="B123" s="55" t="s">
        <v>101</v>
      </c>
      <c r="C123" s="53" t="s">
        <v>85</v>
      </c>
      <c r="D123" s="53" t="s">
        <v>31</v>
      </c>
      <c r="E123" s="53" t="s">
        <v>21</v>
      </c>
      <c r="F123" s="73">
        <f t="shared" si="13"/>
        <v>3.6692538332762509E-2</v>
      </c>
      <c r="G123" s="60">
        <f t="shared" si="13"/>
        <v>4.3702113119017984E-2</v>
      </c>
      <c r="H123" s="60">
        <f t="shared" si="13"/>
        <v>5.0660769926747659E-2</v>
      </c>
      <c r="I123" s="60">
        <f t="shared" si="13"/>
        <v>5.4529467032445829E-2</v>
      </c>
      <c r="J123" s="63">
        <f t="shared" si="13"/>
        <v>5.7957773200989701E-2</v>
      </c>
      <c r="K123" s="73" t="str">
        <f t="shared" si="14"/>
        <v/>
      </c>
      <c r="L123" s="60">
        <f t="shared" si="14"/>
        <v>6.7023872190179797E-3</v>
      </c>
      <c r="M123" s="60">
        <f t="shared" si="14"/>
        <v>1.2930046626747661E-2</v>
      </c>
      <c r="N123" s="60">
        <f t="shared" si="14"/>
        <v>1.574690453244583E-2</v>
      </c>
      <c r="O123" s="63">
        <f t="shared" si="14"/>
        <v>1.7842641300989708E-2</v>
      </c>
      <c r="P123" s="55" t="s">
        <v>21</v>
      </c>
      <c r="Q123" s="53" t="s">
        <v>21</v>
      </c>
      <c r="R123" s="94" t="s">
        <v>21</v>
      </c>
      <c r="S123" s="71" t="s">
        <v>21</v>
      </c>
      <c r="T123" s="63" t="str">
        <f t="shared" si="15"/>
        <v/>
      </c>
      <c r="V123" s="114">
        <v>1.1365766799999999</v>
      </c>
      <c r="W123" s="72">
        <v>2.87989696</v>
      </c>
      <c r="X123" s="72">
        <v>4.4029166600000007</v>
      </c>
      <c r="Y123" s="72">
        <v>5.6948656399999997</v>
      </c>
      <c r="Z123" s="115">
        <v>7.2807419799999993</v>
      </c>
      <c r="AB123" s="73">
        <v>3.6692538332762509E-2</v>
      </c>
      <c r="AC123" s="71">
        <v>4.3702113119017984E-2</v>
      </c>
      <c r="AD123" s="71">
        <v>5.0660769926747659E-2</v>
      </c>
      <c r="AE123" s="71">
        <v>5.4529467032445829E-2</v>
      </c>
      <c r="AF123" s="63">
        <v>5.7957773200989701E-2</v>
      </c>
      <c r="AG123" s="73" t="s">
        <v>21</v>
      </c>
      <c r="AH123" s="71">
        <v>6.7023872190179797E-3</v>
      </c>
      <c r="AI123" s="71">
        <v>1.2930046626747661E-2</v>
      </c>
      <c r="AJ123" s="71">
        <v>1.574690453244583E-2</v>
      </c>
      <c r="AK123" s="63">
        <v>1.7842641300989708E-2</v>
      </c>
    </row>
    <row r="124" spans="2:37" x14ac:dyDescent="0.35">
      <c r="B124" s="57" t="s">
        <v>101</v>
      </c>
      <c r="C124" s="67" t="s">
        <v>35</v>
      </c>
      <c r="D124" s="67" t="s">
        <v>31</v>
      </c>
      <c r="E124" s="67" t="s">
        <v>21</v>
      </c>
      <c r="F124" s="74">
        <f t="shared" si="13"/>
        <v>3.8127918407329632E-2</v>
      </c>
      <c r="G124" s="76">
        <f t="shared" si="13"/>
        <v>4.6598778728594768E-2</v>
      </c>
      <c r="H124" s="76">
        <f t="shared" si="13"/>
        <v>5.5287059680025889E-2</v>
      </c>
      <c r="I124" s="76">
        <f t="shared" si="13"/>
        <v>5.9830846501987507E-2</v>
      </c>
      <c r="J124" s="64">
        <f t="shared" si="13"/>
        <v>6.3409604800402655E-2</v>
      </c>
      <c r="K124" s="74">
        <f t="shared" si="14"/>
        <v>2.3026230732963414E-4</v>
      </c>
      <c r="L124" s="76">
        <f t="shared" si="14"/>
        <v>9.5151331285947636E-3</v>
      </c>
      <c r="M124" s="76">
        <f t="shared" si="14"/>
        <v>1.7402565280025886E-2</v>
      </c>
      <c r="N124" s="76">
        <f t="shared" si="14"/>
        <v>2.0855147701987504E-2</v>
      </c>
      <c r="O124" s="64">
        <f t="shared" si="14"/>
        <v>2.3091665600402649E-2</v>
      </c>
      <c r="P124" s="57" t="s">
        <v>21</v>
      </c>
      <c r="Q124" s="67" t="s">
        <v>21</v>
      </c>
      <c r="R124" s="96" t="s">
        <v>21</v>
      </c>
      <c r="S124" s="76" t="s">
        <v>21</v>
      </c>
      <c r="T124" s="64" t="str">
        <f t="shared" si="15"/>
        <v/>
      </c>
      <c r="V124" s="116">
        <v>1.1353139999999999</v>
      </c>
      <c r="W124" s="108">
        <v>2.8703454900000001</v>
      </c>
      <c r="X124" s="108">
        <v>4.3722032000000004</v>
      </c>
      <c r="Y124" s="108">
        <v>5.6329710500000001</v>
      </c>
      <c r="Z124" s="117">
        <v>7.1680343300000002</v>
      </c>
      <c r="AB124" s="74">
        <v>3.8127918407329632E-2</v>
      </c>
      <c r="AC124" s="76">
        <v>4.6598778728594768E-2</v>
      </c>
      <c r="AD124" s="76">
        <v>5.5287059680025889E-2</v>
      </c>
      <c r="AE124" s="76">
        <v>5.9830846501987507E-2</v>
      </c>
      <c r="AF124" s="64">
        <v>6.3409604800402655E-2</v>
      </c>
      <c r="AG124" s="74">
        <v>2.3026230732963414E-4</v>
      </c>
      <c r="AH124" s="76">
        <v>9.5151331285947636E-3</v>
      </c>
      <c r="AI124" s="76">
        <v>1.7402565280025886E-2</v>
      </c>
      <c r="AJ124" s="76">
        <v>2.0855147701987504E-2</v>
      </c>
      <c r="AK124" s="64">
        <v>2.3091665600402649E-2</v>
      </c>
    </row>
    <row r="125" spans="2:37" x14ac:dyDescent="0.35">
      <c r="B125" s="55" t="s">
        <v>102</v>
      </c>
      <c r="C125" s="53" t="s">
        <v>85</v>
      </c>
      <c r="D125" s="53" t="s">
        <v>69</v>
      </c>
      <c r="E125" s="53" t="s">
        <v>459</v>
      </c>
      <c r="F125" s="73">
        <f t="shared" si="13"/>
        <v>3.7629338994154791E-2</v>
      </c>
      <c r="G125" s="60">
        <f t="shared" si="13"/>
        <v>4.4456889972730729E-2</v>
      </c>
      <c r="H125" s="60">
        <f t="shared" si="13"/>
        <v>5.1914041702544822E-2</v>
      </c>
      <c r="I125" s="60">
        <f t="shared" si="13"/>
        <v>5.5905490899594026E-2</v>
      </c>
      <c r="J125" s="63">
        <f t="shared" si="13"/>
        <v>5.9368811114664619E-2</v>
      </c>
      <c r="K125" s="73" t="str">
        <f t="shared" si="14"/>
        <v/>
      </c>
      <c r="L125" s="60">
        <f t="shared" si="14"/>
        <v>7.4230103727307237E-3</v>
      </c>
      <c r="M125" s="60">
        <f t="shared" si="14"/>
        <v>1.4119684402544821E-2</v>
      </c>
      <c r="N125" s="60">
        <f t="shared" si="14"/>
        <v>1.7051993199594027E-2</v>
      </c>
      <c r="O125" s="63">
        <f t="shared" si="14"/>
        <v>1.917759461466461E-2</v>
      </c>
      <c r="P125" s="55" t="s">
        <v>21</v>
      </c>
      <c r="Q125" s="53" t="s">
        <v>21</v>
      </c>
      <c r="R125" s="94" t="s">
        <v>21</v>
      </c>
      <c r="S125" s="71" t="s">
        <v>21</v>
      </c>
      <c r="T125" s="63" t="str">
        <f t="shared" si="15"/>
        <v/>
      </c>
      <c r="V125" s="114">
        <v>1.1347651300000001</v>
      </c>
      <c r="W125" s="72">
        <v>2.8720890400000001</v>
      </c>
      <c r="X125" s="72">
        <v>4.3816615199999998</v>
      </c>
      <c r="Y125" s="72">
        <v>5.6538637300000003</v>
      </c>
      <c r="Z125" s="115">
        <v>7.2059015500000001</v>
      </c>
      <c r="AB125" s="73">
        <v>3.7629338994154791E-2</v>
      </c>
      <c r="AC125" s="71">
        <v>4.4456889972730729E-2</v>
      </c>
      <c r="AD125" s="71">
        <v>5.1914041702544822E-2</v>
      </c>
      <c r="AE125" s="71">
        <v>5.5905490899594026E-2</v>
      </c>
      <c r="AF125" s="63">
        <v>5.9368811114664619E-2</v>
      </c>
      <c r="AG125" s="73" t="s">
        <v>21</v>
      </c>
      <c r="AH125" s="71">
        <v>7.4230103727307237E-3</v>
      </c>
      <c r="AI125" s="71">
        <v>1.4119684402544821E-2</v>
      </c>
      <c r="AJ125" s="71">
        <v>1.7051993199594027E-2</v>
      </c>
      <c r="AK125" s="63">
        <v>1.917759461466461E-2</v>
      </c>
    </row>
    <row r="126" spans="2:37" x14ac:dyDescent="0.35">
      <c r="B126" s="57" t="s">
        <v>102</v>
      </c>
      <c r="C126" s="67" t="s">
        <v>35</v>
      </c>
      <c r="D126" s="67" t="s">
        <v>69</v>
      </c>
      <c r="E126" s="67" t="s">
        <v>161</v>
      </c>
      <c r="F126" s="74">
        <f t="shared" si="13"/>
        <v>3.8538079986697574E-2</v>
      </c>
      <c r="G126" s="76">
        <f t="shared" si="13"/>
        <v>4.7495319568781377E-2</v>
      </c>
      <c r="H126" s="76">
        <f t="shared" si="13"/>
        <v>5.6849156082430199E-2</v>
      </c>
      <c r="I126" s="76">
        <f t="shared" si="13"/>
        <v>6.1844390209919387E-2</v>
      </c>
      <c r="J126" s="64">
        <f t="shared" si="13"/>
        <v>6.5867680097969616E-2</v>
      </c>
      <c r="K126" s="74">
        <f t="shared" si="14"/>
        <v>6.303757866975776E-4</v>
      </c>
      <c r="L126" s="76">
        <f t="shared" si="14"/>
        <v>1.0375884068781378E-2</v>
      </c>
      <c r="M126" s="76">
        <f t="shared" si="14"/>
        <v>1.8887997882430188E-2</v>
      </c>
      <c r="N126" s="76">
        <f t="shared" si="14"/>
        <v>2.2760040209919397E-2</v>
      </c>
      <c r="O126" s="64">
        <f t="shared" si="14"/>
        <v>2.5421755597969622E-2</v>
      </c>
      <c r="P126" s="57" t="s">
        <v>21</v>
      </c>
      <c r="Q126" s="67" t="s">
        <v>21</v>
      </c>
      <c r="R126" s="96" t="s">
        <v>21</v>
      </c>
      <c r="S126" s="76" t="s">
        <v>21</v>
      </c>
      <c r="T126" s="64" t="str">
        <f t="shared" si="15"/>
        <v/>
      </c>
      <c r="V126" s="114">
        <v>1.1347004900000002</v>
      </c>
      <c r="W126" s="72">
        <v>2.8650664300000002</v>
      </c>
      <c r="X126" s="72">
        <v>4.3536993199999996</v>
      </c>
      <c r="Y126" s="72">
        <v>5.5923624700000003</v>
      </c>
      <c r="Z126" s="115">
        <v>7.0817247900000009</v>
      </c>
      <c r="AB126" s="74">
        <v>3.8538079986697574E-2</v>
      </c>
      <c r="AC126" s="76">
        <v>4.7495319568781377E-2</v>
      </c>
      <c r="AD126" s="76">
        <v>5.6849156082430199E-2</v>
      </c>
      <c r="AE126" s="76">
        <v>6.1844390209919387E-2</v>
      </c>
      <c r="AF126" s="64">
        <v>6.5867680097969616E-2</v>
      </c>
      <c r="AG126" s="74">
        <v>6.303757866975776E-4</v>
      </c>
      <c r="AH126" s="76">
        <v>1.0375884068781378E-2</v>
      </c>
      <c r="AI126" s="76">
        <v>1.8887997882430188E-2</v>
      </c>
      <c r="AJ126" s="76">
        <v>2.2760040209919397E-2</v>
      </c>
      <c r="AK126" s="64">
        <v>2.5421755597969622E-2</v>
      </c>
    </row>
    <row r="127" spans="2:37" x14ac:dyDescent="0.35">
      <c r="B127" s="56" t="s">
        <v>104</v>
      </c>
      <c r="C127" s="66" t="s">
        <v>85</v>
      </c>
      <c r="D127" s="66" t="s">
        <v>43</v>
      </c>
      <c r="E127" s="65" t="s">
        <v>417</v>
      </c>
      <c r="F127" s="80">
        <f t="shared" si="13"/>
        <v>3.6714252310622496E-2</v>
      </c>
      <c r="G127" s="80">
        <f t="shared" si="13"/>
        <v>4.2920190466257266E-2</v>
      </c>
      <c r="H127" s="80">
        <f t="shared" si="13"/>
        <v>4.9560827722501019E-2</v>
      </c>
      <c r="I127" s="80">
        <f t="shared" si="13"/>
        <v>5.2874184309748926E-2</v>
      </c>
      <c r="J127" s="62">
        <f t="shared" si="13"/>
        <v>5.5794893591289946E-2</v>
      </c>
      <c r="K127" s="80" t="str">
        <f t="shared" si="14"/>
        <v/>
      </c>
      <c r="L127" s="80">
        <f t="shared" si="14"/>
        <v>5.955249066257268E-3</v>
      </c>
      <c r="M127" s="80">
        <f t="shared" si="14"/>
        <v>1.1883857222501017E-2</v>
      </c>
      <c r="N127" s="80">
        <f t="shared" si="14"/>
        <v>1.4173048609748929E-2</v>
      </c>
      <c r="O127" s="62">
        <f t="shared" si="14"/>
        <v>1.577297699128994E-2</v>
      </c>
      <c r="P127" s="56" t="s">
        <v>21</v>
      </c>
      <c r="Q127" s="66" t="s">
        <v>21</v>
      </c>
      <c r="R127" s="100" t="s">
        <v>21</v>
      </c>
      <c r="S127" s="80" t="s">
        <v>21</v>
      </c>
      <c r="T127" s="62" t="str">
        <f t="shared" si="15"/>
        <v/>
      </c>
      <c r="V127" s="118">
        <v>1.1365415300000001</v>
      </c>
      <c r="W127" s="61">
        <v>2.8851571499999999</v>
      </c>
      <c r="X127" s="61">
        <v>4.4203189599999995</v>
      </c>
      <c r="Y127" s="61">
        <v>5.7359154300000004</v>
      </c>
      <c r="Z127" s="119">
        <v>7.3754876999999999</v>
      </c>
      <c r="AB127" s="80">
        <v>3.6714252310622496E-2</v>
      </c>
      <c r="AC127" s="80">
        <v>4.2920190466257266E-2</v>
      </c>
      <c r="AD127" s="80">
        <v>4.9560827722501019E-2</v>
      </c>
      <c r="AE127" s="80">
        <v>5.2874184309748926E-2</v>
      </c>
      <c r="AF127" s="62">
        <v>5.5794893591289946E-2</v>
      </c>
      <c r="AG127" s="80" t="s">
        <v>21</v>
      </c>
      <c r="AH127" s="80">
        <v>5.955249066257268E-3</v>
      </c>
      <c r="AI127" s="80">
        <v>1.1883857222501017E-2</v>
      </c>
      <c r="AJ127" s="80">
        <v>1.4173048609748929E-2</v>
      </c>
      <c r="AK127" s="62">
        <v>1.577297699128994E-2</v>
      </c>
    </row>
    <row r="128" spans="2:37" x14ac:dyDescent="0.35">
      <c r="B128" s="57" t="s">
        <v>104</v>
      </c>
      <c r="C128" s="67" t="s">
        <v>35</v>
      </c>
      <c r="D128" s="67" t="s">
        <v>43</v>
      </c>
      <c r="E128" s="54" t="s">
        <v>417</v>
      </c>
      <c r="F128" s="76">
        <f t="shared" si="13"/>
        <v>3.8425623723005849E-2</v>
      </c>
      <c r="G128" s="76">
        <f t="shared" si="13"/>
        <v>4.7282126508464098E-2</v>
      </c>
      <c r="H128" s="76">
        <f t="shared" si="13"/>
        <v>5.6367552200002433E-2</v>
      </c>
      <c r="I128" s="76">
        <f t="shared" si="13"/>
        <v>6.0908905401038618E-2</v>
      </c>
      <c r="J128" s="64">
        <f t="shared" si="13"/>
        <v>6.4406696147761344E-2</v>
      </c>
      <c r="K128" s="76">
        <f t="shared" si="14"/>
        <v>5.1511642300585553E-4</v>
      </c>
      <c r="L128" s="76">
        <f t="shared" si="14"/>
        <v>1.0168593808464091E-2</v>
      </c>
      <c r="M128" s="76">
        <f t="shared" si="14"/>
        <v>1.842875500000243E-2</v>
      </c>
      <c r="N128" s="76">
        <f t="shared" si="14"/>
        <v>2.1874177001038622E-2</v>
      </c>
      <c r="O128" s="64">
        <f t="shared" si="14"/>
        <v>2.403661134776134E-2</v>
      </c>
      <c r="P128" s="67" t="s">
        <v>21</v>
      </c>
      <c r="Q128" s="67" t="s">
        <v>21</v>
      </c>
      <c r="R128" s="96" t="s">
        <v>21</v>
      </c>
      <c r="S128" s="76" t="s">
        <v>21</v>
      </c>
      <c r="T128" s="64" t="str">
        <f t="shared" si="15"/>
        <v/>
      </c>
      <c r="V128" s="116">
        <v>1.1349016999999999</v>
      </c>
      <c r="W128" s="108">
        <v>2.8664264500000001</v>
      </c>
      <c r="X128" s="108">
        <v>4.3590663000000003</v>
      </c>
      <c r="Y128" s="108">
        <v>5.6077389599999998</v>
      </c>
      <c r="Z128" s="117">
        <v>7.1242159200000001</v>
      </c>
      <c r="AB128" s="76">
        <v>3.8425623723005849E-2</v>
      </c>
      <c r="AC128" s="76">
        <v>4.7282126508464098E-2</v>
      </c>
      <c r="AD128" s="76">
        <v>5.6367552200002433E-2</v>
      </c>
      <c r="AE128" s="76">
        <v>6.0908905401038618E-2</v>
      </c>
      <c r="AF128" s="64">
        <v>6.4406696147761344E-2</v>
      </c>
      <c r="AG128" s="76">
        <v>5.1511642300585553E-4</v>
      </c>
      <c r="AH128" s="76">
        <v>1.0168593808464091E-2</v>
      </c>
      <c r="AI128" s="76">
        <v>1.842875500000243E-2</v>
      </c>
      <c r="AJ128" s="76">
        <v>2.1874177001038622E-2</v>
      </c>
      <c r="AK128" s="76">
        <v>2.403661134776134E-2</v>
      </c>
    </row>
    <row r="129" spans="2:37" x14ac:dyDescent="0.35">
      <c r="B129" s="55" t="s">
        <v>105</v>
      </c>
      <c r="C129" s="53" t="s">
        <v>85</v>
      </c>
      <c r="D129" s="53" t="s">
        <v>43</v>
      </c>
      <c r="E129" s="53" t="s">
        <v>417</v>
      </c>
      <c r="F129" s="73">
        <f t="shared" si="13"/>
        <v>3.6666192407004812E-2</v>
      </c>
      <c r="G129" s="60">
        <f t="shared" si="13"/>
        <v>4.2976584864126893E-2</v>
      </c>
      <c r="H129" s="60">
        <f t="shared" si="13"/>
        <v>4.946014320532871E-2</v>
      </c>
      <c r="I129" s="60">
        <f t="shared" si="13"/>
        <v>5.2774816393734984E-2</v>
      </c>
      <c r="J129" s="63">
        <f t="shared" si="13"/>
        <v>5.5599430569843497E-2</v>
      </c>
      <c r="K129" s="73" t="str">
        <f t="shared" si="14"/>
        <v/>
      </c>
      <c r="L129" s="60">
        <f t="shared" si="14"/>
        <v>6.0101787641268917E-3</v>
      </c>
      <c r="M129" s="60">
        <f t="shared" si="14"/>
        <v>1.1788580705328709E-2</v>
      </c>
      <c r="N129" s="60">
        <f t="shared" si="14"/>
        <v>1.4078585493734991E-2</v>
      </c>
      <c r="O129" s="63">
        <f t="shared" si="14"/>
        <v>1.5585852669843494E-2</v>
      </c>
      <c r="P129" s="55" t="s">
        <v>21</v>
      </c>
      <c r="Q129" s="53" t="s">
        <v>21</v>
      </c>
      <c r="R129" s="94" t="s">
        <v>21</v>
      </c>
      <c r="S129" s="71" t="s">
        <v>21</v>
      </c>
      <c r="T129" s="63" t="str">
        <f t="shared" si="15"/>
        <v/>
      </c>
      <c r="V129" s="114">
        <v>1.1366162000000002</v>
      </c>
      <c r="W129" s="72">
        <v>2.8844688600000001</v>
      </c>
      <c r="X129" s="72">
        <v>4.4207292899999997</v>
      </c>
      <c r="Y129" s="72">
        <v>5.7379618200000007</v>
      </c>
      <c r="Z129" s="115">
        <v>7.3823320999999993</v>
      </c>
      <c r="AB129" s="73">
        <v>3.6666192407004812E-2</v>
      </c>
      <c r="AC129" s="71">
        <v>4.2976584864126893E-2</v>
      </c>
      <c r="AD129" s="71">
        <v>4.946014320532871E-2</v>
      </c>
      <c r="AE129" s="71">
        <v>5.2774816393734984E-2</v>
      </c>
      <c r="AF129" s="63">
        <v>5.5599430569843497E-2</v>
      </c>
      <c r="AG129" s="73" t="s">
        <v>21</v>
      </c>
      <c r="AH129" s="71">
        <v>6.0101787641268917E-3</v>
      </c>
      <c r="AI129" s="71">
        <v>1.1788580705328709E-2</v>
      </c>
      <c r="AJ129" s="71">
        <v>1.4078585493734991E-2</v>
      </c>
      <c r="AK129" s="63">
        <v>1.5585852669843494E-2</v>
      </c>
    </row>
    <row r="130" spans="2:37" x14ac:dyDescent="0.35">
      <c r="B130" s="57" t="s">
        <v>105</v>
      </c>
      <c r="C130" s="67" t="s">
        <v>35</v>
      </c>
      <c r="D130" s="67" t="s">
        <v>43</v>
      </c>
      <c r="E130" s="67" t="s">
        <v>21</v>
      </c>
      <c r="F130" s="74">
        <f t="shared" si="13"/>
        <v>3.8335677762983682E-2</v>
      </c>
      <c r="G130" s="76">
        <f t="shared" si="13"/>
        <v>4.7092320439218051E-2</v>
      </c>
      <c r="H130" s="76">
        <f t="shared" si="13"/>
        <v>5.6070746511618356E-2</v>
      </c>
      <c r="I130" s="76">
        <f t="shared" si="13"/>
        <v>6.0522132811322599E-2</v>
      </c>
      <c r="J130" s="64">
        <f t="shared" si="13"/>
        <v>6.4103819198826434E-2</v>
      </c>
      <c r="K130" s="74">
        <f t="shared" si="14"/>
        <v>4.3199346298368035E-4</v>
      </c>
      <c r="L130" s="76">
        <f t="shared" si="14"/>
        <v>9.9885718392180578E-3</v>
      </c>
      <c r="M130" s="76">
        <f t="shared" si="14"/>
        <v>1.8148072611618354E-2</v>
      </c>
      <c r="N130" s="76">
        <f t="shared" si="14"/>
        <v>2.1509589011322605E-2</v>
      </c>
      <c r="O130" s="64">
        <f t="shared" si="14"/>
        <v>2.3749941798826432E-2</v>
      </c>
      <c r="P130" s="57" t="s">
        <v>21</v>
      </c>
      <c r="Q130" s="67" t="s">
        <v>21</v>
      </c>
      <c r="R130" s="96" t="s">
        <v>21</v>
      </c>
      <c r="S130" s="76" t="s">
        <v>21</v>
      </c>
      <c r="T130" s="64" t="str">
        <f t="shared" si="15"/>
        <v/>
      </c>
      <c r="V130" s="114">
        <v>1.1350088300000001</v>
      </c>
      <c r="W130" s="72">
        <v>2.86749622</v>
      </c>
      <c r="X130" s="72">
        <v>4.3626498600000003</v>
      </c>
      <c r="Y130" s="72">
        <v>5.6155271899999999</v>
      </c>
      <c r="Z130" s="115">
        <v>7.1379788799999995</v>
      </c>
      <c r="AB130" s="74">
        <v>3.8335677762983682E-2</v>
      </c>
      <c r="AC130" s="76">
        <v>4.7092320439218051E-2</v>
      </c>
      <c r="AD130" s="76">
        <v>5.6070746511618356E-2</v>
      </c>
      <c r="AE130" s="76">
        <v>6.0522132811322599E-2</v>
      </c>
      <c r="AF130" s="64">
        <v>6.4103819198826434E-2</v>
      </c>
      <c r="AG130" s="74">
        <v>4.3199346298368035E-4</v>
      </c>
      <c r="AH130" s="76">
        <v>9.9885718392180578E-3</v>
      </c>
      <c r="AI130" s="76">
        <v>1.8148072611618354E-2</v>
      </c>
      <c r="AJ130" s="76">
        <v>2.1509589011322605E-2</v>
      </c>
      <c r="AK130" s="64">
        <v>2.3749941798826432E-2</v>
      </c>
    </row>
    <row r="131" spans="2:37" x14ac:dyDescent="0.35">
      <c r="B131" s="56" t="s">
        <v>106</v>
      </c>
      <c r="C131" s="66" t="s">
        <v>85</v>
      </c>
      <c r="D131" s="66" t="s">
        <v>62</v>
      </c>
      <c r="E131" s="66" t="s">
        <v>460</v>
      </c>
      <c r="F131" s="75">
        <f t="shared" ref="F131:J138" si="16">IF(ISNUMBER(AB131),AB131-((C$4-C$3)/V131),"")</f>
        <v>3.7086637824136889E-2</v>
      </c>
      <c r="G131" s="80">
        <f t="shared" si="16"/>
        <v>4.3858499010065673E-2</v>
      </c>
      <c r="H131" s="80">
        <f t="shared" si="16"/>
        <v>5.0922355100346102E-2</v>
      </c>
      <c r="I131" s="80">
        <f t="shared" si="16"/>
        <v>5.4597462479263552E-2</v>
      </c>
      <c r="J131" s="62">
        <f t="shared" si="16"/>
        <v>5.7750404883643781E-2</v>
      </c>
      <c r="K131" s="75" t="str">
        <f t="shared" ref="K131:O138" si="17">IF(ISNUMBER(AG131),IF(AG131-((C$4-C$3)/V131)&lt;0,"",AG131-((C$4-C$3)/V131)),"")</f>
        <v/>
      </c>
      <c r="L131" s="80">
        <f t="shared" si="17"/>
        <v>6.8522175100656762E-3</v>
      </c>
      <c r="M131" s="80">
        <f t="shared" si="17"/>
        <v>1.3178801800346101E-2</v>
      </c>
      <c r="N131" s="80">
        <f t="shared" si="17"/>
        <v>1.5811855779263549E-2</v>
      </c>
      <c r="O131" s="62">
        <f t="shared" si="17"/>
        <v>1.7645151483643779E-2</v>
      </c>
      <c r="P131" s="56" t="s">
        <v>461</v>
      </c>
      <c r="Q131" s="66" t="s">
        <v>462</v>
      </c>
      <c r="R131" s="100" t="s">
        <v>32</v>
      </c>
      <c r="S131" s="80">
        <v>4.7190839999999998E-2</v>
      </c>
      <c r="T131" s="62">
        <f t="shared" si="15"/>
        <v>3.7315151003461042E-3</v>
      </c>
      <c r="V131" s="118">
        <v>1.1358095500000001</v>
      </c>
      <c r="W131" s="61">
        <v>2.8775975599999999</v>
      </c>
      <c r="X131" s="61">
        <v>4.3978608799999996</v>
      </c>
      <c r="Y131" s="61">
        <v>5.6886428000000002</v>
      </c>
      <c r="Z131" s="119">
        <v>7.2797914500000003</v>
      </c>
      <c r="AB131" s="75">
        <v>3.7086637824136889E-2</v>
      </c>
      <c r="AC131" s="80">
        <v>4.3858499010065673E-2</v>
      </c>
      <c r="AD131" s="80">
        <v>5.0922355100346102E-2</v>
      </c>
      <c r="AE131" s="80">
        <v>5.4597462479263552E-2</v>
      </c>
      <c r="AF131" s="62">
        <v>5.7750404883643781E-2</v>
      </c>
      <c r="AG131" s="75" t="s">
        <v>21</v>
      </c>
      <c r="AH131" s="80">
        <v>6.8522175100656762E-3</v>
      </c>
      <c r="AI131" s="80">
        <v>1.3178801800346101E-2</v>
      </c>
      <c r="AJ131" s="80">
        <v>1.5811855779263549E-2</v>
      </c>
      <c r="AK131" s="62">
        <v>1.7645151483643779E-2</v>
      </c>
    </row>
    <row r="132" spans="2:37" x14ac:dyDescent="0.35">
      <c r="B132" s="57" t="s">
        <v>106</v>
      </c>
      <c r="C132" s="67" t="s">
        <v>35</v>
      </c>
      <c r="D132" s="67" t="s">
        <v>62</v>
      </c>
      <c r="E132" s="67" t="s">
        <v>463</v>
      </c>
      <c r="F132" s="74">
        <f t="shared" si="16"/>
        <v>3.8409409904574573E-2</v>
      </c>
      <c r="G132" s="76">
        <f t="shared" si="16"/>
        <v>4.7523062783409745E-2</v>
      </c>
      <c r="H132" s="76">
        <f t="shared" si="16"/>
        <v>5.6754652546538636E-2</v>
      </c>
      <c r="I132" s="76">
        <f t="shared" si="16"/>
        <v>6.1205387047122424E-2</v>
      </c>
      <c r="J132" s="64">
        <f t="shared" si="16"/>
        <v>6.5049258312554939E-2</v>
      </c>
      <c r="K132" s="76">
        <f t="shared" si="17"/>
        <v>5.0487260457457613E-4</v>
      </c>
      <c r="L132" s="76">
        <f t="shared" si="17"/>
        <v>1.0401951983409747E-2</v>
      </c>
      <c r="M132" s="76">
        <f t="shared" si="17"/>
        <v>1.8798202546538641E-2</v>
      </c>
      <c r="N132" s="76">
        <f t="shared" si="17"/>
        <v>2.2156206047122429E-2</v>
      </c>
      <c r="O132" s="76">
        <f t="shared" si="17"/>
        <v>2.4645493112554942E-2</v>
      </c>
      <c r="P132" s="67" t="s">
        <v>21</v>
      </c>
      <c r="Q132" s="67" t="s">
        <v>21</v>
      </c>
      <c r="R132" s="96" t="s">
        <v>21</v>
      </c>
      <c r="S132" s="76" t="s">
        <v>21</v>
      </c>
      <c r="T132" s="76" t="str">
        <f t="shared" si="15"/>
        <v/>
      </c>
      <c r="V132" s="116">
        <v>1.13489288</v>
      </c>
      <c r="W132" s="108">
        <v>2.86527222</v>
      </c>
      <c r="X132" s="108">
        <v>4.3545670100000002</v>
      </c>
      <c r="Y132" s="108">
        <v>5.5997699800000005</v>
      </c>
      <c r="Z132" s="117">
        <v>7.1053187599999994</v>
      </c>
      <c r="AB132" s="74">
        <v>3.8409409904574573E-2</v>
      </c>
      <c r="AC132" s="76">
        <v>4.7523062783409745E-2</v>
      </c>
      <c r="AD132" s="76">
        <v>5.6754652546538636E-2</v>
      </c>
      <c r="AE132" s="76">
        <v>6.1205387047122424E-2</v>
      </c>
      <c r="AF132" s="64">
        <v>6.5049258312554939E-2</v>
      </c>
      <c r="AG132" s="76">
        <v>5.0487260457457613E-4</v>
      </c>
      <c r="AH132" s="76">
        <v>1.0401951983409747E-2</v>
      </c>
      <c r="AI132" s="76">
        <v>1.8798202546538641E-2</v>
      </c>
      <c r="AJ132" s="76">
        <v>2.2156206047122429E-2</v>
      </c>
      <c r="AK132" s="64">
        <v>2.4645493112554942E-2</v>
      </c>
    </row>
    <row r="133" spans="2:37" x14ac:dyDescent="0.35">
      <c r="B133" s="55" t="s">
        <v>107</v>
      </c>
      <c r="C133" s="53" t="s">
        <v>85</v>
      </c>
      <c r="D133" s="53" t="s">
        <v>62</v>
      </c>
      <c r="E133" s="53" t="s">
        <v>266</v>
      </c>
      <c r="F133" s="73">
        <f t="shared" si="16"/>
        <v>3.7280925635612888E-2</v>
      </c>
      <c r="G133" s="60">
        <f t="shared" si="16"/>
        <v>4.379618673342716E-2</v>
      </c>
      <c r="H133" s="60">
        <f t="shared" si="16"/>
        <v>5.0819442592773718E-2</v>
      </c>
      <c r="I133" s="60">
        <f t="shared" si="16"/>
        <v>5.4638784726910965E-2</v>
      </c>
      <c r="J133" s="63">
        <f t="shared" si="16"/>
        <v>5.7748604542979337E-2</v>
      </c>
      <c r="K133" s="73" t="str">
        <f t="shared" si="17"/>
        <v/>
      </c>
      <c r="L133" s="60">
        <f t="shared" si="17"/>
        <v>6.792576633427163E-3</v>
      </c>
      <c r="M133" s="60">
        <f t="shared" si="17"/>
        <v>1.308084759277372E-2</v>
      </c>
      <c r="N133" s="60">
        <f t="shared" si="17"/>
        <v>1.5850557326910968E-2</v>
      </c>
      <c r="O133" s="63">
        <f t="shared" si="17"/>
        <v>1.7643756942979344E-2</v>
      </c>
      <c r="P133" s="55" t="s">
        <v>21</v>
      </c>
      <c r="Q133" s="53" t="s">
        <v>21</v>
      </c>
      <c r="R133" s="94" t="s">
        <v>21</v>
      </c>
      <c r="S133" s="71" t="s">
        <v>21</v>
      </c>
      <c r="T133" s="63" t="str">
        <f t="shared" si="15"/>
        <v/>
      </c>
      <c r="V133" s="114">
        <v>1.1354387000000001</v>
      </c>
      <c r="W133" s="72">
        <v>2.87734391</v>
      </c>
      <c r="X133" s="72">
        <v>4.3988023399999996</v>
      </c>
      <c r="Y133" s="72">
        <v>5.6892450099999996</v>
      </c>
      <c r="Z133" s="115">
        <v>7.2798787899999997</v>
      </c>
      <c r="AB133" s="73">
        <v>3.7280925635612888E-2</v>
      </c>
      <c r="AC133" s="71">
        <v>4.379618673342716E-2</v>
      </c>
      <c r="AD133" s="71">
        <v>5.0819442592773718E-2</v>
      </c>
      <c r="AE133" s="71">
        <v>5.4638784726910965E-2</v>
      </c>
      <c r="AF133" s="63">
        <v>5.7748604542979337E-2</v>
      </c>
      <c r="AG133" s="73" t="s">
        <v>21</v>
      </c>
      <c r="AH133" s="71">
        <v>6.792576633427163E-3</v>
      </c>
      <c r="AI133" s="71">
        <v>1.308084759277372E-2</v>
      </c>
      <c r="AJ133" s="71">
        <v>1.5850557326910968E-2</v>
      </c>
      <c r="AK133" s="63">
        <v>1.7643756942979344E-2</v>
      </c>
    </row>
    <row r="134" spans="2:37" x14ac:dyDescent="0.35">
      <c r="B134" s="55" t="s">
        <v>107</v>
      </c>
      <c r="C134" s="53" t="s">
        <v>35</v>
      </c>
      <c r="D134" s="53" t="s">
        <v>62</v>
      </c>
      <c r="E134" s="53" t="s">
        <v>291</v>
      </c>
      <c r="F134" s="73">
        <f t="shared" si="16"/>
        <v>3.8336628081380823E-2</v>
      </c>
      <c r="G134" s="60">
        <f t="shared" si="16"/>
        <v>4.6843479188122886E-2</v>
      </c>
      <c r="H134" s="60">
        <f t="shared" si="16"/>
        <v>5.5678145858430353E-2</v>
      </c>
      <c r="I134" s="60">
        <f t="shared" si="16"/>
        <v>5.9856501632700287E-2</v>
      </c>
      <c r="J134" s="63">
        <f t="shared" si="16"/>
        <v>6.3692655064165826E-2</v>
      </c>
      <c r="K134" s="73">
        <f t="shared" si="17"/>
        <v>4.343580813808293E-4</v>
      </c>
      <c r="L134" s="60">
        <f t="shared" si="17"/>
        <v>9.7507634881228832E-3</v>
      </c>
      <c r="M134" s="60">
        <f t="shared" si="17"/>
        <v>1.7775298358430353E-2</v>
      </c>
      <c r="N134" s="60">
        <f t="shared" si="17"/>
        <v>2.0880271832700279E-2</v>
      </c>
      <c r="O134" s="63">
        <f t="shared" si="17"/>
        <v>2.3358739764165831E-2</v>
      </c>
      <c r="P134" s="55" t="s">
        <v>21</v>
      </c>
      <c r="Q134" s="53" t="s">
        <v>21</v>
      </c>
      <c r="R134" s="94" t="s">
        <v>21</v>
      </c>
      <c r="S134" s="71" t="s">
        <v>21</v>
      </c>
      <c r="T134" s="63" t="str">
        <f t="shared" si="15"/>
        <v/>
      </c>
      <c r="V134" s="114">
        <v>1.1349988600000001</v>
      </c>
      <c r="W134" s="72">
        <v>2.8686443100000001</v>
      </c>
      <c r="X134" s="72">
        <v>4.3671695100000001</v>
      </c>
      <c r="Y134" s="72">
        <v>5.6272142199999999</v>
      </c>
      <c r="Z134" s="115">
        <v>7.1585758900000007</v>
      </c>
      <c r="AB134" s="73">
        <v>3.8336628081380823E-2</v>
      </c>
      <c r="AC134" s="71">
        <v>4.6843479188122886E-2</v>
      </c>
      <c r="AD134" s="71">
        <v>5.5678145858430353E-2</v>
      </c>
      <c r="AE134" s="71">
        <v>5.9856501632700287E-2</v>
      </c>
      <c r="AF134" s="63">
        <v>6.3692655064165826E-2</v>
      </c>
      <c r="AG134" s="73">
        <v>4.343580813808293E-4</v>
      </c>
      <c r="AH134" s="71">
        <v>9.7507634881228832E-3</v>
      </c>
      <c r="AI134" s="71">
        <v>1.7775298358430353E-2</v>
      </c>
      <c r="AJ134" s="71">
        <v>2.0880271832700279E-2</v>
      </c>
      <c r="AK134" s="63">
        <v>2.3358739764165831E-2</v>
      </c>
    </row>
    <row r="135" spans="2:37" x14ac:dyDescent="0.35">
      <c r="B135" s="97" t="s">
        <v>83</v>
      </c>
      <c r="C135" s="98"/>
      <c r="D135" s="98"/>
      <c r="E135" s="98"/>
      <c r="F135" s="98" t="str">
        <f t="shared" si="16"/>
        <v/>
      </c>
      <c r="G135" s="98" t="str">
        <f t="shared" si="16"/>
        <v/>
      </c>
      <c r="H135" s="98" t="str">
        <f t="shared" si="16"/>
        <v/>
      </c>
      <c r="I135" s="98" t="str">
        <f t="shared" si="16"/>
        <v/>
      </c>
      <c r="J135" s="98" t="str">
        <f t="shared" si="16"/>
        <v/>
      </c>
      <c r="K135" s="98" t="str">
        <f t="shared" si="17"/>
        <v/>
      </c>
      <c r="L135" s="98" t="str">
        <f t="shared" si="17"/>
        <v/>
      </c>
      <c r="M135" s="98" t="str">
        <f t="shared" si="17"/>
        <v/>
      </c>
      <c r="N135" s="98" t="str">
        <f t="shared" si="17"/>
        <v/>
      </c>
      <c r="O135" s="77" t="str">
        <f t="shared" si="17"/>
        <v/>
      </c>
      <c r="P135" s="97"/>
      <c r="Q135" s="98"/>
      <c r="R135" s="101"/>
      <c r="S135" s="98"/>
      <c r="T135" s="99" t="str">
        <f t="shared" si="15"/>
        <v/>
      </c>
      <c r="V135" s="120"/>
      <c r="W135" s="109"/>
      <c r="X135" s="109"/>
      <c r="Y135" s="109"/>
      <c r="Z135" s="121"/>
      <c r="AB135" s="78"/>
      <c r="AC135" s="78"/>
      <c r="AD135" s="78"/>
      <c r="AE135" s="78"/>
      <c r="AF135" s="78"/>
      <c r="AG135" s="98"/>
      <c r="AH135" s="98"/>
      <c r="AI135" s="98"/>
      <c r="AJ135" s="98"/>
      <c r="AK135" s="77"/>
    </row>
    <row r="136" spans="2:37" x14ac:dyDescent="0.35">
      <c r="B136" s="56" t="s">
        <v>108</v>
      </c>
      <c r="C136" s="66" t="s">
        <v>85</v>
      </c>
      <c r="D136" s="66" t="s">
        <v>20</v>
      </c>
      <c r="E136" s="65" t="s">
        <v>58</v>
      </c>
      <c r="F136" s="80">
        <f t="shared" si="16"/>
        <v>3.7806970559973674E-2</v>
      </c>
      <c r="G136" s="80">
        <f t="shared" si="16"/>
        <v>4.4252136388596555E-2</v>
      </c>
      <c r="H136" s="80">
        <f t="shared" si="16"/>
        <v>5.0872681952727178E-2</v>
      </c>
      <c r="I136" s="80">
        <f t="shared" si="16"/>
        <v>5.5444725106461111E-2</v>
      </c>
      <c r="J136" s="62">
        <f t="shared" si="16"/>
        <v>5.8899829649437047E-2</v>
      </c>
      <c r="K136" s="80" t="str">
        <f t="shared" si="17"/>
        <v/>
      </c>
      <c r="L136" s="80">
        <f t="shared" si="17"/>
        <v>7.251247588596561E-3</v>
      </c>
      <c r="M136" s="80">
        <f t="shared" si="17"/>
        <v>1.315651665272718E-2</v>
      </c>
      <c r="N136" s="80">
        <f t="shared" si="17"/>
        <v>1.6640678606461113E-2</v>
      </c>
      <c r="O136" s="62">
        <f t="shared" si="17"/>
        <v>1.8763848049437044E-2</v>
      </c>
      <c r="P136" s="56" t="s">
        <v>464</v>
      </c>
      <c r="Q136" s="66" t="s">
        <v>465</v>
      </c>
      <c r="R136" s="100">
        <v>47580</v>
      </c>
      <c r="S136" s="80">
        <v>4.698625E-2</v>
      </c>
      <c r="T136" s="62">
        <f t="shared" si="15"/>
        <v>3.8864319527271776E-3</v>
      </c>
      <c r="V136" s="118">
        <v>1.1353629299999999</v>
      </c>
      <c r="W136" s="61">
        <v>2.8777989699999997</v>
      </c>
      <c r="X136" s="61">
        <v>4.4047388400000003</v>
      </c>
      <c r="Y136" s="61">
        <v>5.6906208500000002</v>
      </c>
      <c r="Z136" s="119">
        <v>7.2631784699999997</v>
      </c>
      <c r="AB136" s="80">
        <v>3.7806970559973674E-2</v>
      </c>
      <c r="AC136" s="80">
        <v>4.4252136388596555E-2</v>
      </c>
      <c r="AD136" s="80">
        <v>5.0872681952727178E-2</v>
      </c>
      <c r="AE136" s="80">
        <v>5.5444725106461111E-2</v>
      </c>
      <c r="AF136" s="62">
        <v>5.8899829649437047E-2</v>
      </c>
      <c r="AG136" s="80" t="s">
        <v>21</v>
      </c>
      <c r="AH136" s="80">
        <v>7.251247588596561E-3</v>
      </c>
      <c r="AI136" s="80">
        <v>1.315651665272718E-2</v>
      </c>
      <c r="AJ136" s="80">
        <v>1.6640678606461113E-2</v>
      </c>
      <c r="AK136" s="62">
        <v>1.8763848049437044E-2</v>
      </c>
    </row>
    <row r="137" spans="2:37" x14ac:dyDescent="0.35">
      <c r="B137" s="55" t="s">
        <v>109</v>
      </c>
      <c r="C137" s="53" t="s">
        <v>85</v>
      </c>
      <c r="D137" s="53" t="s">
        <v>20</v>
      </c>
      <c r="E137" s="59" t="s">
        <v>54</v>
      </c>
      <c r="F137" s="60">
        <f t="shared" si="16"/>
        <v>4.0710814969806421E-2</v>
      </c>
      <c r="G137" s="60">
        <f t="shared" si="16"/>
        <v>5.059142020144515E-2</v>
      </c>
      <c r="H137" s="60">
        <f t="shared" si="16"/>
        <v>6.1430830770620122E-2</v>
      </c>
      <c r="I137" s="60">
        <f t="shared" si="16"/>
        <v>6.8176297482014106E-2</v>
      </c>
      <c r="J137" s="63">
        <f t="shared" si="16"/>
        <v>7.040871782283438E-2</v>
      </c>
      <c r="K137" s="60">
        <f t="shared" si="17"/>
        <v>2.7143234698064162E-3</v>
      </c>
      <c r="L137" s="60">
        <f t="shared" si="17"/>
        <v>1.3274253601445143E-2</v>
      </c>
      <c r="M137" s="60">
        <f t="shared" si="17"/>
        <v>2.3082910770620118E-2</v>
      </c>
      <c r="N137" s="60">
        <f t="shared" si="17"/>
        <v>2.8554767982014107E-2</v>
      </c>
      <c r="O137" s="63">
        <f t="shared" si="17"/>
        <v>2.9579677822834376E-2</v>
      </c>
      <c r="P137" s="55" t="s">
        <v>466</v>
      </c>
      <c r="Q137" s="53" t="s">
        <v>467</v>
      </c>
      <c r="R137" s="94">
        <v>47618</v>
      </c>
      <c r="S137" s="71">
        <v>5.1218060000000003E-2</v>
      </c>
      <c r="T137" s="63">
        <f t="shared" si="15"/>
        <v>1.0212770770620119E-2</v>
      </c>
      <c r="V137" s="114">
        <v>1.1292266400000002</v>
      </c>
      <c r="W137" s="72">
        <v>2.82973454</v>
      </c>
      <c r="X137" s="72">
        <v>4.2418307400000002</v>
      </c>
      <c r="Y137" s="72">
        <v>5.3534508699999996</v>
      </c>
      <c r="Z137" s="115">
        <v>6.6752797899999994</v>
      </c>
      <c r="AB137" s="71">
        <v>4.0710814969806421E-2</v>
      </c>
      <c r="AC137" s="71">
        <v>5.059142020144515E-2</v>
      </c>
      <c r="AD137" s="71">
        <v>6.1430830770620122E-2</v>
      </c>
      <c r="AE137" s="71">
        <v>6.8176297482014106E-2</v>
      </c>
      <c r="AF137" s="63">
        <v>7.040871782283438E-2</v>
      </c>
      <c r="AG137" s="71">
        <v>2.7143234698064162E-3</v>
      </c>
      <c r="AH137" s="71">
        <v>1.3274253601445143E-2</v>
      </c>
      <c r="AI137" s="71">
        <v>2.3082910770620118E-2</v>
      </c>
      <c r="AJ137" s="71">
        <v>2.8554767982014107E-2</v>
      </c>
      <c r="AK137" s="63">
        <v>2.9579677822834376E-2</v>
      </c>
    </row>
    <row r="138" spans="2:37" x14ac:dyDescent="0.35">
      <c r="B138" s="57" t="s">
        <v>111</v>
      </c>
      <c r="C138" s="67" t="s">
        <v>85</v>
      </c>
      <c r="D138" s="67" t="s">
        <v>20</v>
      </c>
      <c r="E138" s="54" t="s">
        <v>112</v>
      </c>
      <c r="F138" s="76">
        <f t="shared" si="16"/>
        <v>3.8884929362157809E-2</v>
      </c>
      <c r="G138" s="76">
        <f t="shared" si="16"/>
        <v>4.6521582560800363E-2</v>
      </c>
      <c r="H138" s="76">
        <f t="shared" si="16"/>
        <v>5.3996984438876586E-2</v>
      </c>
      <c r="I138" s="76">
        <f t="shared" si="16"/>
        <v>5.8026900775612587E-2</v>
      </c>
      <c r="J138" s="64">
        <f t="shared" si="16"/>
        <v>6.1512882774259613E-2</v>
      </c>
      <c r="K138" s="76">
        <f t="shared" si="17"/>
        <v>9.5743096215781132E-4</v>
      </c>
      <c r="L138" s="76">
        <f t="shared" si="17"/>
        <v>9.409205660800361E-3</v>
      </c>
      <c r="M138" s="76">
        <f t="shared" si="17"/>
        <v>1.6115187038876586E-2</v>
      </c>
      <c r="N138" s="76">
        <f t="shared" si="17"/>
        <v>1.908067447561259E-2</v>
      </c>
      <c r="O138" s="64">
        <f t="shared" si="17"/>
        <v>2.1229935074259611E-2</v>
      </c>
      <c r="P138" s="57" t="s">
        <v>21</v>
      </c>
      <c r="Q138" s="67" t="s">
        <v>21</v>
      </c>
      <c r="R138" s="96" t="s">
        <v>21</v>
      </c>
      <c r="S138" s="76" t="s">
        <v>21</v>
      </c>
      <c r="T138" s="64" t="str">
        <f t="shared" si="15"/>
        <v/>
      </c>
      <c r="V138" s="116">
        <v>1.1333823200000002</v>
      </c>
      <c r="W138" s="108">
        <v>2.8604907900000001</v>
      </c>
      <c r="X138" s="108">
        <v>4.3534214599999999</v>
      </c>
      <c r="Y138" s="108">
        <v>5.6022445100000002</v>
      </c>
      <c r="Z138" s="117">
        <v>7.1115494699999999</v>
      </c>
      <c r="AB138" s="76">
        <v>3.8884929362157809E-2</v>
      </c>
      <c r="AC138" s="76">
        <v>4.6521582560800363E-2</v>
      </c>
      <c r="AD138" s="76">
        <v>5.3996984438876586E-2</v>
      </c>
      <c r="AE138" s="76">
        <v>5.8026900775612587E-2</v>
      </c>
      <c r="AF138" s="64">
        <v>6.1512882774259613E-2</v>
      </c>
      <c r="AG138" s="76">
        <v>9.5743096215781132E-4</v>
      </c>
      <c r="AH138" s="76">
        <v>9.409205660800361E-3</v>
      </c>
      <c r="AI138" s="76">
        <v>1.6115187038876586E-2</v>
      </c>
      <c r="AJ138" s="76">
        <v>1.908067447561259E-2</v>
      </c>
      <c r="AK138" s="64">
        <v>2.1229935074259611E-2</v>
      </c>
    </row>
    <row r="139" spans="2:37" x14ac:dyDescent="0.35">
      <c r="P139" s="128"/>
      <c r="Q139" s="128"/>
      <c r="R139" s="44"/>
      <c r="S139" s="128"/>
      <c r="T139" s="128"/>
      <c r="V139" s="72"/>
      <c r="W139" s="72"/>
      <c r="X139" s="72"/>
      <c r="Y139" s="72"/>
      <c r="Z139" s="72"/>
    </row>
    <row r="140" spans="2:37" ht="15.5" x14ac:dyDescent="0.35">
      <c r="B140" s="122" t="s">
        <v>113</v>
      </c>
      <c r="R140" s="94"/>
      <c r="S140" s="71"/>
      <c r="T140" s="71"/>
      <c r="V140" s="72"/>
      <c r="W140" s="72"/>
      <c r="X140" s="72"/>
      <c r="Y140" s="72"/>
      <c r="Z140" s="72"/>
    </row>
    <row r="141" spans="2:37" x14ac:dyDescent="0.35">
      <c r="B141" s="85" t="s">
        <v>5</v>
      </c>
      <c r="C141" s="84" t="s">
        <v>6</v>
      </c>
      <c r="D141" s="84" t="s">
        <v>7</v>
      </c>
      <c r="E141" s="84" t="s">
        <v>8</v>
      </c>
      <c r="F141" s="83" t="s">
        <v>9</v>
      </c>
      <c r="G141" s="82" t="s">
        <v>10</v>
      </c>
      <c r="H141" s="82" t="s">
        <v>11</v>
      </c>
      <c r="I141" s="82" t="s">
        <v>12</v>
      </c>
      <c r="J141" s="81" t="s">
        <v>13</v>
      </c>
      <c r="K141" s="83" t="s">
        <v>9</v>
      </c>
      <c r="L141" s="82" t="s">
        <v>10</v>
      </c>
      <c r="M141" s="82" t="s">
        <v>11</v>
      </c>
      <c r="N141" s="82" t="s">
        <v>12</v>
      </c>
      <c r="O141" s="81" t="s">
        <v>13</v>
      </c>
      <c r="P141" s="70" t="s">
        <v>14</v>
      </c>
      <c r="Q141" s="58" t="s">
        <v>15</v>
      </c>
      <c r="R141" s="58" t="s">
        <v>16</v>
      </c>
      <c r="S141" s="58" t="s">
        <v>218</v>
      </c>
      <c r="T141" s="58" t="s">
        <v>18</v>
      </c>
      <c r="V141" s="110" t="s">
        <v>9</v>
      </c>
      <c r="W141" s="106" t="s">
        <v>10</v>
      </c>
      <c r="X141" s="106" t="s">
        <v>11</v>
      </c>
      <c r="Y141" s="106" t="s">
        <v>12</v>
      </c>
      <c r="Z141" s="111" t="s">
        <v>13</v>
      </c>
      <c r="AB141" s="83" t="s">
        <v>9</v>
      </c>
      <c r="AC141" s="82" t="s">
        <v>10</v>
      </c>
      <c r="AD141" s="82" t="s">
        <v>11</v>
      </c>
      <c r="AE141" s="82" t="s">
        <v>12</v>
      </c>
      <c r="AF141" s="81" t="s">
        <v>13</v>
      </c>
      <c r="AG141" s="83" t="s">
        <v>9</v>
      </c>
      <c r="AH141" s="82" t="s">
        <v>10</v>
      </c>
      <c r="AI141" s="82" t="s">
        <v>11</v>
      </c>
      <c r="AJ141" s="82" t="s">
        <v>12</v>
      </c>
      <c r="AK141" s="81" t="s">
        <v>13</v>
      </c>
    </row>
    <row r="142" spans="2:37" x14ac:dyDescent="0.35">
      <c r="B142" s="79" t="s">
        <v>114</v>
      </c>
      <c r="C142" s="9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7"/>
      <c r="P142" s="79"/>
      <c r="Q142" s="78"/>
      <c r="R142" s="95"/>
      <c r="S142" s="78"/>
      <c r="T142" s="77"/>
      <c r="V142" s="112"/>
      <c r="W142" s="107"/>
      <c r="X142" s="107"/>
      <c r="Y142" s="107"/>
      <c r="Z142" s="113"/>
      <c r="AB142" s="78"/>
      <c r="AC142" s="78"/>
      <c r="AD142" s="78"/>
      <c r="AE142" s="78"/>
      <c r="AF142" s="78"/>
      <c r="AG142" s="78"/>
      <c r="AH142" s="78"/>
      <c r="AI142" s="78"/>
      <c r="AJ142" s="78"/>
      <c r="AK142" s="77"/>
    </row>
    <row r="143" spans="2:37" x14ac:dyDescent="0.35">
      <c r="B143" s="56" t="s">
        <v>319</v>
      </c>
      <c r="C143" s="66" t="s">
        <v>234</v>
      </c>
      <c r="D143" s="66" t="s">
        <v>20</v>
      </c>
      <c r="E143" s="66" t="s">
        <v>21</v>
      </c>
      <c r="F143" s="75">
        <f t="shared" ref="F143:J173" si="18">IF(ISNUMBER(AB143),AB143-((C$4-C$3)/V143),"")</f>
        <v>4.0343698252367909E-2</v>
      </c>
      <c r="G143" s="80">
        <f t="shared" si="18"/>
        <v>5.2738674710200481E-2</v>
      </c>
      <c r="H143" s="80">
        <f t="shared" si="18"/>
        <v>6.8914744326012328E-2</v>
      </c>
      <c r="I143" s="80">
        <f t="shared" si="18"/>
        <v>7.5976038235602159E-2</v>
      </c>
      <c r="J143" s="62">
        <f t="shared" si="18"/>
        <v>8.1179037011471389E-2</v>
      </c>
      <c r="K143" s="80">
        <f t="shared" ref="K143:O173" si="19">IF(ISNUMBER(AG143),IF(AG143-((C$4-C$3)/V143)&lt;0,"",AG143-((C$4-C$3)/V143)),"")</f>
        <v>2.3405871523679081E-3</v>
      </c>
      <c r="L143" s="80">
        <f t="shared" si="19"/>
        <v>1.5280251310200478E-2</v>
      </c>
      <c r="M143" s="80">
        <f t="shared" si="19"/>
        <v>3.0002691326012298E-2</v>
      </c>
      <c r="N143" s="80">
        <f t="shared" si="19"/>
        <v>3.5751846635602137E-2</v>
      </c>
      <c r="O143" s="62">
        <f t="shared" si="19"/>
        <v>3.9547089811471391E-2</v>
      </c>
      <c r="P143" s="56" t="s">
        <v>21</v>
      </c>
      <c r="Q143" s="66" t="s">
        <v>21</v>
      </c>
      <c r="R143" s="100" t="s">
        <v>21</v>
      </c>
      <c r="S143" s="75" t="s">
        <v>21</v>
      </c>
      <c r="T143" s="62" t="str">
        <f t="shared" ref="T143:T276" si="20">IF(S143="","",H143-S143)</f>
        <v/>
      </c>
      <c r="V143" s="114">
        <v>1.1303779999999999</v>
      </c>
      <c r="W143" s="72">
        <v>2.8180332900000002</v>
      </c>
      <c r="X143" s="72">
        <v>4.1571210999999995</v>
      </c>
      <c r="Y143" s="72">
        <v>5.1655365900000003</v>
      </c>
      <c r="Z143" s="115">
        <v>6.2650035600000002</v>
      </c>
      <c r="AB143" s="80">
        <v>4.0343698252367909E-2</v>
      </c>
      <c r="AC143" s="80">
        <v>5.2738674710200481E-2</v>
      </c>
      <c r="AD143" s="80">
        <v>6.8914744326012328E-2</v>
      </c>
      <c r="AE143" s="80">
        <v>7.5976038235602159E-2</v>
      </c>
      <c r="AF143" s="62">
        <v>8.1179037011471389E-2</v>
      </c>
      <c r="AG143" s="80">
        <v>2.3405871523679081E-3</v>
      </c>
      <c r="AH143" s="80">
        <v>1.5280251310200478E-2</v>
      </c>
      <c r="AI143" s="80">
        <v>3.0002691326012298E-2</v>
      </c>
      <c r="AJ143" s="80">
        <v>3.5751846635602137E-2</v>
      </c>
      <c r="AK143" s="62">
        <v>3.9547089811471391E-2</v>
      </c>
    </row>
    <row r="144" spans="2:37" x14ac:dyDescent="0.35">
      <c r="B144" s="55" t="s">
        <v>177</v>
      </c>
      <c r="C144" s="53" t="s">
        <v>234</v>
      </c>
      <c r="D144" s="53" t="s">
        <v>43</v>
      </c>
      <c r="E144" s="53" t="s">
        <v>21</v>
      </c>
      <c r="F144" s="73">
        <f t="shared" si="18"/>
        <v>3.9476652373231877E-2</v>
      </c>
      <c r="G144" s="60">
        <f t="shared" si="18"/>
        <v>5.2950812880131329E-2</v>
      </c>
      <c r="H144" s="60">
        <f t="shared" si="18"/>
        <v>6.6677723793493529E-2</v>
      </c>
      <c r="I144" s="60">
        <f t="shared" si="18"/>
        <v>7.5624546508230694E-2</v>
      </c>
      <c r="J144" s="63">
        <f t="shared" si="18"/>
        <v>8.0080862304452216E-2</v>
      </c>
      <c r="K144" s="60">
        <f t="shared" si="19"/>
        <v>1.5015624732318761E-3</v>
      </c>
      <c r="L144" s="60">
        <f t="shared" si="19"/>
        <v>1.5451452080131326E-2</v>
      </c>
      <c r="M144" s="60">
        <f t="shared" si="19"/>
        <v>2.7901663593493525E-2</v>
      </c>
      <c r="N144" s="60">
        <f t="shared" si="19"/>
        <v>3.5380612008230686E-2</v>
      </c>
      <c r="O144" s="63">
        <f t="shared" si="19"/>
        <v>3.8498165904452201E-2</v>
      </c>
      <c r="P144" s="55" t="s">
        <v>21</v>
      </c>
      <c r="Q144" s="53" t="s">
        <v>21</v>
      </c>
      <c r="R144" s="94" t="s">
        <v>21</v>
      </c>
      <c r="S144" s="73" t="s">
        <v>21</v>
      </c>
      <c r="T144" s="63" t="str">
        <f t="shared" si="20"/>
        <v/>
      </c>
      <c r="V144" s="114">
        <v>1.13118765</v>
      </c>
      <c r="W144" s="72">
        <v>2.8131027199999998</v>
      </c>
      <c r="X144" s="72">
        <v>4.1664763599999999</v>
      </c>
      <c r="Y144" s="72">
        <v>5.1800011899999996</v>
      </c>
      <c r="Z144" s="115">
        <v>6.28845718</v>
      </c>
      <c r="AB144" s="71">
        <v>3.9476652373231877E-2</v>
      </c>
      <c r="AC144" s="71">
        <v>5.2950812880131329E-2</v>
      </c>
      <c r="AD144" s="71">
        <v>6.6677723793493529E-2</v>
      </c>
      <c r="AE144" s="71">
        <v>7.5624546508230694E-2</v>
      </c>
      <c r="AF144" s="63">
        <v>8.0080862304452216E-2</v>
      </c>
      <c r="AG144" s="71">
        <v>1.5015624732318761E-3</v>
      </c>
      <c r="AH144" s="71">
        <v>1.5451452080131326E-2</v>
      </c>
      <c r="AI144" s="71">
        <v>2.7901663593493525E-2</v>
      </c>
      <c r="AJ144" s="71">
        <v>3.5380612008230686E-2</v>
      </c>
      <c r="AK144" s="63">
        <v>3.8498165904452201E-2</v>
      </c>
    </row>
    <row r="145" spans="2:37" x14ac:dyDescent="0.35">
      <c r="B145" s="55" t="s">
        <v>122</v>
      </c>
      <c r="C145" s="53" t="s">
        <v>234</v>
      </c>
      <c r="D145" s="53" t="s">
        <v>97</v>
      </c>
      <c r="E145" s="53" t="s">
        <v>269</v>
      </c>
      <c r="F145" s="73">
        <f t="shared" si="18"/>
        <v>3.8965928665054911E-2</v>
      </c>
      <c r="G145" s="60">
        <f t="shared" si="18"/>
        <v>5.2439078495493827E-2</v>
      </c>
      <c r="H145" s="60">
        <f t="shared" si="18"/>
        <v>6.5836419937416207E-2</v>
      </c>
      <c r="I145" s="60">
        <f t="shared" si="18"/>
        <v>7.4584415220295436E-2</v>
      </c>
      <c r="J145" s="63">
        <f t="shared" si="18"/>
        <v>8.1228294546114743E-2</v>
      </c>
      <c r="K145" s="60">
        <f t="shared" si="19"/>
        <v>1.023340165054917E-3</v>
      </c>
      <c r="L145" s="60">
        <f t="shared" si="19"/>
        <v>1.4976819695493823E-2</v>
      </c>
      <c r="M145" s="60">
        <f t="shared" si="19"/>
        <v>2.7129546837416207E-2</v>
      </c>
      <c r="N145" s="60">
        <f t="shared" si="19"/>
        <v>3.4430862220295448E-2</v>
      </c>
      <c r="O145" s="63">
        <f t="shared" si="19"/>
        <v>3.9547309346114758E-2</v>
      </c>
      <c r="P145" s="55" t="s">
        <v>21</v>
      </c>
      <c r="Q145" s="53" t="s">
        <v>21</v>
      </c>
      <c r="R145" s="94" t="s">
        <v>21</v>
      </c>
      <c r="S145" s="73" t="s">
        <v>21</v>
      </c>
      <c r="T145" s="63" t="str">
        <f t="shared" si="20"/>
        <v/>
      </c>
      <c r="V145" s="114">
        <v>1.1321964600000001</v>
      </c>
      <c r="W145" s="72">
        <v>2.8185774600000002</v>
      </c>
      <c r="X145" s="72">
        <v>4.1803059300000003</v>
      </c>
      <c r="Y145" s="72">
        <v>5.2061840900000007</v>
      </c>
      <c r="Z145" s="115">
        <v>6.2935759100000004</v>
      </c>
      <c r="AB145" s="71">
        <v>3.8965928665054911E-2</v>
      </c>
      <c r="AC145" s="71">
        <v>5.2439078495493827E-2</v>
      </c>
      <c r="AD145" s="71">
        <v>6.5836419937416207E-2</v>
      </c>
      <c r="AE145" s="71">
        <v>7.4584415220295436E-2</v>
      </c>
      <c r="AF145" s="63">
        <v>8.1228294546114743E-2</v>
      </c>
      <c r="AG145" s="71">
        <v>1.023340165054917E-3</v>
      </c>
      <c r="AH145" s="71">
        <v>1.4976819695493823E-2</v>
      </c>
      <c r="AI145" s="71">
        <v>2.7129546837416207E-2</v>
      </c>
      <c r="AJ145" s="71">
        <v>3.4430862220295448E-2</v>
      </c>
      <c r="AK145" s="63">
        <v>3.9547309346114758E-2</v>
      </c>
    </row>
    <row r="146" spans="2:37" x14ac:dyDescent="0.35">
      <c r="B146" s="55" t="s">
        <v>170</v>
      </c>
      <c r="C146" s="53" t="s">
        <v>234</v>
      </c>
      <c r="D146" s="53" t="s">
        <v>20</v>
      </c>
      <c r="E146" s="53" t="s">
        <v>21</v>
      </c>
      <c r="F146" s="73">
        <f t="shared" si="18"/>
        <v>4.2691726843859933E-2</v>
      </c>
      <c r="G146" s="60">
        <f t="shared" si="18"/>
        <v>5.3429407000301445E-2</v>
      </c>
      <c r="H146" s="60">
        <f t="shared" si="18"/>
        <v>6.517284624703977E-2</v>
      </c>
      <c r="I146" s="60">
        <f t="shared" si="18"/>
        <v>7.0817550299087623E-2</v>
      </c>
      <c r="J146" s="63">
        <f t="shared" si="18"/>
        <v>7.5847617491117431E-2</v>
      </c>
      <c r="K146" s="60">
        <f t="shared" si="19"/>
        <v>4.5670593438599328E-3</v>
      </c>
      <c r="L146" s="60">
        <f t="shared" si="19"/>
        <v>1.5934407900301449E-2</v>
      </c>
      <c r="M146" s="60">
        <f t="shared" si="19"/>
        <v>2.6548961547039781E-2</v>
      </c>
      <c r="N146" s="60">
        <f t="shared" si="19"/>
        <v>3.1001585299087635E-2</v>
      </c>
      <c r="O146" s="63">
        <f t="shared" si="19"/>
        <v>3.4618019991117438E-2</v>
      </c>
      <c r="P146" s="55" t="s">
        <v>468</v>
      </c>
      <c r="Q146" s="53" t="s">
        <v>469</v>
      </c>
      <c r="R146" s="94">
        <v>47505</v>
      </c>
      <c r="S146" s="73">
        <v>5.5480260000000003E-2</v>
      </c>
      <c r="T146" s="63">
        <f t="shared" si="20"/>
        <v>9.6925862470397667E-3</v>
      </c>
      <c r="V146" s="114">
        <v>1.12436837</v>
      </c>
      <c r="W146" s="72">
        <v>2.8022332800000003</v>
      </c>
      <c r="X146" s="72">
        <v>4.1801492599999994</v>
      </c>
      <c r="Y146" s="72">
        <v>5.2506876099999999</v>
      </c>
      <c r="Z146" s="115">
        <v>6.4616041200000005</v>
      </c>
      <c r="AB146" s="71">
        <v>4.2691726843859933E-2</v>
      </c>
      <c r="AC146" s="71">
        <v>5.3429407000301445E-2</v>
      </c>
      <c r="AD146" s="71">
        <v>6.517284624703977E-2</v>
      </c>
      <c r="AE146" s="71">
        <v>7.0817550299087623E-2</v>
      </c>
      <c r="AF146" s="63">
        <v>7.5847617491117431E-2</v>
      </c>
      <c r="AG146" s="71">
        <v>4.5670593438599328E-3</v>
      </c>
      <c r="AH146" s="71">
        <v>1.5934407900301449E-2</v>
      </c>
      <c r="AI146" s="71">
        <v>2.6548961547039781E-2</v>
      </c>
      <c r="AJ146" s="71">
        <v>3.1001585299087635E-2</v>
      </c>
      <c r="AK146" s="63">
        <v>3.4618019991117438E-2</v>
      </c>
    </row>
    <row r="147" spans="2:37" x14ac:dyDescent="0.35">
      <c r="B147" s="55" t="s">
        <v>153</v>
      </c>
      <c r="C147" s="53" t="s">
        <v>234</v>
      </c>
      <c r="D147" s="53" t="s">
        <v>20</v>
      </c>
      <c r="E147" s="53" t="s">
        <v>123</v>
      </c>
      <c r="F147" s="73">
        <f t="shared" si="18"/>
        <v>4.1958226305148436E-2</v>
      </c>
      <c r="G147" s="60">
        <f t="shared" si="18"/>
        <v>5.5268610701726638E-2</v>
      </c>
      <c r="H147" s="60">
        <f t="shared" si="18"/>
        <v>6.4538657765287166E-2</v>
      </c>
      <c r="I147" s="60">
        <f t="shared" si="18"/>
        <v>7.0187378058630998E-2</v>
      </c>
      <c r="J147" s="63">
        <f t="shared" si="18"/>
        <v>7.3886386261348233E-2</v>
      </c>
      <c r="K147" s="60">
        <f t="shared" si="19"/>
        <v>3.8731492051484392E-3</v>
      </c>
      <c r="L147" s="60">
        <f t="shared" si="19"/>
        <v>1.765223720172664E-2</v>
      </c>
      <c r="M147" s="60">
        <f t="shared" si="19"/>
        <v>2.5955113665287181E-2</v>
      </c>
      <c r="N147" s="60">
        <f t="shared" si="19"/>
        <v>3.0403744258630988E-2</v>
      </c>
      <c r="O147" s="63">
        <f t="shared" si="19"/>
        <v>3.2788672761348239E-2</v>
      </c>
      <c r="P147" s="55" t="s">
        <v>470</v>
      </c>
      <c r="Q147" s="53" t="s">
        <v>471</v>
      </c>
      <c r="R147" s="94">
        <v>47484</v>
      </c>
      <c r="S147" s="73">
        <v>5.4847310000000003E-2</v>
      </c>
      <c r="T147" s="63">
        <f t="shared" si="20"/>
        <v>9.691347765287163E-3</v>
      </c>
      <c r="V147" s="114">
        <v>1.12620126</v>
      </c>
      <c r="W147" s="72">
        <v>2.79433065</v>
      </c>
      <c r="X147" s="72">
        <v>4.1722306299999996</v>
      </c>
      <c r="Y147" s="72">
        <v>5.2590751300000003</v>
      </c>
      <c r="Z147" s="115">
        <v>6.5118469999999995</v>
      </c>
      <c r="AB147" s="71">
        <v>4.1958226305148436E-2</v>
      </c>
      <c r="AC147" s="71">
        <v>5.5268610701726638E-2</v>
      </c>
      <c r="AD147" s="71">
        <v>6.4538657765287166E-2</v>
      </c>
      <c r="AE147" s="71">
        <v>7.0187378058630998E-2</v>
      </c>
      <c r="AF147" s="63">
        <v>7.3886386261348233E-2</v>
      </c>
      <c r="AG147" s="71">
        <v>3.8731492051484392E-3</v>
      </c>
      <c r="AH147" s="71">
        <v>1.765223720172664E-2</v>
      </c>
      <c r="AI147" s="71">
        <v>2.5955113665287181E-2</v>
      </c>
      <c r="AJ147" s="71">
        <v>3.0403744258630988E-2</v>
      </c>
      <c r="AK147" s="63">
        <v>3.2788672761348239E-2</v>
      </c>
    </row>
    <row r="148" spans="2:37" x14ac:dyDescent="0.35">
      <c r="B148" s="55" t="s">
        <v>176</v>
      </c>
      <c r="C148" s="53" t="s">
        <v>234</v>
      </c>
      <c r="D148" s="53" t="s">
        <v>47</v>
      </c>
      <c r="E148" s="53" t="s">
        <v>21</v>
      </c>
      <c r="F148" s="73">
        <f t="shared" si="18"/>
        <v>4.1920733606726809E-2</v>
      </c>
      <c r="G148" s="60">
        <f t="shared" si="18"/>
        <v>5.0932199876873654E-2</v>
      </c>
      <c r="H148" s="60">
        <f t="shared" si="18"/>
        <v>6.0804921071685357E-2</v>
      </c>
      <c r="I148" s="60">
        <f t="shared" si="18"/>
        <v>6.4810240850978917E-2</v>
      </c>
      <c r="J148" s="63">
        <f t="shared" si="18"/>
        <v>6.8304356566127156E-2</v>
      </c>
      <c r="K148" s="60">
        <f t="shared" si="19"/>
        <v>3.7976519067268177E-3</v>
      </c>
      <c r="L148" s="60">
        <f t="shared" si="19"/>
        <v>1.3551961176873644E-2</v>
      </c>
      <c r="M148" s="60">
        <f t="shared" si="19"/>
        <v>2.245354947168535E-2</v>
      </c>
      <c r="N148" s="60">
        <f t="shared" si="19"/>
        <v>2.5383556150978908E-2</v>
      </c>
      <c r="O148" s="63">
        <f t="shared" si="19"/>
        <v>2.7559636866127144E-2</v>
      </c>
      <c r="P148" s="55" t="s">
        <v>21</v>
      </c>
      <c r="Q148" s="53" t="s">
        <v>21</v>
      </c>
      <c r="R148" s="94" t="s">
        <v>21</v>
      </c>
      <c r="S148" s="73" t="s">
        <v>21</v>
      </c>
      <c r="T148" s="63" t="str">
        <f t="shared" si="20"/>
        <v/>
      </c>
      <c r="V148" s="114">
        <v>1.1251501400000001</v>
      </c>
      <c r="W148" s="72">
        <v>2.8177444400000002</v>
      </c>
      <c r="X148" s="72">
        <v>4.2305739300000003</v>
      </c>
      <c r="Y148" s="72">
        <v>5.3811282499999997</v>
      </c>
      <c r="Z148" s="115">
        <v>6.7385911399999996</v>
      </c>
      <c r="AB148" s="71">
        <v>4.1920733606726809E-2</v>
      </c>
      <c r="AC148" s="71">
        <v>5.0932199876873654E-2</v>
      </c>
      <c r="AD148" s="71">
        <v>6.0804921071685357E-2</v>
      </c>
      <c r="AE148" s="71">
        <v>6.4810240850978917E-2</v>
      </c>
      <c r="AF148" s="63">
        <v>6.8304356566127156E-2</v>
      </c>
      <c r="AG148" s="71">
        <v>3.7976519067268177E-3</v>
      </c>
      <c r="AH148" s="71">
        <v>1.3551961176873644E-2</v>
      </c>
      <c r="AI148" s="71">
        <v>2.245354947168535E-2</v>
      </c>
      <c r="AJ148" s="71">
        <v>2.5383556150978908E-2</v>
      </c>
      <c r="AK148" s="63">
        <v>2.7559636866127144E-2</v>
      </c>
    </row>
    <row r="149" spans="2:37" x14ac:dyDescent="0.35">
      <c r="B149" s="55" t="s">
        <v>325</v>
      </c>
      <c r="C149" s="53" t="s">
        <v>234</v>
      </c>
      <c r="D149" s="53" t="s">
        <v>69</v>
      </c>
      <c r="E149" s="53" t="s">
        <v>116</v>
      </c>
      <c r="F149" s="73">
        <f t="shared" si="18"/>
        <v>3.9327310789063111E-2</v>
      </c>
      <c r="G149" s="60">
        <f t="shared" si="18"/>
        <v>4.8928000164424078E-2</v>
      </c>
      <c r="H149" s="60">
        <f t="shared" si="18"/>
        <v>6.0460089358125392E-2</v>
      </c>
      <c r="I149" s="60">
        <f t="shared" si="18"/>
        <v>6.6731180808426327E-2</v>
      </c>
      <c r="J149" s="63">
        <f t="shared" si="18"/>
        <v>7.1631937161059353E-2</v>
      </c>
      <c r="K149" s="60">
        <f t="shared" si="19"/>
        <v>1.3639411890631042E-3</v>
      </c>
      <c r="L149" s="60">
        <f t="shared" si="19"/>
        <v>1.1666658564424073E-2</v>
      </c>
      <c r="M149" s="60">
        <f t="shared" si="19"/>
        <v>2.2139389158125404E-2</v>
      </c>
      <c r="N149" s="60">
        <f t="shared" si="19"/>
        <v>2.7174902608426338E-2</v>
      </c>
      <c r="O149" s="63">
        <f t="shared" si="19"/>
        <v>3.0674654361059345E-2</v>
      </c>
      <c r="P149" s="55" t="s">
        <v>376</v>
      </c>
      <c r="Q149" s="53" t="s">
        <v>377</v>
      </c>
      <c r="R149" s="94" t="s">
        <v>32</v>
      </c>
      <c r="S149" s="73">
        <v>4.9461100000000001E-2</v>
      </c>
      <c r="T149" s="63">
        <f t="shared" si="20"/>
        <v>1.0998989358125391E-2</v>
      </c>
      <c r="V149" s="114">
        <v>1.1315172499999999</v>
      </c>
      <c r="W149" s="72">
        <v>2.8391164799999999</v>
      </c>
      <c r="X149" s="72">
        <v>4.2573699700000001</v>
      </c>
      <c r="Y149" s="72">
        <v>5.3806467900000001</v>
      </c>
      <c r="Z149" s="115">
        <v>6.6565967500000003</v>
      </c>
      <c r="AB149" s="71">
        <v>3.9327310789063111E-2</v>
      </c>
      <c r="AC149" s="71">
        <v>4.8928000164424078E-2</v>
      </c>
      <c r="AD149" s="71">
        <v>6.0460089358125392E-2</v>
      </c>
      <c r="AE149" s="71">
        <v>6.6731180808426327E-2</v>
      </c>
      <c r="AF149" s="63">
        <v>7.1631937161059353E-2</v>
      </c>
      <c r="AG149" s="71">
        <v>1.3639411890631042E-3</v>
      </c>
      <c r="AH149" s="71">
        <v>1.1666658564424073E-2</v>
      </c>
      <c r="AI149" s="71">
        <v>2.2139389158125404E-2</v>
      </c>
      <c r="AJ149" s="71">
        <v>2.7174902608426338E-2</v>
      </c>
      <c r="AK149" s="63">
        <v>3.0674654361059345E-2</v>
      </c>
    </row>
    <row r="150" spans="2:37" x14ac:dyDescent="0.35">
      <c r="B150" s="55" t="s">
        <v>173</v>
      </c>
      <c r="C150" s="53" t="s">
        <v>234</v>
      </c>
      <c r="D150" s="53" t="s">
        <v>20</v>
      </c>
      <c r="E150" s="53" t="s">
        <v>290</v>
      </c>
      <c r="F150" s="73">
        <f t="shared" si="18"/>
        <v>4.0935842979637788E-2</v>
      </c>
      <c r="G150" s="60">
        <f t="shared" si="18"/>
        <v>5.0006538910029805E-2</v>
      </c>
      <c r="H150" s="60">
        <f t="shared" si="18"/>
        <v>5.9801420824367034E-2</v>
      </c>
      <c r="I150" s="60">
        <f t="shared" si="18"/>
        <v>6.495160162261665E-2</v>
      </c>
      <c r="J150" s="63">
        <f t="shared" si="18"/>
        <v>6.9569983243975259E-2</v>
      </c>
      <c r="K150" s="60">
        <f t="shared" si="19"/>
        <v>2.9065265796377852E-3</v>
      </c>
      <c r="L150" s="60">
        <f t="shared" si="19"/>
        <v>1.271273351002981E-2</v>
      </c>
      <c r="M150" s="60">
        <f t="shared" si="19"/>
        <v>2.156146802436703E-2</v>
      </c>
      <c r="N150" s="60">
        <f t="shared" si="19"/>
        <v>2.5559883222616653E-2</v>
      </c>
      <c r="O150" s="63">
        <f t="shared" si="19"/>
        <v>2.8787893343975281E-2</v>
      </c>
      <c r="P150" s="55" t="s">
        <v>472</v>
      </c>
      <c r="Q150" s="53" t="s">
        <v>473</v>
      </c>
      <c r="R150" s="94">
        <v>47644</v>
      </c>
      <c r="S150" s="73">
        <v>5.0990029999999999E-2</v>
      </c>
      <c r="T150" s="63">
        <f t="shared" si="20"/>
        <v>8.8113908243670352E-3</v>
      </c>
      <c r="V150" s="114">
        <v>1.12875415</v>
      </c>
      <c r="W150" s="72">
        <v>2.8332497999999999</v>
      </c>
      <c r="X150" s="72">
        <v>4.2627296699999997</v>
      </c>
      <c r="Y150" s="72">
        <v>5.4149534399999997</v>
      </c>
      <c r="Z150" s="115">
        <v>6.7498256400000001</v>
      </c>
      <c r="AB150" s="71">
        <v>4.0935842979637788E-2</v>
      </c>
      <c r="AC150" s="71">
        <v>5.0006538910029805E-2</v>
      </c>
      <c r="AD150" s="71">
        <v>5.9801420824367034E-2</v>
      </c>
      <c r="AE150" s="71">
        <v>6.495160162261665E-2</v>
      </c>
      <c r="AF150" s="63">
        <v>6.9569983243975259E-2</v>
      </c>
      <c r="AG150" s="71">
        <v>2.9065265796377852E-3</v>
      </c>
      <c r="AH150" s="71">
        <v>1.271273351002981E-2</v>
      </c>
      <c r="AI150" s="71">
        <v>2.156146802436703E-2</v>
      </c>
      <c r="AJ150" s="71">
        <v>2.5559883222616653E-2</v>
      </c>
      <c r="AK150" s="63">
        <v>2.8787893343975281E-2</v>
      </c>
    </row>
    <row r="151" spans="2:37" x14ac:dyDescent="0.35">
      <c r="B151" s="55" t="s">
        <v>130</v>
      </c>
      <c r="C151" s="53" t="s">
        <v>234</v>
      </c>
      <c r="D151" s="53" t="s">
        <v>131</v>
      </c>
      <c r="E151" s="53" t="s">
        <v>21</v>
      </c>
      <c r="F151" s="73">
        <f t="shared" si="18"/>
        <v>3.892846803960158E-2</v>
      </c>
      <c r="G151" s="60">
        <f t="shared" si="18"/>
        <v>4.8306826535337077E-2</v>
      </c>
      <c r="H151" s="60">
        <f t="shared" si="18"/>
        <v>5.8599464100325876E-2</v>
      </c>
      <c r="I151" s="60">
        <f t="shared" si="18"/>
        <v>6.5300793084446029E-2</v>
      </c>
      <c r="J151" s="63">
        <f t="shared" si="18"/>
        <v>6.9919787518915658E-2</v>
      </c>
      <c r="K151" s="60">
        <f t="shared" si="19"/>
        <v>9.7834653960158276E-4</v>
      </c>
      <c r="L151" s="60">
        <f t="shared" si="19"/>
        <v>1.1076934635337078E-2</v>
      </c>
      <c r="M151" s="60">
        <f t="shared" si="19"/>
        <v>2.040481130032587E-2</v>
      </c>
      <c r="N151" s="60">
        <f t="shared" si="19"/>
        <v>2.5843515084446031E-2</v>
      </c>
      <c r="O151" s="63">
        <f t="shared" si="19"/>
        <v>2.9081942318915643E-2</v>
      </c>
      <c r="P151" s="55" t="s">
        <v>474</v>
      </c>
      <c r="Q151" s="53" t="s">
        <v>475</v>
      </c>
      <c r="R151" s="94">
        <v>47532</v>
      </c>
      <c r="S151" s="73">
        <v>4.8971049999999995E-2</v>
      </c>
      <c r="T151" s="63">
        <f t="shared" si="20"/>
        <v>9.6284141003258814E-3</v>
      </c>
      <c r="V151" s="114">
        <v>1.1323271100000001</v>
      </c>
      <c r="W151" s="72">
        <v>2.8442887399999996</v>
      </c>
      <c r="X151" s="72">
        <v>4.2816477200000005</v>
      </c>
      <c r="Y151" s="72">
        <v>5.4250483699999998</v>
      </c>
      <c r="Z151" s="115">
        <v>6.7345447000000007</v>
      </c>
      <c r="AB151" s="71">
        <v>3.892846803960158E-2</v>
      </c>
      <c r="AC151" s="71">
        <v>4.8306826535337077E-2</v>
      </c>
      <c r="AD151" s="71">
        <v>5.8599464100325876E-2</v>
      </c>
      <c r="AE151" s="71">
        <v>6.5300793084446029E-2</v>
      </c>
      <c r="AF151" s="63">
        <v>6.9919787518915658E-2</v>
      </c>
      <c r="AG151" s="71">
        <v>9.7834653960158276E-4</v>
      </c>
      <c r="AH151" s="71">
        <v>1.1076934635337078E-2</v>
      </c>
      <c r="AI151" s="71">
        <v>2.040481130032587E-2</v>
      </c>
      <c r="AJ151" s="71">
        <v>2.5843515084446031E-2</v>
      </c>
      <c r="AK151" s="63">
        <v>2.9081942318915643E-2</v>
      </c>
    </row>
    <row r="152" spans="2:37" x14ac:dyDescent="0.35">
      <c r="B152" s="55" t="s">
        <v>118</v>
      </c>
      <c r="C152" s="53" t="s">
        <v>234</v>
      </c>
      <c r="D152" s="53" t="s">
        <v>20</v>
      </c>
      <c r="E152" s="53" t="s">
        <v>21</v>
      </c>
      <c r="F152" s="73">
        <f t="shared" si="18"/>
        <v>3.9707218799998452E-2</v>
      </c>
      <c r="G152" s="60">
        <f t="shared" si="18"/>
        <v>4.879372135056427E-2</v>
      </c>
      <c r="H152" s="60">
        <f t="shared" si="18"/>
        <v>5.882644418650728E-2</v>
      </c>
      <c r="I152" s="60">
        <f t="shared" si="18"/>
        <v>6.4684269567804348E-2</v>
      </c>
      <c r="J152" s="63">
        <f t="shared" si="18"/>
        <v>6.863327333801536E-2</v>
      </c>
      <c r="K152" s="60">
        <f t="shared" si="19"/>
        <v>1.747512599998449E-3</v>
      </c>
      <c r="L152" s="60">
        <f t="shared" si="19"/>
        <v>1.1565795150564275E-2</v>
      </c>
      <c r="M152" s="60">
        <f t="shared" si="19"/>
        <v>2.0653965286507276E-2</v>
      </c>
      <c r="N152" s="60">
        <f t="shared" si="19"/>
        <v>2.5310329467804347E-2</v>
      </c>
      <c r="O152" s="63">
        <f t="shared" si="19"/>
        <v>2.7919981538015358E-2</v>
      </c>
      <c r="P152" s="55" t="s">
        <v>476</v>
      </c>
      <c r="Q152" s="53" t="s">
        <v>477</v>
      </c>
      <c r="R152" s="94">
        <v>47557</v>
      </c>
      <c r="S152" s="73">
        <v>4.9035809999999999E-2</v>
      </c>
      <c r="T152" s="63">
        <f t="shared" si="20"/>
        <v>9.7906341865072813E-3</v>
      </c>
      <c r="V152" s="114">
        <v>1.13177891</v>
      </c>
      <c r="W152" s="72">
        <v>2.8435007400000001</v>
      </c>
      <c r="X152" s="72">
        <v>4.2835521199999995</v>
      </c>
      <c r="Y152" s="72">
        <v>5.4451148199999997</v>
      </c>
      <c r="Z152" s="115">
        <v>6.7968113199999998</v>
      </c>
      <c r="AB152" s="71">
        <v>3.9707218799998452E-2</v>
      </c>
      <c r="AC152" s="71">
        <v>4.879372135056427E-2</v>
      </c>
      <c r="AD152" s="71">
        <v>5.882644418650728E-2</v>
      </c>
      <c r="AE152" s="71">
        <v>6.4684269567804348E-2</v>
      </c>
      <c r="AF152" s="63">
        <v>6.863327333801536E-2</v>
      </c>
      <c r="AG152" s="71">
        <v>1.747512599998449E-3</v>
      </c>
      <c r="AH152" s="71">
        <v>1.1565795150564275E-2</v>
      </c>
      <c r="AI152" s="71">
        <v>2.0653965286507276E-2</v>
      </c>
      <c r="AJ152" s="71">
        <v>2.5310329467804347E-2</v>
      </c>
      <c r="AK152" s="63">
        <v>2.7919981538015358E-2</v>
      </c>
    </row>
    <row r="153" spans="2:37" x14ac:dyDescent="0.35">
      <c r="B153" s="55" t="s">
        <v>320</v>
      </c>
      <c r="C153" s="53" t="s">
        <v>234</v>
      </c>
      <c r="D153" s="53" t="s">
        <v>20</v>
      </c>
      <c r="E153" s="53" t="s">
        <v>123</v>
      </c>
      <c r="F153" s="73">
        <f t="shared" si="18"/>
        <v>3.96569385812462E-2</v>
      </c>
      <c r="G153" s="60">
        <f t="shared" si="18"/>
        <v>4.8988111036140092E-2</v>
      </c>
      <c r="H153" s="60">
        <f t="shared" si="18"/>
        <v>5.7954623688451154E-2</v>
      </c>
      <c r="I153" s="60">
        <f t="shared" si="18"/>
        <v>6.2678007235391214E-2</v>
      </c>
      <c r="J153" s="63">
        <f t="shared" si="18"/>
        <v>6.6403462307318181E-2</v>
      </c>
      <c r="K153" s="60">
        <f t="shared" si="19"/>
        <v>1.7008878812461974E-3</v>
      </c>
      <c r="L153" s="60">
        <f t="shared" si="19"/>
        <v>1.1749840336140085E-2</v>
      </c>
      <c r="M153" s="60">
        <f t="shared" si="19"/>
        <v>1.9836593688451171E-2</v>
      </c>
      <c r="N153" s="60">
        <f t="shared" si="19"/>
        <v>2.3436532035391217E-2</v>
      </c>
      <c r="O153" s="63">
        <f t="shared" si="19"/>
        <v>2.5825532707318157E-2</v>
      </c>
      <c r="P153" s="55" t="s">
        <v>21</v>
      </c>
      <c r="Q153" s="53" t="s">
        <v>21</v>
      </c>
      <c r="R153" s="94" t="s">
        <v>21</v>
      </c>
      <c r="S153" s="73" t="s">
        <v>21</v>
      </c>
      <c r="T153" s="63" t="str">
        <f t="shared" si="20"/>
        <v/>
      </c>
      <c r="V153" s="114">
        <v>1.1318656300000001</v>
      </c>
      <c r="W153" s="72">
        <v>2.8411414699999997</v>
      </c>
      <c r="X153" s="72">
        <v>4.2900409100000001</v>
      </c>
      <c r="Y153" s="72">
        <v>5.4740115200000004</v>
      </c>
      <c r="Z153" s="115">
        <v>6.8759333199999997</v>
      </c>
      <c r="AB153" s="71">
        <v>3.96569385812462E-2</v>
      </c>
      <c r="AC153" s="71">
        <v>4.8988111036140092E-2</v>
      </c>
      <c r="AD153" s="71">
        <v>5.7954623688451154E-2</v>
      </c>
      <c r="AE153" s="71">
        <v>6.2678007235391214E-2</v>
      </c>
      <c r="AF153" s="63">
        <v>6.6403462307318181E-2</v>
      </c>
      <c r="AG153" s="71">
        <v>1.7008878812461974E-3</v>
      </c>
      <c r="AH153" s="71">
        <v>1.1749840336140085E-2</v>
      </c>
      <c r="AI153" s="71">
        <v>1.9836593688451171E-2</v>
      </c>
      <c r="AJ153" s="71">
        <v>2.3436532035391217E-2</v>
      </c>
      <c r="AK153" s="63">
        <v>2.5825532707318157E-2</v>
      </c>
    </row>
    <row r="154" spans="2:37" x14ac:dyDescent="0.35">
      <c r="B154" s="55" t="s">
        <v>334</v>
      </c>
      <c r="C154" s="53" t="s">
        <v>234</v>
      </c>
      <c r="D154" s="53" t="s">
        <v>20</v>
      </c>
      <c r="E154" s="53" t="s">
        <v>318</v>
      </c>
      <c r="F154" s="73">
        <f t="shared" si="18"/>
        <v>3.8941110384695415E-2</v>
      </c>
      <c r="G154" s="60">
        <f t="shared" si="18"/>
        <v>4.7272301866385466E-2</v>
      </c>
      <c r="H154" s="60">
        <f t="shared" si="18"/>
        <v>5.7586884280675661E-2</v>
      </c>
      <c r="I154" s="60">
        <f t="shared" si="18"/>
        <v>6.2450768889663701E-2</v>
      </c>
      <c r="J154" s="63">
        <f t="shared" si="18"/>
        <v>6.6854677283223779E-2</v>
      </c>
      <c r="K154" s="60">
        <f t="shared" si="19"/>
        <v>1.0080730846954251E-3</v>
      </c>
      <c r="L154" s="60">
        <f t="shared" si="19"/>
        <v>1.0120288266385457E-2</v>
      </c>
      <c r="M154" s="60">
        <f t="shared" si="19"/>
        <v>1.9492398780675664E-2</v>
      </c>
      <c r="N154" s="60">
        <f t="shared" si="19"/>
        <v>2.3228342289663712E-2</v>
      </c>
      <c r="O154" s="63">
        <f t="shared" si="19"/>
        <v>2.625140848322377E-2</v>
      </c>
      <c r="P154" s="55" t="s">
        <v>21</v>
      </c>
      <c r="Q154" s="53" t="s">
        <v>21</v>
      </c>
      <c r="R154" s="94" t="s">
        <v>21</v>
      </c>
      <c r="S154" s="73" t="s">
        <v>21</v>
      </c>
      <c r="T154" s="63" t="str">
        <f t="shared" si="20"/>
        <v/>
      </c>
      <c r="V154" s="114">
        <v>1.13333817</v>
      </c>
      <c r="W154" s="72">
        <v>2.8541833999999997</v>
      </c>
      <c r="X154" s="72">
        <v>4.3096629900000005</v>
      </c>
      <c r="Y154" s="72">
        <v>5.49166022</v>
      </c>
      <c r="Z154" s="115">
        <v>6.8820372399999998</v>
      </c>
      <c r="AB154" s="71">
        <v>3.8941110384695415E-2</v>
      </c>
      <c r="AC154" s="71">
        <v>4.7272301866385466E-2</v>
      </c>
      <c r="AD154" s="71">
        <v>5.7586884280675661E-2</v>
      </c>
      <c r="AE154" s="71">
        <v>6.2450768889663701E-2</v>
      </c>
      <c r="AF154" s="63">
        <v>6.6854677283223779E-2</v>
      </c>
      <c r="AG154" s="71">
        <v>1.0080730846954251E-3</v>
      </c>
      <c r="AH154" s="71">
        <v>1.0120288266385457E-2</v>
      </c>
      <c r="AI154" s="71">
        <v>1.9492398780675664E-2</v>
      </c>
      <c r="AJ154" s="71">
        <v>2.3228342289663712E-2</v>
      </c>
      <c r="AK154" s="63">
        <v>2.625140848322377E-2</v>
      </c>
    </row>
    <row r="155" spans="2:37" x14ac:dyDescent="0.35">
      <c r="B155" s="55" t="s">
        <v>119</v>
      </c>
      <c r="C155" s="53" t="s">
        <v>234</v>
      </c>
      <c r="D155" s="53" t="s">
        <v>120</v>
      </c>
      <c r="E155" s="53" t="s">
        <v>21</v>
      </c>
      <c r="F155" s="73">
        <f t="shared" si="18"/>
        <v>3.7607575709571787E-2</v>
      </c>
      <c r="G155" s="60">
        <f t="shared" si="18"/>
        <v>4.6714648288713613E-2</v>
      </c>
      <c r="H155" s="60">
        <f t="shared" si="18"/>
        <v>5.6454335142743582E-2</v>
      </c>
      <c r="I155" s="60">
        <f t="shared" si="18"/>
        <v>6.2658453510665693E-2</v>
      </c>
      <c r="J155" s="63">
        <f t="shared" si="18"/>
        <v>6.8726102091392224E-2</v>
      </c>
      <c r="K155" s="60" t="str">
        <f t="shared" si="19"/>
        <v/>
      </c>
      <c r="L155" s="60">
        <f t="shared" si="19"/>
        <v>9.5709765887136145E-3</v>
      </c>
      <c r="M155" s="60">
        <f t="shared" si="19"/>
        <v>1.8406695742743579E-2</v>
      </c>
      <c r="N155" s="60">
        <f t="shared" si="19"/>
        <v>2.3392323610665684E-2</v>
      </c>
      <c r="O155" s="63">
        <f t="shared" si="19"/>
        <v>2.7972559991392226E-2</v>
      </c>
      <c r="P155" s="55" t="s">
        <v>21</v>
      </c>
      <c r="Q155" s="53" t="s">
        <v>21</v>
      </c>
      <c r="R155" s="94" t="s">
        <v>21</v>
      </c>
      <c r="S155" s="73" t="s">
        <v>21</v>
      </c>
      <c r="T155" s="63" t="str">
        <f t="shared" si="20"/>
        <v/>
      </c>
      <c r="V155" s="114">
        <v>1.13481626</v>
      </c>
      <c r="W155" s="72">
        <v>2.8593452699999999</v>
      </c>
      <c r="X155" s="72">
        <v>4.3204034600000005</v>
      </c>
      <c r="Y155" s="72">
        <v>5.49957092</v>
      </c>
      <c r="Z155" s="115">
        <v>6.8383557799999997</v>
      </c>
      <c r="AB155" s="71">
        <v>3.7607575709571787E-2</v>
      </c>
      <c r="AC155" s="71">
        <v>4.6714648288713613E-2</v>
      </c>
      <c r="AD155" s="71">
        <v>5.6454335142743582E-2</v>
      </c>
      <c r="AE155" s="71">
        <v>6.2658453510665693E-2</v>
      </c>
      <c r="AF155" s="63">
        <v>6.8726102091392224E-2</v>
      </c>
      <c r="AG155" s="71" t="s">
        <v>21</v>
      </c>
      <c r="AH155" s="71">
        <v>9.5709765887136145E-3</v>
      </c>
      <c r="AI155" s="71">
        <v>1.8406695742743579E-2</v>
      </c>
      <c r="AJ155" s="71">
        <v>2.3392323610665684E-2</v>
      </c>
      <c r="AK155" s="63">
        <v>2.7972559991392226E-2</v>
      </c>
    </row>
    <row r="156" spans="2:37" x14ac:dyDescent="0.35">
      <c r="B156" s="55" t="s">
        <v>321</v>
      </c>
      <c r="C156" s="53" t="s">
        <v>234</v>
      </c>
      <c r="D156" s="53" t="s">
        <v>97</v>
      </c>
      <c r="E156" s="53" t="s">
        <v>21</v>
      </c>
      <c r="F156" s="73">
        <f t="shared" si="18"/>
        <v>3.8145775988475544E-2</v>
      </c>
      <c r="G156" s="60">
        <f t="shared" si="18"/>
        <v>4.6604779383978612E-2</v>
      </c>
      <c r="H156" s="60">
        <f t="shared" si="18"/>
        <v>5.6227842925688748E-2</v>
      </c>
      <c r="I156" s="60">
        <f t="shared" si="18"/>
        <v>6.2010420987162661E-2</v>
      </c>
      <c r="J156" s="63">
        <f t="shared" si="18"/>
        <v>6.7986481073515501E-2</v>
      </c>
      <c r="K156" s="60">
        <f t="shared" si="19"/>
        <v>2.3461438847555399E-4</v>
      </c>
      <c r="L156" s="60">
        <f t="shared" si="19"/>
        <v>9.4666463839786098E-3</v>
      </c>
      <c r="M156" s="60">
        <f t="shared" si="19"/>
        <v>1.819350382568875E-2</v>
      </c>
      <c r="N156" s="60">
        <f t="shared" si="19"/>
        <v>2.2786709287162664E-2</v>
      </c>
      <c r="O156" s="63">
        <f t="shared" si="19"/>
        <v>2.7279186273515499E-2</v>
      </c>
      <c r="P156" s="55" t="s">
        <v>21</v>
      </c>
      <c r="Q156" s="53" t="s">
        <v>21</v>
      </c>
      <c r="R156" s="94" t="s">
        <v>21</v>
      </c>
      <c r="S156" s="73" t="s">
        <v>21</v>
      </c>
      <c r="T156" s="63" t="str">
        <f t="shared" si="20"/>
        <v/>
      </c>
      <c r="V156" s="114">
        <v>1.1337777099999999</v>
      </c>
      <c r="W156" s="72">
        <v>2.8572559200000001</v>
      </c>
      <c r="X156" s="72">
        <v>4.32105008</v>
      </c>
      <c r="Y156" s="72">
        <v>5.5090530600000003</v>
      </c>
      <c r="Z156" s="115">
        <v>6.8655834600000007</v>
      </c>
      <c r="AB156" s="71">
        <v>3.8145775988475544E-2</v>
      </c>
      <c r="AC156" s="71">
        <v>4.6604779383978612E-2</v>
      </c>
      <c r="AD156" s="71">
        <v>5.6227842925688748E-2</v>
      </c>
      <c r="AE156" s="71">
        <v>6.2010420987162661E-2</v>
      </c>
      <c r="AF156" s="63">
        <v>6.7986481073515501E-2</v>
      </c>
      <c r="AG156" s="71">
        <v>2.3461438847555399E-4</v>
      </c>
      <c r="AH156" s="71">
        <v>9.4666463839786098E-3</v>
      </c>
      <c r="AI156" s="71">
        <v>1.819350382568875E-2</v>
      </c>
      <c r="AJ156" s="71">
        <v>2.2786709287162664E-2</v>
      </c>
      <c r="AK156" s="63">
        <v>2.7279186273515499E-2</v>
      </c>
    </row>
    <row r="157" spans="2:37" x14ac:dyDescent="0.35">
      <c r="B157" s="55" t="s">
        <v>115</v>
      </c>
      <c r="C157" s="53" t="s">
        <v>234</v>
      </c>
      <c r="D157" s="53" t="s">
        <v>31</v>
      </c>
      <c r="E157" s="53" t="s">
        <v>36</v>
      </c>
      <c r="F157" s="73">
        <f t="shared" si="18"/>
        <v>3.8147657333742223E-2</v>
      </c>
      <c r="G157" s="60">
        <f t="shared" si="18"/>
        <v>4.6132172537422488E-2</v>
      </c>
      <c r="H157" s="60">
        <f t="shared" si="18"/>
        <v>5.5959430748950469E-2</v>
      </c>
      <c r="I157" s="60">
        <f t="shared" si="18"/>
        <v>6.1744444386940593E-2</v>
      </c>
      <c r="J157" s="63">
        <f t="shared" si="18"/>
        <v>6.7117749304921301E-2</v>
      </c>
      <c r="K157" s="60">
        <f t="shared" si="19"/>
        <v>2.3825903374222624E-4</v>
      </c>
      <c r="L157" s="60">
        <f t="shared" si="19"/>
        <v>9.0182855374224928E-3</v>
      </c>
      <c r="M157" s="60">
        <f t="shared" si="19"/>
        <v>1.793985404895047E-2</v>
      </c>
      <c r="N157" s="60">
        <f t="shared" si="19"/>
        <v>2.2535302586940593E-2</v>
      </c>
      <c r="O157" s="63">
        <f t="shared" si="19"/>
        <v>2.646540180492131E-2</v>
      </c>
      <c r="P157" s="55" t="s">
        <v>478</v>
      </c>
      <c r="Q157" s="53" t="s">
        <v>479</v>
      </c>
      <c r="R157" s="94">
        <v>47492</v>
      </c>
      <c r="S157" s="73">
        <v>4.6785350000000003E-2</v>
      </c>
      <c r="T157" s="63">
        <f t="shared" si="20"/>
        <v>9.1740807489504653E-3</v>
      </c>
      <c r="V157" s="114">
        <v>1.13376191</v>
      </c>
      <c r="W157" s="72">
        <v>2.8603256699999999</v>
      </c>
      <c r="X157" s="72">
        <v>4.3270334400000001</v>
      </c>
      <c r="Y157" s="72">
        <v>5.5172395300000003</v>
      </c>
      <c r="Z157" s="115">
        <v>6.8885579099999994</v>
      </c>
      <c r="AB157" s="71">
        <v>3.8147657333742223E-2</v>
      </c>
      <c r="AC157" s="71">
        <v>4.6132172537422488E-2</v>
      </c>
      <c r="AD157" s="71">
        <v>5.5959430748950469E-2</v>
      </c>
      <c r="AE157" s="71">
        <v>6.1744444386940593E-2</v>
      </c>
      <c r="AF157" s="63">
        <v>6.7117749304921301E-2</v>
      </c>
      <c r="AG157" s="71">
        <v>2.3825903374222624E-4</v>
      </c>
      <c r="AH157" s="71">
        <v>9.0182855374224928E-3</v>
      </c>
      <c r="AI157" s="71">
        <v>1.793985404895047E-2</v>
      </c>
      <c r="AJ157" s="71">
        <v>2.2535302586940593E-2</v>
      </c>
      <c r="AK157" s="63">
        <v>2.646540180492131E-2</v>
      </c>
    </row>
    <row r="158" spans="2:37" x14ac:dyDescent="0.35">
      <c r="B158" s="55" t="s">
        <v>328</v>
      </c>
      <c r="C158" s="53" t="s">
        <v>234</v>
      </c>
      <c r="D158" s="53" t="s">
        <v>257</v>
      </c>
      <c r="E158" s="53" t="s">
        <v>480</v>
      </c>
      <c r="F158" s="73">
        <f t="shared" si="18"/>
        <v>3.9092870534843019E-2</v>
      </c>
      <c r="G158" s="60">
        <f t="shared" si="18"/>
        <v>4.6941341286562584E-2</v>
      </c>
      <c r="H158" s="60">
        <f t="shared" si="18"/>
        <v>5.5525183106534745E-2</v>
      </c>
      <c r="I158" s="60">
        <f t="shared" si="18"/>
        <v>5.9830094214013085E-2</v>
      </c>
      <c r="J158" s="63">
        <f t="shared" si="18"/>
        <v>6.3836865107302354E-2</v>
      </c>
      <c r="K158" s="60">
        <f t="shared" si="19"/>
        <v>1.140234934843022E-3</v>
      </c>
      <c r="L158" s="60">
        <f t="shared" si="19"/>
        <v>9.7843848865625874E-3</v>
      </c>
      <c r="M158" s="60">
        <f t="shared" si="19"/>
        <v>1.7528457306534739E-2</v>
      </c>
      <c r="N158" s="60">
        <f t="shared" si="19"/>
        <v>2.0741492614013091E-2</v>
      </c>
      <c r="O158" s="63">
        <f t="shared" si="19"/>
        <v>2.3383861907302343E-2</v>
      </c>
      <c r="P158" s="55" t="s">
        <v>21</v>
      </c>
      <c r="Q158" s="53" t="s">
        <v>21</v>
      </c>
      <c r="R158" s="94" t="s">
        <v>21</v>
      </c>
      <c r="S158" s="73" t="s">
        <v>21</v>
      </c>
      <c r="T158" s="63" t="str">
        <f t="shared" si="20"/>
        <v/>
      </c>
      <c r="V158" s="114">
        <v>1.13198518</v>
      </c>
      <c r="W158" s="72">
        <v>2.8520357299999999</v>
      </c>
      <c r="X158" s="72">
        <v>4.3221281899999999</v>
      </c>
      <c r="Y158" s="72">
        <v>5.5393112699999998</v>
      </c>
      <c r="Z158" s="115">
        <v>6.9894084800000007</v>
      </c>
      <c r="AB158" s="71">
        <v>3.9092870534843019E-2</v>
      </c>
      <c r="AC158" s="71">
        <v>4.6941341286562584E-2</v>
      </c>
      <c r="AD158" s="71">
        <v>5.5525183106534745E-2</v>
      </c>
      <c r="AE158" s="71">
        <v>5.9830094214013085E-2</v>
      </c>
      <c r="AF158" s="63">
        <v>6.3836865107302354E-2</v>
      </c>
      <c r="AG158" s="71">
        <v>1.140234934843022E-3</v>
      </c>
      <c r="AH158" s="71">
        <v>9.7843848865625874E-3</v>
      </c>
      <c r="AI158" s="71">
        <v>1.7528457306534739E-2</v>
      </c>
      <c r="AJ158" s="71">
        <v>2.0741492614013091E-2</v>
      </c>
      <c r="AK158" s="63">
        <v>2.3383861907302343E-2</v>
      </c>
    </row>
    <row r="159" spans="2:37" x14ac:dyDescent="0.35">
      <c r="B159" s="55" t="s">
        <v>134</v>
      </c>
      <c r="C159" s="53" t="s">
        <v>234</v>
      </c>
      <c r="D159" s="53" t="s">
        <v>43</v>
      </c>
      <c r="E159" s="53" t="s">
        <v>21</v>
      </c>
      <c r="F159" s="73">
        <f t="shared" si="18"/>
        <v>3.7883628906215321E-2</v>
      </c>
      <c r="G159" s="60">
        <f t="shared" si="18"/>
        <v>4.6028829083155864E-2</v>
      </c>
      <c r="H159" s="60">
        <f t="shared" si="18"/>
        <v>5.5363702965170548E-2</v>
      </c>
      <c r="I159" s="60">
        <f t="shared" si="18"/>
        <v>6.0961442478762104E-2</v>
      </c>
      <c r="J159" s="63">
        <f t="shared" si="18"/>
        <v>6.6573148215430006E-2</v>
      </c>
      <c r="K159" s="60" t="str">
        <f t="shared" si="19"/>
        <v/>
      </c>
      <c r="L159" s="60">
        <f t="shared" si="19"/>
        <v>8.9234668831558624E-3</v>
      </c>
      <c r="M159" s="60">
        <f t="shared" si="19"/>
        <v>1.7382039965170543E-2</v>
      </c>
      <c r="N159" s="60">
        <f t="shared" si="19"/>
        <v>2.1805385378762098E-2</v>
      </c>
      <c r="O159" s="63">
        <f t="shared" si="19"/>
        <v>2.5955348515430004E-2</v>
      </c>
      <c r="P159" s="55" t="s">
        <v>481</v>
      </c>
      <c r="Q159" s="53" t="s">
        <v>482</v>
      </c>
      <c r="R159" s="94" t="s">
        <v>32</v>
      </c>
      <c r="S159" s="73">
        <v>5.0122380000000001E-2</v>
      </c>
      <c r="T159" s="63">
        <f t="shared" si="20"/>
        <v>5.2413229651705473E-3</v>
      </c>
      <c r="V159" s="114">
        <v>1.13422106</v>
      </c>
      <c r="W159" s="72">
        <v>2.8620106199999999</v>
      </c>
      <c r="X159" s="72">
        <v>4.3346712400000005</v>
      </c>
      <c r="Y159" s="72">
        <v>5.5358105799999997</v>
      </c>
      <c r="Z159" s="115">
        <v>6.9201164899999998</v>
      </c>
      <c r="AB159" s="71">
        <v>3.7883628906215321E-2</v>
      </c>
      <c r="AC159" s="71">
        <v>4.6028829083155864E-2</v>
      </c>
      <c r="AD159" s="71">
        <v>5.5363702965170548E-2</v>
      </c>
      <c r="AE159" s="71">
        <v>6.0961442478762104E-2</v>
      </c>
      <c r="AF159" s="63">
        <v>6.6573148215430006E-2</v>
      </c>
      <c r="AG159" s="71" t="s">
        <v>21</v>
      </c>
      <c r="AH159" s="71">
        <v>8.9234668831558624E-3</v>
      </c>
      <c r="AI159" s="71">
        <v>1.7382039965170543E-2</v>
      </c>
      <c r="AJ159" s="71">
        <v>2.1805385378762098E-2</v>
      </c>
      <c r="AK159" s="63">
        <v>2.5955348515430004E-2</v>
      </c>
    </row>
    <row r="160" spans="2:37" x14ac:dyDescent="0.35">
      <c r="B160" s="55" t="s">
        <v>132</v>
      </c>
      <c r="C160" s="53" t="s">
        <v>234</v>
      </c>
      <c r="D160" s="53" t="s">
        <v>20</v>
      </c>
      <c r="E160" s="53" t="s">
        <v>21</v>
      </c>
      <c r="F160" s="73">
        <f t="shared" si="18"/>
        <v>3.8576365770399836E-2</v>
      </c>
      <c r="G160" s="60">
        <f t="shared" si="18"/>
        <v>4.7408804499050439E-2</v>
      </c>
      <c r="H160" s="60">
        <f t="shared" si="18"/>
        <v>5.6208202966707962E-2</v>
      </c>
      <c r="I160" s="60">
        <f t="shared" si="18"/>
        <v>6.0063125148061752E-2</v>
      </c>
      <c r="J160" s="63">
        <f t="shared" si="18"/>
        <v>6.414039515321969E-2</v>
      </c>
      <c r="K160" s="60">
        <f t="shared" si="19"/>
        <v>6.6149877039983502E-4</v>
      </c>
      <c r="L160" s="60">
        <f t="shared" si="19"/>
        <v>1.0252174199050444E-2</v>
      </c>
      <c r="M160" s="60">
        <f t="shared" si="19"/>
        <v>1.8200483866707969E-2</v>
      </c>
      <c r="N160" s="60">
        <f t="shared" si="19"/>
        <v>2.0995936448061754E-2</v>
      </c>
      <c r="O160" s="63">
        <f t="shared" si="19"/>
        <v>2.3701919253219694E-2</v>
      </c>
      <c r="P160" s="55" t="s">
        <v>483</v>
      </c>
      <c r="Q160" s="53" t="s">
        <v>484</v>
      </c>
      <c r="R160" s="94">
        <v>47567</v>
      </c>
      <c r="S160" s="73">
        <v>4.9040199999999999E-2</v>
      </c>
      <c r="T160" s="63">
        <f t="shared" si="20"/>
        <v>7.1680029667079634E-3</v>
      </c>
      <c r="V160" s="114">
        <v>1.1339950700000001</v>
      </c>
      <c r="W160" s="72">
        <v>2.8563053200000001</v>
      </c>
      <c r="X160" s="72">
        <v>4.3240433700000001</v>
      </c>
      <c r="Y160" s="72">
        <v>5.5386772899999999</v>
      </c>
      <c r="Z160" s="115">
        <v>6.9929437299999995</v>
      </c>
      <c r="AB160" s="71">
        <v>3.8576365770399836E-2</v>
      </c>
      <c r="AC160" s="71">
        <v>4.7408804499050439E-2</v>
      </c>
      <c r="AD160" s="71">
        <v>5.6208202966707962E-2</v>
      </c>
      <c r="AE160" s="71">
        <v>6.0063125148061752E-2</v>
      </c>
      <c r="AF160" s="63">
        <v>6.414039515321969E-2</v>
      </c>
      <c r="AG160" s="71">
        <v>6.6149877039983502E-4</v>
      </c>
      <c r="AH160" s="71">
        <v>1.0252174199050444E-2</v>
      </c>
      <c r="AI160" s="71">
        <v>1.8200483866707969E-2</v>
      </c>
      <c r="AJ160" s="71">
        <v>2.0995936448061754E-2</v>
      </c>
      <c r="AK160" s="63">
        <v>2.3701919253219694E-2</v>
      </c>
    </row>
    <row r="161" spans="2:37" x14ac:dyDescent="0.35">
      <c r="B161" s="55" t="s">
        <v>335</v>
      </c>
      <c r="C161" s="53" t="s">
        <v>234</v>
      </c>
      <c r="D161" s="53" t="s">
        <v>20</v>
      </c>
      <c r="E161" s="53" t="s">
        <v>133</v>
      </c>
      <c r="F161" s="73">
        <f t="shared" si="18"/>
        <v>3.8899646803584972E-2</v>
      </c>
      <c r="G161" s="60">
        <f t="shared" si="18"/>
        <v>4.7047799261265129E-2</v>
      </c>
      <c r="H161" s="60">
        <f t="shared" si="18"/>
        <v>5.614403178104517E-2</v>
      </c>
      <c r="I161" s="60">
        <f t="shared" si="18"/>
        <v>6.0326845083208971E-2</v>
      </c>
      <c r="J161" s="63">
        <f t="shared" si="18"/>
        <v>6.4032656198894505E-2</v>
      </c>
      <c r="K161" s="60">
        <f t="shared" si="19"/>
        <v>9.8316630358498067E-4</v>
      </c>
      <c r="L161" s="60">
        <f t="shared" si="19"/>
        <v>9.9149091612651258E-3</v>
      </c>
      <c r="M161" s="60">
        <f t="shared" si="19"/>
        <v>1.8144170281045178E-2</v>
      </c>
      <c r="N161" s="60">
        <f t="shared" si="19"/>
        <v>2.124476588320898E-2</v>
      </c>
      <c r="O161" s="63">
        <f t="shared" si="19"/>
        <v>2.3606919698894498E-2</v>
      </c>
      <c r="P161" s="55" t="s">
        <v>21</v>
      </c>
      <c r="Q161" s="53" t="s">
        <v>21</v>
      </c>
      <c r="R161" s="94" t="s">
        <v>21</v>
      </c>
      <c r="S161" s="73" t="s">
        <v>21</v>
      </c>
      <c r="T161" s="63" t="str">
        <f t="shared" si="20"/>
        <v/>
      </c>
      <c r="V161" s="114">
        <v>1.1332734900000001</v>
      </c>
      <c r="W161" s="72">
        <v>2.85783436</v>
      </c>
      <c r="X161" s="72">
        <v>4.32794217</v>
      </c>
      <c r="Y161" s="72">
        <v>5.5421735399999994</v>
      </c>
      <c r="Z161" s="115">
        <v>6.9958292100000001</v>
      </c>
      <c r="AB161" s="71">
        <v>3.8899646803584972E-2</v>
      </c>
      <c r="AC161" s="71">
        <v>4.7047799261265129E-2</v>
      </c>
      <c r="AD161" s="71">
        <v>5.614403178104517E-2</v>
      </c>
      <c r="AE161" s="71">
        <v>6.0326845083208971E-2</v>
      </c>
      <c r="AF161" s="63">
        <v>6.4032656198894505E-2</v>
      </c>
      <c r="AG161" s="71">
        <v>9.8316630358498067E-4</v>
      </c>
      <c r="AH161" s="71">
        <v>9.9149091612651258E-3</v>
      </c>
      <c r="AI161" s="71">
        <v>1.8144170281045178E-2</v>
      </c>
      <c r="AJ161" s="71">
        <v>2.124476588320898E-2</v>
      </c>
      <c r="AK161" s="63">
        <v>2.3606919698894498E-2</v>
      </c>
    </row>
    <row r="162" spans="2:37" x14ac:dyDescent="0.35">
      <c r="B162" s="55" t="s">
        <v>126</v>
      </c>
      <c r="C162" s="53" t="s">
        <v>234</v>
      </c>
      <c r="D162" s="53" t="s">
        <v>69</v>
      </c>
      <c r="E162" s="53" t="s">
        <v>135</v>
      </c>
      <c r="F162" s="73">
        <f t="shared" si="18"/>
        <v>3.7162173465732244E-2</v>
      </c>
      <c r="G162" s="60">
        <f t="shared" si="18"/>
        <v>4.5917651421233753E-2</v>
      </c>
      <c r="H162" s="60">
        <f t="shared" si="18"/>
        <v>5.5077015834455782E-2</v>
      </c>
      <c r="I162" s="60">
        <f t="shared" si="18"/>
        <v>6.0638310480623285E-2</v>
      </c>
      <c r="J162" s="63">
        <f t="shared" si="18"/>
        <v>6.6390155838654902E-2</v>
      </c>
      <c r="K162" s="60" t="str">
        <f t="shared" si="19"/>
        <v/>
      </c>
      <c r="L162" s="60">
        <f t="shared" si="19"/>
        <v>8.8161560212337495E-3</v>
      </c>
      <c r="M162" s="60">
        <f t="shared" si="19"/>
        <v>1.711333693445579E-2</v>
      </c>
      <c r="N162" s="60">
        <f t="shared" si="19"/>
        <v>2.1506868980623293E-2</v>
      </c>
      <c r="O162" s="63">
        <f t="shared" si="19"/>
        <v>2.5789509738654903E-2</v>
      </c>
      <c r="P162" s="55" t="s">
        <v>485</v>
      </c>
      <c r="Q162" s="53" t="s">
        <v>486</v>
      </c>
      <c r="R162" s="94">
        <v>47484</v>
      </c>
      <c r="S162" s="73">
        <v>4.8172180000000002E-2</v>
      </c>
      <c r="T162" s="63">
        <f t="shared" si="20"/>
        <v>6.9048358344557803E-3</v>
      </c>
      <c r="V162" s="114">
        <v>1.1356446900000001</v>
      </c>
      <c r="W162" s="72">
        <v>2.8672132100000001</v>
      </c>
      <c r="X162" s="72">
        <v>4.3429136399999999</v>
      </c>
      <c r="Y162" s="72">
        <v>5.5491206100000001</v>
      </c>
      <c r="Z162" s="115">
        <v>6.9396741500000001</v>
      </c>
      <c r="AB162" s="71">
        <v>3.7162173465732244E-2</v>
      </c>
      <c r="AC162" s="71">
        <v>4.5917651421233753E-2</v>
      </c>
      <c r="AD162" s="71">
        <v>5.5077015834455782E-2</v>
      </c>
      <c r="AE162" s="71">
        <v>6.0638310480623285E-2</v>
      </c>
      <c r="AF162" s="63">
        <v>6.6390155838654902E-2</v>
      </c>
      <c r="AG162" s="71" t="s">
        <v>21</v>
      </c>
      <c r="AH162" s="71">
        <v>8.8161560212337495E-3</v>
      </c>
      <c r="AI162" s="71">
        <v>1.711333693445579E-2</v>
      </c>
      <c r="AJ162" s="71">
        <v>2.1506868980623293E-2</v>
      </c>
      <c r="AK162" s="63">
        <v>2.5789509738654903E-2</v>
      </c>
    </row>
    <row r="163" spans="2:37" x14ac:dyDescent="0.35">
      <c r="B163" s="55" t="s">
        <v>127</v>
      </c>
      <c r="C163" s="53" t="s">
        <v>234</v>
      </c>
      <c r="D163" s="53" t="s">
        <v>62</v>
      </c>
      <c r="E163" s="53" t="s">
        <v>487</v>
      </c>
      <c r="F163" s="73">
        <f t="shared" si="18"/>
        <v>3.7961522590122004E-2</v>
      </c>
      <c r="G163" s="60">
        <f t="shared" si="18"/>
        <v>4.5818350083122301E-2</v>
      </c>
      <c r="H163" s="60">
        <f t="shared" si="18"/>
        <v>5.4842464830765755E-2</v>
      </c>
      <c r="I163" s="60">
        <f t="shared" si="18"/>
        <v>6.0090379506939046E-2</v>
      </c>
      <c r="J163" s="63">
        <f t="shared" si="18"/>
        <v>6.5208459157591936E-2</v>
      </c>
      <c r="K163" s="60">
        <f t="shared" si="19"/>
        <v>6.4044290122011564E-5</v>
      </c>
      <c r="L163" s="60">
        <f t="shared" si="19"/>
        <v>8.722827183122301E-3</v>
      </c>
      <c r="M163" s="60">
        <f t="shared" si="19"/>
        <v>1.6892767530765754E-2</v>
      </c>
      <c r="N163" s="60">
        <f t="shared" si="19"/>
        <v>2.099369840693904E-2</v>
      </c>
      <c r="O163" s="63">
        <f t="shared" si="19"/>
        <v>2.4681983557591929E-2</v>
      </c>
      <c r="P163" s="55" t="s">
        <v>488</v>
      </c>
      <c r="Q163" s="53" t="s">
        <v>489</v>
      </c>
      <c r="R163" s="94">
        <v>47635</v>
      </c>
      <c r="S163" s="73">
        <v>4.8920490000000004E-2</v>
      </c>
      <c r="T163" s="63">
        <f t="shared" si="20"/>
        <v>5.9219748307657513E-3</v>
      </c>
      <c r="V163" s="114">
        <v>1.1340885599999999</v>
      </c>
      <c r="W163" s="72">
        <v>2.8643679</v>
      </c>
      <c r="X163" s="72">
        <v>4.34291669</v>
      </c>
      <c r="Y163" s="72">
        <v>5.5568531800000001</v>
      </c>
      <c r="Z163" s="115">
        <v>6.9742173300000001</v>
      </c>
      <c r="AB163" s="71">
        <v>3.7961522590122004E-2</v>
      </c>
      <c r="AC163" s="71">
        <v>4.5818350083122301E-2</v>
      </c>
      <c r="AD163" s="71">
        <v>5.4842464830765755E-2</v>
      </c>
      <c r="AE163" s="71">
        <v>6.0090379506939046E-2</v>
      </c>
      <c r="AF163" s="63">
        <v>6.5208459157591936E-2</v>
      </c>
      <c r="AG163" s="71">
        <v>6.4044290122011564E-5</v>
      </c>
      <c r="AH163" s="71">
        <v>8.722827183122301E-3</v>
      </c>
      <c r="AI163" s="71">
        <v>1.6892767530765754E-2</v>
      </c>
      <c r="AJ163" s="71">
        <v>2.099369840693904E-2</v>
      </c>
      <c r="AK163" s="63">
        <v>2.4681983557591929E-2</v>
      </c>
    </row>
    <row r="164" spans="2:37" x14ac:dyDescent="0.35">
      <c r="B164" s="55" t="s">
        <v>330</v>
      </c>
      <c r="C164" s="53" t="s">
        <v>234</v>
      </c>
      <c r="D164" s="53" t="s">
        <v>31</v>
      </c>
      <c r="E164" s="53" t="s">
        <v>21</v>
      </c>
      <c r="F164" s="73">
        <f t="shared" si="18"/>
        <v>3.7935251508338687E-2</v>
      </c>
      <c r="G164" s="60">
        <f t="shared" si="18"/>
        <v>4.626769638512096E-2</v>
      </c>
      <c r="H164" s="60">
        <f t="shared" si="18"/>
        <v>5.45575215762263E-2</v>
      </c>
      <c r="I164" s="60">
        <f t="shared" si="18"/>
        <v>5.9313801882885611E-2</v>
      </c>
      <c r="J164" s="63">
        <f t="shared" si="18"/>
        <v>6.3755834546124726E-2</v>
      </c>
      <c r="K164" s="60">
        <f t="shared" si="19"/>
        <v>2.9289908338686436E-5</v>
      </c>
      <c r="L164" s="60">
        <f t="shared" si="19"/>
        <v>9.1446455851209585E-3</v>
      </c>
      <c r="M164" s="60">
        <f t="shared" si="19"/>
        <v>1.6617947076226301E-2</v>
      </c>
      <c r="N164" s="60">
        <f t="shared" si="19"/>
        <v>2.0258093482885622E-2</v>
      </c>
      <c r="O164" s="63">
        <f t="shared" si="19"/>
        <v>2.3309124746124725E-2</v>
      </c>
      <c r="P164" s="55" t="s">
        <v>21</v>
      </c>
      <c r="Q164" s="53" t="s">
        <v>21</v>
      </c>
      <c r="R164" s="94" t="s">
        <v>21</v>
      </c>
      <c r="S164" s="73" t="s">
        <v>21</v>
      </c>
      <c r="T164" s="63" t="str">
        <f t="shared" si="20"/>
        <v/>
      </c>
      <c r="V164" s="114">
        <v>1.1342024399999999</v>
      </c>
      <c r="W164" s="72">
        <v>2.85996893</v>
      </c>
      <c r="X164" s="72">
        <v>4.3404659199999998</v>
      </c>
      <c r="Y164" s="72">
        <v>5.5649963900000001</v>
      </c>
      <c r="Z164" s="115">
        <v>7.0149651899999999</v>
      </c>
      <c r="AB164" s="71">
        <v>3.7935251508338687E-2</v>
      </c>
      <c r="AC164" s="71">
        <v>4.626769638512096E-2</v>
      </c>
      <c r="AD164" s="71">
        <v>5.45575215762263E-2</v>
      </c>
      <c r="AE164" s="71">
        <v>5.9313801882885611E-2</v>
      </c>
      <c r="AF164" s="63">
        <v>6.3755834546124726E-2</v>
      </c>
      <c r="AG164" s="71">
        <v>2.9289908338686436E-5</v>
      </c>
      <c r="AH164" s="71">
        <v>9.1446455851209585E-3</v>
      </c>
      <c r="AI164" s="71">
        <v>1.6617947076226301E-2</v>
      </c>
      <c r="AJ164" s="71">
        <v>2.0258093482885622E-2</v>
      </c>
      <c r="AK164" s="63">
        <v>2.3309124746124725E-2</v>
      </c>
    </row>
    <row r="165" spans="2:37" x14ac:dyDescent="0.35">
      <c r="B165" s="55" t="s">
        <v>332</v>
      </c>
      <c r="C165" s="53" t="s">
        <v>234</v>
      </c>
      <c r="D165" s="53" t="s">
        <v>97</v>
      </c>
      <c r="E165" s="53" t="s">
        <v>21</v>
      </c>
      <c r="F165" s="73">
        <f t="shared" si="18"/>
        <v>3.8682950506042875E-2</v>
      </c>
      <c r="G165" s="60">
        <f t="shared" si="18"/>
        <v>4.5840833883151841E-2</v>
      </c>
      <c r="H165" s="60">
        <f t="shared" si="18"/>
        <v>5.4488313386742898E-2</v>
      </c>
      <c r="I165" s="60">
        <f t="shared" si="18"/>
        <v>5.8875404885016462E-2</v>
      </c>
      <c r="J165" s="63">
        <f t="shared" si="18"/>
        <v>6.2243974382677758E-2</v>
      </c>
      <c r="K165" s="60">
        <f t="shared" si="19"/>
        <v>7.4785980604287396E-4</v>
      </c>
      <c r="L165" s="60">
        <f t="shared" si="19"/>
        <v>8.7396345831518354E-3</v>
      </c>
      <c r="M165" s="60">
        <f t="shared" si="19"/>
        <v>1.6553377786742894E-2</v>
      </c>
      <c r="N165" s="60">
        <f t="shared" si="19"/>
        <v>1.9848579385016472E-2</v>
      </c>
      <c r="O165" s="63">
        <f t="shared" si="19"/>
        <v>2.1891973682677753E-2</v>
      </c>
      <c r="P165" s="55" t="s">
        <v>380</v>
      </c>
      <c r="Q165" s="53" t="s">
        <v>381</v>
      </c>
      <c r="R165" s="94">
        <v>47497</v>
      </c>
      <c r="S165" s="73">
        <v>4.7607650000000001E-2</v>
      </c>
      <c r="T165" s="63">
        <f t="shared" si="20"/>
        <v>6.8806633867428968E-3</v>
      </c>
      <c r="V165" s="114">
        <v>1.13276413</v>
      </c>
      <c r="W165" s="72">
        <v>2.8612214699999998</v>
      </c>
      <c r="X165" s="72">
        <v>4.3432335899999996</v>
      </c>
      <c r="Y165" s="72">
        <v>5.5731552400000002</v>
      </c>
      <c r="Z165" s="115">
        <v>7.0566325999999995</v>
      </c>
      <c r="AB165" s="71">
        <v>3.8682950506042875E-2</v>
      </c>
      <c r="AC165" s="71">
        <v>4.5840833883151841E-2</v>
      </c>
      <c r="AD165" s="71">
        <v>5.4488313386742898E-2</v>
      </c>
      <c r="AE165" s="71">
        <v>5.8875404885016462E-2</v>
      </c>
      <c r="AF165" s="63">
        <v>6.2243974382677758E-2</v>
      </c>
      <c r="AG165" s="71">
        <v>7.4785980604287396E-4</v>
      </c>
      <c r="AH165" s="71">
        <v>8.7396345831518354E-3</v>
      </c>
      <c r="AI165" s="71">
        <v>1.6553377786742894E-2</v>
      </c>
      <c r="AJ165" s="71">
        <v>1.9848579385016472E-2</v>
      </c>
      <c r="AK165" s="63">
        <v>2.1891973682677753E-2</v>
      </c>
    </row>
    <row r="166" spans="2:37" x14ac:dyDescent="0.35">
      <c r="B166" s="55" t="s">
        <v>121</v>
      </c>
      <c r="C166" s="53" t="s">
        <v>234</v>
      </c>
      <c r="D166" s="53" t="s">
        <v>69</v>
      </c>
      <c r="E166" s="53" t="s">
        <v>133</v>
      </c>
      <c r="F166" s="73">
        <f t="shared" si="18"/>
        <v>3.741948784772231E-2</v>
      </c>
      <c r="G166" s="60">
        <f t="shared" si="18"/>
        <v>4.5210606879595189E-2</v>
      </c>
      <c r="H166" s="60">
        <f t="shared" si="18"/>
        <v>5.438175915415272E-2</v>
      </c>
      <c r="I166" s="60">
        <f t="shared" si="18"/>
        <v>6.0715154268470663E-2</v>
      </c>
      <c r="J166" s="63">
        <f t="shared" si="18"/>
        <v>6.5363126195986845E-2</v>
      </c>
      <c r="K166" s="60" t="str">
        <f t="shared" si="19"/>
        <v/>
      </c>
      <c r="L166" s="60">
        <f t="shared" si="19"/>
        <v>8.1396978795951896E-3</v>
      </c>
      <c r="M166" s="60">
        <f t="shared" si="19"/>
        <v>1.6455086854152715E-2</v>
      </c>
      <c r="N166" s="60">
        <f t="shared" si="19"/>
        <v>2.1575437168470671E-2</v>
      </c>
      <c r="O166" s="63">
        <f t="shared" si="19"/>
        <v>2.4831693695986843E-2</v>
      </c>
      <c r="P166" s="55" t="s">
        <v>21</v>
      </c>
      <c r="Q166" s="53" t="s">
        <v>21</v>
      </c>
      <c r="R166" s="94" t="s">
        <v>21</v>
      </c>
      <c r="S166" s="73" t="s">
        <v>21</v>
      </c>
      <c r="T166" s="63" t="str">
        <f t="shared" si="20"/>
        <v/>
      </c>
      <c r="V166" s="114">
        <v>1.1351903400000001</v>
      </c>
      <c r="W166" s="72">
        <v>2.8682548299999997</v>
      </c>
      <c r="X166" s="72">
        <v>4.3525406599999998</v>
      </c>
      <c r="Y166" s="72">
        <v>5.5587244499999997</v>
      </c>
      <c r="Z166" s="115">
        <v>6.96738195</v>
      </c>
      <c r="AB166" s="71">
        <v>3.741948784772231E-2</v>
      </c>
      <c r="AC166" s="71">
        <v>4.5210606879595189E-2</v>
      </c>
      <c r="AD166" s="71">
        <v>5.438175915415272E-2</v>
      </c>
      <c r="AE166" s="71">
        <v>6.0715154268470663E-2</v>
      </c>
      <c r="AF166" s="63">
        <v>6.5363126195986845E-2</v>
      </c>
      <c r="AG166" s="71" t="s">
        <v>21</v>
      </c>
      <c r="AH166" s="71">
        <v>8.1396978795951896E-3</v>
      </c>
      <c r="AI166" s="71">
        <v>1.6455086854152715E-2</v>
      </c>
      <c r="AJ166" s="71">
        <v>2.1575437168470671E-2</v>
      </c>
      <c r="AK166" s="63">
        <v>2.4831693695986843E-2</v>
      </c>
    </row>
    <row r="167" spans="2:37" x14ac:dyDescent="0.35">
      <c r="B167" s="55" t="s">
        <v>333</v>
      </c>
      <c r="C167" s="53" t="s">
        <v>234</v>
      </c>
      <c r="D167" s="53" t="s">
        <v>20</v>
      </c>
      <c r="E167" s="53" t="s">
        <v>238</v>
      </c>
      <c r="F167" s="73">
        <f t="shared" si="18"/>
        <v>3.8234564552730978E-2</v>
      </c>
      <c r="G167" s="60">
        <f t="shared" si="18"/>
        <v>4.629410862878227E-2</v>
      </c>
      <c r="H167" s="60">
        <f t="shared" si="18"/>
        <v>5.5121737458576389E-2</v>
      </c>
      <c r="I167" s="60">
        <f t="shared" si="18"/>
        <v>5.9852025093194629E-2</v>
      </c>
      <c r="J167" s="63">
        <f t="shared" si="18"/>
        <v>6.3522300825179942E-2</v>
      </c>
      <c r="K167" s="60">
        <f t="shared" si="19"/>
        <v>3.3544635273098384E-4</v>
      </c>
      <c r="L167" s="60">
        <f t="shared" si="19"/>
        <v>9.1941952287822697E-3</v>
      </c>
      <c r="M167" s="60">
        <f t="shared" si="19"/>
        <v>1.7179026858576387E-2</v>
      </c>
      <c r="N167" s="60">
        <f t="shared" si="19"/>
        <v>2.0796805493194633E-2</v>
      </c>
      <c r="O167" s="63">
        <f t="shared" si="19"/>
        <v>2.3127644025179948E-2</v>
      </c>
      <c r="P167" s="55" t="s">
        <v>21</v>
      </c>
      <c r="Q167" s="53" t="s">
        <v>21</v>
      </c>
      <c r="R167" s="94" t="s">
        <v>21</v>
      </c>
      <c r="S167" s="73" t="s">
        <v>21</v>
      </c>
      <c r="T167" s="63" t="str">
        <f t="shared" si="20"/>
        <v/>
      </c>
      <c r="V167" s="114">
        <v>1.13459668</v>
      </c>
      <c r="W167" s="72">
        <v>2.8641988899999999</v>
      </c>
      <c r="X167" s="72">
        <v>4.3447537199999999</v>
      </c>
      <c r="Y167" s="72">
        <v>5.5662547700000005</v>
      </c>
      <c r="Z167" s="115">
        <v>7.0289061500000001</v>
      </c>
      <c r="AB167" s="71">
        <v>3.8234564552730978E-2</v>
      </c>
      <c r="AC167" s="71">
        <v>4.629410862878227E-2</v>
      </c>
      <c r="AD167" s="71">
        <v>5.5121737458576389E-2</v>
      </c>
      <c r="AE167" s="71">
        <v>5.9852025093194629E-2</v>
      </c>
      <c r="AF167" s="63">
        <v>6.3522300825179942E-2</v>
      </c>
      <c r="AG167" s="71">
        <v>3.3544635273098384E-4</v>
      </c>
      <c r="AH167" s="71">
        <v>9.1941952287822697E-3</v>
      </c>
      <c r="AI167" s="71">
        <v>1.7179026858576387E-2</v>
      </c>
      <c r="AJ167" s="71">
        <v>2.0796805493194633E-2</v>
      </c>
      <c r="AK167" s="63">
        <v>2.3127644025179948E-2</v>
      </c>
    </row>
    <row r="168" spans="2:37" x14ac:dyDescent="0.35">
      <c r="B168" s="55" t="s">
        <v>329</v>
      </c>
      <c r="C168" s="53" t="s">
        <v>234</v>
      </c>
      <c r="D168" s="53" t="s">
        <v>43</v>
      </c>
      <c r="E168" s="53" t="s">
        <v>21</v>
      </c>
      <c r="F168" s="73">
        <f t="shared" si="18"/>
        <v>3.7742058938647009E-2</v>
      </c>
      <c r="G168" s="60">
        <f t="shared" si="18"/>
        <v>4.5421686408568036E-2</v>
      </c>
      <c r="H168" s="60">
        <f t="shared" si="18"/>
        <v>5.3810191449763095E-2</v>
      </c>
      <c r="I168" s="60">
        <f t="shared" si="18"/>
        <v>5.8871639441328186E-2</v>
      </c>
      <c r="J168" s="63">
        <f t="shared" si="18"/>
        <v>6.3442546733899624E-2</v>
      </c>
      <c r="K168" s="60" t="str">
        <f t="shared" si="19"/>
        <v/>
      </c>
      <c r="L168" s="60">
        <f t="shared" si="19"/>
        <v>8.3404640085680409E-3</v>
      </c>
      <c r="M168" s="60">
        <f t="shared" si="19"/>
        <v>1.5914318249763103E-2</v>
      </c>
      <c r="N168" s="60">
        <f t="shared" si="19"/>
        <v>1.9847281241328191E-2</v>
      </c>
      <c r="O168" s="63">
        <f t="shared" si="19"/>
        <v>2.3020725533899625E-2</v>
      </c>
      <c r="P168" s="55" t="s">
        <v>21</v>
      </c>
      <c r="Q168" s="53" t="s">
        <v>21</v>
      </c>
      <c r="R168" s="94" t="s">
        <v>21</v>
      </c>
      <c r="S168" s="73" t="s">
        <v>21</v>
      </c>
      <c r="T168" s="63" t="str">
        <f t="shared" si="20"/>
        <v/>
      </c>
      <c r="V168" s="114">
        <v>1.1345725900000001</v>
      </c>
      <c r="W168" s="72">
        <v>2.8658893500000002</v>
      </c>
      <c r="X168" s="72">
        <v>4.3554622399999996</v>
      </c>
      <c r="Y168" s="72">
        <v>5.5868829299999998</v>
      </c>
      <c r="Z168" s="115">
        <v>7.0441042899999999</v>
      </c>
      <c r="AB168" s="71">
        <v>3.7742058938647009E-2</v>
      </c>
      <c r="AC168" s="71">
        <v>4.5421686408568036E-2</v>
      </c>
      <c r="AD168" s="71">
        <v>5.3810191449763095E-2</v>
      </c>
      <c r="AE168" s="71">
        <v>5.8871639441328186E-2</v>
      </c>
      <c r="AF168" s="63">
        <v>6.3442546733899624E-2</v>
      </c>
      <c r="AG168" s="71" t="s">
        <v>21</v>
      </c>
      <c r="AH168" s="71">
        <v>8.3404640085680409E-3</v>
      </c>
      <c r="AI168" s="71">
        <v>1.5914318249763103E-2</v>
      </c>
      <c r="AJ168" s="71">
        <v>1.9847281241328191E-2</v>
      </c>
      <c r="AK168" s="63">
        <v>2.3020725533899625E-2</v>
      </c>
    </row>
    <row r="169" spans="2:37" x14ac:dyDescent="0.35">
      <c r="B169" s="55" t="s">
        <v>242</v>
      </c>
      <c r="C169" s="53" t="s">
        <v>234</v>
      </c>
      <c r="D169" s="53" t="s">
        <v>20</v>
      </c>
      <c r="E169" s="53" t="s">
        <v>21</v>
      </c>
      <c r="F169" s="73">
        <f t="shared" si="18"/>
        <v>3.7629480530358354E-2</v>
      </c>
      <c r="G169" s="60">
        <f t="shared" si="18"/>
        <v>4.540679096812273E-2</v>
      </c>
      <c r="H169" s="60">
        <f t="shared" si="18"/>
        <v>5.4636955137263514E-2</v>
      </c>
      <c r="I169" s="60">
        <f t="shared" si="18"/>
        <v>5.8844364495933339E-2</v>
      </c>
      <c r="J169" s="63">
        <f t="shared" si="18"/>
        <v>6.2886177559245832E-2</v>
      </c>
      <c r="K169" s="60" t="str">
        <f t="shared" si="19"/>
        <v/>
      </c>
      <c r="L169" s="60">
        <f t="shared" si="19"/>
        <v>8.3514338681227283E-3</v>
      </c>
      <c r="M169" s="60">
        <f t="shared" si="19"/>
        <v>1.6723827737263507E-2</v>
      </c>
      <c r="N169" s="60">
        <f t="shared" si="19"/>
        <v>1.9855271795933348E-2</v>
      </c>
      <c r="O169" s="63">
        <f t="shared" si="19"/>
        <v>2.2530094059245824E-2</v>
      </c>
      <c r="P169" s="55" t="s">
        <v>21</v>
      </c>
      <c r="Q169" s="53" t="s">
        <v>21</v>
      </c>
      <c r="R169" s="94" t="s">
        <v>21</v>
      </c>
      <c r="S169" s="73" t="s">
        <v>21</v>
      </c>
      <c r="T169" s="63" t="str">
        <f t="shared" si="20"/>
        <v/>
      </c>
      <c r="V169" s="114">
        <v>1.13573075</v>
      </c>
      <c r="W169" s="72">
        <v>2.8715843599999999</v>
      </c>
      <c r="X169" s="72">
        <v>4.3594592199999997</v>
      </c>
      <c r="Y169" s="72">
        <v>5.5938678899999994</v>
      </c>
      <c r="Z169" s="115">
        <v>7.0714054200000005</v>
      </c>
      <c r="AB169" s="71">
        <v>3.7629480530358354E-2</v>
      </c>
      <c r="AC169" s="71">
        <v>4.540679096812273E-2</v>
      </c>
      <c r="AD169" s="71">
        <v>5.4636955137263514E-2</v>
      </c>
      <c r="AE169" s="71">
        <v>5.8844364495933339E-2</v>
      </c>
      <c r="AF169" s="63">
        <v>6.2886177559245832E-2</v>
      </c>
      <c r="AG169" s="71" t="s">
        <v>21</v>
      </c>
      <c r="AH169" s="71">
        <v>8.3514338681227283E-3</v>
      </c>
      <c r="AI169" s="71">
        <v>1.6723827737263507E-2</v>
      </c>
      <c r="AJ169" s="71">
        <v>1.9855271795933348E-2</v>
      </c>
      <c r="AK169" s="63">
        <v>2.2530094059245824E-2</v>
      </c>
    </row>
    <row r="170" spans="2:37" x14ac:dyDescent="0.35">
      <c r="B170" s="55" t="s">
        <v>237</v>
      </c>
      <c r="C170" s="53" t="s">
        <v>234</v>
      </c>
      <c r="D170" s="53" t="s">
        <v>31</v>
      </c>
      <c r="E170" s="53" t="s">
        <v>143</v>
      </c>
      <c r="F170" s="73">
        <f t="shared" si="18"/>
        <v>3.7408549366759136E-2</v>
      </c>
      <c r="G170" s="60">
        <f t="shared" si="18"/>
        <v>4.5523044674497685E-2</v>
      </c>
      <c r="H170" s="60">
        <f t="shared" si="18"/>
        <v>5.3631027511900284E-2</v>
      </c>
      <c r="I170" s="60">
        <f t="shared" si="18"/>
        <v>5.8944213655509281E-2</v>
      </c>
      <c r="J170" s="63">
        <f t="shared" si="18"/>
        <v>6.4084102358527503E-2</v>
      </c>
      <c r="K170" s="60" t="str">
        <f t="shared" si="19"/>
        <v/>
      </c>
      <c r="L170" s="60">
        <f t="shared" si="19"/>
        <v>8.4340318744976911E-3</v>
      </c>
      <c r="M170" s="60">
        <f t="shared" si="19"/>
        <v>1.5742156511900286E-2</v>
      </c>
      <c r="N170" s="60">
        <f t="shared" si="19"/>
        <v>1.9910020655509286E-2</v>
      </c>
      <c r="O170" s="63">
        <f t="shared" si="19"/>
        <v>2.3616437958527508E-2</v>
      </c>
      <c r="P170" s="55" t="s">
        <v>21</v>
      </c>
      <c r="Q170" s="53" t="s">
        <v>21</v>
      </c>
      <c r="R170" s="94" t="s">
        <v>21</v>
      </c>
      <c r="S170" s="73" t="s">
        <v>21</v>
      </c>
      <c r="T170" s="63" t="str">
        <f t="shared" si="20"/>
        <v/>
      </c>
      <c r="V170" s="114">
        <v>1.1352531100000001</v>
      </c>
      <c r="W170" s="72">
        <v>2.8667864700000001</v>
      </c>
      <c r="X170" s="72">
        <v>4.3575574000000001</v>
      </c>
      <c r="Y170" s="72">
        <v>5.5875775900000004</v>
      </c>
      <c r="Z170" s="115">
        <v>7.0282589199999999</v>
      </c>
      <c r="AB170" s="71">
        <v>3.7408549366759136E-2</v>
      </c>
      <c r="AC170" s="71">
        <v>4.5523044674497685E-2</v>
      </c>
      <c r="AD170" s="71">
        <v>5.3631027511900284E-2</v>
      </c>
      <c r="AE170" s="71">
        <v>5.8944213655509281E-2</v>
      </c>
      <c r="AF170" s="63">
        <v>6.4084102358527503E-2</v>
      </c>
      <c r="AG170" s="71" t="s">
        <v>21</v>
      </c>
      <c r="AH170" s="71">
        <v>8.4340318744976911E-3</v>
      </c>
      <c r="AI170" s="71">
        <v>1.5742156511900286E-2</v>
      </c>
      <c r="AJ170" s="71">
        <v>1.9910020655509286E-2</v>
      </c>
      <c r="AK170" s="63">
        <v>2.3616437958527508E-2</v>
      </c>
    </row>
    <row r="171" spans="2:37" x14ac:dyDescent="0.35">
      <c r="B171" s="55" t="s">
        <v>237</v>
      </c>
      <c r="C171" s="53" t="s">
        <v>234</v>
      </c>
      <c r="D171" s="53" t="s">
        <v>31</v>
      </c>
      <c r="E171" s="53" t="s">
        <v>21</v>
      </c>
      <c r="F171" s="73">
        <f t="shared" si="18"/>
        <v>3.7408549366759136E-2</v>
      </c>
      <c r="G171" s="60">
        <f t="shared" si="18"/>
        <v>4.5523044674497685E-2</v>
      </c>
      <c r="H171" s="60">
        <f t="shared" si="18"/>
        <v>5.3631027511900284E-2</v>
      </c>
      <c r="I171" s="60">
        <f t="shared" si="18"/>
        <v>5.8944213655509281E-2</v>
      </c>
      <c r="J171" s="63">
        <f t="shared" si="18"/>
        <v>6.4084102358527503E-2</v>
      </c>
      <c r="K171" s="60" t="str">
        <f t="shared" si="19"/>
        <v/>
      </c>
      <c r="L171" s="60">
        <f t="shared" si="19"/>
        <v>8.4340318744976911E-3</v>
      </c>
      <c r="M171" s="60">
        <f t="shared" si="19"/>
        <v>1.5742156511900286E-2</v>
      </c>
      <c r="N171" s="60">
        <f t="shared" si="19"/>
        <v>1.9910020655509286E-2</v>
      </c>
      <c r="O171" s="63">
        <f t="shared" si="19"/>
        <v>2.3616437958527508E-2</v>
      </c>
      <c r="P171" s="55" t="s">
        <v>21</v>
      </c>
      <c r="Q171" s="53" t="s">
        <v>21</v>
      </c>
      <c r="R171" s="94" t="s">
        <v>21</v>
      </c>
      <c r="S171" s="73" t="s">
        <v>21</v>
      </c>
      <c r="T171" s="63" t="str">
        <f t="shared" si="20"/>
        <v/>
      </c>
      <c r="V171" s="114">
        <v>1.1352531100000001</v>
      </c>
      <c r="W171" s="72">
        <v>2.8667864700000001</v>
      </c>
      <c r="X171" s="72">
        <v>4.3575574000000001</v>
      </c>
      <c r="Y171" s="72">
        <v>5.5875775900000004</v>
      </c>
      <c r="Z171" s="115">
        <v>7.0282589199999999</v>
      </c>
      <c r="AB171" s="71">
        <v>3.7408549366759136E-2</v>
      </c>
      <c r="AC171" s="71">
        <v>4.5523044674497685E-2</v>
      </c>
      <c r="AD171" s="71">
        <v>5.3631027511900284E-2</v>
      </c>
      <c r="AE171" s="71">
        <v>5.8944213655509281E-2</v>
      </c>
      <c r="AF171" s="63">
        <v>6.4084102358527503E-2</v>
      </c>
      <c r="AG171" s="71" t="s">
        <v>21</v>
      </c>
      <c r="AH171" s="71">
        <v>8.4340318744976911E-3</v>
      </c>
      <c r="AI171" s="71">
        <v>1.5742156511900286E-2</v>
      </c>
      <c r="AJ171" s="71">
        <v>1.9910020655509286E-2</v>
      </c>
      <c r="AK171" s="63">
        <v>2.3616437958527508E-2</v>
      </c>
    </row>
    <row r="172" spans="2:37" x14ac:dyDescent="0.35">
      <c r="B172" s="55" t="s">
        <v>239</v>
      </c>
      <c r="C172" s="53" t="s">
        <v>234</v>
      </c>
      <c r="D172" s="53" t="s">
        <v>43</v>
      </c>
      <c r="E172" s="53" t="s">
        <v>110</v>
      </c>
      <c r="F172" s="73">
        <f t="shared" si="18"/>
        <v>3.730452614530709E-2</v>
      </c>
      <c r="G172" s="60">
        <f t="shared" si="18"/>
        <v>4.5210868092425006E-2</v>
      </c>
      <c r="H172" s="60">
        <f t="shared" si="18"/>
        <v>5.3463876621446561E-2</v>
      </c>
      <c r="I172" s="60">
        <f t="shared" si="18"/>
        <v>5.8410446234274521E-2</v>
      </c>
      <c r="J172" s="63">
        <f t="shared" si="18"/>
        <v>6.2662078471159899E-2</v>
      </c>
      <c r="K172" s="60" t="str">
        <f t="shared" si="19"/>
        <v/>
      </c>
      <c r="L172" s="60">
        <f t="shared" si="19"/>
        <v>8.1393826924250103E-3</v>
      </c>
      <c r="M172" s="60">
        <f t="shared" si="19"/>
        <v>1.5586075221446571E-2</v>
      </c>
      <c r="N172" s="60">
        <f t="shared" si="19"/>
        <v>1.9411767534274517E-2</v>
      </c>
      <c r="O172" s="63">
        <f t="shared" si="19"/>
        <v>2.2284299771159893E-2</v>
      </c>
      <c r="P172" s="55" t="s">
        <v>21</v>
      </c>
      <c r="Q172" s="53" t="s">
        <v>21</v>
      </c>
      <c r="R172" s="94" t="s">
        <v>21</v>
      </c>
      <c r="S172" s="73" t="s">
        <v>21</v>
      </c>
      <c r="T172" s="63" t="str">
        <f t="shared" si="20"/>
        <v/>
      </c>
      <c r="V172" s="114">
        <v>1.1354159500000001</v>
      </c>
      <c r="W172" s="72">
        <v>2.86856372</v>
      </c>
      <c r="X172" s="72">
        <v>4.3615093700000003</v>
      </c>
      <c r="Y172" s="72">
        <v>5.5984370300000004</v>
      </c>
      <c r="Z172" s="115">
        <v>7.0711223599999995</v>
      </c>
      <c r="AB172" s="71">
        <v>3.730452614530709E-2</v>
      </c>
      <c r="AC172" s="71">
        <v>4.5210868092425006E-2</v>
      </c>
      <c r="AD172" s="71">
        <v>5.3463876621446561E-2</v>
      </c>
      <c r="AE172" s="71">
        <v>5.8410446234274521E-2</v>
      </c>
      <c r="AF172" s="63">
        <v>6.2662078471159899E-2</v>
      </c>
      <c r="AG172" s="71" t="s">
        <v>21</v>
      </c>
      <c r="AH172" s="71">
        <v>8.1393826924250103E-3</v>
      </c>
      <c r="AI172" s="71">
        <v>1.5586075221446571E-2</v>
      </c>
      <c r="AJ172" s="71">
        <v>1.9411767534274517E-2</v>
      </c>
      <c r="AK172" s="63">
        <v>2.2284299771159893E-2</v>
      </c>
    </row>
    <row r="173" spans="2:37" x14ac:dyDescent="0.35">
      <c r="B173" s="55" t="s">
        <v>331</v>
      </c>
      <c r="C173" s="53" t="s">
        <v>234</v>
      </c>
      <c r="D173" s="53" t="s">
        <v>62</v>
      </c>
      <c r="E173" s="53" t="s">
        <v>21</v>
      </c>
      <c r="F173" s="73">
        <f t="shared" si="18"/>
        <v>3.7633174278230826E-2</v>
      </c>
      <c r="G173" s="60">
        <f t="shared" si="18"/>
        <v>4.5044185015299644E-2</v>
      </c>
      <c r="H173" s="60">
        <f t="shared" si="18"/>
        <v>5.3257516009440668E-2</v>
      </c>
      <c r="I173" s="60">
        <f t="shared" si="18"/>
        <v>5.7867228484784483E-2</v>
      </c>
      <c r="J173" s="63">
        <f t="shared" si="18"/>
        <v>6.2661326946068338E-2</v>
      </c>
      <c r="K173" s="60" t="str">
        <f t="shared" si="19"/>
        <v/>
      </c>
      <c r="L173" s="60">
        <f t="shared" si="19"/>
        <v>7.980264015299646E-3</v>
      </c>
      <c r="M173" s="60">
        <f t="shared" si="19"/>
        <v>1.5390491009440664E-2</v>
      </c>
      <c r="N173" s="60">
        <f t="shared" si="19"/>
        <v>1.8905196884784488E-2</v>
      </c>
      <c r="O173" s="63">
        <f t="shared" si="19"/>
        <v>2.2297889646068336E-2</v>
      </c>
      <c r="P173" s="55" t="s">
        <v>21</v>
      </c>
      <c r="Q173" s="53" t="s">
        <v>21</v>
      </c>
      <c r="R173" s="94" t="s">
        <v>21</v>
      </c>
      <c r="S173" s="73" t="s">
        <v>21</v>
      </c>
      <c r="T173" s="63" t="str">
        <f t="shared" si="20"/>
        <v/>
      </c>
      <c r="V173" s="114">
        <v>1.13479072</v>
      </c>
      <c r="W173" s="72">
        <v>2.86851828</v>
      </c>
      <c r="X173" s="72">
        <v>4.3638913500000003</v>
      </c>
      <c r="Y173" s="72">
        <v>5.601648</v>
      </c>
      <c r="Z173" s="115">
        <v>7.0504043200000002</v>
      </c>
      <c r="AB173" s="71">
        <v>3.7633174278230826E-2</v>
      </c>
      <c r="AC173" s="71">
        <v>4.5044185015299644E-2</v>
      </c>
      <c r="AD173" s="71">
        <v>5.3257516009440668E-2</v>
      </c>
      <c r="AE173" s="71">
        <v>5.7867228484784483E-2</v>
      </c>
      <c r="AF173" s="63">
        <v>6.2661326946068338E-2</v>
      </c>
      <c r="AG173" s="71" t="s">
        <v>21</v>
      </c>
      <c r="AH173" s="71">
        <v>7.980264015299646E-3</v>
      </c>
      <c r="AI173" s="71">
        <v>1.5390491009440664E-2</v>
      </c>
      <c r="AJ173" s="71">
        <v>1.8905196884784488E-2</v>
      </c>
      <c r="AK173" s="63">
        <v>2.2297889646068336E-2</v>
      </c>
    </row>
    <row r="174" spans="2:37" x14ac:dyDescent="0.35">
      <c r="B174" s="55" t="s">
        <v>373</v>
      </c>
      <c r="C174" s="53" t="s">
        <v>234</v>
      </c>
      <c r="D174" s="53" t="s">
        <v>20</v>
      </c>
      <c r="E174" s="53" t="s">
        <v>21</v>
      </c>
      <c r="F174" s="73">
        <f t="shared" ref="F174:J224" si="21">IF(ISNUMBER(AB174),AB174-((C$4-C$3)/V174),"")</f>
        <v>3.6525224669676323E-2</v>
      </c>
      <c r="G174" s="60">
        <f t="shared" si="21"/>
        <v>4.1719830349933908E-2</v>
      </c>
      <c r="H174" s="60">
        <f t="shared" si="21"/>
        <v>4.6788356234076012E-2</v>
      </c>
      <c r="I174" s="60">
        <f t="shared" si="21"/>
        <v>4.9643176542389811E-2</v>
      </c>
      <c r="J174" s="63">
        <f t="shared" si="21"/>
        <v>5.2175817571047868E-2</v>
      </c>
      <c r="K174" s="60" t="str">
        <f t="shared" ref="K174:O224" si="22">IF(ISNUMBER(AG174),IF(AG174-((C$4-C$3)/V174)&lt;0,"",AG174-((C$4-C$3)/V174)),"")</f>
        <v/>
      </c>
      <c r="L174" s="60">
        <f t="shared" si="22"/>
        <v>4.8278865499339074E-3</v>
      </c>
      <c r="M174" s="60">
        <f t="shared" si="22"/>
        <v>9.259211834076006E-3</v>
      </c>
      <c r="N174" s="60">
        <f t="shared" si="22"/>
        <v>1.1105121642389811E-2</v>
      </c>
      <c r="O174" s="63">
        <f t="shared" si="22"/>
        <v>1.2305236971047866E-2</v>
      </c>
      <c r="P174" s="55" t="s">
        <v>21</v>
      </c>
      <c r="Q174" s="53" t="s">
        <v>21</v>
      </c>
      <c r="R174" s="94" t="s">
        <v>21</v>
      </c>
      <c r="S174" s="73" t="s">
        <v>21</v>
      </c>
      <c r="T174" s="63" t="str">
        <f t="shared" si="20"/>
        <v/>
      </c>
      <c r="V174" s="114">
        <v>1.13785892</v>
      </c>
      <c r="W174" s="72">
        <v>2.8975174999999997</v>
      </c>
      <c r="X174" s="72">
        <v>4.4687574699999999</v>
      </c>
      <c r="Y174" s="72">
        <v>5.8407679799999999</v>
      </c>
      <c r="Z174" s="115">
        <v>7.585059750000001</v>
      </c>
      <c r="AB174" s="71">
        <v>3.6525224669676323E-2</v>
      </c>
      <c r="AC174" s="71">
        <v>4.1719830349933908E-2</v>
      </c>
      <c r="AD174" s="71">
        <v>4.6788356234076012E-2</v>
      </c>
      <c r="AE174" s="71">
        <v>4.9643176542389811E-2</v>
      </c>
      <c r="AF174" s="63">
        <v>5.2175817571047868E-2</v>
      </c>
      <c r="AG174" s="71" t="s">
        <v>21</v>
      </c>
      <c r="AH174" s="71">
        <v>4.8278865499339074E-3</v>
      </c>
      <c r="AI174" s="71">
        <v>9.259211834076006E-3</v>
      </c>
      <c r="AJ174" s="71">
        <v>1.1105121642389811E-2</v>
      </c>
      <c r="AK174" s="63">
        <v>1.2305236971047866E-2</v>
      </c>
    </row>
    <row r="175" spans="2:37" x14ac:dyDescent="0.35">
      <c r="B175" s="55" t="s">
        <v>137</v>
      </c>
      <c r="C175" s="53" t="s">
        <v>234</v>
      </c>
      <c r="D175" s="53" t="s">
        <v>31</v>
      </c>
      <c r="E175" s="53" t="s">
        <v>81</v>
      </c>
      <c r="F175" s="73">
        <f t="shared" si="21"/>
        <v>3.7395794167273441E-2</v>
      </c>
      <c r="G175" s="60">
        <f t="shared" si="21"/>
        <v>4.4196953816374125E-2</v>
      </c>
      <c r="H175" s="60">
        <f t="shared" si="21"/>
        <v>5.1899203952696885E-2</v>
      </c>
      <c r="I175" s="60">
        <f t="shared" si="21"/>
        <v>5.6127687923533703E-2</v>
      </c>
      <c r="J175" s="63">
        <f t="shared" si="21"/>
        <v>6.0590287170668916E-2</v>
      </c>
      <c r="K175" s="60" t="str">
        <f t="shared" si="22"/>
        <v/>
      </c>
      <c r="L175" s="60">
        <f t="shared" si="22"/>
        <v>7.1772300163741171E-3</v>
      </c>
      <c r="M175" s="60">
        <f t="shared" si="22"/>
        <v>1.4107390452696886E-2</v>
      </c>
      <c r="N175" s="60">
        <f t="shared" si="22"/>
        <v>1.72641449235337E-2</v>
      </c>
      <c r="O175" s="63">
        <f t="shared" si="22"/>
        <v>2.0329984570668924E-2</v>
      </c>
      <c r="P175" s="55" t="s">
        <v>490</v>
      </c>
      <c r="Q175" s="53" t="s">
        <v>491</v>
      </c>
      <c r="R175" s="94" t="s">
        <v>32</v>
      </c>
      <c r="S175" s="73">
        <v>4.5599309999999997E-2</v>
      </c>
      <c r="T175" s="63">
        <f t="shared" si="20"/>
        <v>6.2998939526968875E-3</v>
      </c>
      <c r="V175" s="114">
        <v>1.1351834000000001</v>
      </c>
      <c r="W175" s="72">
        <v>2.8744071099999999</v>
      </c>
      <c r="X175" s="72">
        <v>4.3844922500000001</v>
      </c>
      <c r="Y175" s="72">
        <v>5.6533703900000001</v>
      </c>
      <c r="Z175" s="115">
        <v>7.17709829</v>
      </c>
      <c r="AB175" s="71">
        <v>3.7395794167273441E-2</v>
      </c>
      <c r="AC175" s="71">
        <v>4.4196953816374125E-2</v>
      </c>
      <c r="AD175" s="71">
        <v>5.1899203952696885E-2</v>
      </c>
      <c r="AE175" s="71">
        <v>5.6127687923533703E-2</v>
      </c>
      <c r="AF175" s="63">
        <v>6.0590287170668916E-2</v>
      </c>
      <c r="AG175" s="71" t="s">
        <v>21</v>
      </c>
      <c r="AH175" s="71">
        <v>7.1772300163741171E-3</v>
      </c>
      <c r="AI175" s="71">
        <v>1.4107390452696886E-2</v>
      </c>
      <c r="AJ175" s="71">
        <v>1.72641449235337E-2</v>
      </c>
      <c r="AK175" s="63">
        <v>2.0329984570668924E-2</v>
      </c>
    </row>
    <row r="176" spans="2:37" x14ac:dyDescent="0.35">
      <c r="B176" s="55" t="s">
        <v>242</v>
      </c>
      <c r="C176" s="53" t="s">
        <v>234</v>
      </c>
      <c r="D176" s="53" t="s">
        <v>20</v>
      </c>
      <c r="E176" s="53" t="s">
        <v>21</v>
      </c>
      <c r="F176" s="73">
        <f t="shared" si="21"/>
        <v>3.7629480530358354E-2</v>
      </c>
      <c r="G176" s="60">
        <f t="shared" si="21"/>
        <v>4.540679096812273E-2</v>
      </c>
      <c r="H176" s="60">
        <f t="shared" si="21"/>
        <v>5.4636955137263514E-2</v>
      </c>
      <c r="I176" s="60">
        <f t="shared" si="21"/>
        <v>5.8844364495933339E-2</v>
      </c>
      <c r="J176" s="63">
        <f t="shared" si="21"/>
        <v>6.2886177559245832E-2</v>
      </c>
      <c r="K176" s="60" t="str">
        <f t="shared" si="22"/>
        <v/>
      </c>
      <c r="L176" s="60">
        <f t="shared" si="22"/>
        <v>8.3514338681227283E-3</v>
      </c>
      <c r="M176" s="60">
        <f t="shared" si="22"/>
        <v>1.6723827737263507E-2</v>
      </c>
      <c r="N176" s="60">
        <f t="shared" si="22"/>
        <v>1.9855271795933348E-2</v>
      </c>
      <c r="O176" s="63">
        <f t="shared" si="22"/>
        <v>2.2530094059245824E-2</v>
      </c>
      <c r="P176" s="55" t="s">
        <v>21</v>
      </c>
      <c r="Q176" s="53" t="s">
        <v>21</v>
      </c>
      <c r="R176" s="94" t="s">
        <v>21</v>
      </c>
      <c r="S176" s="73" t="s">
        <v>21</v>
      </c>
      <c r="T176" s="63" t="str">
        <f t="shared" si="20"/>
        <v/>
      </c>
      <c r="V176" s="114">
        <v>1.13573075</v>
      </c>
      <c r="W176" s="72">
        <v>2.8715843599999999</v>
      </c>
      <c r="X176" s="72">
        <v>4.3594592199999997</v>
      </c>
      <c r="Y176" s="72">
        <v>5.5938678899999994</v>
      </c>
      <c r="Z176" s="115">
        <v>7.0714054200000005</v>
      </c>
      <c r="AB176" s="71">
        <v>3.7629480530358354E-2</v>
      </c>
      <c r="AC176" s="71">
        <v>4.540679096812273E-2</v>
      </c>
      <c r="AD176" s="71">
        <v>5.4636955137263514E-2</v>
      </c>
      <c r="AE176" s="71">
        <v>5.8844364495933339E-2</v>
      </c>
      <c r="AF176" s="63">
        <v>6.2886177559245832E-2</v>
      </c>
      <c r="AG176" s="71" t="s">
        <v>21</v>
      </c>
      <c r="AH176" s="71">
        <v>8.3514338681227283E-3</v>
      </c>
      <c r="AI176" s="71">
        <v>1.6723827737263507E-2</v>
      </c>
      <c r="AJ176" s="71">
        <v>1.9855271795933348E-2</v>
      </c>
      <c r="AK176" s="63">
        <v>2.2530094059245824E-2</v>
      </c>
    </row>
    <row r="177" spans="2:37" x14ac:dyDescent="0.35">
      <c r="B177" s="55" t="s">
        <v>151</v>
      </c>
      <c r="C177" s="53" t="s">
        <v>234</v>
      </c>
      <c r="D177" s="53" t="s">
        <v>43</v>
      </c>
      <c r="E177" s="53" t="s">
        <v>21</v>
      </c>
      <c r="F177" s="73">
        <f t="shared" si="21"/>
        <v>3.7620656075568311E-2</v>
      </c>
      <c r="G177" s="60">
        <f t="shared" si="21"/>
        <v>4.4352718862906419E-2</v>
      </c>
      <c r="H177" s="60">
        <f t="shared" si="21"/>
        <v>5.1611170241584639E-2</v>
      </c>
      <c r="I177" s="60">
        <f t="shared" si="21"/>
        <v>5.6030588863678864E-2</v>
      </c>
      <c r="J177" s="63">
        <f t="shared" si="21"/>
        <v>6.1024228130160917E-2</v>
      </c>
      <c r="K177" s="60" t="str">
        <f t="shared" si="22"/>
        <v/>
      </c>
      <c r="L177" s="60">
        <f t="shared" si="22"/>
        <v>7.3193918629064223E-3</v>
      </c>
      <c r="M177" s="60">
        <f t="shared" si="22"/>
        <v>1.3829282641584641E-2</v>
      </c>
      <c r="N177" s="60">
        <f t="shared" si="22"/>
        <v>1.716700896367887E-2</v>
      </c>
      <c r="O177" s="63">
        <f t="shared" si="22"/>
        <v>2.0732884930160921E-2</v>
      </c>
      <c r="P177" s="55" t="s">
        <v>21</v>
      </c>
      <c r="Q177" s="53" t="s">
        <v>21</v>
      </c>
      <c r="R177" s="94" t="s">
        <v>21</v>
      </c>
      <c r="S177" s="73" t="s">
        <v>21</v>
      </c>
      <c r="T177" s="63" t="str">
        <f t="shared" si="20"/>
        <v/>
      </c>
      <c r="V177" s="114">
        <v>1.13484539</v>
      </c>
      <c r="W177" s="72">
        <v>2.8728963699999999</v>
      </c>
      <c r="X177" s="72">
        <v>4.38568873</v>
      </c>
      <c r="Y177" s="72">
        <v>5.6567845600000002</v>
      </c>
      <c r="Z177" s="115">
        <v>7.1712881300000006</v>
      </c>
      <c r="AB177" s="71">
        <v>3.7620656075568311E-2</v>
      </c>
      <c r="AC177" s="71">
        <v>4.4352718862906419E-2</v>
      </c>
      <c r="AD177" s="71">
        <v>5.1611170241584639E-2</v>
      </c>
      <c r="AE177" s="71">
        <v>5.6030588863678864E-2</v>
      </c>
      <c r="AF177" s="63">
        <v>6.1024228130160917E-2</v>
      </c>
      <c r="AG177" s="71" t="s">
        <v>21</v>
      </c>
      <c r="AH177" s="71">
        <v>7.3193918629064223E-3</v>
      </c>
      <c r="AI177" s="71">
        <v>1.3829282641584641E-2</v>
      </c>
      <c r="AJ177" s="71">
        <v>1.716700896367887E-2</v>
      </c>
      <c r="AK177" s="63">
        <v>2.0732884930160921E-2</v>
      </c>
    </row>
    <row r="178" spans="2:37" x14ac:dyDescent="0.35">
      <c r="B178" s="55" t="s">
        <v>142</v>
      </c>
      <c r="C178" s="53" t="s">
        <v>234</v>
      </c>
      <c r="D178" s="53" t="s">
        <v>53</v>
      </c>
      <c r="E178" s="53" t="s">
        <v>123</v>
      </c>
      <c r="F178" s="73">
        <f t="shared" si="21"/>
        <v>3.7031429446623965E-2</v>
      </c>
      <c r="G178" s="60">
        <f t="shared" si="21"/>
        <v>4.4199776691420251E-2</v>
      </c>
      <c r="H178" s="60">
        <f t="shared" si="21"/>
        <v>5.1547395933443235E-2</v>
      </c>
      <c r="I178" s="60">
        <f t="shared" si="21"/>
        <v>5.6062976650104027E-2</v>
      </c>
      <c r="J178" s="63">
        <f t="shared" si="21"/>
        <v>6.0881710263905875E-2</v>
      </c>
      <c r="K178" s="60" t="str">
        <f t="shared" si="22"/>
        <v/>
      </c>
      <c r="L178" s="60">
        <f t="shared" si="22"/>
        <v>7.1781360914202445E-3</v>
      </c>
      <c r="M178" s="60">
        <f t="shared" si="22"/>
        <v>1.3772343733443233E-2</v>
      </c>
      <c r="N178" s="60">
        <f t="shared" si="22"/>
        <v>1.7200896150104027E-2</v>
      </c>
      <c r="O178" s="63">
        <f t="shared" si="22"/>
        <v>2.0602827563905877E-2</v>
      </c>
      <c r="P178" s="55" t="s">
        <v>492</v>
      </c>
      <c r="Q178" s="53" t="s">
        <v>493</v>
      </c>
      <c r="R178" s="94" t="s">
        <v>32</v>
      </c>
      <c r="S178" s="73">
        <v>5.0071879999999999E-2</v>
      </c>
      <c r="T178" s="63">
        <f t="shared" si="20"/>
        <v>1.4755159334432361E-3</v>
      </c>
      <c r="V178" s="114">
        <v>1.1359073000000002</v>
      </c>
      <c r="W178" s="72">
        <v>2.8750062700000001</v>
      </c>
      <c r="X178" s="72">
        <v>4.3885433000000003</v>
      </c>
      <c r="Y178" s="72">
        <v>5.6590019600000003</v>
      </c>
      <c r="Z178" s="115">
        <v>7.1757583700000005</v>
      </c>
      <c r="AB178" s="71">
        <v>3.7031429446623965E-2</v>
      </c>
      <c r="AC178" s="71">
        <v>4.4199776691420251E-2</v>
      </c>
      <c r="AD178" s="71">
        <v>5.1547395933443235E-2</v>
      </c>
      <c r="AE178" s="71">
        <v>5.6062976650104027E-2</v>
      </c>
      <c r="AF178" s="63">
        <v>6.0881710263905875E-2</v>
      </c>
      <c r="AG178" s="71" t="s">
        <v>21</v>
      </c>
      <c r="AH178" s="71">
        <v>7.1781360914202445E-3</v>
      </c>
      <c r="AI178" s="71">
        <v>1.3772343733443233E-2</v>
      </c>
      <c r="AJ178" s="71">
        <v>1.7200896150104027E-2</v>
      </c>
      <c r="AK178" s="63">
        <v>2.0602827563905877E-2</v>
      </c>
    </row>
    <row r="179" spans="2:37" x14ac:dyDescent="0.35">
      <c r="B179" s="55" t="s">
        <v>341</v>
      </c>
      <c r="C179" s="53" t="s">
        <v>234</v>
      </c>
      <c r="D179" s="53" t="s">
        <v>69</v>
      </c>
      <c r="E179" s="53" t="s">
        <v>21</v>
      </c>
      <c r="F179" s="73">
        <f t="shared" si="21"/>
        <v>3.7017600975506937E-2</v>
      </c>
      <c r="G179" s="60">
        <f t="shared" si="21"/>
        <v>4.41588796621969E-2</v>
      </c>
      <c r="H179" s="60">
        <f t="shared" si="21"/>
        <v>5.149837653878428E-2</v>
      </c>
      <c r="I179" s="60">
        <f t="shared" si="21"/>
        <v>5.544761064419064E-2</v>
      </c>
      <c r="J179" s="63">
        <f t="shared" si="21"/>
        <v>5.9802221309932006E-2</v>
      </c>
      <c r="K179" s="60" t="str">
        <f t="shared" si="22"/>
        <v/>
      </c>
      <c r="L179" s="60">
        <f t="shared" si="22"/>
        <v>7.1346358621968992E-3</v>
      </c>
      <c r="M179" s="60">
        <f t="shared" si="22"/>
        <v>1.3722659938784276E-2</v>
      </c>
      <c r="N179" s="60">
        <f t="shared" si="22"/>
        <v>1.6616082044190645E-2</v>
      </c>
      <c r="O179" s="63">
        <f t="shared" si="22"/>
        <v>1.9581855309931992E-2</v>
      </c>
      <c r="P179" s="55" t="s">
        <v>494</v>
      </c>
      <c r="Q179" s="53" t="s">
        <v>495</v>
      </c>
      <c r="R179" s="94" t="s">
        <v>32</v>
      </c>
      <c r="S179" s="73">
        <v>4.7845760000000001E-2</v>
      </c>
      <c r="T179" s="63">
        <f t="shared" si="20"/>
        <v>3.6526165387842785E-3</v>
      </c>
      <c r="V179" s="114">
        <v>1.1360036</v>
      </c>
      <c r="W179" s="72">
        <v>2.8760951299999999</v>
      </c>
      <c r="X179" s="72">
        <v>4.390155</v>
      </c>
      <c r="Y179" s="72">
        <v>5.6687826299999999</v>
      </c>
      <c r="Z179" s="115">
        <v>7.2122277600000011</v>
      </c>
      <c r="AB179" s="71">
        <v>3.7017600975506937E-2</v>
      </c>
      <c r="AC179" s="71">
        <v>4.41588796621969E-2</v>
      </c>
      <c r="AD179" s="71">
        <v>5.149837653878428E-2</v>
      </c>
      <c r="AE179" s="71">
        <v>5.544761064419064E-2</v>
      </c>
      <c r="AF179" s="63">
        <v>5.9802221309932006E-2</v>
      </c>
      <c r="AG179" s="71" t="s">
        <v>21</v>
      </c>
      <c r="AH179" s="71">
        <v>7.1346358621968992E-3</v>
      </c>
      <c r="AI179" s="71">
        <v>1.3722659938784276E-2</v>
      </c>
      <c r="AJ179" s="71">
        <v>1.6616082044190645E-2</v>
      </c>
      <c r="AK179" s="63">
        <v>1.9581855309931992E-2</v>
      </c>
    </row>
    <row r="180" spans="2:37" x14ac:dyDescent="0.35">
      <c r="B180" s="55" t="s">
        <v>343</v>
      </c>
      <c r="C180" s="53" t="s">
        <v>234</v>
      </c>
      <c r="D180" s="53" t="s">
        <v>20</v>
      </c>
      <c r="E180" s="53" t="s">
        <v>339</v>
      </c>
      <c r="F180" s="73">
        <f t="shared" si="21"/>
        <v>3.7731022160311566E-2</v>
      </c>
      <c r="G180" s="60">
        <f t="shared" si="21"/>
        <v>4.4812915612750998E-2</v>
      </c>
      <c r="H180" s="60">
        <f t="shared" si="21"/>
        <v>5.2290698320425995E-2</v>
      </c>
      <c r="I180" s="60">
        <f t="shared" si="21"/>
        <v>5.6443084958246244E-2</v>
      </c>
      <c r="J180" s="63">
        <f t="shared" si="21"/>
        <v>6.0798204551362936E-2</v>
      </c>
      <c r="K180" s="60" t="str">
        <f t="shared" si="22"/>
        <v/>
      </c>
      <c r="L180" s="60">
        <f t="shared" si="22"/>
        <v>7.7871409127510047E-3</v>
      </c>
      <c r="M180" s="60">
        <f t="shared" si="22"/>
        <v>1.4503854420425998E-2</v>
      </c>
      <c r="N180" s="60">
        <f t="shared" si="22"/>
        <v>1.7589685558246242E-2</v>
      </c>
      <c r="O180" s="63">
        <f t="shared" si="22"/>
        <v>2.0554467751362944E-2</v>
      </c>
      <c r="P180" s="55" t="s">
        <v>21</v>
      </c>
      <c r="Q180" s="53" t="s">
        <v>21</v>
      </c>
      <c r="R180" s="94" t="s">
        <v>21</v>
      </c>
      <c r="S180" s="73" t="s">
        <v>21</v>
      </c>
      <c r="T180" s="63" t="str">
        <f t="shared" si="20"/>
        <v/>
      </c>
      <c r="V180" s="114">
        <v>1.1355156399999999</v>
      </c>
      <c r="W180" s="72">
        <v>2.8742153199999998</v>
      </c>
      <c r="X180" s="72">
        <v>4.3859233700000004</v>
      </c>
      <c r="Y180" s="72">
        <v>5.6562450100000001</v>
      </c>
      <c r="Z180" s="115">
        <v>7.1877151799999996</v>
      </c>
      <c r="AB180" s="71">
        <v>3.7731022160311566E-2</v>
      </c>
      <c r="AC180" s="71">
        <v>4.4812915612750998E-2</v>
      </c>
      <c r="AD180" s="71">
        <v>5.2290698320425995E-2</v>
      </c>
      <c r="AE180" s="71">
        <v>5.6443084958246244E-2</v>
      </c>
      <c r="AF180" s="63">
        <v>6.0798204551362936E-2</v>
      </c>
      <c r="AG180" s="71" t="s">
        <v>21</v>
      </c>
      <c r="AH180" s="71">
        <v>7.7871409127510047E-3</v>
      </c>
      <c r="AI180" s="71">
        <v>1.4503854420425998E-2</v>
      </c>
      <c r="AJ180" s="71">
        <v>1.7589685558246242E-2</v>
      </c>
      <c r="AK180" s="63">
        <v>2.0554467751362944E-2</v>
      </c>
    </row>
    <row r="181" spans="2:37" x14ac:dyDescent="0.35">
      <c r="B181" s="55" t="s">
        <v>150</v>
      </c>
      <c r="C181" s="53" t="s">
        <v>234</v>
      </c>
      <c r="D181" s="53" t="s">
        <v>53</v>
      </c>
      <c r="E181" s="53" t="s">
        <v>21</v>
      </c>
      <c r="F181" s="73">
        <f t="shared" si="21"/>
        <v>3.7416475086220195E-2</v>
      </c>
      <c r="G181" s="60">
        <f t="shared" si="21"/>
        <v>4.4159673224111719E-2</v>
      </c>
      <c r="H181" s="60">
        <f t="shared" si="21"/>
        <v>5.1242088828350491E-2</v>
      </c>
      <c r="I181" s="60">
        <f t="shared" si="21"/>
        <v>5.5480248110669567E-2</v>
      </c>
      <c r="J181" s="63">
        <f t="shared" si="21"/>
        <v>5.9838417472780049E-2</v>
      </c>
      <c r="K181" s="60" t="str">
        <f t="shared" si="22"/>
        <v/>
      </c>
      <c r="L181" s="60">
        <f t="shared" si="22"/>
        <v>7.1387263241117251E-3</v>
      </c>
      <c r="M181" s="60">
        <f t="shared" si="22"/>
        <v>1.3481592528350499E-2</v>
      </c>
      <c r="N181" s="60">
        <f t="shared" si="22"/>
        <v>1.6647758010669568E-2</v>
      </c>
      <c r="O181" s="63">
        <f t="shared" si="22"/>
        <v>1.9617476072780058E-2</v>
      </c>
      <c r="P181" s="55" t="s">
        <v>496</v>
      </c>
      <c r="Q181" s="53" t="s">
        <v>497</v>
      </c>
      <c r="R181" s="94">
        <v>47498</v>
      </c>
      <c r="S181" s="73">
        <v>4.4161510000000001E-2</v>
      </c>
      <c r="T181" s="63">
        <f t="shared" si="20"/>
        <v>7.0805788283504895E-3</v>
      </c>
      <c r="V181" s="114">
        <v>1.13518735</v>
      </c>
      <c r="W181" s="72">
        <v>2.8746616400000002</v>
      </c>
      <c r="X181" s="72">
        <v>4.3913338500000005</v>
      </c>
      <c r="Y181" s="72">
        <v>5.6701693799999999</v>
      </c>
      <c r="Z181" s="115">
        <v>7.2120445500000008</v>
      </c>
      <c r="AB181" s="71">
        <v>3.7416475086220195E-2</v>
      </c>
      <c r="AC181" s="71">
        <v>4.4159673224111719E-2</v>
      </c>
      <c r="AD181" s="71">
        <v>5.1242088828350491E-2</v>
      </c>
      <c r="AE181" s="71">
        <v>5.5480248110669567E-2</v>
      </c>
      <c r="AF181" s="63">
        <v>5.9838417472780049E-2</v>
      </c>
      <c r="AG181" s="71" t="s">
        <v>21</v>
      </c>
      <c r="AH181" s="71">
        <v>7.1387263241117251E-3</v>
      </c>
      <c r="AI181" s="71">
        <v>1.3481592528350499E-2</v>
      </c>
      <c r="AJ181" s="71">
        <v>1.6647758010669568E-2</v>
      </c>
      <c r="AK181" s="63">
        <v>1.9617476072780058E-2</v>
      </c>
    </row>
    <row r="182" spans="2:37" x14ac:dyDescent="0.35">
      <c r="B182" s="55" t="s">
        <v>138</v>
      </c>
      <c r="C182" s="53" t="s">
        <v>234</v>
      </c>
      <c r="D182" s="53" t="s">
        <v>20</v>
      </c>
      <c r="E182" s="53" t="s">
        <v>21</v>
      </c>
      <c r="F182" s="73">
        <f t="shared" si="21"/>
        <v>3.8910022056523025E-2</v>
      </c>
      <c r="G182" s="60">
        <f t="shared" si="21"/>
        <v>4.5654989253444279E-2</v>
      </c>
      <c r="H182" s="60">
        <f t="shared" si="21"/>
        <v>5.2237088955081314E-2</v>
      </c>
      <c r="I182" s="60">
        <f t="shared" si="21"/>
        <v>5.5693093029366633E-2</v>
      </c>
      <c r="J182" s="63">
        <f t="shared" si="21"/>
        <v>5.9023636363170262E-2</v>
      </c>
      <c r="K182" s="60">
        <f t="shared" si="22"/>
        <v>9.8468065652302511E-4</v>
      </c>
      <c r="L182" s="60">
        <f t="shared" si="22"/>
        <v>8.5861943534442792E-3</v>
      </c>
      <c r="M182" s="60">
        <f t="shared" si="22"/>
        <v>1.4449436055081309E-2</v>
      </c>
      <c r="N182" s="60">
        <f t="shared" si="22"/>
        <v>1.687559392936664E-2</v>
      </c>
      <c r="O182" s="63">
        <f t="shared" si="22"/>
        <v>1.8882024963170256E-2</v>
      </c>
      <c r="P182" s="55" t="s">
        <v>498</v>
      </c>
      <c r="Q182" s="53" t="s">
        <v>499</v>
      </c>
      <c r="R182" s="94">
        <v>47423</v>
      </c>
      <c r="S182" s="73">
        <v>4.7446700000000001E-2</v>
      </c>
      <c r="T182" s="63">
        <f t="shared" si="20"/>
        <v>4.7903889550813122E-3</v>
      </c>
      <c r="V182" s="114">
        <v>1.1333136500000001</v>
      </c>
      <c r="W182" s="72">
        <v>2.8654048899999998</v>
      </c>
      <c r="X182" s="72">
        <v>4.3772923800000001</v>
      </c>
      <c r="Y182" s="72">
        <v>5.6572557899999998</v>
      </c>
      <c r="Z182" s="115">
        <v>7.2180935000000002</v>
      </c>
      <c r="AB182" s="71">
        <v>3.8910022056523025E-2</v>
      </c>
      <c r="AC182" s="71">
        <v>4.5654989253444279E-2</v>
      </c>
      <c r="AD182" s="71">
        <v>5.2237088955081314E-2</v>
      </c>
      <c r="AE182" s="71">
        <v>5.5693093029366633E-2</v>
      </c>
      <c r="AF182" s="63">
        <v>5.9023636363170262E-2</v>
      </c>
      <c r="AG182" s="71">
        <v>9.8468065652302511E-4</v>
      </c>
      <c r="AH182" s="71">
        <v>8.5861943534442792E-3</v>
      </c>
      <c r="AI182" s="71">
        <v>1.4449436055081309E-2</v>
      </c>
      <c r="AJ182" s="71">
        <v>1.687559392936664E-2</v>
      </c>
      <c r="AK182" s="63">
        <v>1.8882024963170256E-2</v>
      </c>
    </row>
    <row r="183" spans="2:37" x14ac:dyDescent="0.35">
      <c r="B183" s="55" t="s">
        <v>159</v>
      </c>
      <c r="C183" s="53" t="s">
        <v>234</v>
      </c>
      <c r="D183" s="53" t="s">
        <v>20</v>
      </c>
      <c r="E183" s="53" t="s">
        <v>290</v>
      </c>
      <c r="F183" s="73">
        <f t="shared" si="21"/>
        <v>3.8235461858882859E-2</v>
      </c>
      <c r="G183" s="60">
        <f t="shared" si="21"/>
        <v>4.5224673994791062E-2</v>
      </c>
      <c r="H183" s="60">
        <f t="shared" si="21"/>
        <v>5.221917229927131E-2</v>
      </c>
      <c r="I183" s="60">
        <f t="shared" si="21"/>
        <v>5.5704348249695286E-2</v>
      </c>
      <c r="J183" s="63">
        <f t="shared" si="21"/>
        <v>5.9070008771127371E-2</v>
      </c>
      <c r="K183" s="60">
        <f t="shared" si="22"/>
        <v>3.3653665888285986E-4</v>
      </c>
      <c r="L183" s="60">
        <f t="shared" si="22"/>
        <v>8.1763684947910656E-3</v>
      </c>
      <c r="M183" s="60">
        <f t="shared" si="22"/>
        <v>1.4433162499271306E-2</v>
      </c>
      <c r="N183" s="60">
        <f t="shared" si="22"/>
        <v>1.6888797449695285E-2</v>
      </c>
      <c r="O183" s="63">
        <f t="shared" si="22"/>
        <v>1.8920961071127378E-2</v>
      </c>
      <c r="P183" s="55" t="s">
        <v>500</v>
      </c>
      <c r="Q183" s="53" t="s">
        <v>501</v>
      </c>
      <c r="R183" s="94">
        <v>47543</v>
      </c>
      <c r="S183" s="73">
        <v>4.7674279999999999E-2</v>
      </c>
      <c r="T183" s="63">
        <f t="shared" si="20"/>
        <v>4.5448922992713109E-3</v>
      </c>
      <c r="V183" s="114">
        <v>1.1346028500000001</v>
      </c>
      <c r="W183" s="72">
        <v>2.87082389</v>
      </c>
      <c r="X183" s="72">
        <v>4.3829177399999999</v>
      </c>
      <c r="Y183" s="72">
        <v>5.6603899499999999</v>
      </c>
      <c r="Z183" s="115">
        <v>7.2325411600000002</v>
      </c>
      <c r="AB183" s="71">
        <v>3.8235461858882859E-2</v>
      </c>
      <c r="AC183" s="71">
        <v>4.5224673994791062E-2</v>
      </c>
      <c r="AD183" s="71">
        <v>5.221917229927131E-2</v>
      </c>
      <c r="AE183" s="71">
        <v>5.5704348249695286E-2</v>
      </c>
      <c r="AF183" s="63">
        <v>5.9070008771127371E-2</v>
      </c>
      <c r="AG183" s="71">
        <v>3.3653665888285986E-4</v>
      </c>
      <c r="AH183" s="71">
        <v>8.1763684947910656E-3</v>
      </c>
      <c r="AI183" s="71">
        <v>1.4433162499271306E-2</v>
      </c>
      <c r="AJ183" s="71">
        <v>1.6888797449695285E-2</v>
      </c>
      <c r="AK183" s="63">
        <v>1.8920961071127378E-2</v>
      </c>
    </row>
    <row r="184" spans="2:37" x14ac:dyDescent="0.35">
      <c r="B184" s="55" t="s">
        <v>367</v>
      </c>
      <c r="C184" s="53" t="s">
        <v>234</v>
      </c>
      <c r="D184" s="53" t="s">
        <v>20</v>
      </c>
      <c r="E184" s="53" t="s">
        <v>21</v>
      </c>
      <c r="F184" s="73">
        <f t="shared" si="21"/>
        <v>3.7395942721671467E-2</v>
      </c>
      <c r="G184" s="60">
        <f t="shared" si="21"/>
        <v>4.2981822205961688E-2</v>
      </c>
      <c r="H184" s="60">
        <f t="shared" si="21"/>
        <v>4.8472614622666728E-2</v>
      </c>
      <c r="I184" s="60">
        <f t="shared" si="21"/>
        <v>5.1493672799446312E-2</v>
      </c>
      <c r="J184" s="63">
        <f t="shared" si="21"/>
        <v>5.409047233087156E-2</v>
      </c>
      <c r="K184" s="60" t="str">
        <f t="shared" si="22"/>
        <v/>
      </c>
      <c r="L184" s="60">
        <f t="shared" si="22"/>
        <v>6.0361084059616966E-3</v>
      </c>
      <c r="M184" s="60">
        <f t="shared" si="22"/>
        <v>1.0869159522666731E-2</v>
      </c>
      <c r="N184" s="60">
        <f t="shared" si="22"/>
        <v>1.2877264899446302E-2</v>
      </c>
      <c r="O184" s="63">
        <f t="shared" si="22"/>
        <v>1.4152797030871564E-2</v>
      </c>
      <c r="P184" s="55" t="s">
        <v>394</v>
      </c>
      <c r="Q184" s="53" t="s">
        <v>395</v>
      </c>
      <c r="R184" s="94">
        <v>47270</v>
      </c>
      <c r="S184" s="73">
        <v>4.2671890000000004E-2</v>
      </c>
      <c r="T184" s="63">
        <f t="shared" si="20"/>
        <v>5.8007246226667239E-3</v>
      </c>
      <c r="V184" s="114">
        <v>1.1361872</v>
      </c>
      <c r="W184" s="72">
        <v>2.8871886899999999</v>
      </c>
      <c r="X184" s="72">
        <v>4.4396230899999996</v>
      </c>
      <c r="Y184" s="72">
        <v>5.7830903899999999</v>
      </c>
      <c r="Z184" s="115">
        <v>7.4780909000000007</v>
      </c>
      <c r="AB184" s="71">
        <v>3.7395942721671467E-2</v>
      </c>
      <c r="AC184" s="71">
        <v>4.2981822205961688E-2</v>
      </c>
      <c r="AD184" s="71">
        <v>4.8472614622666728E-2</v>
      </c>
      <c r="AE184" s="71">
        <v>5.1493672799446312E-2</v>
      </c>
      <c r="AF184" s="63">
        <v>5.409047233087156E-2</v>
      </c>
      <c r="AG184" s="71" t="s">
        <v>21</v>
      </c>
      <c r="AH184" s="71">
        <v>6.0361084059616966E-3</v>
      </c>
      <c r="AI184" s="71">
        <v>1.0869159522666731E-2</v>
      </c>
      <c r="AJ184" s="71">
        <v>1.2877264899446302E-2</v>
      </c>
      <c r="AK184" s="63">
        <v>1.4152797030871564E-2</v>
      </c>
    </row>
    <row r="185" spans="2:37" x14ac:dyDescent="0.35">
      <c r="B185" s="55" t="s">
        <v>359</v>
      </c>
      <c r="C185" s="53" t="s">
        <v>234</v>
      </c>
      <c r="D185" s="53" t="s">
        <v>20</v>
      </c>
      <c r="E185" s="53" t="s">
        <v>128</v>
      </c>
      <c r="F185" s="73">
        <f t="shared" si="21"/>
        <v>3.7842431624387281E-2</v>
      </c>
      <c r="G185" s="60">
        <f t="shared" si="21"/>
        <v>4.4569403310334696E-2</v>
      </c>
      <c r="H185" s="60">
        <f t="shared" si="21"/>
        <v>5.1787036638514125E-2</v>
      </c>
      <c r="I185" s="60">
        <f t="shared" si="21"/>
        <v>5.5147801581321348E-2</v>
      </c>
      <c r="J185" s="63">
        <f t="shared" si="21"/>
        <v>5.8493598272018818E-2</v>
      </c>
      <c r="K185" s="60" t="str">
        <f t="shared" si="22"/>
        <v/>
      </c>
      <c r="L185" s="60">
        <f t="shared" si="22"/>
        <v>7.5525006103346953E-3</v>
      </c>
      <c r="M185" s="60">
        <f t="shared" si="22"/>
        <v>1.4024096538514125E-2</v>
      </c>
      <c r="N185" s="60">
        <f t="shared" si="22"/>
        <v>1.6360628081321354E-2</v>
      </c>
      <c r="O185" s="63">
        <f t="shared" si="22"/>
        <v>1.8377153172018806E-2</v>
      </c>
      <c r="P185" s="55" t="s">
        <v>21</v>
      </c>
      <c r="Q185" s="53" t="s">
        <v>21</v>
      </c>
      <c r="R185" s="94" t="s">
        <v>21</v>
      </c>
      <c r="S185" s="73" t="s">
        <v>21</v>
      </c>
      <c r="T185" s="63" t="str">
        <f t="shared" si="20"/>
        <v/>
      </c>
      <c r="V185" s="114">
        <v>1.1353393999999999</v>
      </c>
      <c r="W185" s="72">
        <v>2.8767094499999999</v>
      </c>
      <c r="X185" s="72">
        <v>4.3947766700000006</v>
      </c>
      <c r="Y185" s="72">
        <v>5.6832024500000005</v>
      </c>
      <c r="Z185" s="115">
        <v>7.2677253100000003</v>
      </c>
      <c r="AB185" s="71">
        <v>3.7842431624387281E-2</v>
      </c>
      <c r="AC185" s="71">
        <v>4.4569403310334696E-2</v>
      </c>
      <c r="AD185" s="71">
        <v>5.1787036638514125E-2</v>
      </c>
      <c r="AE185" s="71">
        <v>5.5147801581321348E-2</v>
      </c>
      <c r="AF185" s="63">
        <v>5.8493598272018818E-2</v>
      </c>
      <c r="AG185" s="71" t="s">
        <v>21</v>
      </c>
      <c r="AH185" s="71">
        <v>7.5525006103346953E-3</v>
      </c>
      <c r="AI185" s="71">
        <v>1.4024096538514125E-2</v>
      </c>
      <c r="AJ185" s="71">
        <v>1.6360628081321354E-2</v>
      </c>
      <c r="AK185" s="63">
        <v>1.8377153172018806E-2</v>
      </c>
    </row>
    <row r="186" spans="2:37" x14ac:dyDescent="0.35">
      <c r="B186" s="55" t="s">
        <v>155</v>
      </c>
      <c r="C186" s="53" t="s">
        <v>234</v>
      </c>
      <c r="D186" s="53" t="s">
        <v>43</v>
      </c>
      <c r="E186" s="53" t="s">
        <v>21</v>
      </c>
      <c r="F186" s="73">
        <f t="shared" si="21"/>
        <v>3.7249808829080841E-2</v>
      </c>
      <c r="G186" s="60">
        <f t="shared" si="21"/>
        <v>4.3571541348124923E-2</v>
      </c>
      <c r="H186" s="60">
        <f t="shared" si="21"/>
        <v>5.075876785871887E-2</v>
      </c>
      <c r="I186" s="60">
        <f t="shared" si="21"/>
        <v>5.4911711779280198E-2</v>
      </c>
      <c r="J186" s="63">
        <f t="shared" si="21"/>
        <v>5.8717495933140539E-2</v>
      </c>
      <c r="K186" s="60" t="str">
        <f t="shared" si="22"/>
        <v/>
      </c>
      <c r="L186" s="60">
        <f t="shared" si="22"/>
        <v>6.5788005481249214E-3</v>
      </c>
      <c r="M186" s="60">
        <f t="shared" si="22"/>
        <v>1.3023824758718871E-2</v>
      </c>
      <c r="N186" s="60">
        <f t="shared" si="22"/>
        <v>1.6109985879280204E-2</v>
      </c>
      <c r="O186" s="63">
        <f t="shared" si="22"/>
        <v>1.856167563314054E-2</v>
      </c>
      <c r="P186" s="55" t="s">
        <v>502</v>
      </c>
      <c r="Q186" s="53" t="s">
        <v>503</v>
      </c>
      <c r="R186" s="94">
        <v>47536</v>
      </c>
      <c r="S186" s="73">
        <v>4.2271789999999997E-2</v>
      </c>
      <c r="T186" s="63">
        <f t="shared" si="20"/>
        <v>8.4869778587188735E-3</v>
      </c>
      <c r="V186" s="114">
        <v>1.1354887899999999</v>
      </c>
      <c r="W186" s="72">
        <v>2.87881973</v>
      </c>
      <c r="X186" s="72">
        <v>4.4012718099999999</v>
      </c>
      <c r="Y186" s="72">
        <v>5.6879209499999996</v>
      </c>
      <c r="Z186" s="115">
        <v>7.2551646200000004</v>
      </c>
      <c r="AB186" s="71">
        <v>3.7249808829080841E-2</v>
      </c>
      <c r="AC186" s="71">
        <v>4.3571541348124923E-2</v>
      </c>
      <c r="AD186" s="71">
        <v>5.075876785871887E-2</v>
      </c>
      <c r="AE186" s="71">
        <v>5.4911711779280198E-2</v>
      </c>
      <c r="AF186" s="63">
        <v>5.8717495933140539E-2</v>
      </c>
      <c r="AG186" s="71" t="s">
        <v>21</v>
      </c>
      <c r="AH186" s="71">
        <v>6.5788005481249214E-3</v>
      </c>
      <c r="AI186" s="71">
        <v>1.3023824758718871E-2</v>
      </c>
      <c r="AJ186" s="71">
        <v>1.6109985879280204E-2</v>
      </c>
      <c r="AK186" s="63">
        <v>1.856167563314054E-2</v>
      </c>
    </row>
    <row r="187" spans="2:37" x14ac:dyDescent="0.35">
      <c r="B187" s="55" t="s">
        <v>136</v>
      </c>
      <c r="C187" s="53" t="s">
        <v>234</v>
      </c>
      <c r="D187" s="53" t="s">
        <v>47</v>
      </c>
      <c r="E187" s="53" t="s">
        <v>21</v>
      </c>
      <c r="F187" s="73">
        <f t="shared" si="21"/>
        <v>3.7278397053670323E-2</v>
      </c>
      <c r="G187" s="60">
        <f t="shared" si="21"/>
        <v>4.3594151480652182E-2</v>
      </c>
      <c r="H187" s="60">
        <f t="shared" si="21"/>
        <v>5.0702717654858911E-2</v>
      </c>
      <c r="I187" s="60">
        <f t="shared" si="21"/>
        <v>5.4667921129792602E-2</v>
      </c>
      <c r="J187" s="63">
        <f t="shared" si="21"/>
        <v>5.8648553943916409E-2</v>
      </c>
      <c r="K187" s="60" t="str">
        <f t="shared" si="22"/>
        <v/>
      </c>
      <c r="L187" s="60">
        <f t="shared" si="22"/>
        <v>6.6031231806521849E-3</v>
      </c>
      <c r="M187" s="60">
        <f t="shared" si="22"/>
        <v>1.2972560754858913E-2</v>
      </c>
      <c r="N187" s="60">
        <f t="shared" si="22"/>
        <v>1.5880426829792595E-2</v>
      </c>
      <c r="O187" s="63">
        <f t="shared" si="22"/>
        <v>1.8496283143916402E-2</v>
      </c>
      <c r="P187" s="55" t="s">
        <v>504</v>
      </c>
      <c r="Q187" s="53" t="s">
        <v>505</v>
      </c>
      <c r="R187" s="94">
        <v>47559</v>
      </c>
      <c r="S187" s="73">
        <v>4.2952169999999998E-2</v>
      </c>
      <c r="T187" s="63">
        <f t="shared" si="20"/>
        <v>7.7505476548589136E-3</v>
      </c>
      <c r="V187" s="114">
        <v>1.1353956199999999</v>
      </c>
      <c r="W187" s="72">
        <v>2.8791031500000002</v>
      </c>
      <c r="X187" s="72">
        <v>4.4019629999999994</v>
      </c>
      <c r="Y187" s="72">
        <v>5.69191425</v>
      </c>
      <c r="Z187" s="115">
        <v>7.2618840700000007</v>
      </c>
      <c r="AB187" s="71">
        <v>3.7278397053670323E-2</v>
      </c>
      <c r="AC187" s="71">
        <v>4.3594151480652182E-2</v>
      </c>
      <c r="AD187" s="71">
        <v>5.0702717654858911E-2</v>
      </c>
      <c r="AE187" s="71">
        <v>5.4667921129792602E-2</v>
      </c>
      <c r="AF187" s="63">
        <v>5.8648553943916409E-2</v>
      </c>
      <c r="AG187" s="71" t="s">
        <v>21</v>
      </c>
      <c r="AH187" s="71">
        <v>6.6031231806521849E-3</v>
      </c>
      <c r="AI187" s="71">
        <v>1.2972560754858913E-2</v>
      </c>
      <c r="AJ187" s="71">
        <v>1.5880426829792595E-2</v>
      </c>
      <c r="AK187" s="63">
        <v>1.8496283143916402E-2</v>
      </c>
    </row>
    <row r="188" spans="2:37" x14ac:dyDescent="0.35">
      <c r="B188" s="55" t="s">
        <v>322</v>
      </c>
      <c r="C188" s="53" t="s">
        <v>234</v>
      </c>
      <c r="D188" s="53" t="s">
        <v>69</v>
      </c>
      <c r="E188" s="53" t="s">
        <v>423</v>
      </c>
      <c r="F188" s="73">
        <f t="shared" si="21"/>
        <v>3.695363378284991E-2</v>
      </c>
      <c r="G188" s="60">
        <f t="shared" si="21"/>
        <v>4.3607980722164465E-2</v>
      </c>
      <c r="H188" s="60">
        <f t="shared" si="21"/>
        <v>5.0608419884375595E-2</v>
      </c>
      <c r="I188" s="60">
        <f t="shared" si="21"/>
        <v>5.5141341745233122E-2</v>
      </c>
      <c r="J188" s="63">
        <f t="shared" si="21"/>
        <v>5.8864943392644122E-2</v>
      </c>
      <c r="K188" s="60" t="str">
        <f t="shared" si="22"/>
        <v/>
      </c>
      <c r="L188" s="60">
        <f t="shared" si="22"/>
        <v>6.6119056221644644E-3</v>
      </c>
      <c r="M188" s="60">
        <f t="shared" si="22"/>
        <v>1.2879790884375592E-2</v>
      </c>
      <c r="N188" s="60">
        <f t="shared" si="22"/>
        <v>1.632624514523312E-2</v>
      </c>
      <c r="O188" s="63">
        <f t="shared" si="22"/>
        <v>1.8701968392644115E-2</v>
      </c>
      <c r="P188" s="55" t="s">
        <v>21</v>
      </c>
      <c r="Q188" s="53" t="s">
        <v>21</v>
      </c>
      <c r="R188" s="94" t="s">
        <v>21</v>
      </c>
      <c r="S188" s="73" t="s">
        <v>21</v>
      </c>
      <c r="T188" s="63" t="str">
        <f t="shared" si="20"/>
        <v/>
      </c>
      <c r="V188" s="114">
        <v>1.13608357</v>
      </c>
      <c r="W188" s="72">
        <v>2.8796321300000001</v>
      </c>
      <c r="X188" s="72">
        <v>4.4034333299999995</v>
      </c>
      <c r="Y188" s="72">
        <v>5.6873125800000004</v>
      </c>
      <c r="Z188" s="115">
        <v>7.2494835599999998</v>
      </c>
      <c r="AB188" s="71">
        <v>3.695363378284991E-2</v>
      </c>
      <c r="AC188" s="71">
        <v>4.3607980722164465E-2</v>
      </c>
      <c r="AD188" s="71">
        <v>5.0608419884375595E-2</v>
      </c>
      <c r="AE188" s="71">
        <v>5.5141341745233122E-2</v>
      </c>
      <c r="AF188" s="63">
        <v>5.8864943392644122E-2</v>
      </c>
      <c r="AG188" s="71" t="s">
        <v>21</v>
      </c>
      <c r="AH188" s="71">
        <v>6.6119056221644644E-3</v>
      </c>
      <c r="AI188" s="71">
        <v>1.2879790884375592E-2</v>
      </c>
      <c r="AJ188" s="71">
        <v>1.632624514523312E-2</v>
      </c>
      <c r="AK188" s="63">
        <v>1.8701968392644115E-2</v>
      </c>
    </row>
    <row r="189" spans="2:37" x14ac:dyDescent="0.35">
      <c r="B189" s="55" t="s">
        <v>156</v>
      </c>
      <c r="C189" s="53" t="s">
        <v>234</v>
      </c>
      <c r="D189" s="53" t="s">
        <v>131</v>
      </c>
      <c r="E189" s="53" t="s">
        <v>75</v>
      </c>
      <c r="F189" s="73">
        <f t="shared" si="21"/>
        <v>3.7115928428460149E-2</v>
      </c>
      <c r="G189" s="60">
        <f t="shared" si="21"/>
        <v>4.3585912734327728E-2</v>
      </c>
      <c r="H189" s="60">
        <f t="shared" si="21"/>
        <v>5.0608314451566251E-2</v>
      </c>
      <c r="I189" s="60">
        <f t="shared" si="21"/>
        <v>5.4857733958777251E-2</v>
      </c>
      <c r="J189" s="63">
        <f t="shared" si="21"/>
        <v>5.9024438772732585E-2</v>
      </c>
      <c r="K189" s="60" t="str">
        <f t="shared" si="22"/>
        <v/>
      </c>
      <c r="L189" s="60">
        <f t="shared" si="22"/>
        <v>6.5908799343277254E-3</v>
      </c>
      <c r="M189" s="60">
        <f t="shared" si="22"/>
        <v>1.2879670751566251E-2</v>
      </c>
      <c r="N189" s="60">
        <f t="shared" si="22"/>
        <v>1.6057460458777251E-2</v>
      </c>
      <c r="O189" s="63">
        <f t="shared" si="22"/>
        <v>1.8849710772732588E-2</v>
      </c>
      <c r="P189" s="55" t="s">
        <v>506</v>
      </c>
      <c r="Q189" s="53" t="s">
        <v>507</v>
      </c>
      <c r="R189" s="94">
        <v>47534</v>
      </c>
      <c r="S189" s="73">
        <v>4.6385059999999999E-2</v>
      </c>
      <c r="T189" s="63">
        <f t="shared" si="20"/>
        <v>4.2232544515662523E-3</v>
      </c>
      <c r="V189" s="114">
        <v>1.13577079</v>
      </c>
      <c r="W189" s="72">
        <v>2.8792278800000002</v>
      </c>
      <c r="X189" s="72">
        <v>4.4031212700000006</v>
      </c>
      <c r="Y189" s="72">
        <v>5.6908057900000006</v>
      </c>
      <c r="Z189" s="115">
        <v>7.2512241300000007</v>
      </c>
      <c r="AB189" s="71">
        <v>3.7115928428460149E-2</v>
      </c>
      <c r="AC189" s="71">
        <v>4.3585912734327728E-2</v>
      </c>
      <c r="AD189" s="71">
        <v>5.0608314451566251E-2</v>
      </c>
      <c r="AE189" s="71">
        <v>5.4857733958777251E-2</v>
      </c>
      <c r="AF189" s="63">
        <v>5.9024438772732585E-2</v>
      </c>
      <c r="AG189" s="71" t="s">
        <v>21</v>
      </c>
      <c r="AH189" s="71">
        <v>6.5908799343277254E-3</v>
      </c>
      <c r="AI189" s="71">
        <v>1.2879670751566251E-2</v>
      </c>
      <c r="AJ189" s="71">
        <v>1.6057460458777251E-2</v>
      </c>
      <c r="AK189" s="63">
        <v>1.8849710772732588E-2</v>
      </c>
    </row>
    <row r="190" spans="2:37" x14ac:dyDescent="0.35">
      <c r="B190" s="55" t="s">
        <v>326</v>
      </c>
      <c r="C190" s="53" t="s">
        <v>234</v>
      </c>
      <c r="D190" s="53" t="s">
        <v>20</v>
      </c>
      <c r="E190" s="53" t="s">
        <v>21</v>
      </c>
      <c r="F190" s="73">
        <f t="shared" si="21"/>
        <v>3.7139323277875495E-2</v>
      </c>
      <c r="G190" s="60">
        <f t="shared" si="21"/>
        <v>4.4109918353748501E-2</v>
      </c>
      <c r="H190" s="60">
        <f t="shared" si="21"/>
        <v>5.1575538643249201E-2</v>
      </c>
      <c r="I190" s="60">
        <f t="shared" si="21"/>
        <v>5.5799327271216864E-2</v>
      </c>
      <c r="J190" s="63">
        <f t="shared" si="21"/>
        <v>5.9390756690982087E-2</v>
      </c>
      <c r="K190" s="60" t="str">
        <f t="shared" si="22"/>
        <v/>
      </c>
      <c r="L190" s="60">
        <f t="shared" si="22"/>
        <v>7.1147986537485122E-3</v>
      </c>
      <c r="M190" s="60">
        <f t="shared" si="22"/>
        <v>1.3824716343249201E-2</v>
      </c>
      <c r="N190" s="60">
        <f t="shared" si="22"/>
        <v>1.6979508871216863E-2</v>
      </c>
      <c r="O190" s="63">
        <f t="shared" si="22"/>
        <v>1.9230406990982083E-2</v>
      </c>
      <c r="P190" s="55" t="s">
        <v>21</v>
      </c>
      <c r="Q190" s="53" t="s">
        <v>21</v>
      </c>
      <c r="R190" s="94" t="s">
        <v>21</v>
      </c>
      <c r="S190" s="73" t="s">
        <v>21</v>
      </c>
      <c r="T190" s="63" t="str">
        <f t="shared" si="20"/>
        <v/>
      </c>
      <c r="V190" s="114">
        <v>1.1367080200000002</v>
      </c>
      <c r="W190" s="72">
        <v>2.8813407899999999</v>
      </c>
      <c r="X190" s="72">
        <v>4.40035094</v>
      </c>
      <c r="Y190" s="72">
        <v>5.6795864800000002</v>
      </c>
      <c r="Z190" s="115">
        <v>7.239299270000001</v>
      </c>
      <c r="AB190" s="71">
        <v>3.7139323277875495E-2</v>
      </c>
      <c r="AC190" s="71">
        <v>4.4109918353748501E-2</v>
      </c>
      <c r="AD190" s="71">
        <v>5.1575538643249201E-2</v>
      </c>
      <c r="AE190" s="71">
        <v>5.5799327271216864E-2</v>
      </c>
      <c r="AF190" s="63">
        <v>5.9390756690982087E-2</v>
      </c>
      <c r="AG190" s="71" t="s">
        <v>21</v>
      </c>
      <c r="AH190" s="71">
        <v>7.1147986537485122E-3</v>
      </c>
      <c r="AI190" s="71">
        <v>1.3824716343249201E-2</v>
      </c>
      <c r="AJ190" s="71">
        <v>1.6979508871216863E-2</v>
      </c>
      <c r="AK190" s="63">
        <v>1.9230406990982083E-2</v>
      </c>
    </row>
    <row r="191" spans="2:37" x14ac:dyDescent="0.35">
      <c r="B191" s="55" t="s">
        <v>267</v>
      </c>
      <c r="C191" s="53" t="s">
        <v>234</v>
      </c>
      <c r="D191" s="53" t="s">
        <v>31</v>
      </c>
      <c r="E191" s="53" t="s">
        <v>21</v>
      </c>
      <c r="F191" s="73">
        <f t="shared" si="21"/>
        <v>3.6946567678083922E-2</v>
      </c>
      <c r="G191" s="60">
        <f t="shared" si="21"/>
        <v>4.3751049579563932E-2</v>
      </c>
      <c r="H191" s="60">
        <f t="shared" si="21"/>
        <v>5.0564252370126003E-2</v>
      </c>
      <c r="I191" s="60">
        <f t="shared" si="21"/>
        <v>5.4243769376537798E-2</v>
      </c>
      <c r="J191" s="63">
        <f t="shared" si="21"/>
        <v>5.6925556702131251E-2</v>
      </c>
      <c r="K191" s="60" t="str">
        <f t="shared" si="22"/>
        <v/>
      </c>
      <c r="L191" s="60">
        <f t="shared" si="22"/>
        <v>6.7475643795639282E-3</v>
      </c>
      <c r="M191" s="60">
        <f t="shared" si="22"/>
        <v>1.2837058270125993E-2</v>
      </c>
      <c r="N191" s="60">
        <f t="shared" si="22"/>
        <v>1.5474372776537796E-2</v>
      </c>
      <c r="O191" s="63">
        <f t="shared" si="22"/>
        <v>1.6857250502131247E-2</v>
      </c>
      <c r="P191" s="55" t="s">
        <v>508</v>
      </c>
      <c r="Q191" s="53" t="s">
        <v>509</v>
      </c>
      <c r="R191" s="94">
        <v>47679</v>
      </c>
      <c r="S191" s="73">
        <v>4.8774499999999998E-2</v>
      </c>
      <c r="T191" s="63">
        <f t="shared" si="20"/>
        <v>1.7897523701260049E-3</v>
      </c>
      <c r="V191" s="114">
        <v>1.13611061</v>
      </c>
      <c r="W191" s="72">
        <v>2.87879649</v>
      </c>
      <c r="X191" s="72">
        <v>4.40278101</v>
      </c>
      <c r="Y191" s="72">
        <v>5.6989071899999999</v>
      </c>
      <c r="Z191" s="115">
        <v>7.3091230600000001</v>
      </c>
      <c r="AB191" s="71">
        <v>3.6946567678083922E-2</v>
      </c>
      <c r="AC191" s="71">
        <v>4.3751049579563932E-2</v>
      </c>
      <c r="AD191" s="71">
        <v>5.0564252370126003E-2</v>
      </c>
      <c r="AE191" s="71">
        <v>5.4243769376537798E-2</v>
      </c>
      <c r="AF191" s="63">
        <v>5.6925556702131251E-2</v>
      </c>
      <c r="AG191" s="71" t="s">
        <v>21</v>
      </c>
      <c r="AH191" s="71">
        <v>6.7475643795639282E-3</v>
      </c>
      <c r="AI191" s="71">
        <v>1.2837058270125993E-2</v>
      </c>
      <c r="AJ191" s="71">
        <v>1.5474372776537796E-2</v>
      </c>
      <c r="AK191" s="63">
        <v>1.6857250502131247E-2</v>
      </c>
    </row>
    <row r="192" spans="2:37" x14ac:dyDescent="0.35">
      <c r="B192" s="55" t="s">
        <v>243</v>
      </c>
      <c r="C192" s="53" t="s">
        <v>234</v>
      </c>
      <c r="D192" s="53" t="s">
        <v>43</v>
      </c>
      <c r="E192" s="53" t="s">
        <v>112</v>
      </c>
      <c r="F192" s="73">
        <f t="shared" si="21"/>
        <v>3.7072138022141224E-2</v>
      </c>
      <c r="G192" s="60">
        <f t="shared" si="21"/>
        <v>4.3527661270081265E-2</v>
      </c>
      <c r="H192" s="60">
        <f t="shared" si="21"/>
        <v>5.0501570141560287E-2</v>
      </c>
      <c r="I192" s="60">
        <f t="shared" si="21"/>
        <v>5.4847755010857792E-2</v>
      </c>
      <c r="J192" s="63">
        <f t="shared" si="21"/>
        <v>5.8925189722589956E-2</v>
      </c>
      <c r="K192" s="60" t="str">
        <f t="shared" si="22"/>
        <v/>
      </c>
      <c r="L192" s="60">
        <f t="shared" si="22"/>
        <v>6.5356683700812726E-3</v>
      </c>
      <c r="M192" s="60">
        <f t="shared" si="22"/>
        <v>1.2778583541560289E-2</v>
      </c>
      <c r="N192" s="60">
        <f t="shared" si="22"/>
        <v>1.6048199610857794E-2</v>
      </c>
      <c r="O192" s="63">
        <f t="shared" si="22"/>
        <v>1.8756978122589963E-2</v>
      </c>
      <c r="P192" s="55" t="s">
        <v>510</v>
      </c>
      <c r="Q192" s="53" t="s">
        <v>511</v>
      </c>
      <c r="R192" s="94" t="s">
        <v>32</v>
      </c>
      <c r="S192" s="73">
        <v>4.715871E-2</v>
      </c>
      <c r="T192" s="63">
        <f t="shared" si="20"/>
        <v>3.3428601415602874E-3</v>
      </c>
      <c r="V192" s="114">
        <v>1.13585128</v>
      </c>
      <c r="W192" s="72">
        <v>2.88021518</v>
      </c>
      <c r="X192" s="72">
        <v>4.4051893500000006</v>
      </c>
      <c r="Y192" s="72">
        <v>5.6930863499999997</v>
      </c>
      <c r="Z192" s="115">
        <v>7.2552280700000003</v>
      </c>
      <c r="AB192" s="71">
        <v>3.7072138022141224E-2</v>
      </c>
      <c r="AC192" s="71">
        <v>4.3527661270081265E-2</v>
      </c>
      <c r="AD192" s="71">
        <v>5.0501570141560287E-2</v>
      </c>
      <c r="AE192" s="71">
        <v>5.4847755010857792E-2</v>
      </c>
      <c r="AF192" s="63">
        <v>5.8925189722589956E-2</v>
      </c>
      <c r="AG192" s="71" t="s">
        <v>21</v>
      </c>
      <c r="AH192" s="71">
        <v>6.5356683700812726E-3</v>
      </c>
      <c r="AI192" s="71">
        <v>1.2778583541560289E-2</v>
      </c>
      <c r="AJ192" s="71">
        <v>1.6048199610857794E-2</v>
      </c>
      <c r="AK192" s="63">
        <v>1.8756978122589963E-2</v>
      </c>
    </row>
    <row r="193" spans="2:37" x14ac:dyDescent="0.35">
      <c r="B193" s="55" t="s">
        <v>244</v>
      </c>
      <c r="C193" s="53" t="s">
        <v>234</v>
      </c>
      <c r="D193" s="53" t="s">
        <v>43</v>
      </c>
      <c r="E193" s="53" t="s">
        <v>245</v>
      </c>
      <c r="F193" s="73">
        <f t="shared" si="21"/>
        <v>3.702170173907636E-2</v>
      </c>
      <c r="G193" s="60">
        <f t="shared" si="21"/>
        <v>4.3521903368452644E-2</v>
      </c>
      <c r="H193" s="60">
        <f t="shared" si="21"/>
        <v>5.0451683443137642E-2</v>
      </c>
      <c r="I193" s="60">
        <f t="shared" si="21"/>
        <v>5.4991138522706734E-2</v>
      </c>
      <c r="J193" s="63">
        <f t="shared" si="21"/>
        <v>5.9072928802361133E-2</v>
      </c>
      <c r="K193" s="60" t="str">
        <f t="shared" si="22"/>
        <v/>
      </c>
      <c r="L193" s="60">
        <f t="shared" si="22"/>
        <v>6.531199068452653E-3</v>
      </c>
      <c r="M193" s="60">
        <f t="shared" si="22"/>
        <v>1.2732017943137639E-2</v>
      </c>
      <c r="N193" s="60">
        <f t="shared" si="22"/>
        <v>1.6184889022706726E-2</v>
      </c>
      <c r="O193" s="63">
        <f t="shared" si="22"/>
        <v>1.8897723602361118E-2</v>
      </c>
      <c r="P193" s="55" t="s">
        <v>512</v>
      </c>
      <c r="Q193" s="53" t="s">
        <v>513</v>
      </c>
      <c r="R193" s="94">
        <v>47492</v>
      </c>
      <c r="S193" s="73">
        <v>4.7988479999999993E-2</v>
      </c>
      <c r="T193" s="63">
        <f t="shared" si="20"/>
        <v>2.4632034431376487E-3</v>
      </c>
      <c r="V193" s="114">
        <v>1.1359323100000001</v>
      </c>
      <c r="W193" s="72">
        <v>2.8802731000000001</v>
      </c>
      <c r="X193" s="72">
        <v>4.4051858300000006</v>
      </c>
      <c r="Y193" s="72">
        <v>5.6906133199999998</v>
      </c>
      <c r="Z193" s="115">
        <v>7.24878892</v>
      </c>
      <c r="AB193" s="71">
        <v>3.702170173907636E-2</v>
      </c>
      <c r="AC193" s="71">
        <v>4.3521903368452644E-2</v>
      </c>
      <c r="AD193" s="71">
        <v>5.0451683443137642E-2</v>
      </c>
      <c r="AE193" s="71">
        <v>5.4991138522706734E-2</v>
      </c>
      <c r="AF193" s="63">
        <v>5.9072928802361133E-2</v>
      </c>
      <c r="AG193" s="71" t="s">
        <v>21</v>
      </c>
      <c r="AH193" s="71">
        <v>6.531199068452653E-3</v>
      </c>
      <c r="AI193" s="71">
        <v>1.2732017943137639E-2</v>
      </c>
      <c r="AJ193" s="71">
        <v>1.6184889022706726E-2</v>
      </c>
      <c r="AK193" s="63">
        <v>1.8897723602361118E-2</v>
      </c>
    </row>
    <row r="194" spans="2:37" x14ac:dyDescent="0.35">
      <c r="B194" s="55" t="s">
        <v>124</v>
      </c>
      <c r="C194" s="53" t="s">
        <v>234</v>
      </c>
      <c r="D194" s="53" t="s">
        <v>69</v>
      </c>
      <c r="E194" s="53" t="s">
        <v>81</v>
      </c>
      <c r="F194" s="73">
        <f t="shared" si="21"/>
        <v>3.6789811273595416E-2</v>
      </c>
      <c r="G194" s="60">
        <f t="shared" si="21"/>
        <v>4.326594236868652E-2</v>
      </c>
      <c r="H194" s="60">
        <f t="shared" si="21"/>
        <v>5.0441136517519788E-2</v>
      </c>
      <c r="I194" s="60">
        <f t="shared" si="21"/>
        <v>5.4788416738533852E-2</v>
      </c>
      <c r="J194" s="63">
        <f t="shared" si="21"/>
        <v>5.9046061920350668E-2</v>
      </c>
      <c r="K194" s="60" t="str">
        <f t="shared" si="22"/>
        <v/>
      </c>
      <c r="L194" s="60">
        <f t="shared" si="22"/>
        <v>6.2857749686865208E-3</v>
      </c>
      <c r="M194" s="60">
        <f t="shared" si="22"/>
        <v>1.2721395517519789E-2</v>
      </c>
      <c r="N194" s="60">
        <f t="shared" si="22"/>
        <v>1.5992531038533851E-2</v>
      </c>
      <c r="O194" s="63">
        <f t="shared" si="22"/>
        <v>1.8871552920350667E-2</v>
      </c>
      <c r="P194" s="55" t="s">
        <v>21</v>
      </c>
      <c r="Q194" s="53" t="s">
        <v>21</v>
      </c>
      <c r="R194" s="94" t="s">
        <v>21</v>
      </c>
      <c r="S194" s="73" t="s">
        <v>21</v>
      </c>
      <c r="T194" s="63" t="str">
        <f t="shared" si="20"/>
        <v/>
      </c>
      <c r="V194" s="114">
        <v>1.1363915099999999</v>
      </c>
      <c r="W194" s="72">
        <v>2.8822859999999997</v>
      </c>
      <c r="X194" s="72">
        <v>4.4083164100000003</v>
      </c>
      <c r="Y194" s="72">
        <v>5.6967905200000004</v>
      </c>
      <c r="Z194" s="115">
        <v>7.2560062600000004</v>
      </c>
      <c r="AB194" s="71">
        <v>3.6789811273595416E-2</v>
      </c>
      <c r="AC194" s="71">
        <v>4.326594236868652E-2</v>
      </c>
      <c r="AD194" s="71">
        <v>5.0441136517519788E-2</v>
      </c>
      <c r="AE194" s="71">
        <v>5.4788416738533852E-2</v>
      </c>
      <c r="AF194" s="63">
        <v>5.9046061920350668E-2</v>
      </c>
      <c r="AG194" s="71" t="s">
        <v>21</v>
      </c>
      <c r="AH194" s="71">
        <v>6.2857749686865208E-3</v>
      </c>
      <c r="AI194" s="71">
        <v>1.2721395517519789E-2</v>
      </c>
      <c r="AJ194" s="71">
        <v>1.5992531038533851E-2</v>
      </c>
      <c r="AK194" s="63">
        <v>1.8871552920350667E-2</v>
      </c>
    </row>
    <row r="195" spans="2:37" x14ac:dyDescent="0.35">
      <c r="B195" s="55" t="s">
        <v>246</v>
      </c>
      <c r="C195" s="53" t="s">
        <v>234</v>
      </c>
      <c r="D195" s="53" t="s">
        <v>31</v>
      </c>
      <c r="E195" s="53" t="s">
        <v>255</v>
      </c>
      <c r="F195" s="73">
        <f t="shared" si="21"/>
        <v>3.705744768755543E-2</v>
      </c>
      <c r="G195" s="60">
        <f t="shared" si="21"/>
        <v>4.3603562978168219E-2</v>
      </c>
      <c r="H195" s="60">
        <f t="shared" si="21"/>
        <v>5.035448299557143E-2</v>
      </c>
      <c r="I195" s="60">
        <f t="shared" si="21"/>
        <v>5.4037657766602819E-2</v>
      </c>
      <c r="J195" s="63">
        <f t="shared" si="21"/>
        <v>5.7726138256359007E-2</v>
      </c>
      <c r="K195" s="60" t="str">
        <f t="shared" si="22"/>
        <v/>
      </c>
      <c r="L195" s="60">
        <f t="shared" si="22"/>
        <v>6.6074751781682274E-3</v>
      </c>
      <c r="M195" s="60">
        <f t="shared" si="22"/>
        <v>1.2638138495571435E-2</v>
      </c>
      <c r="N195" s="60">
        <f t="shared" si="22"/>
        <v>1.5278747766602825E-2</v>
      </c>
      <c r="O195" s="63">
        <f t="shared" si="22"/>
        <v>1.7618231256359005E-2</v>
      </c>
      <c r="P195" s="55" t="s">
        <v>514</v>
      </c>
      <c r="Q195" s="53" t="s">
        <v>515</v>
      </c>
      <c r="R195" s="94">
        <v>47491</v>
      </c>
      <c r="S195" s="73">
        <v>4.6487840000000002E-2</v>
      </c>
      <c r="T195" s="63">
        <f t="shared" si="20"/>
        <v>3.8666429955714274E-3</v>
      </c>
      <c r="V195" s="114">
        <v>1.1358870700000001</v>
      </c>
      <c r="W195" s="72">
        <v>2.8793209499999999</v>
      </c>
      <c r="X195" s="72">
        <v>4.4056800999999997</v>
      </c>
      <c r="Y195" s="72">
        <v>5.7048695500000006</v>
      </c>
      <c r="Z195" s="115">
        <v>7.2979818599999993</v>
      </c>
      <c r="AB195" s="71">
        <v>3.705744768755543E-2</v>
      </c>
      <c r="AC195" s="71">
        <v>4.3603562978168219E-2</v>
      </c>
      <c r="AD195" s="71">
        <v>5.035448299557143E-2</v>
      </c>
      <c r="AE195" s="71">
        <v>5.4037657766602819E-2</v>
      </c>
      <c r="AF195" s="63">
        <v>5.7726138256359007E-2</v>
      </c>
      <c r="AG195" s="71" t="s">
        <v>21</v>
      </c>
      <c r="AH195" s="71">
        <v>6.6074751781682274E-3</v>
      </c>
      <c r="AI195" s="71">
        <v>1.2638138495571435E-2</v>
      </c>
      <c r="AJ195" s="71">
        <v>1.5278747766602825E-2</v>
      </c>
      <c r="AK195" s="63">
        <v>1.7618231256359005E-2</v>
      </c>
    </row>
    <row r="196" spans="2:37" x14ac:dyDescent="0.35">
      <c r="B196" s="55" t="s">
        <v>336</v>
      </c>
      <c r="C196" s="53" t="s">
        <v>234</v>
      </c>
      <c r="D196" s="53" t="s">
        <v>20</v>
      </c>
      <c r="E196" s="53" t="s">
        <v>123</v>
      </c>
      <c r="F196" s="73">
        <f t="shared" si="21"/>
        <v>3.9011788634650192E-2</v>
      </c>
      <c r="G196" s="60">
        <f t="shared" si="21"/>
        <v>4.482309687477342E-2</v>
      </c>
      <c r="H196" s="60">
        <f t="shared" si="21"/>
        <v>5.125396232032306E-2</v>
      </c>
      <c r="I196" s="60">
        <f t="shared" si="21"/>
        <v>5.4855830712239317E-2</v>
      </c>
      <c r="J196" s="63">
        <f t="shared" si="21"/>
        <v>5.8559399592953573E-2</v>
      </c>
      <c r="K196" s="60">
        <f t="shared" si="22"/>
        <v>1.0729841346501885E-3</v>
      </c>
      <c r="L196" s="60">
        <f t="shared" si="22"/>
        <v>7.7895646747734113E-3</v>
      </c>
      <c r="M196" s="60">
        <f t="shared" si="22"/>
        <v>1.3513821520323068E-2</v>
      </c>
      <c r="N196" s="60">
        <f t="shared" si="22"/>
        <v>1.607746791223932E-2</v>
      </c>
      <c r="O196" s="63">
        <f t="shared" si="22"/>
        <v>1.8430616192953567E-2</v>
      </c>
      <c r="P196" s="55" t="s">
        <v>21</v>
      </c>
      <c r="Q196" s="53" t="s">
        <v>21</v>
      </c>
      <c r="R196" s="94" t="s">
        <v>21</v>
      </c>
      <c r="S196" s="73" t="s">
        <v>21</v>
      </c>
      <c r="T196" s="63" t="str">
        <f t="shared" si="20"/>
        <v/>
      </c>
      <c r="V196" s="114">
        <v>1.1331940899999999</v>
      </c>
      <c r="W196" s="72">
        <v>2.87063055</v>
      </c>
      <c r="X196" s="72">
        <v>4.3923938699999994</v>
      </c>
      <c r="Y196" s="72">
        <v>5.6864317999999994</v>
      </c>
      <c r="Z196" s="115">
        <v>7.2733180100000006</v>
      </c>
      <c r="AB196" s="71">
        <v>3.9011788634650192E-2</v>
      </c>
      <c r="AC196" s="71">
        <v>4.482309687477342E-2</v>
      </c>
      <c r="AD196" s="71">
        <v>5.125396232032306E-2</v>
      </c>
      <c r="AE196" s="71">
        <v>5.4855830712239317E-2</v>
      </c>
      <c r="AF196" s="63">
        <v>5.8559399592953573E-2</v>
      </c>
      <c r="AG196" s="71">
        <v>1.0729841346501885E-3</v>
      </c>
      <c r="AH196" s="71">
        <v>7.7895646747734113E-3</v>
      </c>
      <c r="AI196" s="71">
        <v>1.3513821520323068E-2</v>
      </c>
      <c r="AJ196" s="71">
        <v>1.607746791223932E-2</v>
      </c>
      <c r="AK196" s="63">
        <v>1.8430616192953567E-2</v>
      </c>
    </row>
    <row r="197" spans="2:37" x14ac:dyDescent="0.35">
      <c r="B197" s="55" t="s">
        <v>337</v>
      </c>
      <c r="C197" s="53" t="s">
        <v>234</v>
      </c>
      <c r="D197" s="53" t="s">
        <v>20</v>
      </c>
      <c r="E197" s="53" t="s">
        <v>251</v>
      </c>
      <c r="F197" s="73">
        <f t="shared" si="21"/>
        <v>3.7458385179393844E-2</v>
      </c>
      <c r="G197" s="60">
        <f t="shared" si="21"/>
        <v>4.429888288920554E-2</v>
      </c>
      <c r="H197" s="60">
        <f t="shared" si="21"/>
        <v>5.1204025823440975E-2</v>
      </c>
      <c r="I197" s="60">
        <f t="shared" si="21"/>
        <v>5.5428924875553294E-2</v>
      </c>
      <c r="J197" s="63">
        <f t="shared" si="21"/>
        <v>5.8866670108100275E-2</v>
      </c>
      <c r="K197" s="60" t="str">
        <f t="shared" si="22"/>
        <v/>
      </c>
      <c r="L197" s="60">
        <f t="shared" si="22"/>
        <v>7.295041289205547E-3</v>
      </c>
      <c r="M197" s="60">
        <f t="shared" si="22"/>
        <v>1.3471172423440978E-2</v>
      </c>
      <c r="N197" s="60">
        <f t="shared" si="22"/>
        <v>1.6626337175553299E-2</v>
      </c>
      <c r="O197" s="63">
        <f t="shared" si="22"/>
        <v>1.873417580810028E-2</v>
      </c>
      <c r="P197" s="55" t="s">
        <v>382</v>
      </c>
      <c r="Q197" s="53" t="s">
        <v>383</v>
      </c>
      <c r="R197" s="94">
        <v>47624</v>
      </c>
      <c r="S197" s="73">
        <v>4.8562170000000002E-2</v>
      </c>
      <c r="T197" s="63">
        <f t="shared" si="20"/>
        <v>2.6418558234409736E-3</v>
      </c>
      <c r="V197" s="114">
        <v>1.1360515799999999</v>
      </c>
      <c r="W197" s="72">
        <v>2.8790636899999997</v>
      </c>
      <c r="X197" s="72">
        <v>4.4022539900000002</v>
      </c>
      <c r="Y197" s="72">
        <v>5.6880202899999999</v>
      </c>
      <c r="Z197" s="115">
        <v>7.2586388099999999</v>
      </c>
      <c r="AB197" s="71">
        <v>3.7458385179393844E-2</v>
      </c>
      <c r="AC197" s="71">
        <v>4.429888288920554E-2</v>
      </c>
      <c r="AD197" s="71">
        <v>5.1204025823440975E-2</v>
      </c>
      <c r="AE197" s="71">
        <v>5.5428924875553294E-2</v>
      </c>
      <c r="AF197" s="63">
        <v>5.8866670108100275E-2</v>
      </c>
      <c r="AG197" s="71" t="s">
        <v>21</v>
      </c>
      <c r="AH197" s="71">
        <v>7.295041289205547E-3</v>
      </c>
      <c r="AI197" s="71">
        <v>1.3471172423440978E-2</v>
      </c>
      <c r="AJ197" s="71">
        <v>1.6626337175553299E-2</v>
      </c>
      <c r="AK197" s="63">
        <v>1.873417580810028E-2</v>
      </c>
    </row>
    <row r="198" spans="2:37" x14ac:dyDescent="0.35">
      <c r="B198" s="55" t="s">
        <v>146</v>
      </c>
      <c r="C198" s="53" t="s">
        <v>234</v>
      </c>
      <c r="D198" s="53" t="s">
        <v>69</v>
      </c>
      <c r="E198" s="53" t="s">
        <v>348</v>
      </c>
      <c r="F198" s="73">
        <f t="shared" si="21"/>
        <v>3.7141830197919772E-2</v>
      </c>
      <c r="G198" s="60">
        <f t="shared" si="21"/>
        <v>4.3443686501502127E-2</v>
      </c>
      <c r="H198" s="60">
        <f t="shared" si="21"/>
        <v>5.0196455927261206E-2</v>
      </c>
      <c r="I198" s="60">
        <f t="shared" si="21"/>
        <v>5.4168077546685553E-2</v>
      </c>
      <c r="J198" s="63">
        <f t="shared" si="21"/>
        <v>5.8770399483408883E-2</v>
      </c>
      <c r="K198" s="60" t="str">
        <f t="shared" si="22"/>
        <v/>
      </c>
      <c r="L198" s="60">
        <f t="shared" si="22"/>
        <v>6.4549288015021238E-3</v>
      </c>
      <c r="M198" s="60">
        <f t="shared" si="22"/>
        <v>1.2487949927261207E-2</v>
      </c>
      <c r="N198" s="60">
        <f t="shared" si="22"/>
        <v>1.5402301046685558E-2</v>
      </c>
      <c r="O198" s="63">
        <f t="shared" si="22"/>
        <v>1.8605774283408889E-2</v>
      </c>
      <c r="P198" s="55" t="s">
        <v>516</v>
      </c>
      <c r="Q198" s="53" t="s">
        <v>517</v>
      </c>
      <c r="R198" s="94" t="s">
        <v>32</v>
      </c>
      <c r="S198" s="73">
        <v>4.8317079999999998E-2</v>
      </c>
      <c r="T198" s="63">
        <f t="shared" si="20"/>
        <v>1.8793759272612079E-3</v>
      </c>
      <c r="V198" s="114">
        <v>1.1357226</v>
      </c>
      <c r="W198" s="72">
        <v>2.8798639800000001</v>
      </c>
      <c r="X198" s="72">
        <v>4.4081309800000001</v>
      </c>
      <c r="Y198" s="72">
        <v>5.7057778599999995</v>
      </c>
      <c r="Z198" s="115">
        <v>7.2745209500000003</v>
      </c>
      <c r="AB198" s="71">
        <v>3.7141830197919772E-2</v>
      </c>
      <c r="AC198" s="71">
        <v>4.3443686501502127E-2</v>
      </c>
      <c r="AD198" s="71">
        <v>5.0196455927261206E-2</v>
      </c>
      <c r="AE198" s="71">
        <v>5.4168077546685553E-2</v>
      </c>
      <c r="AF198" s="63">
        <v>5.8770399483408883E-2</v>
      </c>
      <c r="AG198" s="71" t="s">
        <v>21</v>
      </c>
      <c r="AH198" s="71">
        <v>6.4549288015021238E-3</v>
      </c>
      <c r="AI198" s="71">
        <v>1.2487949927261207E-2</v>
      </c>
      <c r="AJ198" s="71">
        <v>1.5402301046685558E-2</v>
      </c>
      <c r="AK198" s="63">
        <v>1.8605774283408889E-2</v>
      </c>
    </row>
    <row r="199" spans="2:37" x14ac:dyDescent="0.35">
      <c r="B199" s="55" t="s">
        <v>145</v>
      </c>
      <c r="C199" s="53" t="s">
        <v>234</v>
      </c>
      <c r="D199" s="53" t="s">
        <v>20</v>
      </c>
      <c r="E199" s="53" t="s">
        <v>21</v>
      </c>
      <c r="F199" s="73">
        <f t="shared" si="21"/>
        <v>3.9034309669389526E-2</v>
      </c>
      <c r="G199" s="60">
        <f t="shared" si="21"/>
        <v>4.5031850550609161E-2</v>
      </c>
      <c r="H199" s="60">
        <f t="shared" si="21"/>
        <v>5.1190846878986722E-2</v>
      </c>
      <c r="I199" s="60">
        <f t="shared" si="21"/>
        <v>5.485355024022865E-2</v>
      </c>
      <c r="J199" s="63">
        <f t="shared" si="21"/>
        <v>5.8324335994417317E-2</v>
      </c>
      <c r="K199" s="60">
        <f t="shared" si="22"/>
        <v>1.101375069389534E-3</v>
      </c>
      <c r="L199" s="60">
        <f t="shared" si="22"/>
        <v>7.9913932506091613E-3</v>
      </c>
      <c r="M199" s="60">
        <f t="shared" si="22"/>
        <v>1.3455563778986726E-2</v>
      </c>
      <c r="N199" s="60">
        <f t="shared" si="22"/>
        <v>1.6075750040228654E-2</v>
      </c>
      <c r="O199" s="63">
        <f t="shared" si="22"/>
        <v>1.8209669694417327E-2</v>
      </c>
      <c r="P199" s="55" t="s">
        <v>518</v>
      </c>
      <c r="Q199" s="53" t="s">
        <v>519</v>
      </c>
      <c r="R199" s="94" t="s">
        <v>32</v>
      </c>
      <c r="S199" s="73">
        <v>4.4884820000000006E-2</v>
      </c>
      <c r="T199" s="63">
        <f t="shared" si="20"/>
        <v>6.306026878986716E-3</v>
      </c>
      <c r="V199" s="114">
        <v>1.1330972099999999</v>
      </c>
      <c r="W199" s="72">
        <v>2.8685931600000001</v>
      </c>
      <c r="X199" s="72">
        <v>4.39101125</v>
      </c>
      <c r="Y199" s="72">
        <v>5.6861649999999999</v>
      </c>
      <c r="Z199" s="115">
        <v>7.2759587799999998</v>
      </c>
      <c r="AB199" s="71">
        <v>3.9034309669389526E-2</v>
      </c>
      <c r="AC199" s="71">
        <v>4.5031850550609161E-2</v>
      </c>
      <c r="AD199" s="71">
        <v>5.1190846878986722E-2</v>
      </c>
      <c r="AE199" s="71">
        <v>5.485355024022865E-2</v>
      </c>
      <c r="AF199" s="63">
        <v>5.8324335994417317E-2</v>
      </c>
      <c r="AG199" s="71">
        <v>1.101375069389534E-3</v>
      </c>
      <c r="AH199" s="71">
        <v>7.9913932506091613E-3</v>
      </c>
      <c r="AI199" s="71">
        <v>1.3455563778986726E-2</v>
      </c>
      <c r="AJ199" s="71">
        <v>1.6075750040228654E-2</v>
      </c>
      <c r="AK199" s="63">
        <v>1.8209669694417327E-2</v>
      </c>
    </row>
    <row r="200" spans="2:37" x14ac:dyDescent="0.35">
      <c r="B200" s="55" t="s">
        <v>152</v>
      </c>
      <c r="C200" s="53" t="s">
        <v>234</v>
      </c>
      <c r="D200" s="53" t="s">
        <v>47</v>
      </c>
      <c r="E200" s="53" t="s">
        <v>141</v>
      </c>
      <c r="F200" s="73">
        <f t="shared" si="21"/>
        <v>3.7277879432015715E-2</v>
      </c>
      <c r="G200" s="60">
        <f t="shared" si="21"/>
        <v>4.3553532766973588E-2</v>
      </c>
      <c r="H200" s="60">
        <f t="shared" si="21"/>
        <v>5.014881024569709E-2</v>
      </c>
      <c r="I200" s="60">
        <f t="shared" si="21"/>
        <v>5.4121303373636687E-2</v>
      </c>
      <c r="J200" s="63">
        <f t="shared" si="21"/>
        <v>5.8360542222456832E-2</v>
      </c>
      <c r="K200" s="60" t="str">
        <f t="shared" si="22"/>
        <v/>
      </c>
      <c r="L200" s="60">
        <f t="shared" si="22"/>
        <v>6.5603913669735926E-3</v>
      </c>
      <c r="M200" s="60">
        <f t="shared" si="22"/>
        <v>1.2442923645697089E-2</v>
      </c>
      <c r="N200" s="60">
        <f t="shared" si="22"/>
        <v>1.5357765373636688E-2</v>
      </c>
      <c r="O200" s="63">
        <f t="shared" si="22"/>
        <v>1.8219119222456826E-2</v>
      </c>
      <c r="P200" s="55" t="s">
        <v>520</v>
      </c>
      <c r="Q200" s="53" t="s">
        <v>521</v>
      </c>
      <c r="R200" s="94" t="s">
        <v>32</v>
      </c>
      <c r="S200" s="73">
        <v>4.3880860000000001E-2</v>
      </c>
      <c r="T200" s="63">
        <f t="shared" si="20"/>
        <v>6.267950245697089E-3</v>
      </c>
      <c r="V200" s="114">
        <v>1.1354530899999999</v>
      </c>
      <c r="W200" s="72">
        <v>2.8788767900000001</v>
      </c>
      <c r="X200" s="72">
        <v>4.4074262199999996</v>
      </c>
      <c r="Y200" s="72">
        <v>5.7059504400000005</v>
      </c>
      <c r="Z200" s="115">
        <v>7.2840422700000005</v>
      </c>
      <c r="AB200" s="71">
        <v>3.7277879432015715E-2</v>
      </c>
      <c r="AC200" s="71">
        <v>4.3553532766973588E-2</v>
      </c>
      <c r="AD200" s="71">
        <v>5.014881024569709E-2</v>
      </c>
      <c r="AE200" s="71">
        <v>5.4121303373636687E-2</v>
      </c>
      <c r="AF200" s="63">
        <v>5.8360542222456832E-2</v>
      </c>
      <c r="AG200" s="71" t="s">
        <v>21</v>
      </c>
      <c r="AH200" s="71">
        <v>6.5603913669735926E-3</v>
      </c>
      <c r="AI200" s="71">
        <v>1.2442923645697089E-2</v>
      </c>
      <c r="AJ200" s="71">
        <v>1.5357765373636688E-2</v>
      </c>
      <c r="AK200" s="63">
        <v>1.8219119222456826E-2</v>
      </c>
    </row>
    <row r="201" spans="2:37" x14ac:dyDescent="0.35">
      <c r="B201" s="55" t="s">
        <v>241</v>
      </c>
      <c r="C201" s="53" t="s">
        <v>234</v>
      </c>
      <c r="D201" s="53" t="s">
        <v>69</v>
      </c>
      <c r="E201" s="53" t="s">
        <v>342</v>
      </c>
      <c r="F201" s="73">
        <f t="shared" si="21"/>
        <v>3.6728346851671097E-2</v>
      </c>
      <c r="G201" s="60">
        <f t="shared" si="21"/>
        <v>4.3140936351674999E-2</v>
      </c>
      <c r="H201" s="60">
        <f t="shared" si="21"/>
        <v>5.007715518307379E-2</v>
      </c>
      <c r="I201" s="60">
        <f t="shared" si="21"/>
        <v>5.4289215009693151E-2</v>
      </c>
      <c r="J201" s="63">
        <f t="shared" si="21"/>
        <v>5.8036599562390455E-2</v>
      </c>
      <c r="K201" s="60" t="str">
        <f t="shared" si="22"/>
        <v/>
      </c>
      <c r="L201" s="60">
        <f t="shared" si="22"/>
        <v>6.1681877516749986E-3</v>
      </c>
      <c r="M201" s="60">
        <f t="shared" si="22"/>
        <v>1.2376584283073793E-2</v>
      </c>
      <c r="N201" s="60">
        <f t="shared" si="22"/>
        <v>1.5519404909693156E-2</v>
      </c>
      <c r="O201" s="63">
        <f t="shared" si="22"/>
        <v>1.7918452462390461E-2</v>
      </c>
      <c r="P201" s="55" t="s">
        <v>522</v>
      </c>
      <c r="Q201" s="53" t="s">
        <v>523</v>
      </c>
      <c r="R201" s="94" t="s">
        <v>32</v>
      </c>
      <c r="S201" s="73">
        <v>5.0609409999999994E-2</v>
      </c>
      <c r="T201" s="63">
        <f t="shared" si="20"/>
        <v>-5.3225481692620313E-4</v>
      </c>
      <c r="V201" s="114">
        <v>1.13648203</v>
      </c>
      <c r="W201" s="72">
        <v>2.8832088200000001</v>
      </c>
      <c r="X201" s="72">
        <v>4.4130382199999998</v>
      </c>
      <c r="Y201" s="72">
        <v>5.7087859099999996</v>
      </c>
      <c r="Z201" s="115">
        <v>7.2918510500000009</v>
      </c>
      <c r="AB201" s="71">
        <v>3.6728346851671097E-2</v>
      </c>
      <c r="AC201" s="71">
        <v>4.3140936351674999E-2</v>
      </c>
      <c r="AD201" s="71">
        <v>5.007715518307379E-2</v>
      </c>
      <c r="AE201" s="71">
        <v>5.4289215009693151E-2</v>
      </c>
      <c r="AF201" s="63">
        <v>5.8036599562390455E-2</v>
      </c>
      <c r="AG201" s="71" t="s">
        <v>21</v>
      </c>
      <c r="AH201" s="71">
        <v>6.1681877516749986E-3</v>
      </c>
      <c r="AI201" s="71">
        <v>1.2376584283073793E-2</v>
      </c>
      <c r="AJ201" s="71">
        <v>1.5519404909693156E-2</v>
      </c>
      <c r="AK201" s="63">
        <v>1.7918452462390461E-2</v>
      </c>
    </row>
    <row r="202" spans="2:37" x14ac:dyDescent="0.35">
      <c r="B202" s="55" t="s">
        <v>340</v>
      </c>
      <c r="C202" s="53" t="s">
        <v>234</v>
      </c>
      <c r="D202" s="53" t="s">
        <v>20</v>
      </c>
      <c r="E202" s="53" t="s">
        <v>123</v>
      </c>
      <c r="F202" s="73">
        <f t="shared" si="21"/>
        <v>3.7938867056800177E-2</v>
      </c>
      <c r="G202" s="60">
        <f t="shared" si="21"/>
        <v>4.4409233900689772E-2</v>
      </c>
      <c r="H202" s="60">
        <f t="shared" si="21"/>
        <v>5.1073235082600608E-2</v>
      </c>
      <c r="I202" s="60">
        <f t="shared" si="21"/>
        <v>5.4605453769497055E-2</v>
      </c>
      <c r="J202" s="63">
        <f t="shared" si="21"/>
        <v>5.7967833787763302E-2</v>
      </c>
      <c r="K202" s="60">
        <f t="shared" si="22"/>
        <v>4.1280156800171247E-5</v>
      </c>
      <c r="L202" s="60">
        <f t="shared" si="22"/>
        <v>7.3943473006897725E-3</v>
      </c>
      <c r="M202" s="60">
        <f t="shared" si="22"/>
        <v>1.3342384382600603E-2</v>
      </c>
      <c r="N202" s="60">
        <f t="shared" si="22"/>
        <v>1.5841555669497052E-2</v>
      </c>
      <c r="O202" s="63">
        <f t="shared" si="22"/>
        <v>1.7871406787763305E-2</v>
      </c>
      <c r="P202" s="55" t="s">
        <v>21</v>
      </c>
      <c r="Q202" s="53" t="s">
        <v>21</v>
      </c>
      <c r="R202" s="94" t="s">
        <v>21</v>
      </c>
      <c r="S202" s="73" t="s">
        <v>21</v>
      </c>
      <c r="T202" s="63" t="str">
        <f t="shared" si="20"/>
        <v/>
      </c>
      <c r="V202" s="114">
        <v>1.1352513799999999</v>
      </c>
      <c r="W202" s="72">
        <v>2.87727311</v>
      </c>
      <c r="X202" s="72">
        <v>4.40140756</v>
      </c>
      <c r="Y202" s="72">
        <v>5.6974033000000004</v>
      </c>
      <c r="Z202" s="115">
        <v>7.2952035100000003</v>
      </c>
      <c r="AB202" s="71">
        <v>3.7938867056800177E-2</v>
      </c>
      <c r="AC202" s="71">
        <v>4.4409233900689772E-2</v>
      </c>
      <c r="AD202" s="71">
        <v>5.1073235082600608E-2</v>
      </c>
      <c r="AE202" s="71">
        <v>5.4605453769497055E-2</v>
      </c>
      <c r="AF202" s="63">
        <v>5.7967833787763302E-2</v>
      </c>
      <c r="AG202" s="71">
        <v>4.1280156800171247E-5</v>
      </c>
      <c r="AH202" s="71">
        <v>7.3943473006897725E-3</v>
      </c>
      <c r="AI202" s="71">
        <v>1.3342384382600603E-2</v>
      </c>
      <c r="AJ202" s="71">
        <v>1.5841555669497052E-2</v>
      </c>
      <c r="AK202" s="63">
        <v>1.7871406787763305E-2</v>
      </c>
    </row>
    <row r="203" spans="2:37" x14ac:dyDescent="0.35">
      <c r="B203" s="55" t="s">
        <v>240</v>
      </c>
      <c r="C203" s="53" t="s">
        <v>234</v>
      </c>
      <c r="D203" s="53" t="s">
        <v>20</v>
      </c>
      <c r="E203" s="53" t="s">
        <v>245</v>
      </c>
      <c r="F203" s="73">
        <f t="shared" si="21"/>
        <v>3.7536817323783583E-2</v>
      </c>
      <c r="G203" s="60">
        <f t="shared" si="21"/>
        <v>4.4424847258996439E-2</v>
      </c>
      <c r="H203" s="60">
        <f t="shared" si="21"/>
        <v>5.1058765790773973E-2</v>
      </c>
      <c r="I203" s="60">
        <f t="shared" si="21"/>
        <v>5.5482944068457052E-2</v>
      </c>
      <c r="J203" s="63">
        <f t="shared" si="21"/>
        <v>5.9270703270720815E-2</v>
      </c>
      <c r="K203" s="60" t="str">
        <f t="shared" si="22"/>
        <v/>
      </c>
      <c r="L203" s="60">
        <f t="shared" si="22"/>
        <v>7.4110619589964379E-3</v>
      </c>
      <c r="M203" s="60">
        <f t="shared" si="22"/>
        <v>1.3330372290773981E-2</v>
      </c>
      <c r="N203" s="60">
        <f t="shared" si="22"/>
        <v>1.6675985868457054E-2</v>
      </c>
      <c r="O203" s="63">
        <f t="shared" si="22"/>
        <v>1.9114255170720802E-2</v>
      </c>
      <c r="P203" s="55" t="s">
        <v>524</v>
      </c>
      <c r="Q203" s="53" t="s">
        <v>525</v>
      </c>
      <c r="R203" s="94">
        <v>47515</v>
      </c>
      <c r="S203" s="73">
        <v>4.7891139999999999E-2</v>
      </c>
      <c r="T203" s="63">
        <f t="shared" si="20"/>
        <v>3.1676257907739744E-3</v>
      </c>
      <c r="V203" s="114">
        <v>1.1359601699999999</v>
      </c>
      <c r="W203" s="72">
        <v>2.8771617799999998</v>
      </c>
      <c r="X203" s="72">
        <v>4.4011563900000006</v>
      </c>
      <c r="Y203" s="72">
        <v>5.6865809299999999</v>
      </c>
      <c r="Z203" s="115">
        <v>7.2495893899999997</v>
      </c>
      <c r="AB203" s="71">
        <v>3.7536817323783583E-2</v>
      </c>
      <c r="AC203" s="71">
        <v>4.4424847258996439E-2</v>
      </c>
      <c r="AD203" s="71">
        <v>5.1058765790773973E-2</v>
      </c>
      <c r="AE203" s="71">
        <v>5.5482944068457052E-2</v>
      </c>
      <c r="AF203" s="63">
        <v>5.9270703270720815E-2</v>
      </c>
      <c r="AG203" s="71" t="s">
        <v>21</v>
      </c>
      <c r="AH203" s="71">
        <v>7.4110619589964379E-3</v>
      </c>
      <c r="AI203" s="71">
        <v>1.3330372290773981E-2</v>
      </c>
      <c r="AJ203" s="71">
        <v>1.6675985868457054E-2</v>
      </c>
      <c r="AK203" s="63">
        <v>1.9114255170720802E-2</v>
      </c>
    </row>
    <row r="204" spans="2:37" x14ac:dyDescent="0.35">
      <c r="B204" s="55" t="s">
        <v>147</v>
      </c>
      <c r="C204" s="53" t="s">
        <v>234</v>
      </c>
      <c r="D204" s="53" t="s">
        <v>69</v>
      </c>
      <c r="E204" s="53" t="s">
        <v>21</v>
      </c>
      <c r="F204" s="73">
        <f t="shared" si="21"/>
        <v>3.6696671426943821E-2</v>
      </c>
      <c r="G204" s="60">
        <f t="shared" si="21"/>
        <v>4.308850841666919E-2</v>
      </c>
      <c r="H204" s="60">
        <f t="shared" si="21"/>
        <v>4.9975209199454217E-2</v>
      </c>
      <c r="I204" s="60">
        <f t="shared" si="21"/>
        <v>5.3998499049836626E-2</v>
      </c>
      <c r="J204" s="63">
        <f t="shared" si="21"/>
        <v>5.801037498688371E-2</v>
      </c>
      <c r="K204" s="60" t="str">
        <f t="shared" si="22"/>
        <v/>
      </c>
      <c r="L204" s="60">
        <f t="shared" si="22"/>
        <v>6.1166229166691923E-3</v>
      </c>
      <c r="M204" s="60">
        <f t="shared" si="22"/>
        <v>1.2278558799454222E-2</v>
      </c>
      <c r="N204" s="60">
        <f t="shared" si="22"/>
        <v>1.5242484249836631E-2</v>
      </c>
      <c r="O204" s="63">
        <f t="shared" si="22"/>
        <v>1.78910266868837E-2</v>
      </c>
      <c r="P204" s="55" t="s">
        <v>526</v>
      </c>
      <c r="Q204" s="53" t="s">
        <v>527</v>
      </c>
      <c r="R204" s="94" t="s">
        <v>32</v>
      </c>
      <c r="S204" s="73">
        <v>4.5662229999999998E-2</v>
      </c>
      <c r="T204" s="63">
        <f t="shared" si="20"/>
        <v>4.3129791994542185E-3</v>
      </c>
      <c r="V204" s="114">
        <v>1.1365653200000001</v>
      </c>
      <c r="W204" s="72">
        <v>2.8836876899999999</v>
      </c>
      <c r="X204" s="72">
        <v>4.4146359300000002</v>
      </c>
      <c r="Y204" s="72">
        <v>5.7144419800000001</v>
      </c>
      <c r="Z204" s="115">
        <v>7.2994849799999999</v>
      </c>
      <c r="AB204" s="71">
        <v>3.6696671426943821E-2</v>
      </c>
      <c r="AC204" s="71">
        <v>4.308850841666919E-2</v>
      </c>
      <c r="AD204" s="71">
        <v>4.9975209199454217E-2</v>
      </c>
      <c r="AE204" s="71">
        <v>5.3998499049836626E-2</v>
      </c>
      <c r="AF204" s="63">
        <v>5.801037498688371E-2</v>
      </c>
      <c r="AG204" s="71" t="s">
        <v>21</v>
      </c>
      <c r="AH204" s="71">
        <v>6.1166229166691923E-3</v>
      </c>
      <c r="AI204" s="71">
        <v>1.2278558799454222E-2</v>
      </c>
      <c r="AJ204" s="71">
        <v>1.5242484249836631E-2</v>
      </c>
      <c r="AK204" s="63">
        <v>1.78910266868837E-2</v>
      </c>
    </row>
    <row r="205" spans="2:37" x14ac:dyDescent="0.35">
      <c r="B205" s="55" t="s">
        <v>178</v>
      </c>
      <c r="C205" s="53" t="s">
        <v>234</v>
      </c>
      <c r="D205" s="53" t="s">
        <v>47</v>
      </c>
      <c r="E205" s="53" t="s">
        <v>128</v>
      </c>
      <c r="F205" s="73">
        <f t="shared" si="21"/>
        <v>3.6816910926593033E-2</v>
      </c>
      <c r="G205" s="60">
        <f t="shared" si="21"/>
        <v>4.2895475330418834E-2</v>
      </c>
      <c r="H205" s="60">
        <f t="shared" si="21"/>
        <v>4.9926214143592322E-2</v>
      </c>
      <c r="I205" s="60">
        <f t="shared" si="21"/>
        <v>5.4225513077541421E-2</v>
      </c>
      <c r="J205" s="63">
        <f t="shared" si="21"/>
        <v>5.8668616874481654E-2</v>
      </c>
      <c r="K205" s="60" t="str">
        <f t="shared" si="22"/>
        <v/>
      </c>
      <c r="L205" s="60">
        <f t="shared" si="22"/>
        <v>5.9320155304188422E-3</v>
      </c>
      <c r="M205" s="60">
        <f t="shared" si="22"/>
        <v>1.2232356443592319E-2</v>
      </c>
      <c r="N205" s="60">
        <f t="shared" si="22"/>
        <v>1.5459733077541414E-2</v>
      </c>
      <c r="O205" s="63">
        <f t="shared" si="22"/>
        <v>1.8516460874481656E-2</v>
      </c>
      <c r="P205" s="55" t="s">
        <v>21</v>
      </c>
      <c r="Q205" s="53" t="s">
        <v>21</v>
      </c>
      <c r="R205" s="94" t="s">
        <v>21</v>
      </c>
      <c r="S205" s="73" t="s">
        <v>21</v>
      </c>
      <c r="T205" s="63" t="str">
        <f t="shared" si="20"/>
        <v/>
      </c>
      <c r="V205" s="114">
        <v>1.13633852</v>
      </c>
      <c r="W205" s="72">
        <v>2.8847416099999998</v>
      </c>
      <c r="X205" s="72">
        <v>4.4166938399999998</v>
      </c>
      <c r="Y205" s="72">
        <v>5.7138887300000007</v>
      </c>
      <c r="Z205" s="115">
        <v>7.2842762899999993</v>
      </c>
      <c r="AB205" s="71">
        <v>3.6816910926593033E-2</v>
      </c>
      <c r="AC205" s="71">
        <v>4.2895475330418834E-2</v>
      </c>
      <c r="AD205" s="71">
        <v>4.9926214143592322E-2</v>
      </c>
      <c r="AE205" s="71">
        <v>5.4225513077541421E-2</v>
      </c>
      <c r="AF205" s="63">
        <v>5.8668616874481654E-2</v>
      </c>
      <c r="AG205" s="71" t="s">
        <v>21</v>
      </c>
      <c r="AH205" s="71">
        <v>5.9320155304188422E-3</v>
      </c>
      <c r="AI205" s="71">
        <v>1.2232356443592319E-2</v>
      </c>
      <c r="AJ205" s="71">
        <v>1.5459733077541414E-2</v>
      </c>
      <c r="AK205" s="63">
        <v>1.8516460874481656E-2</v>
      </c>
    </row>
    <row r="206" spans="2:37" x14ac:dyDescent="0.35">
      <c r="B206" s="55" t="s">
        <v>327</v>
      </c>
      <c r="C206" s="53" t="s">
        <v>234</v>
      </c>
      <c r="D206" s="53" t="s">
        <v>169</v>
      </c>
      <c r="E206" s="53" t="s">
        <v>81</v>
      </c>
      <c r="F206" s="73">
        <f t="shared" si="21"/>
        <v>3.728234199096632E-2</v>
      </c>
      <c r="G206" s="60">
        <f t="shared" si="21"/>
        <v>4.3698142388253709E-2</v>
      </c>
      <c r="H206" s="60">
        <f t="shared" si="21"/>
        <v>5.0758337546631539E-2</v>
      </c>
      <c r="I206" s="60">
        <f t="shared" si="21"/>
        <v>5.5793355654889208E-2</v>
      </c>
      <c r="J206" s="63">
        <f t="shared" si="21"/>
        <v>5.9470425399939325E-2</v>
      </c>
      <c r="K206" s="60" t="str">
        <f t="shared" si="22"/>
        <v/>
      </c>
      <c r="L206" s="60">
        <f t="shared" si="22"/>
        <v>6.7220201882537099E-3</v>
      </c>
      <c r="M206" s="60">
        <f t="shared" si="22"/>
        <v>1.304885464663154E-2</v>
      </c>
      <c r="N206" s="60">
        <f t="shared" si="22"/>
        <v>1.6974571054889202E-2</v>
      </c>
      <c r="O206" s="63">
        <f t="shared" si="22"/>
        <v>1.9310125799939321E-2</v>
      </c>
      <c r="P206" s="55" t="s">
        <v>378</v>
      </c>
      <c r="Q206" s="53" t="s">
        <v>379</v>
      </c>
      <c r="R206" s="94">
        <v>47588</v>
      </c>
      <c r="S206" s="73">
        <v>4.5546699999999996E-2</v>
      </c>
      <c r="T206" s="63">
        <f t="shared" si="20"/>
        <v>5.2116375466315437E-3</v>
      </c>
      <c r="V206" s="114">
        <v>1.13641557</v>
      </c>
      <c r="W206" s="72">
        <v>2.8830969299999998</v>
      </c>
      <c r="X206" s="72">
        <v>4.4110228100000004</v>
      </c>
      <c r="Y206" s="72">
        <v>5.6917335500000004</v>
      </c>
      <c r="Z206" s="115">
        <v>7.2480327500000001</v>
      </c>
      <c r="AB206" s="71">
        <v>3.728234199096632E-2</v>
      </c>
      <c r="AC206" s="71">
        <v>4.3698142388253709E-2</v>
      </c>
      <c r="AD206" s="71">
        <v>5.0758337546631539E-2</v>
      </c>
      <c r="AE206" s="71">
        <v>5.5793355654889208E-2</v>
      </c>
      <c r="AF206" s="63">
        <v>5.9470425399939325E-2</v>
      </c>
      <c r="AG206" s="71" t="s">
        <v>21</v>
      </c>
      <c r="AH206" s="71">
        <v>6.7220201882537099E-3</v>
      </c>
      <c r="AI206" s="71">
        <v>1.304885464663154E-2</v>
      </c>
      <c r="AJ206" s="71">
        <v>1.6974571054889202E-2</v>
      </c>
      <c r="AK206" s="63">
        <v>1.9310125799939321E-2</v>
      </c>
    </row>
    <row r="207" spans="2:37" x14ac:dyDescent="0.35">
      <c r="B207" s="55" t="s">
        <v>338</v>
      </c>
      <c r="C207" s="53" t="s">
        <v>234</v>
      </c>
      <c r="D207" s="53" t="s">
        <v>69</v>
      </c>
      <c r="E207" s="53" t="s">
        <v>21</v>
      </c>
      <c r="F207" s="73">
        <f t="shared" si="21"/>
        <v>3.6832172655629637E-2</v>
      </c>
      <c r="G207" s="60">
        <f t="shared" si="21"/>
        <v>4.3290321836302631E-2</v>
      </c>
      <c r="H207" s="60">
        <f t="shared" si="21"/>
        <v>4.9576790709966477E-2</v>
      </c>
      <c r="I207" s="60">
        <f t="shared" si="21"/>
        <v>5.3223907860068864E-2</v>
      </c>
      <c r="J207" s="63">
        <f t="shared" si="21"/>
        <v>5.7397568935073591E-2</v>
      </c>
      <c r="K207" s="60" t="str">
        <f t="shared" si="22"/>
        <v/>
      </c>
      <c r="L207" s="60">
        <f t="shared" si="22"/>
        <v>6.3082618363026277E-3</v>
      </c>
      <c r="M207" s="60">
        <f t="shared" si="22"/>
        <v>1.1898219309966478E-2</v>
      </c>
      <c r="N207" s="60">
        <f t="shared" si="22"/>
        <v>1.4504174160068866E-2</v>
      </c>
      <c r="O207" s="63">
        <f t="shared" si="22"/>
        <v>1.7301078135073592E-2</v>
      </c>
      <c r="P207" s="55" t="s">
        <v>21</v>
      </c>
      <c r="Q207" s="53" t="s">
        <v>21</v>
      </c>
      <c r="R207" s="94" t="s">
        <v>21</v>
      </c>
      <c r="S207" s="73" t="s">
        <v>21</v>
      </c>
      <c r="T207" s="63" t="str">
        <f t="shared" si="20"/>
        <v/>
      </c>
      <c r="V207" s="114">
        <v>1.1363220699999999</v>
      </c>
      <c r="W207" s="72">
        <v>2.88201902</v>
      </c>
      <c r="X207" s="72">
        <v>4.4166059500000001</v>
      </c>
      <c r="Y207" s="72">
        <v>5.7279789299999999</v>
      </c>
      <c r="Z207" s="115">
        <v>7.3305596200000007</v>
      </c>
      <c r="AB207" s="71">
        <v>3.6832172655629637E-2</v>
      </c>
      <c r="AC207" s="71">
        <v>4.3290321836302631E-2</v>
      </c>
      <c r="AD207" s="71">
        <v>4.9576790709966477E-2</v>
      </c>
      <c r="AE207" s="71">
        <v>5.3223907860068864E-2</v>
      </c>
      <c r="AF207" s="63">
        <v>5.7397568935073591E-2</v>
      </c>
      <c r="AG207" s="71" t="s">
        <v>21</v>
      </c>
      <c r="AH207" s="71">
        <v>6.3082618363026277E-3</v>
      </c>
      <c r="AI207" s="71">
        <v>1.1898219309966478E-2</v>
      </c>
      <c r="AJ207" s="71">
        <v>1.4504174160068866E-2</v>
      </c>
      <c r="AK207" s="63">
        <v>1.7301078135073592E-2</v>
      </c>
    </row>
    <row r="208" spans="2:37" x14ac:dyDescent="0.35">
      <c r="B208" s="55" t="s">
        <v>354</v>
      </c>
      <c r="C208" s="53" t="s">
        <v>234</v>
      </c>
      <c r="D208" s="53" t="s">
        <v>20</v>
      </c>
      <c r="E208" s="53" t="s">
        <v>128</v>
      </c>
      <c r="F208" s="73">
        <f t="shared" si="21"/>
        <v>3.8041476521784648E-2</v>
      </c>
      <c r="G208" s="60">
        <f t="shared" si="21"/>
        <v>4.4343371602963137E-2</v>
      </c>
      <c r="H208" s="60">
        <f t="shared" si="21"/>
        <v>5.0409573898025965E-2</v>
      </c>
      <c r="I208" s="60">
        <f t="shared" si="21"/>
        <v>5.3924814863042972E-2</v>
      </c>
      <c r="J208" s="63">
        <f t="shared" si="21"/>
        <v>5.7175083556982857E-2</v>
      </c>
      <c r="K208" s="60">
        <f t="shared" si="22"/>
        <v>1.3712612178464617E-4</v>
      </c>
      <c r="L208" s="60">
        <f t="shared" si="22"/>
        <v>7.33027120296313E-3</v>
      </c>
      <c r="M208" s="60">
        <f t="shared" si="22"/>
        <v>1.2710265198025971E-2</v>
      </c>
      <c r="N208" s="60">
        <f t="shared" si="22"/>
        <v>1.5192019263042977E-2</v>
      </c>
      <c r="O208" s="63">
        <f t="shared" si="22"/>
        <v>1.7109631356982857E-2</v>
      </c>
      <c r="P208" s="55" t="s">
        <v>388</v>
      </c>
      <c r="Q208" s="53" t="s">
        <v>389</v>
      </c>
      <c r="R208" s="94" t="s">
        <v>32</v>
      </c>
      <c r="S208" s="73">
        <v>4.6198469999999998E-2</v>
      </c>
      <c r="T208" s="63">
        <f t="shared" si="20"/>
        <v>4.2111038980259669E-3</v>
      </c>
      <c r="V208" s="114">
        <v>1.13502787</v>
      </c>
      <c r="W208" s="72">
        <v>2.87735115</v>
      </c>
      <c r="X208" s="72">
        <v>4.4080786700000001</v>
      </c>
      <c r="Y208" s="72">
        <v>5.7154271000000003</v>
      </c>
      <c r="Z208" s="115">
        <v>7.3351939800000006</v>
      </c>
      <c r="AB208" s="71">
        <v>3.8041476521784648E-2</v>
      </c>
      <c r="AC208" s="71">
        <v>4.4343371602963137E-2</v>
      </c>
      <c r="AD208" s="71">
        <v>5.0409573898025965E-2</v>
      </c>
      <c r="AE208" s="71">
        <v>5.3924814863042972E-2</v>
      </c>
      <c r="AF208" s="63">
        <v>5.7175083556982857E-2</v>
      </c>
      <c r="AG208" s="71">
        <v>1.3712612178464617E-4</v>
      </c>
      <c r="AH208" s="71">
        <v>7.33027120296313E-3</v>
      </c>
      <c r="AI208" s="71">
        <v>1.2710265198025971E-2</v>
      </c>
      <c r="AJ208" s="71">
        <v>1.5192019263042977E-2</v>
      </c>
      <c r="AK208" s="63">
        <v>1.7109631356982857E-2</v>
      </c>
    </row>
    <row r="209" spans="2:37" x14ac:dyDescent="0.35">
      <c r="B209" s="55" t="s">
        <v>349</v>
      </c>
      <c r="C209" s="53" t="s">
        <v>234</v>
      </c>
      <c r="D209" s="53" t="s">
        <v>20</v>
      </c>
      <c r="E209" s="53" t="s">
        <v>528</v>
      </c>
      <c r="F209" s="73">
        <f t="shared" si="21"/>
        <v>3.7432747632153436E-2</v>
      </c>
      <c r="G209" s="60">
        <f t="shared" si="21"/>
        <v>4.345376334144975E-2</v>
      </c>
      <c r="H209" s="60">
        <f t="shared" si="21"/>
        <v>5.0003860862385056E-2</v>
      </c>
      <c r="I209" s="60">
        <f t="shared" si="21"/>
        <v>5.3984869598095397E-2</v>
      </c>
      <c r="J209" s="63">
        <f t="shared" si="21"/>
        <v>5.7191434467677708E-2</v>
      </c>
      <c r="K209" s="60" t="str">
        <f t="shared" si="22"/>
        <v/>
      </c>
      <c r="L209" s="60">
        <f t="shared" si="22"/>
        <v>6.4871371414497586E-3</v>
      </c>
      <c r="M209" s="60">
        <f t="shared" si="22"/>
        <v>1.2329234462385064E-2</v>
      </c>
      <c r="N209" s="60">
        <f t="shared" si="22"/>
        <v>1.5252805898095405E-2</v>
      </c>
      <c r="O209" s="63">
        <f t="shared" si="22"/>
        <v>1.7134094267677695E-2</v>
      </c>
      <c r="P209" s="55" t="s">
        <v>384</v>
      </c>
      <c r="Q209" s="53" t="s">
        <v>385</v>
      </c>
      <c r="R209" s="94">
        <v>47529</v>
      </c>
      <c r="S209" s="73">
        <v>4.6931640000000004E-2</v>
      </c>
      <c r="T209" s="63">
        <f t="shared" si="20"/>
        <v>3.0722208623850528E-3</v>
      </c>
      <c r="V209" s="114">
        <v>1.1361277300000001</v>
      </c>
      <c r="W209" s="72">
        <v>2.8842235500000002</v>
      </c>
      <c r="X209" s="72">
        <v>4.4207199399999997</v>
      </c>
      <c r="Y209" s="72">
        <v>5.7292303200000001</v>
      </c>
      <c r="Z209" s="115">
        <v>7.3427392600000001</v>
      </c>
      <c r="AB209" s="71">
        <v>3.7432747632153436E-2</v>
      </c>
      <c r="AC209" s="71">
        <v>4.345376334144975E-2</v>
      </c>
      <c r="AD209" s="71">
        <v>5.0003860862385056E-2</v>
      </c>
      <c r="AE209" s="71">
        <v>5.3984869598095397E-2</v>
      </c>
      <c r="AF209" s="63">
        <v>5.7191434467677708E-2</v>
      </c>
      <c r="AG209" s="71" t="s">
        <v>21</v>
      </c>
      <c r="AH209" s="71">
        <v>6.4871371414497586E-3</v>
      </c>
      <c r="AI209" s="71">
        <v>1.2329234462385064E-2</v>
      </c>
      <c r="AJ209" s="71">
        <v>1.5252805898095405E-2</v>
      </c>
      <c r="AK209" s="63">
        <v>1.7134094267677695E-2</v>
      </c>
    </row>
    <row r="210" spans="2:37" x14ac:dyDescent="0.35">
      <c r="B210" s="55" t="s">
        <v>253</v>
      </c>
      <c r="C210" s="53" t="s">
        <v>234</v>
      </c>
      <c r="D210" s="53" t="s">
        <v>53</v>
      </c>
      <c r="E210" s="53" t="s">
        <v>125</v>
      </c>
      <c r="F210" s="73">
        <f t="shared" si="21"/>
        <v>3.6531214644734827E-2</v>
      </c>
      <c r="G210" s="60">
        <f t="shared" si="21"/>
        <v>4.2698860957541399E-2</v>
      </c>
      <c r="H210" s="60">
        <f t="shared" si="21"/>
        <v>4.8989378020379948E-2</v>
      </c>
      <c r="I210" s="60">
        <f t="shared" si="21"/>
        <v>5.269453981569034E-2</v>
      </c>
      <c r="J210" s="63">
        <f t="shared" si="21"/>
        <v>5.6355053984186526E-2</v>
      </c>
      <c r="K210" s="60" t="str">
        <f t="shared" si="22"/>
        <v/>
      </c>
      <c r="L210" s="60">
        <f t="shared" si="22"/>
        <v>5.7439981575413968E-3</v>
      </c>
      <c r="M210" s="60">
        <f t="shared" si="22"/>
        <v>1.133972982037995E-2</v>
      </c>
      <c r="N210" s="60">
        <f t="shared" si="22"/>
        <v>1.400112101569034E-2</v>
      </c>
      <c r="O210" s="63">
        <f t="shared" si="22"/>
        <v>1.6307503484186525E-2</v>
      </c>
      <c r="P210" s="55" t="s">
        <v>529</v>
      </c>
      <c r="Q210" s="53" t="s">
        <v>530</v>
      </c>
      <c r="R210" s="94" t="s">
        <v>32</v>
      </c>
      <c r="S210" s="73">
        <v>4.8297090000000001E-2</v>
      </c>
      <c r="T210" s="63">
        <f t="shared" si="20"/>
        <v>6.9228802037994697E-4</v>
      </c>
      <c r="V210" s="114">
        <v>1.1368884100000001</v>
      </c>
      <c r="W210" s="72">
        <v>2.88705232</v>
      </c>
      <c r="X210" s="72">
        <v>4.42844221</v>
      </c>
      <c r="Y210" s="72">
        <v>5.7474130300000006</v>
      </c>
      <c r="Z210" s="115">
        <v>7.3736462599999992</v>
      </c>
      <c r="AB210" s="71">
        <v>3.6531214644734827E-2</v>
      </c>
      <c r="AC210" s="71">
        <v>4.2698860957541399E-2</v>
      </c>
      <c r="AD210" s="71">
        <v>4.8989378020379948E-2</v>
      </c>
      <c r="AE210" s="71">
        <v>5.269453981569034E-2</v>
      </c>
      <c r="AF210" s="63">
        <v>5.6355053984186526E-2</v>
      </c>
      <c r="AG210" s="71" t="s">
        <v>21</v>
      </c>
      <c r="AH210" s="71">
        <v>5.7439981575413968E-3</v>
      </c>
      <c r="AI210" s="71">
        <v>1.133972982037995E-2</v>
      </c>
      <c r="AJ210" s="71">
        <v>1.400112101569034E-2</v>
      </c>
      <c r="AK210" s="63">
        <v>1.6307503484186525E-2</v>
      </c>
    </row>
    <row r="211" spans="2:37" x14ac:dyDescent="0.35">
      <c r="B211" s="55" t="s">
        <v>144</v>
      </c>
      <c r="C211" s="53" t="s">
        <v>234</v>
      </c>
      <c r="D211" s="53" t="s">
        <v>20</v>
      </c>
      <c r="E211" s="53" t="s">
        <v>57</v>
      </c>
      <c r="F211" s="73">
        <f t="shared" si="21"/>
        <v>3.7602312912143263E-2</v>
      </c>
      <c r="G211" s="60">
        <f t="shared" si="21"/>
        <v>4.3480564568595156E-2</v>
      </c>
      <c r="H211" s="60">
        <f t="shared" si="21"/>
        <v>4.9890464472023131E-2</v>
      </c>
      <c r="I211" s="60">
        <f t="shared" si="21"/>
        <v>5.356078200978992E-2</v>
      </c>
      <c r="J211" s="63">
        <f t="shared" si="21"/>
        <v>5.7221811446952507E-2</v>
      </c>
      <c r="K211" s="60" t="str">
        <f t="shared" si="22"/>
        <v/>
      </c>
      <c r="L211" s="60">
        <f t="shared" si="22"/>
        <v>6.5154025685951536E-3</v>
      </c>
      <c r="M211" s="60">
        <f t="shared" si="22"/>
        <v>1.2223346072023134E-2</v>
      </c>
      <c r="N211" s="60">
        <f t="shared" si="22"/>
        <v>1.4853055109789919E-2</v>
      </c>
      <c r="O211" s="63">
        <f t="shared" si="22"/>
        <v>1.7162661046952507E-2</v>
      </c>
      <c r="P211" s="55" t="s">
        <v>531</v>
      </c>
      <c r="Q211" s="53" t="s">
        <v>532</v>
      </c>
      <c r="R211" s="94">
        <v>47498</v>
      </c>
      <c r="S211" s="73">
        <v>4.689202E-2</v>
      </c>
      <c r="T211" s="63">
        <f t="shared" si="20"/>
        <v>2.9984444720231318E-3</v>
      </c>
      <c r="V211" s="114">
        <v>1.13575132</v>
      </c>
      <c r="W211" s="72">
        <v>2.88328987</v>
      </c>
      <c r="X211" s="72">
        <v>4.4207945100000003</v>
      </c>
      <c r="Y211" s="72">
        <v>5.7329613400000001</v>
      </c>
      <c r="Z211" s="115">
        <v>7.3490358100000002</v>
      </c>
      <c r="AB211" s="71">
        <v>3.7602312912143263E-2</v>
      </c>
      <c r="AC211" s="71">
        <v>4.3480564568595156E-2</v>
      </c>
      <c r="AD211" s="71">
        <v>4.9890464472023131E-2</v>
      </c>
      <c r="AE211" s="71">
        <v>5.356078200978992E-2</v>
      </c>
      <c r="AF211" s="63">
        <v>5.7221811446952507E-2</v>
      </c>
      <c r="AG211" s="71" t="s">
        <v>21</v>
      </c>
      <c r="AH211" s="71">
        <v>6.5154025685951536E-3</v>
      </c>
      <c r="AI211" s="71">
        <v>1.2223346072023134E-2</v>
      </c>
      <c r="AJ211" s="71">
        <v>1.4853055109789919E-2</v>
      </c>
      <c r="AK211" s="63">
        <v>1.7162661046952507E-2</v>
      </c>
    </row>
    <row r="212" spans="2:37" x14ac:dyDescent="0.35">
      <c r="B212" s="55" t="s">
        <v>344</v>
      </c>
      <c r="C212" s="53" t="s">
        <v>234</v>
      </c>
      <c r="D212" s="53" t="s">
        <v>31</v>
      </c>
      <c r="E212" s="53" t="s">
        <v>21</v>
      </c>
      <c r="F212" s="73">
        <f t="shared" si="21"/>
        <v>3.6964097777342671E-2</v>
      </c>
      <c r="G212" s="60">
        <f t="shared" si="21"/>
        <v>4.2481948409262504E-2</v>
      </c>
      <c r="H212" s="60">
        <f t="shared" si="21"/>
        <v>4.8725652251428969E-2</v>
      </c>
      <c r="I212" s="60">
        <f t="shared" si="21"/>
        <v>5.2340544600586E-2</v>
      </c>
      <c r="J212" s="63">
        <f t="shared" si="21"/>
        <v>5.5808619340335944E-2</v>
      </c>
      <c r="K212" s="60" t="str">
        <f t="shared" si="22"/>
        <v/>
      </c>
      <c r="L212" s="60">
        <f t="shared" si="22"/>
        <v>5.5388827092625031E-3</v>
      </c>
      <c r="M212" s="60">
        <f t="shared" si="22"/>
        <v>1.1089812651428969E-2</v>
      </c>
      <c r="N212" s="60">
        <f t="shared" si="22"/>
        <v>1.366466490058601E-2</v>
      </c>
      <c r="O212" s="63">
        <f t="shared" si="22"/>
        <v>1.5784725840335936E-2</v>
      </c>
      <c r="P212" s="55" t="s">
        <v>21</v>
      </c>
      <c r="Q212" s="53" t="s">
        <v>21</v>
      </c>
      <c r="R212" s="94" t="s">
        <v>21</v>
      </c>
      <c r="S212" s="73" t="s">
        <v>21</v>
      </c>
      <c r="T212" s="63" t="str">
        <f t="shared" si="20"/>
        <v/>
      </c>
      <c r="V212" s="114">
        <v>1.13601748</v>
      </c>
      <c r="W212" s="72">
        <v>2.8864992599999999</v>
      </c>
      <c r="X212" s="72">
        <v>4.4310772099999998</v>
      </c>
      <c r="Y212" s="72">
        <v>5.7553211399999995</v>
      </c>
      <c r="Z212" s="115">
        <v>7.3951127000000003</v>
      </c>
      <c r="AB212" s="71">
        <v>3.6964097777342671E-2</v>
      </c>
      <c r="AC212" s="71">
        <v>4.2481948409262504E-2</v>
      </c>
      <c r="AD212" s="71">
        <v>4.8725652251428969E-2</v>
      </c>
      <c r="AE212" s="71">
        <v>5.2340544600586E-2</v>
      </c>
      <c r="AF212" s="63">
        <v>5.5808619340335944E-2</v>
      </c>
      <c r="AG212" s="71" t="s">
        <v>21</v>
      </c>
      <c r="AH212" s="71">
        <v>5.5388827092625031E-3</v>
      </c>
      <c r="AI212" s="71">
        <v>1.1089812651428969E-2</v>
      </c>
      <c r="AJ212" s="71">
        <v>1.366466490058601E-2</v>
      </c>
      <c r="AK212" s="63">
        <v>1.5784725840335936E-2</v>
      </c>
    </row>
    <row r="213" spans="2:37" x14ac:dyDescent="0.35">
      <c r="B213" s="55" t="s">
        <v>345</v>
      </c>
      <c r="C213" s="53" t="s">
        <v>234</v>
      </c>
      <c r="D213" s="53" t="s">
        <v>97</v>
      </c>
      <c r="E213" s="53" t="s">
        <v>21</v>
      </c>
      <c r="F213" s="73">
        <f t="shared" si="21"/>
        <v>3.6368320878128906E-2</v>
      </c>
      <c r="G213" s="60">
        <f t="shared" si="21"/>
        <v>4.2726107096678047E-2</v>
      </c>
      <c r="H213" s="60">
        <f t="shared" si="21"/>
        <v>4.8684018674652801E-2</v>
      </c>
      <c r="I213" s="60">
        <f t="shared" si="21"/>
        <v>5.2393586003388462E-2</v>
      </c>
      <c r="J213" s="63">
        <f t="shared" si="21"/>
        <v>5.5769237610680422E-2</v>
      </c>
      <c r="K213" s="60" t="str">
        <f t="shared" si="22"/>
        <v/>
      </c>
      <c r="L213" s="60">
        <f t="shared" si="22"/>
        <v>5.7701450966780518E-3</v>
      </c>
      <c r="M213" s="60">
        <f t="shared" si="22"/>
        <v>1.1048588974652801E-2</v>
      </c>
      <c r="N213" s="60">
        <f t="shared" si="22"/>
        <v>1.3713722603388464E-2</v>
      </c>
      <c r="O213" s="63">
        <f t="shared" si="22"/>
        <v>1.574647051068042E-2</v>
      </c>
      <c r="P213" s="55" t="s">
        <v>21</v>
      </c>
      <c r="Q213" s="53" t="s">
        <v>21</v>
      </c>
      <c r="R213" s="94" t="s">
        <v>21</v>
      </c>
      <c r="S213" s="73" t="s">
        <v>21</v>
      </c>
      <c r="T213" s="63" t="str">
        <f t="shared" si="20"/>
        <v/>
      </c>
      <c r="V213" s="114">
        <v>1.13719901</v>
      </c>
      <c r="W213" s="72">
        <v>2.8870415</v>
      </c>
      <c r="X213" s="72">
        <v>4.4314232799999997</v>
      </c>
      <c r="Y213" s="72">
        <v>5.7551763399999993</v>
      </c>
      <c r="Z213" s="115">
        <v>7.3955579499999997</v>
      </c>
      <c r="AB213" s="71">
        <v>3.6368320878128906E-2</v>
      </c>
      <c r="AC213" s="71">
        <v>4.2726107096678047E-2</v>
      </c>
      <c r="AD213" s="71">
        <v>4.8684018674652801E-2</v>
      </c>
      <c r="AE213" s="71">
        <v>5.2393586003388462E-2</v>
      </c>
      <c r="AF213" s="63">
        <v>5.5769237610680422E-2</v>
      </c>
      <c r="AG213" s="71" t="s">
        <v>21</v>
      </c>
      <c r="AH213" s="71">
        <v>5.7701450966780518E-3</v>
      </c>
      <c r="AI213" s="71">
        <v>1.1048588974652801E-2</v>
      </c>
      <c r="AJ213" s="71">
        <v>1.3713722603388464E-2</v>
      </c>
      <c r="AK213" s="63">
        <v>1.574647051068042E-2</v>
      </c>
    </row>
    <row r="214" spans="2:37" x14ac:dyDescent="0.35">
      <c r="B214" s="55" t="s">
        <v>154</v>
      </c>
      <c r="C214" s="53" t="s">
        <v>234</v>
      </c>
      <c r="D214" s="53" t="s">
        <v>20</v>
      </c>
      <c r="E214" s="53" t="s">
        <v>133</v>
      </c>
      <c r="F214" s="73">
        <f t="shared" si="21"/>
        <v>3.6949574034130031E-2</v>
      </c>
      <c r="G214" s="60">
        <f t="shared" si="21"/>
        <v>4.2957260141388648E-2</v>
      </c>
      <c r="H214" s="60">
        <f t="shared" si="21"/>
        <v>4.9626867436036844E-2</v>
      </c>
      <c r="I214" s="60">
        <f t="shared" si="21"/>
        <v>5.3600992149998389E-2</v>
      </c>
      <c r="J214" s="63">
        <f t="shared" si="21"/>
        <v>5.6879021028100753E-2</v>
      </c>
      <c r="K214" s="60" t="str">
        <f t="shared" si="22"/>
        <v/>
      </c>
      <c r="L214" s="60">
        <f t="shared" si="22"/>
        <v>6.0150394413886503E-3</v>
      </c>
      <c r="M214" s="60">
        <f t="shared" si="22"/>
        <v>1.197269983603684E-2</v>
      </c>
      <c r="N214" s="60">
        <f t="shared" si="22"/>
        <v>1.489099934999839E-2</v>
      </c>
      <c r="O214" s="63">
        <f t="shared" si="22"/>
        <v>1.6837447728100748E-2</v>
      </c>
      <c r="P214" s="55" t="s">
        <v>533</v>
      </c>
      <c r="Q214" s="53" t="s">
        <v>534</v>
      </c>
      <c r="R214" s="94">
        <v>47529</v>
      </c>
      <c r="S214" s="73">
        <v>4.6642110000000001E-2</v>
      </c>
      <c r="T214" s="63">
        <f t="shared" si="20"/>
        <v>2.9847574360368431E-3</v>
      </c>
      <c r="V214" s="114">
        <v>1.1370263999999999</v>
      </c>
      <c r="W214" s="72">
        <v>2.8892007399999997</v>
      </c>
      <c r="X214" s="72">
        <v>4.4291464000000005</v>
      </c>
      <c r="Y214" s="72">
        <v>5.7407864000000002</v>
      </c>
      <c r="Z214" s="115">
        <v>7.3620818300000002</v>
      </c>
      <c r="AB214" s="71">
        <v>3.6949574034130031E-2</v>
      </c>
      <c r="AC214" s="71">
        <v>4.2957260141388648E-2</v>
      </c>
      <c r="AD214" s="71">
        <v>4.9626867436036844E-2</v>
      </c>
      <c r="AE214" s="71">
        <v>5.3600992149998389E-2</v>
      </c>
      <c r="AF214" s="63">
        <v>5.6879021028100753E-2</v>
      </c>
      <c r="AG214" s="71" t="s">
        <v>21</v>
      </c>
      <c r="AH214" s="71">
        <v>6.0150394413886503E-3</v>
      </c>
      <c r="AI214" s="71">
        <v>1.197269983603684E-2</v>
      </c>
      <c r="AJ214" s="71">
        <v>1.489099934999839E-2</v>
      </c>
      <c r="AK214" s="63">
        <v>1.6837447728100748E-2</v>
      </c>
    </row>
    <row r="215" spans="2:37" x14ac:dyDescent="0.35">
      <c r="B215" s="55" t="s">
        <v>252</v>
      </c>
      <c r="C215" s="53" t="s">
        <v>234</v>
      </c>
      <c r="D215" s="53" t="s">
        <v>43</v>
      </c>
      <c r="E215" s="53" t="s">
        <v>21</v>
      </c>
      <c r="F215" s="73">
        <f t="shared" si="21"/>
        <v>3.6631443536108366E-2</v>
      </c>
      <c r="G215" s="60">
        <f t="shared" si="21"/>
        <v>4.2476232421218979E-2</v>
      </c>
      <c r="H215" s="60">
        <f t="shared" si="21"/>
        <v>4.8623068971060751E-2</v>
      </c>
      <c r="I215" s="60">
        <f t="shared" si="21"/>
        <v>5.2238852242902076E-2</v>
      </c>
      <c r="J215" s="63">
        <f t="shared" si="21"/>
        <v>5.5796769168299863E-2</v>
      </c>
      <c r="K215" s="60" t="str">
        <f t="shared" si="22"/>
        <v/>
      </c>
      <c r="L215" s="60">
        <f t="shared" si="22"/>
        <v>5.5325745212189848E-3</v>
      </c>
      <c r="M215" s="60">
        <f t="shared" si="22"/>
        <v>1.0991492471060757E-2</v>
      </c>
      <c r="N215" s="60">
        <f t="shared" si="22"/>
        <v>1.3567326742902078E-2</v>
      </c>
      <c r="O215" s="63">
        <f t="shared" si="22"/>
        <v>1.5772740168299867E-2</v>
      </c>
      <c r="P215" s="55" t="s">
        <v>21</v>
      </c>
      <c r="Q215" s="53" t="s">
        <v>21</v>
      </c>
      <c r="R215" s="94" t="s">
        <v>21</v>
      </c>
      <c r="S215" s="73" t="s">
        <v>21</v>
      </c>
      <c r="T215" s="63" t="str">
        <f t="shared" si="20"/>
        <v/>
      </c>
      <c r="V215" s="114">
        <v>1.1366705499999998</v>
      </c>
      <c r="W215" s="72">
        <v>2.8876730199999998</v>
      </c>
      <c r="X215" s="72">
        <v>4.4331971000000001</v>
      </c>
      <c r="Y215" s="72">
        <v>5.75895153</v>
      </c>
      <c r="Z215" s="115">
        <v>7.3992347799999996</v>
      </c>
      <c r="AB215" s="71">
        <v>3.6631443536108366E-2</v>
      </c>
      <c r="AC215" s="71">
        <v>4.2476232421218979E-2</v>
      </c>
      <c r="AD215" s="71">
        <v>4.8623068971060751E-2</v>
      </c>
      <c r="AE215" s="71">
        <v>5.2238852242902076E-2</v>
      </c>
      <c r="AF215" s="63">
        <v>5.5796769168299863E-2</v>
      </c>
      <c r="AG215" s="71" t="s">
        <v>21</v>
      </c>
      <c r="AH215" s="71">
        <v>5.5325745212189848E-3</v>
      </c>
      <c r="AI215" s="71">
        <v>1.0991492471060757E-2</v>
      </c>
      <c r="AJ215" s="71">
        <v>1.3567326742902078E-2</v>
      </c>
      <c r="AK215" s="63">
        <v>1.5772740168299867E-2</v>
      </c>
    </row>
    <row r="216" spans="2:37" x14ac:dyDescent="0.35">
      <c r="B216" s="55" t="s">
        <v>357</v>
      </c>
      <c r="C216" s="53" t="s">
        <v>234</v>
      </c>
      <c r="D216" s="53" t="s">
        <v>20</v>
      </c>
      <c r="E216" s="53" t="s">
        <v>21</v>
      </c>
      <c r="F216" s="73">
        <f t="shared" si="21"/>
        <v>3.7459845905948225E-2</v>
      </c>
      <c r="G216" s="60">
        <f t="shared" si="21"/>
        <v>4.3430838510719209E-2</v>
      </c>
      <c r="H216" s="60">
        <f t="shared" si="21"/>
        <v>4.9591773396706035E-2</v>
      </c>
      <c r="I216" s="60">
        <f t="shared" si="21"/>
        <v>5.3096006436467107E-2</v>
      </c>
      <c r="J216" s="63">
        <f t="shared" si="21"/>
        <v>5.6383211351727636E-2</v>
      </c>
      <c r="K216" s="60" t="str">
        <f t="shared" si="22"/>
        <v/>
      </c>
      <c r="L216" s="60">
        <f t="shared" si="22"/>
        <v>6.4638621107192106E-3</v>
      </c>
      <c r="M216" s="60">
        <f t="shared" si="22"/>
        <v>1.1935482096706026E-2</v>
      </c>
      <c r="N216" s="60">
        <f t="shared" si="22"/>
        <v>1.4406118836467105E-2</v>
      </c>
      <c r="O216" s="63">
        <f t="shared" si="22"/>
        <v>1.6355712051727634E-2</v>
      </c>
      <c r="P216" s="55" t="s">
        <v>21</v>
      </c>
      <c r="Q216" s="53" t="s">
        <v>21</v>
      </c>
      <c r="R216" s="94" t="s">
        <v>21</v>
      </c>
      <c r="S216" s="73" t="s">
        <v>21</v>
      </c>
      <c r="T216" s="63" t="str">
        <f t="shared" si="20"/>
        <v/>
      </c>
      <c r="V216" s="114">
        <v>1.1360834900000001</v>
      </c>
      <c r="W216" s="72">
        <v>2.88322346</v>
      </c>
      <c r="X216" s="72">
        <v>4.4239999499999998</v>
      </c>
      <c r="Y216" s="72">
        <v>5.7435973899999997</v>
      </c>
      <c r="Z216" s="115">
        <v>7.3798841299999998</v>
      </c>
      <c r="AB216" s="71">
        <v>3.7459845905948225E-2</v>
      </c>
      <c r="AC216" s="71">
        <v>4.3430838510719209E-2</v>
      </c>
      <c r="AD216" s="71">
        <v>4.9591773396706035E-2</v>
      </c>
      <c r="AE216" s="71">
        <v>5.3096006436467107E-2</v>
      </c>
      <c r="AF216" s="63">
        <v>5.6383211351727636E-2</v>
      </c>
      <c r="AG216" s="71" t="s">
        <v>21</v>
      </c>
      <c r="AH216" s="71">
        <v>6.4638621107192106E-3</v>
      </c>
      <c r="AI216" s="71">
        <v>1.1935482096706026E-2</v>
      </c>
      <c r="AJ216" s="71">
        <v>1.4406118836467105E-2</v>
      </c>
      <c r="AK216" s="63">
        <v>1.6355712051727634E-2</v>
      </c>
    </row>
    <row r="217" spans="2:37" x14ac:dyDescent="0.35">
      <c r="B217" s="55" t="s">
        <v>360</v>
      </c>
      <c r="C217" s="53" t="s">
        <v>234</v>
      </c>
      <c r="D217" s="53" t="s">
        <v>20</v>
      </c>
      <c r="E217" s="53" t="s">
        <v>535</v>
      </c>
      <c r="F217" s="73">
        <f t="shared" si="21"/>
        <v>3.7562379672927783E-2</v>
      </c>
      <c r="G217" s="60">
        <f t="shared" si="21"/>
        <v>4.3415209530041E-2</v>
      </c>
      <c r="H217" s="60">
        <f t="shared" si="21"/>
        <v>4.9589319949777111E-2</v>
      </c>
      <c r="I217" s="60">
        <f t="shared" si="21"/>
        <v>5.3076703312826691E-2</v>
      </c>
      <c r="J217" s="63">
        <f t="shared" si="21"/>
        <v>5.6480164123677554E-2</v>
      </c>
      <c r="K217" s="60" t="str">
        <f t="shared" si="22"/>
        <v/>
      </c>
      <c r="L217" s="60">
        <f t="shared" si="22"/>
        <v>6.4493326300409989E-3</v>
      </c>
      <c r="M217" s="60">
        <f t="shared" si="22"/>
        <v>1.1933434149777112E-2</v>
      </c>
      <c r="N217" s="60">
        <f t="shared" si="22"/>
        <v>1.4388222612826693E-2</v>
      </c>
      <c r="O217" s="63">
        <f t="shared" si="22"/>
        <v>1.6448591123677556E-2</v>
      </c>
      <c r="P217" s="55" t="s">
        <v>21</v>
      </c>
      <c r="Q217" s="53" t="s">
        <v>21</v>
      </c>
      <c r="R217" s="94" t="s">
        <v>21</v>
      </c>
      <c r="S217" s="73" t="s">
        <v>21</v>
      </c>
      <c r="T217" s="63" t="str">
        <f t="shared" si="20"/>
        <v/>
      </c>
      <c r="V217" s="114">
        <v>1.13588694</v>
      </c>
      <c r="W217" s="72">
        <v>2.88354731</v>
      </c>
      <c r="X217" s="72">
        <v>4.4244803899999994</v>
      </c>
      <c r="Y217" s="72">
        <v>5.7439759100000005</v>
      </c>
      <c r="Z217" s="115">
        <v>7.3780067699999989</v>
      </c>
      <c r="AB217" s="71">
        <v>3.7562379672927783E-2</v>
      </c>
      <c r="AC217" s="71">
        <v>4.3415209530041E-2</v>
      </c>
      <c r="AD217" s="71">
        <v>4.9589319949777111E-2</v>
      </c>
      <c r="AE217" s="71">
        <v>5.3076703312826691E-2</v>
      </c>
      <c r="AF217" s="63">
        <v>5.6480164123677554E-2</v>
      </c>
      <c r="AG217" s="71" t="s">
        <v>21</v>
      </c>
      <c r="AH217" s="71">
        <v>6.4493326300409989E-3</v>
      </c>
      <c r="AI217" s="71">
        <v>1.1933434149777112E-2</v>
      </c>
      <c r="AJ217" s="71">
        <v>1.4388222612826693E-2</v>
      </c>
      <c r="AK217" s="63">
        <v>1.6448591123677556E-2</v>
      </c>
    </row>
    <row r="218" spans="2:37" x14ac:dyDescent="0.35">
      <c r="B218" s="55" t="s">
        <v>353</v>
      </c>
      <c r="C218" s="53" t="s">
        <v>234</v>
      </c>
      <c r="D218" s="53" t="s">
        <v>31</v>
      </c>
      <c r="E218" s="53" t="s">
        <v>21</v>
      </c>
      <c r="F218" s="73">
        <f t="shared" si="21"/>
        <v>3.6312506502310445E-2</v>
      </c>
      <c r="G218" s="60">
        <f t="shared" si="21"/>
        <v>4.2381302470098872E-2</v>
      </c>
      <c r="H218" s="60">
        <f t="shared" si="21"/>
        <v>4.8569102228841067E-2</v>
      </c>
      <c r="I218" s="60">
        <f t="shared" si="21"/>
        <v>5.2137106273802025E-2</v>
      </c>
      <c r="J218" s="63">
        <f t="shared" si="21"/>
        <v>5.5646040252731517E-2</v>
      </c>
      <c r="K218" s="60" t="str">
        <f t="shared" si="22"/>
        <v/>
      </c>
      <c r="L218" s="60">
        <f t="shared" si="22"/>
        <v>5.4405883700988818E-3</v>
      </c>
      <c r="M218" s="60">
        <f t="shared" si="22"/>
        <v>1.093936712884106E-2</v>
      </c>
      <c r="N218" s="60">
        <f t="shared" si="22"/>
        <v>1.3470086473802021E-2</v>
      </c>
      <c r="O218" s="63">
        <f t="shared" si="22"/>
        <v>1.5628310852731524E-2</v>
      </c>
      <c r="P218" s="55" t="s">
        <v>21</v>
      </c>
      <c r="Q218" s="53" t="s">
        <v>21</v>
      </c>
      <c r="R218" s="94" t="s">
        <v>21</v>
      </c>
      <c r="S218" s="73" t="s">
        <v>21</v>
      </c>
      <c r="T218" s="63" t="str">
        <f t="shared" si="20"/>
        <v/>
      </c>
      <c r="V218" s="114">
        <v>1.1373029400000001</v>
      </c>
      <c r="W218" s="72">
        <v>2.8893690799999998</v>
      </c>
      <c r="X218" s="72">
        <v>4.4355322900000003</v>
      </c>
      <c r="Y218" s="72">
        <v>5.7625921900000003</v>
      </c>
      <c r="Z218" s="115">
        <v>7.4064761300000006</v>
      </c>
      <c r="AB218" s="71">
        <v>3.6312506502310445E-2</v>
      </c>
      <c r="AC218" s="71">
        <v>4.2381302470098872E-2</v>
      </c>
      <c r="AD218" s="71">
        <v>4.8569102228841067E-2</v>
      </c>
      <c r="AE218" s="71">
        <v>5.2137106273802025E-2</v>
      </c>
      <c r="AF218" s="63">
        <v>5.5646040252731517E-2</v>
      </c>
      <c r="AG218" s="71" t="s">
        <v>21</v>
      </c>
      <c r="AH218" s="71">
        <v>5.4405883700988818E-3</v>
      </c>
      <c r="AI218" s="71">
        <v>1.093936712884106E-2</v>
      </c>
      <c r="AJ218" s="71">
        <v>1.3470086473802021E-2</v>
      </c>
      <c r="AK218" s="63">
        <v>1.5628310852731524E-2</v>
      </c>
    </row>
    <row r="219" spans="2:37" x14ac:dyDescent="0.35">
      <c r="B219" s="55" t="s">
        <v>250</v>
      </c>
      <c r="C219" s="53" t="s">
        <v>234</v>
      </c>
      <c r="D219" s="53" t="s">
        <v>97</v>
      </c>
      <c r="E219" s="53" t="s">
        <v>227</v>
      </c>
      <c r="F219" s="73">
        <f t="shared" si="21"/>
        <v>3.6680002439378558E-2</v>
      </c>
      <c r="G219" s="60">
        <f t="shared" si="21"/>
        <v>4.2468103100247061E-2</v>
      </c>
      <c r="H219" s="60">
        <f t="shared" si="21"/>
        <v>4.8523532516734455E-2</v>
      </c>
      <c r="I219" s="60">
        <f t="shared" si="21"/>
        <v>5.1851557342371575E-2</v>
      </c>
      <c r="J219" s="63">
        <f t="shared" si="21"/>
        <v>5.5305129448470589E-2</v>
      </c>
      <c r="K219" s="60" t="str">
        <f t="shared" si="22"/>
        <v/>
      </c>
      <c r="L219" s="60">
        <f t="shared" si="22"/>
        <v>5.5227286002470632E-3</v>
      </c>
      <c r="M219" s="60">
        <f t="shared" si="22"/>
        <v>1.0895043516734456E-2</v>
      </c>
      <c r="N219" s="60">
        <f t="shared" si="22"/>
        <v>1.3196834742371575E-2</v>
      </c>
      <c r="O219" s="63">
        <f t="shared" si="22"/>
        <v>1.5299181648470595E-2</v>
      </c>
      <c r="P219" s="55" t="s">
        <v>536</v>
      </c>
      <c r="Q219" s="53" t="s">
        <v>537</v>
      </c>
      <c r="R219" s="94">
        <v>47551</v>
      </c>
      <c r="S219" s="73">
        <v>4.3123300000000003E-2</v>
      </c>
      <c r="T219" s="63">
        <f t="shared" si="20"/>
        <v>5.4002325167344517E-3</v>
      </c>
      <c r="V219" s="114">
        <v>1.1366088999999999</v>
      </c>
      <c r="W219" s="72">
        <v>2.8876290999999998</v>
      </c>
      <c r="X219" s="72">
        <v>4.43420477</v>
      </c>
      <c r="Y219" s="72">
        <v>5.7654527299999998</v>
      </c>
      <c r="Z219" s="115">
        <v>7.4189638099999993</v>
      </c>
      <c r="AB219" s="71">
        <v>3.6680002439378558E-2</v>
      </c>
      <c r="AC219" s="71">
        <v>4.2468103100247061E-2</v>
      </c>
      <c r="AD219" s="71">
        <v>4.8523532516734455E-2</v>
      </c>
      <c r="AE219" s="71">
        <v>5.1851557342371575E-2</v>
      </c>
      <c r="AF219" s="63">
        <v>5.5305129448470589E-2</v>
      </c>
      <c r="AG219" s="71" t="s">
        <v>21</v>
      </c>
      <c r="AH219" s="71">
        <v>5.5227286002470632E-3</v>
      </c>
      <c r="AI219" s="71">
        <v>1.0895043516734456E-2</v>
      </c>
      <c r="AJ219" s="71">
        <v>1.3196834742371575E-2</v>
      </c>
      <c r="AK219" s="63">
        <v>1.5299181648470595E-2</v>
      </c>
    </row>
    <row r="220" spans="2:37" x14ac:dyDescent="0.35">
      <c r="B220" s="55" t="s">
        <v>261</v>
      </c>
      <c r="C220" s="53" t="s">
        <v>234</v>
      </c>
      <c r="D220" s="53" t="s">
        <v>31</v>
      </c>
      <c r="E220" s="53" t="s">
        <v>538</v>
      </c>
      <c r="F220" s="73">
        <f t="shared" si="21"/>
        <v>3.6577577525235667E-2</v>
      </c>
      <c r="G220" s="60">
        <f t="shared" si="21"/>
        <v>4.2420275661490078E-2</v>
      </c>
      <c r="H220" s="60">
        <f t="shared" si="21"/>
        <v>4.8519582817077654E-2</v>
      </c>
      <c r="I220" s="60">
        <f t="shared" si="21"/>
        <v>5.1848124626434754E-2</v>
      </c>
      <c r="J220" s="63">
        <f t="shared" si="21"/>
        <v>5.4695983177279153E-2</v>
      </c>
      <c r="K220" s="60" t="str">
        <f t="shared" si="22"/>
        <v/>
      </c>
      <c r="L220" s="60">
        <f t="shared" si="22"/>
        <v>5.4783188614900852E-3</v>
      </c>
      <c r="M220" s="60">
        <f t="shared" si="22"/>
        <v>1.0892296817077653E-2</v>
      </c>
      <c r="N220" s="60">
        <f t="shared" si="22"/>
        <v>1.3194517826434759E-2</v>
      </c>
      <c r="O220" s="63">
        <f t="shared" si="22"/>
        <v>1.4717850177279154E-2</v>
      </c>
      <c r="P220" s="55" t="s">
        <v>539</v>
      </c>
      <c r="Q220" s="53" t="s">
        <v>540</v>
      </c>
      <c r="R220" s="94">
        <v>47517</v>
      </c>
      <c r="S220" s="73">
        <v>4.5395380000000006E-2</v>
      </c>
      <c r="T220" s="63">
        <f t="shared" si="20"/>
        <v>3.1242028170776481E-3</v>
      </c>
      <c r="V220" s="114">
        <v>1.1367854199999998</v>
      </c>
      <c r="W220" s="72">
        <v>2.8882253499999999</v>
      </c>
      <c r="X220" s="72">
        <v>4.4348826500000005</v>
      </c>
      <c r="Y220" s="72">
        <v>5.7660853300000001</v>
      </c>
      <c r="Z220" s="115">
        <v>7.4331235199999997</v>
      </c>
      <c r="AB220" s="71">
        <v>3.6577577525235667E-2</v>
      </c>
      <c r="AC220" s="71">
        <v>4.2420275661490078E-2</v>
      </c>
      <c r="AD220" s="71">
        <v>4.8519582817077654E-2</v>
      </c>
      <c r="AE220" s="71">
        <v>5.1848124626434754E-2</v>
      </c>
      <c r="AF220" s="63">
        <v>5.4695983177279153E-2</v>
      </c>
      <c r="AG220" s="71" t="s">
        <v>21</v>
      </c>
      <c r="AH220" s="71">
        <v>5.4783188614900852E-3</v>
      </c>
      <c r="AI220" s="71">
        <v>1.0892296817077653E-2</v>
      </c>
      <c r="AJ220" s="71">
        <v>1.3194517826434759E-2</v>
      </c>
      <c r="AK220" s="63">
        <v>1.4717850177279154E-2</v>
      </c>
    </row>
    <row r="221" spans="2:37" x14ac:dyDescent="0.35">
      <c r="B221" s="55" t="s">
        <v>361</v>
      </c>
      <c r="C221" s="53" t="s">
        <v>234</v>
      </c>
      <c r="D221" s="53" t="s">
        <v>306</v>
      </c>
      <c r="E221" s="53" t="s">
        <v>21</v>
      </c>
      <c r="F221" s="73">
        <f t="shared" si="21"/>
        <v>3.6448280639529221E-2</v>
      </c>
      <c r="G221" s="60">
        <f t="shared" si="21"/>
        <v>4.237543657224397E-2</v>
      </c>
      <c r="H221" s="60">
        <f t="shared" si="21"/>
        <v>4.8468036460425301E-2</v>
      </c>
      <c r="I221" s="60">
        <f t="shared" si="21"/>
        <v>5.1893170774607048E-2</v>
      </c>
      <c r="J221" s="63">
        <f t="shared" si="21"/>
        <v>5.4976472607165726E-2</v>
      </c>
      <c r="K221" s="60" t="str">
        <f t="shared" si="22"/>
        <v/>
      </c>
      <c r="L221" s="60">
        <f t="shared" si="22"/>
        <v>5.4342592722439725E-3</v>
      </c>
      <c r="M221" s="60">
        <f t="shared" si="22"/>
        <v>1.0842368260425297E-2</v>
      </c>
      <c r="N221" s="60">
        <f t="shared" si="22"/>
        <v>1.3236833574607044E-2</v>
      </c>
      <c r="O221" s="63">
        <f t="shared" si="22"/>
        <v>1.4986261607165725E-2</v>
      </c>
      <c r="P221" s="55" t="s">
        <v>21</v>
      </c>
      <c r="Q221" s="53" t="s">
        <v>21</v>
      </c>
      <c r="R221" s="94" t="s">
        <v>21</v>
      </c>
      <c r="S221" s="73" t="s">
        <v>21</v>
      </c>
      <c r="T221" s="63" t="str">
        <f t="shared" si="20"/>
        <v/>
      </c>
      <c r="V221" s="114">
        <v>1.13705236</v>
      </c>
      <c r="W221" s="72">
        <v>2.8889750700000003</v>
      </c>
      <c r="X221" s="72">
        <v>4.4362094800000005</v>
      </c>
      <c r="Y221" s="72">
        <v>5.7668434700000004</v>
      </c>
      <c r="Z221" s="115">
        <v>7.4270573899999999</v>
      </c>
      <c r="AB221" s="71">
        <v>3.6448280639529221E-2</v>
      </c>
      <c r="AC221" s="71">
        <v>4.237543657224397E-2</v>
      </c>
      <c r="AD221" s="71">
        <v>4.8468036460425301E-2</v>
      </c>
      <c r="AE221" s="71">
        <v>5.1893170774607048E-2</v>
      </c>
      <c r="AF221" s="63">
        <v>5.4976472607165726E-2</v>
      </c>
      <c r="AG221" s="71" t="s">
        <v>21</v>
      </c>
      <c r="AH221" s="71">
        <v>5.4342592722439725E-3</v>
      </c>
      <c r="AI221" s="71">
        <v>1.0842368260425297E-2</v>
      </c>
      <c r="AJ221" s="71">
        <v>1.3236833574607044E-2</v>
      </c>
      <c r="AK221" s="63">
        <v>1.4986261607165725E-2</v>
      </c>
    </row>
    <row r="222" spans="2:37" x14ac:dyDescent="0.35">
      <c r="B222" s="55" t="s">
        <v>259</v>
      </c>
      <c r="C222" s="53" t="s">
        <v>234</v>
      </c>
      <c r="D222" s="53" t="s">
        <v>69</v>
      </c>
      <c r="E222" s="53" t="s">
        <v>21</v>
      </c>
      <c r="F222" s="73">
        <f t="shared" si="21"/>
        <v>3.6787800668567766E-2</v>
      </c>
      <c r="G222" s="60">
        <f t="shared" si="21"/>
        <v>4.2459116229755713E-2</v>
      </c>
      <c r="H222" s="60">
        <f t="shared" si="21"/>
        <v>4.8464153386570355E-2</v>
      </c>
      <c r="I222" s="60">
        <f t="shared" si="21"/>
        <v>5.1950758245420323E-2</v>
      </c>
      <c r="J222" s="63">
        <f t="shared" si="21"/>
        <v>5.5276402142615831E-2</v>
      </c>
      <c r="K222" s="60" t="str">
        <f t="shared" si="22"/>
        <v/>
      </c>
      <c r="L222" s="60">
        <f t="shared" si="22"/>
        <v>5.5125930297557149E-3</v>
      </c>
      <c r="M222" s="60">
        <f t="shared" si="22"/>
        <v>1.0837335286570361E-2</v>
      </c>
      <c r="N222" s="60">
        <f t="shared" si="22"/>
        <v>1.3290257145420327E-2</v>
      </c>
      <c r="O222" s="63">
        <f t="shared" si="22"/>
        <v>1.5271734042615831E-2</v>
      </c>
      <c r="P222" s="55" t="s">
        <v>541</v>
      </c>
      <c r="Q222" s="53" t="s">
        <v>542</v>
      </c>
      <c r="R222" s="94" t="s">
        <v>32</v>
      </c>
      <c r="S222" s="73">
        <v>3.989521E-2</v>
      </c>
      <c r="T222" s="63">
        <f t="shared" si="20"/>
        <v>8.5689433865703546E-3</v>
      </c>
      <c r="V222" s="114">
        <v>1.1364296200000001</v>
      </c>
      <c r="W222" s="72">
        <v>2.88788519</v>
      </c>
      <c r="X222" s="72">
        <v>4.4349611700000002</v>
      </c>
      <c r="Y222" s="72">
        <v>5.7651651399999997</v>
      </c>
      <c r="Z222" s="115">
        <v>7.4188816800000001</v>
      </c>
      <c r="AB222" s="71">
        <v>3.6787800668567766E-2</v>
      </c>
      <c r="AC222" s="71">
        <v>4.2459116229755713E-2</v>
      </c>
      <c r="AD222" s="71">
        <v>4.8464153386570355E-2</v>
      </c>
      <c r="AE222" s="71">
        <v>5.1950758245420323E-2</v>
      </c>
      <c r="AF222" s="63">
        <v>5.5276402142615831E-2</v>
      </c>
      <c r="AG222" s="71" t="s">
        <v>21</v>
      </c>
      <c r="AH222" s="71">
        <v>5.5125930297557149E-3</v>
      </c>
      <c r="AI222" s="71">
        <v>1.0837335286570361E-2</v>
      </c>
      <c r="AJ222" s="71">
        <v>1.3290257145420327E-2</v>
      </c>
      <c r="AK222" s="63">
        <v>1.5271734042615831E-2</v>
      </c>
    </row>
    <row r="223" spans="2:37" x14ac:dyDescent="0.35">
      <c r="B223" s="55" t="s">
        <v>262</v>
      </c>
      <c r="C223" s="53" t="s">
        <v>234</v>
      </c>
      <c r="D223" s="53" t="s">
        <v>31</v>
      </c>
      <c r="E223" s="53" t="s">
        <v>123</v>
      </c>
      <c r="F223" s="73">
        <f t="shared" si="21"/>
        <v>3.6591697354212749E-2</v>
      </c>
      <c r="G223" s="60">
        <f t="shared" si="21"/>
        <v>4.2340000453395275E-2</v>
      </c>
      <c r="H223" s="60">
        <f t="shared" si="21"/>
        <v>4.8417285835944672E-2</v>
      </c>
      <c r="I223" s="60">
        <f t="shared" si="21"/>
        <v>5.1794956195332864E-2</v>
      </c>
      <c r="J223" s="63">
        <f t="shared" si="21"/>
        <v>5.5247836047067594E-2</v>
      </c>
      <c r="K223" s="60" t="str">
        <f t="shared" si="22"/>
        <v/>
      </c>
      <c r="L223" s="60">
        <f t="shared" si="22"/>
        <v>5.3995377533952796E-3</v>
      </c>
      <c r="M223" s="60">
        <f t="shared" si="22"/>
        <v>1.0793322035944674E-2</v>
      </c>
      <c r="N223" s="60">
        <f t="shared" si="22"/>
        <v>1.3142551595332867E-2</v>
      </c>
      <c r="O223" s="63">
        <f t="shared" si="22"/>
        <v>1.5244368647067595E-2</v>
      </c>
      <c r="P223" s="55" t="s">
        <v>543</v>
      </c>
      <c r="Q223" s="53" t="s">
        <v>544</v>
      </c>
      <c r="R223" s="94">
        <v>47660</v>
      </c>
      <c r="S223" s="73">
        <v>4.5434460000000003E-2</v>
      </c>
      <c r="T223" s="63">
        <f t="shared" si="20"/>
        <v>2.9828258359446691E-3</v>
      </c>
      <c r="V223" s="114">
        <v>1.13678872</v>
      </c>
      <c r="W223" s="72">
        <v>2.8887432899999999</v>
      </c>
      <c r="X223" s="72">
        <v>4.4366060800000007</v>
      </c>
      <c r="Y223" s="72">
        <v>5.7686971500000004</v>
      </c>
      <c r="Z223" s="115">
        <v>7.42333803</v>
      </c>
      <c r="AB223" s="71">
        <v>3.6591697354212749E-2</v>
      </c>
      <c r="AC223" s="71">
        <v>4.2340000453395275E-2</v>
      </c>
      <c r="AD223" s="71">
        <v>4.8417285835944672E-2</v>
      </c>
      <c r="AE223" s="71">
        <v>5.1794956195332864E-2</v>
      </c>
      <c r="AF223" s="63">
        <v>5.5247836047067594E-2</v>
      </c>
      <c r="AG223" s="71" t="s">
        <v>21</v>
      </c>
      <c r="AH223" s="71">
        <v>5.3995377533952796E-3</v>
      </c>
      <c r="AI223" s="71">
        <v>1.0793322035944674E-2</v>
      </c>
      <c r="AJ223" s="71">
        <v>1.3142551595332867E-2</v>
      </c>
      <c r="AK223" s="63">
        <v>1.5244368647067595E-2</v>
      </c>
    </row>
    <row r="224" spans="2:37" x14ac:dyDescent="0.35">
      <c r="B224" s="55" t="s">
        <v>247</v>
      </c>
      <c r="C224" s="53" t="s">
        <v>234</v>
      </c>
      <c r="D224" s="53" t="s">
        <v>20</v>
      </c>
      <c r="E224" s="53" t="s">
        <v>36</v>
      </c>
      <c r="F224" s="73">
        <f t="shared" si="21"/>
        <v>3.7565738513242158E-2</v>
      </c>
      <c r="G224" s="60">
        <f t="shared" si="21"/>
        <v>4.3517393785533362E-2</v>
      </c>
      <c r="H224" s="60">
        <f t="shared" si="21"/>
        <v>4.9433310658918136E-2</v>
      </c>
      <c r="I224" s="60">
        <f t="shared" si="21"/>
        <v>5.2847429894997126E-2</v>
      </c>
      <c r="J224" s="63">
        <f t="shared" si="21"/>
        <v>5.6117766284063994E-2</v>
      </c>
      <c r="K224" s="60" t="str">
        <f t="shared" si="22"/>
        <v/>
      </c>
      <c r="L224" s="60">
        <f t="shared" si="22"/>
        <v>6.5475944855333621E-3</v>
      </c>
      <c r="M224" s="60">
        <f t="shared" si="22"/>
        <v>1.1785466758918135E-2</v>
      </c>
      <c r="N224" s="60">
        <f t="shared" si="22"/>
        <v>1.4170362994997129E-2</v>
      </c>
      <c r="O224" s="63">
        <f t="shared" si="22"/>
        <v>1.6101824984063991E-2</v>
      </c>
      <c r="P224" s="55" t="s">
        <v>248</v>
      </c>
      <c r="Q224" s="53" t="s">
        <v>249</v>
      </c>
      <c r="R224" s="94">
        <v>47543</v>
      </c>
      <c r="S224" s="73">
        <v>4.4885309999999998E-2</v>
      </c>
      <c r="T224" s="63">
        <f t="shared" si="20"/>
        <v>4.5480006589181388E-3</v>
      </c>
      <c r="V224" s="114">
        <v>1.1358850199999999</v>
      </c>
      <c r="W224" s="72">
        <v>2.8833770699999999</v>
      </c>
      <c r="X224" s="72">
        <v>4.4251048400000004</v>
      </c>
      <c r="Y224" s="72">
        <v>5.7488199400000006</v>
      </c>
      <c r="Z224" s="115">
        <v>7.3929611199999998</v>
      </c>
      <c r="AB224" s="71">
        <v>3.7565738513242158E-2</v>
      </c>
      <c r="AC224" s="71">
        <v>4.3517393785533362E-2</v>
      </c>
      <c r="AD224" s="71">
        <v>4.9433310658918136E-2</v>
      </c>
      <c r="AE224" s="71">
        <v>5.2847429894997126E-2</v>
      </c>
      <c r="AF224" s="63">
        <v>5.6117766284063994E-2</v>
      </c>
      <c r="AG224" s="71" t="s">
        <v>21</v>
      </c>
      <c r="AH224" s="71">
        <v>6.5475944855333621E-3</v>
      </c>
      <c r="AI224" s="71">
        <v>1.1785466758918135E-2</v>
      </c>
      <c r="AJ224" s="71">
        <v>1.4170362994997129E-2</v>
      </c>
      <c r="AK224" s="63">
        <v>1.6101824984063991E-2</v>
      </c>
    </row>
    <row r="225" spans="2:37" x14ac:dyDescent="0.35">
      <c r="B225" s="55" t="s">
        <v>254</v>
      </c>
      <c r="C225" s="53" t="s">
        <v>234</v>
      </c>
      <c r="D225" s="53" t="s">
        <v>20</v>
      </c>
      <c r="E225" s="53" t="s">
        <v>161</v>
      </c>
      <c r="F225" s="73">
        <f t="shared" ref="F225:J275" si="23">IF(ISNUMBER(AB225),AB225-((C$4-C$3)/V225),"")</f>
        <v>3.7706053015412536E-2</v>
      </c>
      <c r="G225" s="60">
        <f t="shared" si="23"/>
        <v>4.4129279938832526E-2</v>
      </c>
      <c r="H225" s="60">
        <f t="shared" si="23"/>
        <v>4.9432797260624328E-2</v>
      </c>
      <c r="I225" s="60">
        <f t="shared" si="23"/>
        <v>5.2376429217988248E-2</v>
      </c>
      <c r="J225" s="63">
        <f t="shared" si="23"/>
        <v>5.6059478656901293E-2</v>
      </c>
      <c r="K225" s="60" t="str">
        <f t="shared" ref="K225:O275" si="24">IF(ISNUMBER(AG225),IF(AG225-((C$4-C$3)/V225)&lt;0,"",AG225-((C$4-C$3)/V225)),"")</f>
        <v/>
      </c>
      <c r="L225" s="60">
        <f t="shared" si="24"/>
        <v>7.1262382388325345E-3</v>
      </c>
      <c r="M225" s="60">
        <f t="shared" si="24"/>
        <v>1.1780191560624329E-2</v>
      </c>
      <c r="N225" s="60">
        <f t="shared" si="24"/>
        <v>1.3715319017988257E-2</v>
      </c>
      <c r="O225" s="63">
        <f t="shared" si="24"/>
        <v>1.6031653356901293E-2</v>
      </c>
      <c r="P225" s="55" t="s">
        <v>545</v>
      </c>
      <c r="Q225" s="53" t="s">
        <v>546</v>
      </c>
      <c r="R225" s="94">
        <v>47545</v>
      </c>
      <c r="S225" s="73">
        <v>4.4069779999999996E-2</v>
      </c>
      <c r="T225" s="63">
        <f t="shared" si="20"/>
        <v>5.3630172606243323E-3</v>
      </c>
      <c r="V225" s="114">
        <v>1.1356882500000001</v>
      </c>
      <c r="W225" s="72">
        <v>2.8788542699999997</v>
      </c>
      <c r="X225" s="72">
        <v>4.4196847899999998</v>
      </c>
      <c r="Y225" s="72">
        <v>5.7516049899999997</v>
      </c>
      <c r="Z225" s="115">
        <v>7.4072916899999992</v>
      </c>
      <c r="AB225" s="71">
        <v>3.7706053015412536E-2</v>
      </c>
      <c r="AC225" s="71">
        <v>4.4129279938832526E-2</v>
      </c>
      <c r="AD225" s="71">
        <v>4.9432797260624328E-2</v>
      </c>
      <c r="AE225" s="71">
        <v>5.2376429217988248E-2</v>
      </c>
      <c r="AF225" s="63">
        <v>5.6059478656901293E-2</v>
      </c>
      <c r="AG225" s="71" t="s">
        <v>21</v>
      </c>
      <c r="AH225" s="71">
        <v>7.1262382388325345E-3</v>
      </c>
      <c r="AI225" s="71">
        <v>1.1780191560624329E-2</v>
      </c>
      <c r="AJ225" s="71">
        <v>1.3715319017988257E-2</v>
      </c>
      <c r="AK225" s="63">
        <v>1.6031653356901293E-2</v>
      </c>
    </row>
    <row r="226" spans="2:37" x14ac:dyDescent="0.35">
      <c r="B226" s="55" t="s">
        <v>347</v>
      </c>
      <c r="C226" s="53" t="s">
        <v>234</v>
      </c>
      <c r="D226" s="53" t="s">
        <v>97</v>
      </c>
      <c r="E226" s="53" t="s">
        <v>21</v>
      </c>
      <c r="F226" s="73">
        <f t="shared" si="23"/>
        <v>3.642528024390377E-2</v>
      </c>
      <c r="G226" s="60">
        <f t="shared" si="23"/>
        <v>4.2349466245840905E-2</v>
      </c>
      <c r="H226" s="60">
        <f t="shared" si="23"/>
        <v>4.8364050231574092E-2</v>
      </c>
      <c r="I226" s="60">
        <f t="shared" si="23"/>
        <v>5.1646288430723296E-2</v>
      </c>
      <c r="J226" s="63">
        <f t="shared" si="23"/>
        <v>5.523474191598806E-2</v>
      </c>
      <c r="K226" s="60" t="str">
        <f t="shared" si="24"/>
        <v/>
      </c>
      <c r="L226" s="60">
        <f t="shared" si="24"/>
        <v>5.4098206458409043E-3</v>
      </c>
      <c r="M226" s="60">
        <f t="shared" si="24"/>
        <v>1.0743437731574093E-2</v>
      </c>
      <c r="N226" s="60">
        <f t="shared" si="24"/>
        <v>1.3001487030723284E-2</v>
      </c>
      <c r="O226" s="63">
        <f t="shared" si="24"/>
        <v>1.5231427615988061E-2</v>
      </c>
      <c r="P226" s="55" t="s">
        <v>21</v>
      </c>
      <c r="Q226" s="53" t="s">
        <v>21</v>
      </c>
      <c r="R226" s="94" t="s">
        <v>21</v>
      </c>
      <c r="S226" s="73" t="s">
        <v>21</v>
      </c>
      <c r="T226" s="63" t="str">
        <f t="shared" si="20"/>
        <v/>
      </c>
      <c r="V226" s="114">
        <v>1.13709036</v>
      </c>
      <c r="W226" s="72">
        <v>2.8892004600000001</v>
      </c>
      <c r="X226" s="72">
        <v>4.4375111600000006</v>
      </c>
      <c r="Y226" s="72">
        <v>5.7716866300000005</v>
      </c>
      <c r="Z226" s="115">
        <v>7.4273596400000006</v>
      </c>
      <c r="AB226" s="71">
        <v>3.642528024390377E-2</v>
      </c>
      <c r="AC226" s="71">
        <v>4.2349466245840905E-2</v>
      </c>
      <c r="AD226" s="71">
        <v>4.8364050231574092E-2</v>
      </c>
      <c r="AE226" s="71">
        <v>5.1646288430723296E-2</v>
      </c>
      <c r="AF226" s="63">
        <v>5.523474191598806E-2</v>
      </c>
      <c r="AG226" s="71" t="s">
        <v>21</v>
      </c>
      <c r="AH226" s="71">
        <v>5.4098206458409043E-3</v>
      </c>
      <c r="AI226" s="71">
        <v>1.0743437731574093E-2</v>
      </c>
      <c r="AJ226" s="71">
        <v>1.3001487030723284E-2</v>
      </c>
      <c r="AK226" s="63">
        <v>1.5231427615988061E-2</v>
      </c>
    </row>
    <row r="227" spans="2:37" x14ac:dyDescent="0.35">
      <c r="B227" s="55" t="s">
        <v>350</v>
      </c>
      <c r="C227" s="53" t="s">
        <v>234</v>
      </c>
      <c r="D227" s="53" t="s">
        <v>20</v>
      </c>
      <c r="E227" s="53" t="s">
        <v>21</v>
      </c>
      <c r="F227" s="73">
        <f t="shared" si="23"/>
        <v>3.7087816169982135E-2</v>
      </c>
      <c r="G227" s="60">
        <f t="shared" si="23"/>
        <v>4.2924502308089099E-2</v>
      </c>
      <c r="H227" s="60">
        <f t="shared" si="23"/>
        <v>4.9103835104039574E-2</v>
      </c>
      <c r="I227" s="60">
        <f t="shared" si="23"/>
        <v>5.2540042348148436E-2</v>
      </c>
      <c r="J227" s="63">
        <f t="shared" si="23"/>
        <v>5.5463780613745808E-2</v>
      </c>
      <c r="K227" s="60" t="str">
        <f t="shared" si="24"/>
        <v/>
      </c>
      <c r="L227" s="60">
        <f t="shared" si="24"/>
        <v>5.9840325080891014E-3</v>
      </c>
      <c r="M227" s="60">
        <f t="shared" si="24"/>
        <v>1.1473923504039571E-2</v>
      </c>
      <c r="N227" s="60">
        <f t="shared" si="24"/>
        <v>1.387924174814844E-2</v>
      </c>
      <c r="O227" s="63">
        <f t="shared" si="24"/>
        <v>1.5477530013745813E-2</v>
      </c>
      <c r="P227" s="55" t="s">
        <v>386</v>
      </c>
      <c r="Q227" s="53" t="s">
        <v>387</v>
      </c>
      <c r="R227" s="94">
        <v>47802</v>
      </c>
      <c r="S227" s="73">
        <v>4.6777239999999998E-2</v>
      </c>
      <c r="T227" s="63">
        <f t="shared" si="20"/>
        <v>2.3265951040395763E-3</v>
      </c>
      <c r="V227" s="114">
        <v>1.1367597199999999</v>
      </c>
      <c r="W227" s="72">
        <v>2.8881861400000002</v>
      </c>
      <c r="X227" s="72">
        <v>4.4339309799999995</v>
      </c>
      <c r="Y227" s="72">
        <v>5.7614696399999996</v>
      </c>
      <c r="Z227" s="115">
        <v>7.4200336899999995</v>
      </c>
      <c r="AB227" s="71">
        <v>3.7087816169982135E-2</v>
      </c>
      <c r="AC227" s="71">
        <v>4.2924502308089099E-2</v>
      </c>
      <c r="AD227" s="71">
        <v>4.9103835104039574E-2</v>
      </c>
      <c r="AE227" s="71">
        <v>5.2540042348148436E-2</v>
      </c>
      <c r="AF227" s="63">
        <v>5.5463780613745808E-2</v>
      </c>
      <c r="AG227" s="71" t="s">
        <v>21</v>
      </c>
      <c r="AH227" s="71">
        <v>5.9840325080891014E-3</v>
      </c>
      <c r="AI227" s="71">
        <v>1.1473923504039571E-2</v>
      </c>
      <c r="AJ227" s="71">
        <v>1.387924174814844E-2</v>
      </c>
      <c r="AK227" s="63">
        <v>1.5477530013745813E-2</v>
      </c>
    </row>
    <row r="228" spans="2:37" x14ac:dyDescent="0.35">
      <c r="B228" s="55" t="s">
        <v>256</v>
      </c>
      <c r="C228" s="53" t="s">
        <v>234</v>
      </c>
      <c r="D228" s="53" t="s">
        <v>257</v>
      </c>
      <c r="E228" s="53" t="s">
        <v>103</v>
      </c>
      <c r="F228" s="73">
        <f t="shared" si="23"/>
        <v>3.6625149045286486E-2</v>
      </c>
      <c r="G228" s="60">
        <f t="shared" si="23"/>
        <v>4.2105149957723992E-2</v>
      </c>
      <c r="H228" s="60">
        <f t="shared" si="23"/>
        <v>4.804826831446686E-2</v>
      </c>
      <c r="I228" s="60">
        <f t="shared" si="23"/>
        <v>5.1576931889148338E-2</v>
      </c>
      <c r="J228" s="63">
        <f t="shared" si="23"/>
        <v>5.5026940231193026E-2</v>
      </c>
      <c r="K228" s="60" t="str">
        <f t="shared" si="24"/>
        <v/>
      </c>
      <c r="L228" s="60">
        <f t="shared" si="24"/>
        <v>5.1764630577239932E-3</v>
      </c>
      <c r="M228" s="60">
        <f t="shared" si="24"/>
        <v>1.044233481446687E-2</v>
      </c>
      <c r="N228" s="60">
        <f t="shared" si="24"/>
        <v>1.2934947589148343E-2</v>
      </c>
      <c r="O228" s="63">
        <f t="shared" si="24"/>
        <v>1.5033378831193031E-2</v>
      </c>
      <c r="P228" s="55" t="s">
        <v>547</v>
      </c>
      <c r="Q228" s="53" t="s">
        <v>548</v>
      </c>
      <c r="R228" s="94" t="s">
        <v>32</v>
      </c>
      <c r="S228" s="73">
        <v>4.3956179999999997E-2</v>
      </c>
      <c r="T228" s="63">
        <f t="shared" si="20"/>
        <v>4.0920883144668629E-3</v>
      </c>
      <c r="V228" s="114">
        <v>1.13669825</v>
      </c>
      <c r="W228" s="72">
        <v>2.8900404499999999</v>
      </c>
      <c r="X228" s="72">
        <v>4.4420293200000005</v>
      </c>
      <c r="Y228" s="72">
        <v>5.7776473900000003</v>
      </c>
      <c r="Z228" s="115">
        <v>7.4372688500000006</v>
      </c>
      <c r="AB228" s="71">
        <v>3.6625149045286486E-2</v>
      </c>
      <c r="AC228" s="71">
        <v>4.2105149957723992E-2</v>
      </c>
      <c r="AD228" s="71">
        <v>4.804826831446686E-2</v>
      </c>
      <c r="AE228" s="71">
        <v>5.1576931889148338E-2</v>
      </c>
      <c r="AF228" s="63">
        <v>5.5026940231193026E-2</v>
      </c>
      <c r="AG228" s="71" t="s">
        <v>21</v>
      </c>
      <c r="AH228" s="71">
        <v>5.1764630577239932E-3</v>
      </c>
      <c r="AI228" s="71">
        <v>1.044233481446687E-2</v>
      </c>
      <c r="AJ228" s="71">
        <v>1.2934947589148343E-2</v>
      </c>
      <c r="AK228" s="63">
        <v>1.5033378831193031E-2</v>
      </c>
    </row>
    <row r="229" spans="2:37" x14ac:dyDescent="0.35">
      <c r="B229" s="55" t="s">
        <v>157</v>
      </c>
      <c r="C229" s="53" t="s">
        <v>234</v>
      </c>
      <c r="D229" s="53" t="s">
        <v>31</v>
      </c>
      <c r="E229" s="53" t="s">
        <v>549</v>
      </c>
      <c r="F229" s="73">
        <f t="shared" si="23"/>
        <v>3.6205611198605547E-2</v>
      </c>
      <c r="G229" s="60">
        <f t="shared" si="23"/>
        <v>4.1957851365365187E-2</v>
      </c>
      <c r="H229" s="60">
        <f t="shared" si="23"/>
        <v>4.7941925194686576E-2</v>
      </c>
      <c r="I229" s="60">
        <f t="shared" si="23"/>
        <v>5.1374982069116101E-2</v>
      </c>
      <c r="J229" s="63">
        <f t="shared" si="23"/>
        <v>5.48196508685799E-2</v>
      </c>
      <c r="K229" s="60" t="str">
        <f t="shared" si="24"/>
        <v/>
      </c>
      <c r="L229" s="60">
        <f t="shared" si="24"/>
        <v>5.0337161653651839E-3</v>
      </c>
      <c r="M229" s="60">
        <f t="shared" si="24"/>
        <v>1.0339807294686575E-2</v>
      </c>
      <c r="N229" s="60">
        <f t="shared" si="24"/>
        <v>1.2741733569116105E-2</v>
      </c>
      <c r="O229" s="63">
        <f t="shared" si="24"/>
        <v>1.4833940168579897E-2</v>
      </c>
      <c r="P229" s="55" t="s">
        <v>21</v>
      </c>
      <c r="Q229" s="53" t="s">
        <v>21</v>
      </c>
      <c r="R229" s="94" t="s">
        <v>21</v>
      </c>
      <c r="S229" s="73" t="s">
        <v>21</v>
      </c>
      <c r="T229" s="63" t="str">
        <f t="shared" si="20"/>
        <v/>
      </c>
      <c r="V229" s="114">
        <v>1.1375334100000001</v>
      </c>
      <c r="W229" s="72">
        <v>2.89242116</v>
      </c>
      <c r="X229" s="72">
        <v>4.4456568699999996</v>
      </c>
      <c r="Y229" s="72">
        <v>5.7839889399999995</v>
      </c>
      <c r="Z229" s="115">
        <v>7.4489077900000007</v>
      </c>
      <c r="AB229" s="71">
        <v>3.6205611198605547E-2</v>
      </c>
      <c r="AC229" s="71">
        <v>4.1957851365365187E-2</v>
      </c>
      <c r="AD229" s="71">
        <v>4.7941925194686576E-2</v>
      </c>
      <c r="AE229" s="71">
        <v>5.1374982069116101E-2</v>
      </c>
      <c r="AF229" s="63">
        <v>5.48196508685799E-2</v>
      </c>
      <c r="AG229" s="71" t="s">
        <v>21</v>
      </c>
      <c r="AH229" s="71">
        <v>5.0337161653651839E-3</v>
      </c>
      <c r="AI229" s="71">
        <v>1.0339807294686575E-2</v>
      </c>
      <c r="AJ229" s="71">
        <v>1.2741733569116105E-2</v>
      </c>
      <c r="AK229" s="63">
        <v>1.4833940168579897E-2</v>
      </c>
    </row>
    <row r="230" spans="2:37" x14ac:dyDescent="0.35">
      <c r="B230" s="55" t="s">
        <v>149</v>
      </c>
      <c r="C230" s="53" t="s">
        <v>234</v>
      </c>
      <c r="D230" s="53" t="s">
        <v>97</v>
      </c>
      <c r="E230" s="53" t="s">
        <v>346</v>
      </c>
      <c r="F230" s="73">
        <f t="shared" si="23"/>
        <v>3.6074707390767284E-2</v>
      </c>
      <c r="G230" s="60">
        <f t="shared" si="23"/>
        <v>4.2047242293021182E-2</v>
      </c>
      <c r="H230" s="60">
        <f t="shared" si="23"/>
        <v>4.7840308347895079E-2</v>
      </c>
      <c r="I230" s="60">
        <f t="shared" si="23"/>
        <v>5.1371358859525817E-2</v>
      </c>
      <c r="J230" s="63">
        <f t="shared" si="23"/>
        <v>5.4909481162591055E-2</v>
      </c>
      <c r="K230" s="60" t="str">
        <f t="shared" si="24"/>
        <v/>
      </c>
      <c r="L230" s="60">
        <f t="shared" si="24"/>
        <v>5.1204299930211784E-3</v>
      </c>
      <c r="M230" s="60">
        <f t="shared" si="24"/>
        <v>1.0243518947895082E-2</v>
      </c>
      <c r="N230" s="60">
        <f t="shared" si="24"/>
        <v>1.2738495659525818E-2</v>
      </c>
      <c r="O230" s="63">
        <f t="shared" si="24"/>
        <v>1.4920248162591056E-2</v>
      </c>
      <c r="P230" s="55" t="s">
        <v>550</v>
      </c>
      <c r="Q230" s="53" t="s">
        <v>551</v>
      </c>
      <c r="R230" s="94" t="s">
        <v>32</v>
      </c>
      <c r="S230" s="73">
        <v>4.6864030000000001E-2</v>
      </c>
      <c r="T230" s="63">
        <f t="shared" si="20"/>
        <v>9.7627834789507789E-4</v>
      </c>
      <c r="V230" s="114">
        <v>1.13776827</v>
      </c>
      <c r="W230" s="72">
        <v>2.8922641599999999</v>
      </c>
      <c r="X230" s="72">
        <v>4.4462925499999999</v>
      </c>
      <c r="Y230" s="72">
        <v>5.7849620100000001</v>
      </c>
      <c r="Z230" s="115">
        <v>7.4476767299999995</v>
      </c>
      <c r="AB230" s="71">
        <v>3.6074707390767284E-2</v>
      </c>
      <c r="AC230" s="71">
        <v>4.2047242293021182E-2</v>
      </c>
      <c r="AD230" s="71">
        <v>4.7840308347895079E-2</v>
      </c>
      <c r="AE230" s="71">
        <v>5.1371358859525817E-2</v>
      </c>
      <c r="AF230" s="63">
        <v>5.4909481162591055E-2</v>
      </c>
      <c r="AG230" s="71" t="s">
        <v>21</v>
      </c>
      <c r="AH230" s="71">
        <v>5.1204299930211784E-3</v>
      </c>
      <c r="AI230" s="71">
        <v>1.0243518947895082E-2</v>
      </c>
      <c r="AJ230" s="71">
        <v>1.2738495659525818E-2</v>
      </c>
      <c r="AK230" s="63">
        <v>1.4920248162591056E-2</v>
      </c>
    </row>
    <row r="231" spans="2:37" x14ac:dyDescent="0.35">
      <c r="B231" s="55" t="s">
        <v>260</v>
      </c>
      <c r="C231" s="53" t="s">
        <v>234</v>
      </c>
      <c r="D231" s="53" t="s">
        <v>43</v>
      </c>
      <c r="E231" s="53" t="s">
        <v>21</v>
      </c>
      <c r="F231" s="73">
        <f t="shared" si="23"/>
        <v>3.6814545108830345E-2</v>
      </c>
      <c r="G231" s="60">
        <f t="shared" si="23"/>
        <v>4.2307217636690778E-2</v>
      </c>
      <c r="H231" s="60">
        <f t="shared" si="23"/>
        <v>4.7851302681728478E-2</v>
      </c>
      <c r="I231" s="60">
        <f t="shared" si="23"/>
        <v>5.1092747408899512E-2</v>
      </c>
      <c r="J231" s="63">
        <f t="shared" si="23"/>
        <v>5.4528694174911213E-2</v>
      </c>
      <c r="K231" s="60" t="str">
        <f t="shared" si="24"/>
        <v/>
      </c>
      <c r="L231" s="60">
        <f t="shared" si="24"/>
        <v>5.3692435366907796E-3</v>
      </c>
      <c r="M231" s="60">
        <f t="shared" si="24"/>
        <v>1.0253551881728475E-2</v>
      </c>
      <c r="N231" s="60">
        <f t="shared" si="24"/>
        <v>1.2471418008899515E-2</v>
      </c>
      <c r="O231" s="63">
        <f t="shared" si="24"/>
        <v>1.4551765674911215E-2</v>
      </c>
      <c r="P231" s="55" t="s">
        <v>552</v>
      </c>
      <c r="Q231" s="53" t="s">
        <v>553</v>
      </c>
      <c r="R231" s="94" t="s">
        <v>32</v>
      </c>
      <c r="S231" s="73">
        <v>4.8669289999999997E-2</v>
      </c>
      <c r="T231" s="63">
        <f t="shared" si="20"/>
        <v>-8.1798731827151944E-4</v>
      </c>
      <c r="V231" s="114">
        <v>1.13634316</v>
      </c>
      <c r="W231" s="72">
        <v>2.8881677299999997</v>
      </c>
      <c r="X231" s="72">
        <v>4.4418049399999999</v>
      </c>
      <c r="Y231" s="72">
        <v>5.7847496099999995</v>
      </c>
      <c r="Z231" s="115">
        <v>7.4585788799999992</v>
      </c>
      <c r="AB231" s="71">
        <v>3.6814545108830345E-2</v>
      </c>
      <c r="AC231" s="71">
        <v>4.2307217636690778E-2</v>
      </c>
      <c r="AD231" s="71">
        <v>4.7851302681728478E-2</v>
      </c>
      <c r="AE231" s="71">
        <v>5.1092747408899512E-2</v>
      </c>
      <c r="AF231" s="63">
        <v>5.4528694174911213E-2</v>
      </c>
      <c r="AG231" s="71" t="s">
        <v>21</v>
      </c>
      <c r="AH231" s="71">
        <v>5.3692435366907796E-3</v>
      </c>
      <c r="AI231" s="71">
        <v>1.0253551881728475E-2</v>
      </c>
      <c r="AJ231" s="71">
        <v>1.2471418008899515E-2</v>
      </c>
      <c r="AK231" s="63">
        <v>1.4551765674911215E-2</v>
      </c>
    </row>
    <row r="232" spans="2:37" x14ac:dyDescent="0.35">
      <c r="B232" s="55" t="s">
        <v>324</v>
      </c>
      <c r="C232" s="53" t="s">
        <v>234</v>
      </c>
      <c r="D232" s="53" t="s">
        <v>31</v>
      </c>
      <c r="E232" s="53" t="s">
        <v>21</v>
      </c>
      <c r="F232" s="73">
        <f t="shared" si="23"/>
        <v>3.6045540329881942E-2</v>
      </c>
      <c r="G232" s="60">
        <f t="shared" si="23"/>
        <v>4.1791963160924275E-2</v>
      </c>
      <c r="H232" s="60">
        <f t="shared" si="23"/>
        <v>4.7731084323859002E-2</v>
      </c>
      <c r="I232" s="60">
        <f t="shared" si="23"/>
        <v>5.2032946113396393E-2</v>
      </c>
      <c r="J232" s="63">
        <f t="shared" si="23"/>
        <v>5.5499672779514043E-2</v>
      </c>
      <c r="K232" s="60" t="str">
        <f t="shared" si="24"/>
        <v/>
      </c>
      <c r="L232" s="60">
        <f t="shared" si="24"/>
        <v>4.8746572609242762E-3</v>
      </c>
      <c r="M232" s="60">
        <f t="shared" si="24"/>
        <v>1.0138394323859011E-2</v>
      </c>
      <c r="N232" s="60">
        <f t="shared" si="24"/>
        <v>1.3368693413396391E-2</v>
      </c>
      <c r="O232" s="63">
        <f t="shared" si="24"/>
        <v>1.5490144879514042E-2</v>
      </c>
      <c r="P232" s="55" t="s">
        <v>21</v>
      </c>
      <c r="Q232" s="53" t="s">
        <v>21</v>
      </c>
      <c r="R232" s="94" t="s">
        <v>21</v>
      </c>
      <c r="S232" s="73" t="s">
        <v>21</v>
      </c>
      <c r="T232" s="63" t="str">
        <f t="shared" si="20"/>
        <v/>
      </c>
      <c r="V232" s="114">
        <v>1.13784519</v>
      </c>
      <c r="W232" s="72">
        <v>2.8940005800000002</v>
      </c>
      <c r="X232" s="72">
        <v>4.4496243499999997</v>
      </c>
      <c r="Y232" s="72">
        <v>5.7792689500000005</v>
      </c>
      <c r="Z232" s="115">
        <v>7.42378596</v>
      </c>
      <c r="AB232" s="71">
        <v>3.6045540329881942E-2</v>
      </c>
      <c r="AC232" s="71">
        <v>4.1791963160924275E-2</v>
      </c>
      <c r="AD232" s="71">
        <v>4.7731084323859002E-2</v>
      </c>
      <c r="AE232" s="71">
        <v>5.2032946113396393E-2</v>
      </c>
      <c r="AF232" s="63">
        <v>5.5499672779514043E-2</v>
      </c>
      <c r="AG232" s="71" t="s">
        <v>21</v>
      </c>
      <c r="AH232" s="71">
        <v>4.8746572609242762E-3</v>
      </c>
      <c r="AI232" s="71">
        <v>1.0138394323859011E-2</v>
      </c>
      <c r="AJ232" s="71">
        <v>1.3368693413396391E-2</v>
      </c>
      <c r="AK232" s="63">
        <v>1.5490144879514042E-2</v>
      </c>
    </row>
    <row r="233" spans="2:37" x14ac:dyDescent="0.35">
      <c r="B233" s="55" t="s">
        <v>373</v>
      </c>
      <c r="C233" s="53" t="s">
        <v>234</v>
      </c>
      <c r="D233" s="53" t="s">
        <v>20</v>
      </c>
      <c r="E233" s="53" t="s">
        <v>554</v>
      </c>
      <c r="F233" s="73">
        <f t="shared" si="23"/>
        <v>3.6525224669676323E-2</v>
      </c>
      <c r="G233" s="60">
        <f t="shared" si="23"/>
        <v>4.1719830349933908E-2</v>
      </c>
      <c r="H233" s="60">
        <f t="shared" si="23"/>
        <v>4.6788356234076012E-2</v>
      </c>
      <c r="I233" s="60">
        <f t="shared" si="23"/>
        <v>4.9643176542389811E-2</v>
      </c>
      <c r="J233" s="63">
        <f t="shared" si="23"/>
        <v>5.2175817571047868E-2</v>
      </c>
      <c r="K233" s="60" t="str">
        <f t="shared" si="24"/>
        <v/>
      </c>
      <c r="L233" s="60">
        <f t="shared" si="24"/>
        <v>4.8278865499339074E-3</v>
      </c>
      <c r="M233" s="60">
        <f t="shared" si="24"/>
        <v>9.259211834076006E-3</v>
      </c>
      <c r="N233" s="60">
        <f t="shared" si="24"/>
        <v>1.1105121642389811E-2</v>
      </c>
      <c r="O233" s="63">
        <f t="shared" si="24"/>
        <v>1.2305236971047866E-2</v>
      </c>
      <c r="P233" s="55" t="s">
        <v>21</v>
      </c>
      <c r="Q233" s="53" t="s">
        <v>21</v>
      </c>
      <c r="R233" s="94" t="s">
        <v>21</v>
      </c>
      <c r="S233" s="73" t="s">
        <v>21</v>
      </c>
      <c r="T233" s="63" t="str">
        <f t="shared" si="20"/>
        <v/>
      </c>
      <c r="V233" s="114">
        <v>1.13785892</v>
      </c>
      <c r="W233" s="72">
        <v>2.8975174999999997</v>
      </c>
      <c r="X233" s="72">
        <v>4.4687574699999999</v>
      </c>
      <c r="Y233" s="72">
        <v>5.8407679799999999</v>
      </c>
      <c r="Z233" s="115">
        <v>7.585059750000001</v>
      </c>
      <c r="AB233" s="71">
        <v>3.6525224669676323E-2</v>
      </c>
      <c r="AC233" s="71">
        <v>4.1719830349933908E-2</v>
      </c>
      <c r="AD233" s="71">
        <v>4.6788356234076012E-2</v>
      </c>
      <c r="AE233" s="71">
        <v>4.9643176542389811E-2</v>
      </c>
      <c r="AF233" s="63">
        <v>5.2175817571047868E-2</v>
      </c>
      <c r="AG233" s="71" t="s">
        <v>21</v>
      </c>
      <c r="AH233" s="71">
        <v>4.8278865499339074E-3</v>
      </c>
      <c r="AI233" s="71">
        <v>9.259211834076006E-3</v>
      </c>
      <c r="AJ233" s="71">
        <v>1.1105121642389811E-2</v>
      </c>
      <c r="AK233" s="63">
        <v>1.2305236971047866E-2</v>
      </c>
    </row>
    <row r="234" spans="2:37" x14ac:dyDescent="0.35">
      <c r="B234" s="55" t="s">
        <v>352</v>
      </c>
      <c r="C234" s="53" t="s">
        <v>234</v>
      </c>
      <c r="D234" s="53" t="s">
        <v>20</v>
      </c>
      <c r="E234" s="53" t="s">
        <v>21</v>
      </c>
      <c r="F234" s="73">
        <f t="shared" si="23"/>
        <v>3.6923016705415757E-2</v>
      </c>
      <c r="G234" s="60">
        <f t="shared" si="23"/>
        <v>4.27847032070022E-2</v>
      </c>
      <c r="H234" s="60">
        <f t="shared" si="23"/>
        <v>4.8740086085491997E-2</v>
      </c>
      <c r="I234" s="60">
        <f t="shared" si="23"/>
        <v>5.2471702198513E-2</v>
      </c>
      <c r="J234" s="63">
        <f t="shared" si="23"/>
        <v>5.5728237922451601E-2</v>
      </c>
      <c r="K234" s="60" t="str">
        <f t="shared" si="24"/>
        <v/>
      </c>
      <c r="L234" s="60">
        <f t="shared" si="24"/>
        <v>5.8443879070022011E-3</v>
      </c>
      <c r="M234" s="60">
        <f t="shared" si="24"/>
        <v>1.1122705585491995E-2</v>
      </c>
      <c r="N234" s="60">
        <f t="shared" si="24"/>
        <v>1.3810373298513002E-2</v>
      </c>
      <c r="O234" s="63">
        <f t="shared" si="24"/>
        <v>1.5728823022451599E-2</v>
      </c>
      <c r="P234" s="55" t="s">
        <v>21</v>
      </c>
      <c r="Q234" s="53" t="s">
        <v>21</v>
      </c>
      <c r="R234" s="94" t="s">
        <v>21</v>
      </c>
      <c r="S234" s="73" t="s">
        <v>21</v>
      </c>
      <c r="T234" s="63" t="str">
        <f t="shared" si="20"/>
        <v/>
      </c>
      <c r="V234" s="114">
        <v>1.1371552999999999</v>
      </c>
      <c r="W234" s="72">
        <v>2.8904329</v>
      </c>
      <c r="X234" s="72">
        <v>4.4405918399999997</v>
      </c>
      <c r="Y234" s="72">
        <v>5.7693523500000001</v>
      </c>
      <c r="Z234" s="115">
        <v>7.4205633300000002</v>
      </c>
      <c r="AB234" s="71">
        <v>3.6923016705415757E-2</v>
      </c>
      <c r="AC234" s="71">
        <v>4.27847032070022E-2</v>
      </c>
      <c r="AD234" s="71">
        <v>4.8740086085491997E-2</v>
      </c>
      <c r="AE234" s="71">
        <v>5.2471702198513E-2</v>
      </c>
      <c r="AF234" s="63">
        <v>5.5728237922451601E-2</v>
      </c>
      <c r="AG234" s="71" t="s">
        <v>21</v>
      </c>
      <c r="AH234" s="71">
        <v>5.8443879070022011E-3</v>
      </c>
      <c r="AI234" s="71">
        <v>1.1122705585491995E-2</v>
      </c>
      <c r="AJ234" s="71">
        <v>1.3810373298513002E-2</v>
      </c>
      <c r="AK234" s="63">
        <v>1.5728823022451599E-2</v>
      </c>
    </row>
    <row r="235" spans="2:37" x14ac:dyDescent="0.35">
      <c r="B235" s="55" t="s">
        <v>158</v>
      </c>
      <c r="C235" s="53" t="s">
        <v>234</v>
      </c>
      <c r="D235" s="53" t="s">
        <v>31</v>
      </c>
      <c r="E235" s="53" t="s">
        <v>21</v>
      </c>
      <c r="F235" s="73">
        <f t="shared" si="23"/>
        <v>3.6718643179808524E-2</v>
      </c>
      <c r="G235" s="60">
        <f t="shared" si="23"/>
        <v>4.2042838250123768E-2</v>
      </c>
      <c r="H235" s="60">
        <f t="shared" si="23"/>
        <v>4.7690858931992458E-2</v>
      </c>
      <c r="I235" s="60">
        <f t="shared" si="23"/>
        <v>5.0982816198172763E-2</v>
      </c>
      <c r="J235" s="63">
        <f t="shared" si="23"/>
        <v>5.41362654920058E-2</v>
      </c>
      <c r="K235" s="60" t="str">
        <f t="shared" si="24"/>
        <v/>
      </c>
      <c r="L235" s="60">
        <f t="shared" si="24"/>
        <v>5.1143725501237615E-3</v>
      </c>
      <c r="M235" s="60">
        <f t="shared" si="24"/>
        <v>1.009916363199246E-2</v>
      </c>
      <c r="N235" s="60">
        <f t="shared" si="24"/>
        <v>1.2365613498172761E-2</v>
      </c>
      <c r="O235" s="63">
        <f t="shared" si="24"/>
        <v>1.4175656692005795E-2</v>
      </c>
      <c r="P235" s="55" t="s">
        <v>21</v>
      </c>
      <c r="Q235" s="53" t="s">
        <v>21</v>
      </c>
      <c r="R235" s="94" t="s">
        <v>21</v>
      </c>
      <c r="S235" s="73" t="s">
        <v>21</v>
      </c>
      <c r="T235" s="63" t="str">
        <f t="shared" si="20"/>
        <v/>
      </c>
      <c r="V235" s="114">
        <v>1.13655613</v>
      </c>
      <c r="W235" s="72">
        <v>2.8901970299999999</v>
      </c>
      <c r="X235" s="72">
        <v>4.4459455999999999</v>
      </c>
      <c r="Y235" s="72">
        <v>5.7904503099999998</v>
      </c>
      <c r="Z235" s="115">
        <v>7.4729956599999996</v>
      </c>
      <c r="AB235" s="71">
        <v>3.6718643179808524E-2</v>
      </c>
      <c r="AC235" s="71">
        <v>4.2042838250123768E-2</v>
      </c>
      <c r="AD235" s="71">
        <v>4.7690858931992458E-2</v>
      </c>
      <c r="AE235" s="71">
        <v>5.0982816198172763E-2</v>
      </c>
      <c r="AF235" s="63">
        <v>5.41362654920058E-2</v>
      </c>
      <c r="AG235" s="71" t="s">
        <v>21</v>
      </c>
      <c r="AH235" s="71">
        <v>5.1143725501237615E-3</v>
      </c>
      <c r="AI235" s="71">
        <v>1.009916363199246E-2</v>
      </c>
      <c r="AJ235" s="71">
        <v>1.2365613498172761E-2</v>
      </c>
      <c r="AK235" s="63">
        <v>1.4175656692005795E-2</v>
      </c>
    </row>
    <row r="236" spans="2:37" x14ac:dyDescent="0.35">
      <c r="B236" s="55" t="s">
        <v>372</v>
      </c>
      <c r="C236" s="53" t="s">
        <v>234</v>
      </c>
      <c r="D236" s="53" t="s">
        <v>69</v>
      </c>
      <c r="E236" s="53" t="s">
        <v>258</v>
      </c>
      <c r="F236" s="73">
        <f t="shared" si="23"/>
        <v>3.6200398370663536E-2</v>
      </c>
      <c r="G236" s="60">
        <f t="shared" si="23"/>
        <v>4.1917458403612856E-2</v>
      </c>
      <c r="H236" s="60">
        <f t="shared" si="23"/>
        <v>4.7681380586740631E-2</v>
      </c>
      <c r="I236" s="60">
        <f t="shared" si="23"/>
        <v>5.0780501524994512E-2</v>
      </c>
      <c r="J236" s="63">
        <f t="shared" si="23"/>
        <v>5.3599748701852849E-2</v>
      </c>
      <c r="K236" s="60" t="str">
        <f t="shared" si="24"/>
        <v/>
      </c>
      <c r="L236" s="60">
        <f t="shared" si="24"/>
        <v>4.9969223036128562E-3</v>
      </c>
      <c r="M236" s="60">
        <f t="shared" si="24"/>
        <v>1.0092212986740632E-2</v>
      </c>
      <c r="N236" s="60">
        <f t="shared" si="24"/>
        <v>1.2174629724994512E-2</v>
      </c>
      <c r="O236" s="63">
        <f t="shared" si="24"/>
        <v>1.366232940185285E-2</v>
      </c>
      <c r="P236" s="55" t="s">
        <v>21</v>
      </c>
      <c r="Q236" s="53" t="s">
        <v>21</v>
      </c>
      <c r="R236" s="94" t="s">
        <v>21</v>
      </c>
      <c r="S236" s="73" t="s">
        <v>21</v>
      </c>
      <c r="T236" s="63" t="str">
        <f t="shared" si="20"/>
        <v/>
      </c>
      <c r="V236" s="114">
        <v>1.13751409</v>
      </c>
      <c r="W236" s="72">
        <v>2.8926283800000001</v>
      </c>
      <c r="X236" s="72">
        <v>4.4485259800000003</v>
      </c>
      <c r="Y236" s="72">
        <v>5.7954823099999997</v>
      </c>
      <c r="Z236" s="115">
        <v>7.49102275</v>
      </c>
      <c r="AB236" s="71">
        <v>3.6200398370663536E-2</v>
      </c>
      <c r="AC236" s="71">
        <v>4.1917458403612856E-2</v>
      </c>
      <c r="AD236" s="71">
        <v>4.7681380586740631E-2</v>
      </c>
      <c r="AE236" s="71">
        <v>5.0780501524994512E-2</v>
      </c>
      <c r="AF236" s="63">
        <v>5.3599748701852849E-2</v>
      </c>
      <c r="AG236" s="71" t="s">
        <v>21</v>
      </c>
      <c r="AH236" s="71">
        <v>4.9969223036128562E-3</v>
      </c>
      <c r="AI236" s="71">
        <v>1.0092212986740632E-2</v>
      </c>
      <c r="AJ236" s="71">
        <v>1.2174629724994512E-2</v>
      </c>
      <c r="AK236" s="63">
        <v>1.366232940185285E-2</v>
      </c>
    </row>
    <row r="237" spans="2:37" x14ac:dyDescent="0.35">
      <c r="B237" s="55" t="s">
        <v>365</v>
      </c>
      <c r="C237" s="53" t="s">
        <v>234</v>
      </c>
      <c r="D237" s="53" t="s">
        <v>69</v>
      </c>
      <c r="E237" s="53" t="s">
        <v>21</v>
      </c>
      <c r="F237" s="73">
        <f t="shared" si="23"/>
        <v>3.6637110958078083E-2</v>
      </c>
      <c r="G237" s="60">
        <f t="shared" si="23"/>
        <v>4.1872259675506965E-2</v>
      </c>
      <c r="H237" s="60">
        <f t="shared" si="23"/>
        <v>4.7476377383150095E-2</v>
      </c>
      <c r="I237" s="60">
        <f t="shared" si="23"/>
        <v>5.0675581365549005E-2</v>
      </c>
      <c r="J237" s="63">
        <f t="shared" si="23"/>
        <v>5.3634093082936367E-2</v>
      </c>
      <c r="K237" s="60" t="str">
        <f t="shared" si="24"/>
        <v/>
      </c>
      <c r="L237" s="60">
        <f t="shared" si="24"/>
        <v>4.9532520755069618E-3</v>
      </c>
      <c r="M237" s="60">
        <f t="shared" si="24"/>
        <v>9.8958288831500988E-3</v>
      </c>
      <c r="N237" s="60">
        <f t="shared" si="24"/>
        <v>1.2073219365549006E-2</v>
      </c>
      <c r="O237" s="63">
        <f t="shared" si="24"/>
        <v>1.3693935082936365E-2</v>
      </c>
      <c r="P237" s="55" t="s">
        <v>21</v>
      </c>
      <c r="Q237" s="53" t="s">
        <v>21</v>
      </c>
      <c r="R237" s="94" t="s">
        <v>21</v>
      </c>
      <c r="S237" s="73" t="s">
        <v>21</v>
      </c>
      <c r="T237" s="63" t="str">
        <f t="shared" si="20"/>
        <v/>
      </c>
      <c r="V237" s="114">
        <v>1.13667875</v>
      </c>
      <c r="W237" s="72">
        <v>2.8914611300000002</v>
      </c>
      <c r="X237" s="72">
        <v>4.4496347199999997</v>
      </c>
      <c r="Y237" s="72">
        <v>5.7985824900000003</v>
      </c>
      <c r="Z237" s="115">
        <v>7.4936032099999998</v>
      </c>
      <c r="AB237" s="71">
        <v>3.6637110958078083E-2</v>
      </c>
      <c r="AC237" s="71">
        <v>4.1872259675506965E-2</v>
      </c>
      <c r="AD237" s="71">
        <v>4.7476377383150095E-2</v>
      </c>
      <c r="AE237" s="71">
        <v>5.0675581365549005E-2</v>
      </c>
      <c r="AF237" s="63">
        <v>5.3634093082936367E-2</v>
      </c>
      <c r="AG237" s="71" t="s">
        <v>21</v>
      </c>
      <c r="AH237" s="71">
        <v>4.9532520755069618E-3</v>
      </c>
      <c r="AI237" s="71">
        <v>9.8958288831500988E-3</v>
      </c>
      <c r="AJ237" s="71">
        <v>1.2073219365549006E-2</v>
      </c>
      <c r="AK237" s="63">
        <v>1.3693935082936365E-2</v>
      </c>
    </row>
    <row r="238" spans="2:37" x14ac:dyDescent="0.35">
      <c r="B238" s="55" t="s">
        <v>373</v>
      </c>
      <c r="C238" s="53" t="s">
        <v>234</v>
      </c>
      <c r="D238" s="53" t="s">
        <v>20</v>
      </c>
      <c r="E238" s="53" t="s">
        <v>251</v>
      </c>
      <c r="F238" s="73">
        <f t="shared" si="23"/>
        <v>3.6525224669676323E-2</v>
      </c>
      <c r="G238" s="60">
        <f t="shared" si="23"/>
        <v>4.1719830349933908E-2</v>
      </c>
      <c r="H238" s="60">
        <f t="shared" si="23"/>
        <v>4.6788356234076012E-2</v>
      </c>
      <c r="I238" s="60">
        <f t="shared" si="23"/>
        <v>4.9643176542389811E-2</v>
      </c>
      <c r="J238" s="63">
        <f t="shared" si="23"/>
        <v>5.2175817571047868E-2</v>
      </c>
      <c r="K238" s="60" t="str">
        <f t="shared" si="24"/>
        <v/>
      </c>
      <c r="L238" s="60">
        <f t="shared" si="24"/>
        <v>4.8278865499339074E-3</v>
      </c>
      <c r="M238" s="60">
        <f t="shared" si="24"/>
        <v>9.259211834076006E-3</v>
      </c>
      <c r="N238" s="60">
        <f t="shared" si="24"/>
        <v>1.1105121642389811E-2</v>
      </c>
      <c r="O238" s="63">
        <f t="shared" si="24"/>
        <v>1.2305236971047866E-2</v>
      </c>
      <c r="P238" s="55" t="s">
        <v>21</v>
      </c>
      <c r="Q238" s="53" t="s">
        <v>21</v>
      </c>
      <c r="R238" s="94" t="s">
        <v>21</v>
      </c>
      <c r="S238" s="73" t="s">
        <v>21</v>
      </c>
      <c r="T238" s="63" t="str">
        <f t="shared" si="20"/>
        <v/>
      </c>
      <c r="V238" s="114">
        <v>1.13785892</v>
      </c>
      <c r="W238" s="72">
        <v>2.8975174999999997</v>
      </c>
      <c r="X238" s="72">
        <v>4.4687574699999999</v>
      </c>
      <c r="Y238" s="72">
        <v>5.8407679799999999</v>
      </c>
      <c r="Z238" s="115">
        <v>7.585059750000001</v>
      </c>
      <c r="AB238" s="71">
        <v>3.6525224669676323E-2</v>
      </c>
      <c r="AC238" s="71">
        <v>4.1719830349933908E-2</v>
      </c>
      <c r="AD238" s="71">
        <v>4.6788356234076012E-2</v>
      </c>
      <c r="AE238" s="71">
        <v>4.9643176542389811E-2</v>
      </c>
      <c r="AF238" s="63">
        <v>5.2175817571047868E-2</v>
      </c>
      <c r="AG238" s="71" t="s">
        <v>21</v>
      </c>
      <c r="AH238" s="71">
        <v>4.8278865499339074E-3</v>
      </c>
      <c r="AI238" s="71">
        <v>9.259211834076006E-3</v>
      </c>
      <c r="AJ238" s="71">
        <v>1.1105121642389811E-2</v>
      </c>
      <c r="AK238" s="63">
        <v>1.2305236971047866E-2</v>
      </c>
    </row>
    <row r="239" spans="2:37" x14ac:dyDescent="0.35">
      <c r="B239" s="55" t="s">
        <v>357</v>
      </c>
      <c r="C239" s="53" t="s">
        <v>234</v>
      </c>
      <c r="D239" s="53" t="s">
        <v>20</v>
      </c>
      <c r="E239" s="53" t="s">
        <v>58</v>
      </c>
      <c r="F239" s="73">
        <f t="shared" si="23"/>
        <v>3.7459845905948225E-2</v>
      </c>
      <c r="G239" s="60">
        <f t="shared" si="23"/>
        <v>4.3430838510719209E-2</v>
      </c>
      <c r="H239" s="60">
        <f t="shared" si="23"/>
        <v>4.9591773396706035E-2</v>
      </c>
      <c r="I239" s="60">
        <f t="shared" si="23"/>
        <v>5.3096006436467107E-2</v>
      </c>
      <c r="J239" s="63">
        <f t="shared" si="23"/>
        <v>5.6383211351727636E-2</v>
      </c>
      <c r="K239" s="60" t="str">
        <f t="shared" si="24"/>
        <v/>
      </c>
      <c r="L239" s="60">
        <f t="shared" si="24"/>
        <v>6.4638621107192106E-3</v>
      </c>
      <c r="M239" s="60">
        <f t="shared" si="24"/>
        <v>1.1935482096706026E-2</v>
      </c>
      <c r="N239" s="60">
        <f t="shared" si="24"/>
        <v>1.4406118836467105E-2</v>
      </c>
      <c r="O239" s="63">
        <f t="shared" si="24"/>
        <v>1.6355712051727634E-2</v>
      </c>
      <c r="P239" s="55" t="s">
        <v>21</v>
      </c>
      <c r="Q239" s="53" t="s">
        <v>21</v>
      </c>
      <c r="R239" s="94" t="s">
        <v>21</v>
      </c>
      <c r="S239" s="73" t="s">
        <v>21</v>
      </c>
      <c r="T239" s="63" t="str">
        <f t="shared" si="20"/>
        <v/>
      </c>
      <c r="V239" s="114">
        <v>1.1360834900000001</v>
      </c>
      <c r="W239" s="72">
        <v>2.88322346</v>
      </c>
      <c r="X239" s="72">
        <v>4.4239999499999998</v>
      </c>
      <c r="Y239" s="72">
        <v>5.7435973899999997</v>
      </c>
      <c r="Z239" s="115">
        <v>7.3798841299999998</v>
      </c>
      <c r="AB239" s="71">
        <v>3.7459845905948225E-2</v>
      </c>
      <c r="AC239" s="71">
        <v>4.3430838510719209E-2</v>
      </c>
      <c r="AD239" s="71">
        <v>4.9591773396706035E-2</v>
      </c>
      <c r="AE239" s="71">
        <v>5.3096006436467107E-2</v>
      </c>
      <c r="AF239" s="63">
        <v>5.6383211351727636E-2</v>
      </c>
      <c r="AG239" s="71" t="s">
        <v>21</v>
      </c>
      <c r="AH239" s="71">
        <v>6.4638621107192106E-3</v>
      </c>
      <c r="AI239" s="71">
        <v>1.1935482096706026E-2</v>
      </c>
      <c r="AJ239" s="71">
        <v>1.4406118836467105E-2</v>
      </c>
      <c r="AK239" s="63">
        <v>1.6355712051727634E-2</v>
      </c>
    </row>
    <row r="240" spans="2:37" x14ac:dyDescent="0.35">
      <c r="B240" s="55" t="s">
        <v>263</v>
      </c>
      <c r="C240" s="53" t="s">
        <v>234</v>
      </c>
      <c r="D240" s="53" t="s">
        <v>62</v>
      </c>
      <c r="E240" s="53" t="s">
        <v>128</v>
      </c>
      <c r="F240" s="73">
        <f t="shared" si="23"/>
        <v>3.6653070300235215E-2</v>
      </c>
      <c r="G240" s="60">
        <f t="shared" si="23"/>
        <v>4.193558122205053E-2</v>
      </c>
      <c r="H240" s="60">
        <f t="shared" si="23"/>
        <v>4.7375097303977001E-2</v>
      </c>
      <c r="I240" s="60">
        <f t="shared" si="23"/>
        <v>5.0527252880349746E-2</v>
      </c>
      <c r="J240" s="63">
        <f t="shared" si="23"/>
        <v>5.3481474005333873E-2</v>
      </c>
      <c r="K240" s="60" t="str">
        <f t="shared" si="24"/>
        <v/>
      </c>
      <c r="L240" s="60">
        <f t="shared" si="24"/>
        <v>5.0143103220505339E-3</v>
      </c>
      <c r="M240" s="60">
        <f t="shared" si="24"/>
        <v>9.7992345039770133E-3</v>
      </c>
      <c r="N240" s="60">
        <f t="shared" si="24"/>
        <v>1.1931251280349751E-2</v>
      </c>
      <c r="O240" s="63">
        <f t="shared" si="24"/>
        <v>1.3546405205333878E-2</v>
      </c>
      <c r="P240" s="55" t="s">
        <v>555</v>
      </c>
      <c r="Q240" s="53" t="s">
        <v>556</v>
      </c>
      <c r="R240" s="94">
        <v>47649</v>
      </c>
      <c r="S240" s="73">
        <v>4.298536E-2</v>
      </c>
      <c r="T240" s="63">
        <f t="shared" si="20"/>
        <v>4.389737303977001E-3</v>
      </c>
      <c r="V240" s="114">
        <v>1.13664148</v>
      </c>
      <c r="W240" s="72">
        <v>2.8909985799999998</v>
      </c>
      <c r="X240" s="72">
        <v>4.4500647099999995</v>
      </c>
      <c r="Y240" s="72">
        <v>5.8013448500000004</v>
      </c>
      <c r="Z240" s="115">
        <v>7.5006312300000006</v>
      </c>
      <c r="AB240" s="71">
        <v>3.6653070300235215E-2</v>
      </c>
      <c r="AC240" s="71">
        <v>4.193558122205053E-2</v>
      </c>
      <c r="AD240" s="71">
        <v>4.7375097303977001E-2</v>
      </c>
      <c r="AE240" s="71">
        <v>5.0527252880349746E-2</v>
      </c>
      <c r="AF240" s="63">
        <v>5.3481474005333873E-2</v>
      </c>
      <c r="AG240" s="71" t="s">
        <v>21</v>
      </c>
      <c r="AH240" s="71">
        <v>5.0143103220505339E-3</v>
      </c>
      <c r="AI240" s="71">
        <v>9.7992345039770133E-3</v>
      </c>
      <c r="AJ240" s="71">
        <v>1.1931251280349751E-2</v>
      </c>
      <c r="AK240" s="63">
        <v>1.3546405205333878E-2</v>
      </c>
    </row>
    <row r="241" spans="2:37" x14ac:dyDescent="0.35">
      <c r="B241" s="55" t="s">
        <v>265</v>
      </c>
      <c r="C241" s="53" t="s">
        <v>234</v>
      </c>
      <c r="D241" s="53" t="s">
        <v>31</v>
      </c>
      <c r="E241" s="53" t="s">
        <v>21</v>
      </c>
      <c r="F241" s="73">
        <f t="shared" si="23"/>
        <v>3.6395640397801771E-2</v>
      </c>
      <c r="G241" s="60">
        <f t="shared" si="23"/>
        <v>4.1634733794171791E-2</v>
      </c>
      <c r="H241" s="60">
        <f t="shared" si="23"/>
        <v>4.7364724321632246E-2</v>
      </c>
      <c r="I241" s="60">
        <f t="shared" si="23"/>
        <v>5.0662713255812272E-2</v>
      </c>
      <c r="J241" s="63">
        <f t="shared" si="23"/>
        <v>5.3339880764940749E-2</v>
      </c>
      <c r="K241" s="60" t="str">
        <f t="shared" si="24"/>
        <v/>
      </c>
      <c r="L241" s="60">
        <f t="shared" si="24"/>
        <v>4.7260758941717936E-3</v>
      </c>
      <c r="M241" s="60">
        <f t="shared" si="24"/>
        <v>9.7895553216322453E-3</v>
      </c>
      <c r="N241" s="60">
        <f t="shared" si="24"/>
        <v>1.2061510255812268E-2</v>
      </c>
      <c r="O241" s="63">
        <f t="shared" si="24"/>
        <v>1.3413205664940749E-2</v>
      </c>
      <c r="P241" s="55" t="s">
        <v>21</v>
      </c>
      <c r="Q241" s="53" t="s">
        <v>21</v>
      </c>
      <c r="R241" s="94" t="s">
        <v>21</v>
      </c>
      <c r="S241" s="73" t="s">
        <v>21</v>
      </c>
      <c r="T241" s="63" t="str">
        <f t="shared" si="20"/>
        <v/>
      </c>
      <c r="V241" s="114">
        <v>1.1371383900000001</v>
      </c>
      <c r="W241" s="72">
        <v>2.8937416300000001</v>
      </c>
      <c r="X241" s="72">
        <v>4.4534198599999995</v>
      </c>
      <c r="Y241" s="72">
        <v>5.8024621700000001</v>
      </c>
      <c r="Z241" s="115">
        <v>7.503469710000001</v>
      </c>
      <c r="AB241" s="71">
        <v>3.6395640397801771E-2</v>
      </c>
      <c r="AC241" s="71">
        <v>4.1634733794171791E-2</v>
      </c>
      <c r="AD241" s="71">
        <v>4.7364724321632246E-2</v>
      </c>
      <c r="AE241" s="71">
        <v>5.0662713255812272E-2</v>
      </c>
      <c r="AF241" s="63">
        <v>5.3339880764940749E-2</v>
      </c>
      <c r="AG241" s="71" t="s">
        <v>21</v>
      </c>
      <c r="AH241" s="71">
        <v>4.7260758941717936E-3</v>
      </c>
      <c r="AI241" s="71">
        <v>9.7895553216322453E-3</v>
      </c>
      <c r="AJ241" s="71">
        <v>1.2061510255812268E-2</v>
      </c>
      <c r="AK241" s="63">
        <v>1.3413205664940749E-2</v>
      </c>
    </row>
    <row r="242" spans="2:37" x14ac:dyDescent="0.35">
      <c r="B242" s="55" t="s">
        <v>366</v>
      </c>
      <c r="C242" s="53" t="s">
        <v>234</v>
      </c>
      <c r="D242" s="53" t="s">
        <v>20</v>
      </c>
      <c r="E242" s="53" t="s">
        <v>21</v>
      </c>
      <c r="F242" s="73">
        <f t="shared" si="23"/>
        <v>3.6854028481200674E-2</v>
      </c>
      <c r="G242" s="60">
        <f t="shared" si="23"/>
        <v>4.2562488050663934E-2</v>
      </c>
      <c r="H242" s="60">
        <f t="shared" si="23"/>
        <v>4.8217526631784788E-2</v>
      </c>
      <c r="I242" s="60">
        <f t="shared" si="23"/>
        <v>5.1621933747006465E-2</v>
      </c>
      <c r="J242" s="63">
        <f t="shared" si="23"/>
        <v>5.5069941601973531E-2</v>
      </c>
      <c r="K242" s="60" t="str">
        <f t="shared" si="24"/>
        <v/>
      </c>
      <c r="L242" s="60">
        <f t="shared" si="24"/>
        <v>5.6334317506639411E-3</v>
      </c>
      <c r="M242" s="60">
        <f t="shared" si="24"/>
        <v>1.0624961831784794E-2</v>
      </c>
      <c r="N242" s="60">
        <f t="shared" si="24"/>
        <v>1.2999695747006473E-2</v>
      </c>
      <c r="O242" s="63">
        <f t="shared" si="24"/>
        <v>1.5094643001973525E-2</v>
      </c>
      <c r="P242" s="55" t="s">
        <v>392</v>
      </c>
      <c r="Q242" s="53" t="s">
        <v>393</v>
      </c>
      <c r="R242" s="94">
        <v>47710</v>
      </c>
      <c r="S242" s="73">
        <v>4.8029889999999999E-2</v>
      </c>
      <c r="T242" s="63">
        <f t="shared" si="20"/>
        <v>1.8763663178478912E-4</v>
      </c>
      <c r="V242" s="114">
        <v>1.13726858</v>
      </c>
      <c r="W242" s="72">
        <v>2.8918908800000001</v>
      </c>
      <c r="X242" s="72">
        <v>4.44758561</v>
      </c>
      <c r="Y242" s="72">
        <v>5.78905914</v>
      </c>
      <c r="Z242" s="115">
        <v>7.4583611899999998</v>
      </c>
      <c r="AB242" s="71">
        <v>3.6854028481200674E-2</v>
      </c>
      <c r="AC242" s="71">
        <v>4.2562488050663934E-2</v>
      </c>
      <c r="AD242" s="71">
        <v>4.8217526631784788E-2</v>
      </c>
      <c r="AE242" s="71">
        <v>5.1621933747006465E-2</v>
      </c>
      <c r="AF242" s="63">
        <v>5.5069941601973531E-2</v>
      </c>
      <c r="AG242" s="71" t="s">
        <v>21</v>
      </c>
      <c r="AH242" s="71">
        <v>5.6334317506639411E-3</v>
      </c>
      <c r="AI242" s="71">
        <v>1.0624961831784794E-2</v>
      </c>
      <c r="AJ242" s="71">
        <v>1.2999695747006473E-2</v>
      </c>
      <c r="AK242" s="63">
        <v>1.5094643001973525E-2</v>
      </c>
    </row>
    <row r="243" spans="2:37" x14ac:dyDescent="0.35">
      <c r="B243" s="55" t="s">
        <v>160</v>
      </c>
      <c r="C243" s="53" t="s">
        <v>234</v>
      </c>
      <c r="D243" s="53" t="s">
        <v>43</v>
      </c>
      <c r="E243" s="53" t="s">
        <v>21</v>
      </c>
      <c r="F243" s="73">
        <f t="shared" si="23"/>
        <v>3.6073577488778472E-2</v>
      </c>
      <c r="G243" s="60">
        <f t="shared" si="23"/>
        <v>4.1597285587592035E-2</v>
      </c>
      <c r="H243" s="60">
        <f t="shared" si="23"/>
        <v>4.7106199613379203E-2</v>
      </c>
      <c r="I243" s="60">
        <f t="shared" si="23"/>
        <v>5.0164961175876537E-2</v>
      </c>
      <c r="J243" s="63">
        <f t="shared" si="23"/>
        <v>5.2826816304343376E-2</v>
      </c>
      <c r="K243" s="60" t="str">
        <f t="shared" si="24"/>
        <v/>
      </c>
      <c r="L243" s="60">
        <f t="shared" si="24"/>
        <v>4.6898749875920343E-3</v>
      </c>
      <c r="M243" s="60">
        <f t="shared" si="24"/>
        <v>9.5421956133792049E-3</v>
      </c>
      <c r="N243" s="60">
        <f t="shared" si="24"/>
        <v>1.1585134775876547E-2</v>
      </c>
      <c r="O243" s="63">
        <f t="shared" si="24"/>
        <v>1.2917356404343376E-2</v>
      </c>
      <c r="P243" s="55" t="s">
        <v>557</v>
      </c>
      <c r="Q243" s="53" t="s">
        <v>558</v>
      </c>
      <c r="R243" s="94">
        <v>47557</v>
      </c>
      <c r="S243" s="73">
        <v>4.3674589999999999E-2</v>
      </c>
      <c r="T243" s="63">
        <f t="shared" si="20"/>
        <v>3.4316096133792037E-3</v>
      </c>
      <c r="V243" s="114">
        <v>1.13776422</v>
      </c>
      <c r="W243" s="72">
        <v>2.8950662499999997</v>
      </c>
      <c r="X243" s="72">
        <v>4.4573257900000005</v>
      </c>
      <c r="Y243" s="72">
        <v>5.8136438100000003</v>
      </c>
      <c r="Z243" s="115">
        <v>7.5287590200000007</v>
      </c>
      <c r="AB243" s="71">
        <v>3.6073577488778472E-2</v>
      </c>
      <c r="AC243" s="71">
        <v>4.1597285587592035E-2</v>
      </c>
      <c r="AD243" s="71">
        <v>4.7106199613379203E-2</v>
      </c>
      <c r="AE243" s="71">
        <v>5.0164961175876537E-2</v>
      </c>
      <c r="AF243" s="63">
        <v>5.2826816304343376E-2</v>
      </c>
      <c r="AG243" s="71" t="s">
        <v>21</v>
      </c>
      <c r="AH243" s="71">
        <v>4.6898749875920343E-3</v>
      </c>
      <c r="AI243" s="71">
        <v>9.5421956133792049E-3</v>
      </c>
      <c r="AJ243" s="71">
        <v>1.1585134775876547E-2</v>
      </c>
      <c r="AK243" s="63">
        <v>1.2917356404343376E-2</v>
      </c>
    </row>
    <row r="244" spans="2:37" x14ac:dyDescent="0.35">
      <c r="B244" s="55" t="s">
        <v>364</v>
      </c>
      <c r="C244" s="53" t="s">
        <v>234</v>
      </c>
      <c r="D244" s="53" t="s">
        <v>20</v>
      </c>
      <c r="E244" s="53" t="s">
        <v>21</v>
      </c>
      <c r="F244" s="73">
        <f t="shared" si="23"/>
        <v>3.6853363842041076E-2</v>
      </c>
      <c r="G244" s="60">
        <f t="shared" si="23"/>
        <v>4.2123945617042031E-2</v>
      </c>
      <c r="H244" s="60">
        <f t="shared" si="23"/>
        <v>4.8049502473443986E-2</v>
      </c>
      <c r="I244" s="60">
        <f t="shared" si="23"/>
        <v>5.1322337567450652E-2</v>
      </c>
      <c r="J244" s="63">
        <f t="shared" si="23"/>
        <v>5.4375872569120291E-2</v>
      </c>
      <c r="K244" s="60" t="str">
        <f t="shared" si="24"/>
        <v/>
      </c>
      <c r="L244" s="60">
        <f t="shared" si="24"/>
        <v>5.2135634170420303E-3</v>
      </c>
      <c r="M244" s="60">
        <f t="shared" si="24"/>
        <v>1.0464506073443985E-2</v>
      </c>
      <c r="N244" s="60">
        <f t="shared" si="24"/>
        <v>1.2714033767450649E-2</v>
      </c>
      <c r="O244" s="63">
        <f t="shared" si="24"/>
        <v>1.442919636912029E-2</v>
      </c>
      <c r="P244" s="55" t="s">
        <v>390</v>
      </c>
      <c r="Q244" s="53" t="s">
        <v>391</v>
      </c>
      <c r="R244" s="94">
        <v>47708</v>
      </c>
      <c r="S244" s="73">
        <v>4.4806660000000005E-2</v>
      </c>
      <c r="T244" s="63">
        <f t="shared" si="20"/>
        <v>3.2428424734439812E-3</v>
      </c>
      <c r="V244" s="114">
        <v>1.13726997</v>
      </c>
      <c r="W244" s="72">
        <v>2.89379857</v>
      </c>
      <c r="X244" s="72">
        <v>4.45275131</v>
      </c>
      <c r="Y244" s="72">
        <v>5.7981543100000001</v>
      </c>
      <c r="Z244" s="115">
        <v>7.48390442</v>
      </c>
      <c r="AB244" s="71">
        <v>3.6853363842041076E-2</v>
      </c>
      <c r="AC244" s="71">
        <v>4.2123945617042031E-2</v>
      </c>
      <c r="AD244" s="71">
        <v>4.8049502473443986E-2</v>
      </c>
      <c r="AE244" s="71">
        <v>5.1322337567450652E-2</v>
      </c>
      <c r="AF244" s="63">
        <v>5.4375872569120291E-2</v>
      </c>
      <c r="AG244" s="71" t="s">
        <v>21</v>
      </c>
      <c r="AH244" s="71">
        <v>5.2135634170420303E-3</v>
      </c>
      <c r="AI244" s="71">
        <v>1.0464506073443985E-2</v>
      </c>
      <c r="AJ244" s="71">
        <v>1.2714033767450649E-2</v>
      </c>
      <c r="AK244" s="63">
        <v>1.442919636912029E-2</v>
      </c>
    </row>
    <row r="245" spans="2:37" x14ac:dyDescent="0.35">
      <c r="B245" s="55" t="s">
        <v>362</v>
      </c>
      <c r="C245" s="53" t="s">
        <v>234</v>
      </c>
      <c r="D245" s="53" t="s">
        <v>20</v>
      </c>
      <c r="E245" s="53" t="s">
        <v>21</v>
      </c>
      <c r="F245" s="73">
        <f t="shared" si="23"/>
        <v>3.6737792460977657E-2</v>
      </c>
      <c r="G245" s="60">
        <f t="shared" si="23"/>
        <v>4.2565844984848208E-2</v>
      </c>
      <c r="H245" s="60">
        <f t="shared" si="23"/>
        <v>4.8058995138920091E-2</v>
      </c>
      <c r="I245" s="60">
        <f t="shared" si="23"/>
        <v>5.0985057533667534E-2</v>
      </c>
      <c r="J245" s="63">
        <f t="shared" si="23"/>
        <v>5.3692194704470043E-2</v>
      </c>
      <c r="K245" s="60" t="str">
        <f t="shared" si="24"/>
        <v/>
      </c>
      <c r="L245" s="60">
        <f t="shared" si="24"/>
        <v>5.6361238848482076E-3</v>
      </c>
      <c r="M245" s="60">
        <f t="shared" si="24"/>
        <v>1.0473080338920093E-2</v>
      </c>
      <c r="N245" s="60">
        <f t="shared" si="24"/>
        <v>1.2391289033667537E-2</v>
      </c>
      <c r="O245" s="63">
        <f t="shared" si="24"/>
        <v>1.3772080204470044E-2</v>
      </c>
      <c r="P245" s="55" t="s">
        <v>21</v>
      </c>
      <c r="Q245" s="53" t="s">
        <v>21</v>
      </c>
      <c r="R245" s="94" t="s">
        <v>21</v>
      </c>
      <c r="S245" s="73" t="s">
        <v>21</v>
      </c>
      <c r="T245" s="63" t="str">
        <f t="shared" si="20"/>
        <v/>
      </c>
      <c r="V245" s="114">
        <v>1.13748147</v>
      </c>
      <c r="W245" s="72">
        <v>2.8918518799999999</v>
      </c>
      <c r="X245" s="72">
        <v>4.4491125300000007</v>
      </c>
      <c r="Y245" s="72">
        <v>5.7983590999999999</v>
      </c>
      <c r="Z245" s="115">
        <v>7.4981384699999998</v>
      </c>
      <c r="AB245" s="71">
        <v>3.6737792460977657E-2</v>
      </c>
      <c r="AC245" s="71">
        <v>4.2565844984848208E-2</v>
      </c>
      <c r="AD245" s="71">
        <v>4.8058995138920091E-2</v>
      </c>
      <c r="AE245" s="71">
        <v>5.0985057533667534E-2</v>
      </c>
      <c r="AF245" s="63">
        <v>5.3692194704470043E-2</v>
      </c>
      <c r="AG245" s="71" t="s">
        <v>21</v>
      </c>
      <c r="AH245" s="71">
        <v>5.6361238848482076E-3</v>
      </c>
      <c r="AI245" s="71">
        <v>1.0473080338920093E-2</v>
      </c>
      <c r="AJ245" s="71">
        <v>1.2391289033667537E-2</v>
      </c>
      <c r="AK245" s="63">
        <v>1.3772080204470044E-2</v>
      </c>
    </row>
    <row r="246" spans="2:37" x14ac:dyDescent="0.35">
      <c r="B246" s="55" t="s">
        <v>363</v>
      </c>
      <c r="C246" s="53" t="s">
        <v>234</v>
      </c>
      <c r="D246" s="53" t="s">
        <v>20</v>
      </c>
      <c r="E246" s="53" t="s">
        <v>266</v>
      </c>
      <c r="F246" s="73">
        <f t="shared" si="23"/>
        <v>3.667755810398371E-2</v>
      </c>
      <c r="G246" s="60">
        <f t="shared" si="23"/>
        <v>4.2379148548199581E-2</v>
      </c>
      <c r="H246" s="60">
        <f t="shared" si="23"/>
        <v>4.8021254231440685E-2</v>
      </c>
      <c r="I246" s="60">
        <f t="shared" si="23"/>
        <v>5.1418030142000366E-2</v>
      </c>
      <c r="J246" s="63">
        <f t="shared" si="23"/>
        <v>5.4699600373339263E-2</v>
      </c>
      <c r="K246" s="60" t="str">
        <f t="shared" si="24"/>
        <v/>
      </c>
      <c r="L246" s="60">
        <f t="shared" si="24"/>
        <v>5.4590016481995875E-3</v>
      </c>
      <c r="M246" s="60">
        <f t="shared" si="24"/>
        <v>1.0438226031440689E-2</v>
      </c>
      <c r="N246" s="60">
        <f t="shared" si="24"/>
        <v>1.2804672742000358E-2</v>
      </c>
      <c r="O246" s="63">
        <f t="shared" si="24"/>
        <v>1.4739154073339261E-2</v>
      </c>
      <c r="P246" s="55" t="s">
        <v>21</v>
      </c>
      <c r="Q246" s="53" t="s">
        <v>21</v>
      </c>
      <c r="R246" s="94" t="s">
        <v>21</v>
      </c>
      <c r="S246" s="73" t="s">
        <v>21</v>
      </c>
      <c r="T246" s="63" t="str">
        <f t="shared" si="20"/>
        <v/>
      </c>
      <c r="V246" s="114">
        <v>1.1375719899999999</v>
      </c>
      <c r="W246" s="72">
        <v>2.8931482399999999</v>
      </c>
      <c r="X246" s="72">
        <v>4.45138093</v>
      </c>
      <c r="Y246" s="72">
        <v>5.7975146999999998</v>
      </c>
      <c r="Z246" s="115">
        <v>7.4763201599999993</v>
      </c>
      <c r="AB246" s="71">
        <v>3.667755810398371E-2</v>
      </c>
      <c r="AC246" s="71">
        <v>4.2379148548199581E-2</v>
      </c>
      <c r="AD246" s="71">
        <v>4.8021254231440685E-2</v>
      </c>
      <c r="AE246" s="71">
        <v>5.1418030142000366E-2</v>
      </c>
      <c r="AF246" s="63">
        <v>5.4699600373339263E-2</v>
      </c>
      <c r="AG246" s="71" t="s">
        <v>21</v>
      </c>
      <c r="AH246" s="71">
        <v>5.4590016481995875E-3</v>
      </c>
      <c r="AI246" s="71">
        <v>1.0438226031440689E-2</v>
      </c>
      <c r="AJ246" s="71">
        <v>1.2804672742000358E-2</v>
      </c>
      <c r="AK246" s="63">
        <v>1.4739154073339261E-2</v>
      </c>
    </row>
    <row r="247" spans="2:37" x14ac:dyDescent="0.35">
      <c r="B247" s="55" t="s">
        <v>375</v>
      </c>
      <c r="C247" s="53" t="s">
        <v>234</v>
      </c>
      <c r="D247" s="53" t="s">
        <v>20</v>
      </c>
      <c r="E247" s="53" t="s">
        <v>112</v>
      </c>
      <c r="F247" s="73">
        <f t="shared" si="23"/>
        <v>3.666433735364856E-2</v>
      </c>
      <c r="G247" s="60">
        <f t="shared" si="23"/>
        <v>4.1985704138085049E-2</v>
      </c>
      <c r="H247" s="60">
        <f t="shared" si="23"/>
        <v>4.7983239618029305E-2</v>
      </c>
      <c r="I247" s="60">
        <f t="shared" si="23"/>
        <v>5.1146193011699904E-2</v>
      </c>
      <c r="J247" s="63">
        <f t="shared" si="23"/>
        <v>5.4088976367907521E-2</v>
      </c>
      <c r="K247" s="60" t="str">
        <f t="shared" si="24"/>
        <v/>
      </c>
      <c r="L247" s="60">
        <f t="shared" si="24"/>
        <v>5.0810798380850394E-3</v>
      </c>
      <c r="M247" s="60">
        <f t="shared" si="24"/>
        <v>1.0401551718029313E-2</v>
      </c>
      <c r="N247" s="60">
        <f t="shared" si="24"/>
        <v>1.2546669911699896E-2</v>
      </c>
      <c r="O247" s="63">
        <f t="shared" si="24"/>
        <v>1.4153332967907516E-2</v>
      </c>
      <c r="P247" s="55" t="s">
        <v>398</v>
      </c>
      <c r="Q247" s="53" t="s">
        <v>399</v>
      </c>
      <c r="R247" s="94">
        <v>47825</v>
      </c>
      <c r="S247" s="73">
        <v>4.592193E-2</v>
      </c>
      <c r="T247" s="63">
        <f t="shared" si="20"/>
        <v>2.0613096180293056E-3</v>
      </c>
      <c r="V247" s="114">
        <v>1.13761011</v>
      </c>
      <c r="W247" s="72">
        <v>2.8956886599999998</v>
      </c>
      <c r="X247" s="72">
        <v>4.4545507500000001</v>
      </c>
      <c r="Y247" s="72">
        <v>5.8012522400000002</v>
      </c>
      <c r="Z247" s="115">
        <v>7.4953205999999994</v>
      </c>
      <c r="AB247" s="71">
        <v>3.666433735364856E-2</v>
      </c>
      <c r="AC247" s="71">
        <v>4.1985704138085049E-2</v>
      </c>
      <c r="AD247" s="71">
        <v>4.7983239618029305E-2</v>
      </c>
      <c r="AE247" s="71">
        <v>5.1146193011699904E-2</v>
      </c>
      <c r="AF247" s="63">
        <v>5.4088976367907521E-2</v>
      </c>
      <c r="AG247" s="71" t="s">
        <v>21</v>
      </c>
      <c r="AH247" s="71">
        <v>5.0810798380850394E-3</v>
      </c>
      <c r="AI247" s="71">
        <v>1.0401551718029313E-2</v>
      </c>
      <c r="AJ247" s="71">
        <v>1.2546669911699896E-2</v>
      </c>
      <c r="AK247" s="63">
        <v>1.4153332967907516E-2</v>
      </c>
    </row>
    <row r="248" spans="2:37" x14ac:dyDescent="0.35">
      <c r="B248" s="55" t="s">
        <v>355</v>
      </c>
      <c r="C248" s="53" t="s">
        <v>234</v>
      </c>
      <c r="D248" s="53" t="s">
        <v>20</v>
      </c>
      <c r="E248" s="53" t="s">
        <v>21</v>
      </c>
      <c r="F248" s="73">
        <f t="shared" si="23"/>
        <v>3.6506741124856967E-2</v>
      </c>
      <c r="G248" s="60">
        <f t="shared" si="23"/>
        <v>4.1879202583651937E-2</v>
      </c>
      <c r="H248" s="60">
        <f t="shared" si="23"/>
        <v>4.7864806664369111E-2</v>
      </c>
      <c r="I248" s="60">
        <f t="shared" si="23"/>
        <v>5.1651630195314852E-2</v>
      </c>
      <c r="J248" s="63">
        <f t="shared" si="23"/>
        <v>5.5150897911402194E-2</v>
      </c>
      <c r="K248" s="60" t="str">
        <f t="shared" si="24"/>
        <v/>
      </c>
      <c r="L248" s="60">
        <f t="shared" si="24"/>
        <v>4.9816513836519454E-3</v>
      </c>
      <c r="M248" s="60">
        <f t="shared" si="24"/>
        <v>1.029018806436912E-2</v>
      </c>
      <c r="N248" s="60">
        <f t="shared" si="24"/>
        <v>1.3030450295314848E-2</v>
      </c>
      <c r="O248" s="63">
        <f t="shared" si="24"/>
        <v>1.5176455711402189E-2</v>
      </c>
      <c r="P248" s="55" t="s">
        <v>21</v>
      </c>
      <c r="Q248" s="53" t="s">
        <v>21</v>
      </c>
      <c r="R248" s="94" t="s">
        <v>21</v>
      </c>
      <c r="S248" s="73" t="s">
        <v>21</v>
      </c>
      <c r="T248" s="63" t="str">
        <f t="shared" si="20"/>
        <v/>
      </c>
      <c r="V248" s="114">
        <v>1.1378897100000001</v>
      </c>
      <c r="W248" s="72">
        <v>2.8969655400000001</v>
      </c>
      <c r="X248" s="72">
        <v>4.4577530400000001</v>
      </c>
      <c r="Y248" s="72">
        <v>5.7984217600000001</v>
      </c>
      <c r="Z248" s="115">
        <v>7.4643775999999997</v>
      </c>
      <c r="AB248" s="71">
        <v>3.6506741124856967E-2</v>
      </c>
      <c r="AC248" s="71">
        <v>4.1879202583651937E-2</v>
      </c>
      <c r="AD248" s="71">
        <v>4.7864806664369111E-2</v>
      </c>
      <c r="AE248" s="71">
        <v>5.1651630195314852E-2</v>
      </c>
      <c r="AF248" s="63">
        <v>5.5150897911402194E-2</v>
      </c>
      <c r="AG248" s="71" t="s">
        <v>21</v>
      </c>
      <c r="AH248" s="71">
        <v>4.9816513836519454E-3</v>
      </c>
      <c r="AI248" s="71">
        <v>1.029018806436912E-2</v>
      </c>
      <c r="AJ248" s="71">
        <v>1.3030450295314848E-2</v>
      </c>
      <c r="AK248" s="63">
        <v>1.5176455711402189E-2</v>
      </c>
    </row>
    <row r="249" spans="2:37" x14ac:dyDescent="0.35">
      <c r="B249" s="55" t="s">
        <v>358</v>
      </c>
      <c r="C249" s="53" t="s">
        <v>234</v>
      </c>
      <c r="D249" s="53" t="s">
        <v>20</v>
      </c>
      <c r="E249" s="53" t="s">
        <v>21</v>
      </c>
      <c r="F249" s="73">
        <f t="shared" si="23"/>
        <v>3.672561519959109E-2</v>
      </c>
      <c r="G249" s="60">
        <f t="shared" si="23"/>
        <v>4.2226613478050928E-2</v>
      </c>
      <c r="H249" s="60">
        <f t="shared" si="23"/>
        <v>4.7875089575016593E-2</v>
      </c>
      <c r="I249" s="60">
        <f t="shared" si="23"/>
        <v>5.1753593307195665E-2</v>
      </c>
      <c r="J249" s="63">
        <f t="shared" si="23"/>
        <v>5.5314631686993236E-2</v>
      </c>
      <c r="K249" s="60" t="str">
        <f t="shared" si="24"/>
        <v/>
      </c>
      <c r="L249" s="60">
        <f t="shared" si="24"/>
        <v>5.3119471780509282E-3</v>
      </c>
      <c r="M249" s="60">
        <f t="shared" si="24"/>
        <v>1.0298010775016594E-2</v>
      </c>
      <c r="N249" s="60">
        <f t="shared" si="24"/>
        <v>1.3124562607195661E-2</v>
      </c>
      <c r="O249" s="63">
        <f t="shared" si="24"/>
        <v>1.5330949886993234E-2</v>
      </c>
      <c r="P249" s="55" t="s">
        <v>21</v>
      </c>
      <c r="Q249" s="53" t="s">
        <v>21</v>
      </c>
      <c r="R249" s="94" t="s">
        <v>21</v>
      </c>
      <c r="S249" s="73" t="s">
        <v>21</v>
      </c>
      <c r="T249" s="63" t="str">
        <f t="shared" si="20"/>
        <v/>
      </c>
      <c r="V249" s="114">
        <v>1.1374974600000001</v>
      </c>
      <c r="W249" s="72">
        <v>2.8943130099999999</v>
      </c>
      <c r="X249" s="72">
        <v>4.4538538599999997</v>
      </c>
      <c r="Y249" s="72">
        <v>5.7951757600000002</v>
      </c>
      <c r="Z249" s="115">
        <v>7.4570640499999996</v>
      </c>
      <c r="AB249" s="71">
        <v>3.672561519959109E-2</v>
      </c>
      <c r="AC249" s="71">
        <v>4.2226613478050928E-2</v>
      </c>
      <c r="AD249" s="71">
        <v>4.7875089575016593E-2</v>
      </c>
      <c r="AE249" s="71">
        <v>5.1753593307195665E-2</v>
      </c>
      <c r="AF249" s="63">
        <v>5.5314631686993236E-2</v>
      </c>
      <c r="AG249" s="71" t="s">
        <v>21</v>
      </c>
      <c r="AH249" s="71">
        <v>5.3119471780509282E-3</v>
      </c>
      <c r="AI249" s="71">
        <v>1.0298010775016594E-2</v>
      </c>
      <c r="AJ249" s="71">
        <v>1.3124562607195661E-2</v>
      </c>
      <c r="AK249" s="63">
        <v>1.5330949886993234E-2</v>
      </c>
    </row>
    <row r="250" spans="2:37" x14ac:dyDescent="0.35">
      <c r="B250" s="55" t="s">
        <v>370</v>
      </c>
      <c r="C250" s="53" t="s">
        <v>234</v>
      </c>
      <c r="D250" s="53" t="s">
        <v>31</v>
      </c>
      <c r="E250" s="53" t="s">
        <v>21</v>
      </c>
      <c r="F250" s="73">
        <f t="shared" si="23"/>
        <v>3.629330392650381E-2</v>
      </c>
      <c r="G250" s="60">
        <f t="shared" si="23"/>
        <v>4.1429915434140749E-2</v>
      </c>
      <c r="H250" s="60">
        <f t="shared" si="23"/>
        <v>4.6792637496058255E-2</v>
      </c>
      <c r="I250" s="60">
        <f t="shared" si="23"/>
        <v>4.9856336974726044E-2</v>
      </c>
      <c r="J250" s="63">
        <f t="shared" si="23"/>
        <v>5.2700270913658941E-2</v>
      </c>
      <c r="K250" s="60" t="str">
        <f t="shared" si="24"/>
        <v/>
      </c>
      <c r="L250" s="60">
        <f t="shared" si="24"/>
        <v>4.5296453341407469E-3</v>
      </c>
      <c r="M250" s="60">
        <f t="shared" si="24"/>
        <v>9.2422260960582491E-3</v>
      </c>
      <c r="N250" s="60">
        <f t="shared" si="24"/>
        <v>1.1289153274726032E-2</v>
      </c>
      <c r="O250" s="63">
        <f t="shared" si="24"/>
        <v>1.2793897813658941E-2</v>
      </c>
      <c r="P250" s="55" t="s">
        <v>21</v>
      </c>
      <c r="Q250" s="53" t="s">
        <v>21</v>
      </c>
      <c r="R250" s="94" t="s">
        <v>21</v>
      </c>
      <c r="S250" s="73" t="s">
        <v>21</v>
      </c>
      <c r="T250" s="63" t="str">
        <f t="shared" si="20"/>
        <v/>
      </c>
      <c r="V250" s="114">
        <v>1.1373380100000001</v>
      </c>
      <c r="W250" s="72">
        <v>2.8953703000000002</v>
      </c>
      <c r="X250" s="72">
        <v>4.4611703699999996</v>
      </c>
      <c r="Y250" s="72">
        <v>5.82233132</v>
      </c>
      <c r="Z250" s="115">
        <v>7.5414056399999998</v>
      </c>
      <c r="AB250" s="71">
        <v>3.629330392650381E-2</v>
      </c>
      <c r="AC250" s="71">
        <v>4.1429915434140749E-2</v>
      </c>
      <c r="AD250" s="71">
        <v>4.6792637496058255E-2</v>
      </c>
      <c r="AE250" s="71">
        <v>4.9856336974726044E-2</v>
      </c>
      <c r="AF250" s="63">
        <v>5.2700270913658941E-2</v>
      </c>
      <c r="AG250" s="71" t="s">
        <v>21</v>
      </c>
      <c r="AH250" s="71">
        <v>4.5296453341407469E-3</v>
      </c>
      <c r="AI250" s="71">
        <v>9.2422260960582491E-3</v>
      </c>
      <c r="AJ250" s="71">
        <v>1.1289153274726032E-2</v>
      </c>
      <c r="AK250" s="63">
        <v>1.2793897813658941E-2</v>
      </c>
    </row>
    <row r="251" spans="2:37" x14ac:dyDescent="0.35">
      <c r="B251" s="55" t="s">
        <v>264</v>
      </c>
      <c r="C251" s="53" t="s">
        <v>234</v>
      </c>
      <c r="D251" s="53" t="s">
        <v>97</v>
      </c>
      <c r="E251" s="53" t="s">
        <v>291</v>
      </c>
      <c r="F251" s="73">
        <f t="shared" si="23"/>
        <v>3.6131482268798164E-2</v>
      </c>
      <c r="G251" s="60">
        <f t="shared" si="23"/>
        <v>4.1539042576325076E-2</v>
      </c>
      <c r="H251" s="60">
        <f t="shared" si="23"/>
        <v>4.6694477922961566E-2</v>
      </c>
      <c r="I251" s="60">
        <f t="shared" si="23"/>
        <v>4.9758694933095426E-2</v>
      </c>
      <c r="J251" s="63">
        <f t="shared" si="23"/>
        <v>5.2314454544388996E-2</v>
      </c>
      <c r="K251" s="60" t="str">
        <f t="shared" si="24"/>
        <v/>
      </c>
      <c r="L251" s="60">
        <f t="shared" si="24"/>
        <v>4.6330276763250832E-3</v>
      </c>
      <c r="M251" s="60">
        <f t="shared" si="24"/>
        <v>9.1474111229615691E-3</v>
      </c>
      <c r="N251" s="60">
        <f t="shared" si="24"/>
        <v>1.119462653309543E-2</v>
      </c>
      <c r="O251" s="63">
        <f t="shared" si="24"/>
        <v>1.2421783944389E-2</v>
      </c>
      <c r="P251" s="55" t="s">
        <v>559</v>
      </c>
      <c r="Q251" s="53" t="s">
        <v>560</v>
      </c>
      <c r="R251" s="94">
        <v>47648</v>
      </c>
      <c r="S251" s="73">
        <v>4.3444879999999998E-2</v>
      </c>
      <c r="T251" s="63">
        <f t="shared" si="20"/>
        <v>3.2495979229615682E-3</v>
      </c>
      <c r="V251" s="114">
        <v>1.1376688799999999</v>
      </c>
      <c r="W251" s="72">
        <v>2.89527095</v>
      </c>
      <c r="X251" s="72">
        <v>4.4618163700000002</v>
      </c>
      <c r="Y251" s="72">
        <v>5.8246408899999995</v>
      </c>
      <c r="Z251" s="115">
        <v>7.5530353499999991</v>
      </c>
      <c r="AB251" s="71">
        <v>3.6131482268798164E-2</v>
      </c>
      <c r="AC251" s="71">
        <v>4.1539042576325076E-2</v>
      </c>
      <c r="AD251" s="71">
        <v>4.6694477922961566E-2</v>
      </c>
      <c r="AE251" s="71">
        <v>4.9758694933095426E-2</v>
      </c>
      <c r="AF251" s="63">
        <v>5.2314454544388996E-2</v>
      </c>
      <c r="AG251" s="71" t="s">
        <v>21</v>
      </c>
      <c r="AH251" s="71">
        <v>4.6330276763250832E-3</v>
      </c>
      <c r="AI251" s="71">
        <v>9.1474111229615691E-3</v>
      </c>
      <c r="AJ251" s="71">
        <v>1.119462653309543E-2</v>
      </c>
      <c r="AK251" s="63">
        <v>1.2421783944389E-2</v>
      </c>
    </row>
    <row r="252" spans="2:37" x14ac:dyDescent="0.35">
      <c r="B252" s="55" t="s">
        <v>371</v>
      </c>
      <c r="C252" s="53" t="s">
        <v>234</v>
      </c>
      <c r="D252" s="53" t="s">
        <v>20</v>
      </c>
      <c r="E252" s="53" t="s">
        <v>21</v>
      </c>
      <c r="F252" s="73">
        <f t="shared" si="23"/>
        <v>3.6746670452612554E-2</v>
      </c>
      <c r="G252" s="60">
        <f t="shared" si="23"/>
        <v>4.2025145282889254E-2</v>
      </c>
      <c r="H252" s="60">
        <f t="shared" si="23"/>
        <v>4.7318151740133707E-2</v>
      </c>
      <c r="I252" s="60">
        <f t="shared" si="23"/>
        <v>5.0217236141167826E-2</v>
      </c>
      <c r="J252" s="63">
        <f t="shared" si="23"/>
        <v>5.3103530545098289E-2</v>
      </c>
      <c r="K252" s="60" t="str">
        <f t="shared" si="24"/>
        <v/>
      </c>
      <c r="L252" s="60">
        <f t="shared" si="24"/>
        <v>5.1197852828892615E-3</v>
      </c>
      <c r="M252" s="60">
        <f t="shared" si="24"/>
        <v>9.7657884401337082E-3</v>
      </c>
      <c r="N252" s="60">
        <f t="shared" si="24"/>
        <v>1.1655732341167818E-2</v>
      </c>
      <c r="O252" s="63">
        <f t="shared" si="24"/>
        <v>1.3200417645098288E-2</v>
      </c>
      <c r="P252" s="55" t="s">
        <v>21</v>
      </c>
      <c r="Q252" s="53" t="s">
        <v>21</v>
      </c>
      <c r="R252" s="94" t="s">
        <v>21</v>
      </c>
      <c r="S252" s="73" t="s">
        <v>21</v>
      </c>
      <c r="T252" s="63" t="str">
        <f t="shared" si="20"/>
        <v/>
      </c>
      <c r="V252" s="114">
        <v>1.1374520100000001</v>
      </c>
      <c r="W252" s="72">
        <v>2.8950221900000002</v>
      </c>
      <c r="X252" s="72">
        <v>4.4606937499999999</v>
      </c>
      <c r="Y252" s="72">
        <v>5.8232261899999997</v>
      </c>
      <c r="Z252" s="115">
        <v>7.5439094900000008</v>
      </c>
      <c r="AB252" s="71">
        <v>3.6746670452612554E-2</v>
      </c>
      <c r="AC252" s="71">
        <v>4.2025145282889254E-2</v>
      </c>
      <c r="AD252" s="71">
        <v>4.7318151740133707E-2</v>
      </c>
      <c r="AE252" s="71">
        <v>5.0217236141167826E-2</v>
      </c>
      <c r="AF252" s="63">
        <v>5.3103530545098289E-2</v>
      </c>
      <c r="AG252" s="71" t="s">
        <v>21</v>
      </c>
      <c r="AH252" s="71">
        <v>5.1197852828892615E-3</v>
      </c>
      <c r="AI252" s="71">
        <v>9.7657884401337082E-3</v>
      </c>
      <c r="AJ252" s="71">
        <v>1.1655732341167818E-2</v>
      </c>
      <c r="AK252" s="63">
        <v>1.3200417645098288E-2</v>
      </c>
    </row>
    <row r="253" spans="2:37" x14ac:dyDescent="0.35">
      <c r="B253" s="55" t="s">
        <v>148</v>
      </c>
      <c r="C253" s="53" t="s">
        <v>234</v>
      </c>
      <c r="D253" s="53" t="s">
        <v>20</v>
      </c>
      <c r="E253" s="53" t="s">
        <v>21</v>
      </c>
      <c r="F253" s="73">
        <f t="shared" si="23"/>
        <v>3.6365862902437596E-2</v>
      </c>
      <c r="G253" s="60">
        <f t="shared" si="23"/>
        <v>4.1484986095569734E-2</v>
      </c>
      <c r="H253" s="60">
        <f t="shared" si="23"/>
        <v>4.7255167681424001E-2</v>
      </c>
      <c r="I253" s="60">
        <f t="shared" si="23"/>
        <v>5.0914417567779369E-2</v>
      </c>
      <c r="J253" s="63">
        <f t="shared" si="23"/>
        <v>5.4231124837837652E-2</v>
      </c>
      <c r="K253" s="60" t="str">
        <f t="shared" si="24"/>
        <v/>
      </c>
      <c r="L253" s="60">
        <f t="shared" si="24"/>
        <v>4.6022297955697301E-3</v>
      </c>
      <c r="M253" s="60">
        <f t="shared" si="24"/>
        <v>9.706254081423997E-3</v>
      </c>
      <c r="N253" s="60">
        <f t="shared" si="24"/>
        <v>1.2324452867779367E-2</v>
      </c>
      <c r="O253" s="63">
        <f t="shared" si="24"/>
        <v>1.4291384037837654E-2</v>
      </c>
      <c r="P253" s="55" t="s">
        <v>561</v>
      </c>
      <c r="Q253" s="53" t="s">
        <v>562</v>
      </c>
      <c r="R253" s="94">
        <v>47515</v>
      </c>
      <c r="S253" s="73">
        <v>4.5880379999999998E-2</v>
      </c>
      <c r="T253" s="63">
        <f t="shared" si="20"/>
        <v>1.3747876814240029E-3</v>
      </c>
      <c r="V253" s="114">
        <v>1.13817506</v>
      </c>
      <c r="W253" s="72">
        <v>2.8998641700000003</v>
      </c>
      <c r="X253" s="72">
        <v>4.4670475000000005</v>
      </c>
      <c r="Y253" s="72">
        <v>5.8189356800000001</v>
      </c>
      <c r="Z253" s="115">
        <v>7.5076557399999997</v>
      </c>
      <c r="AB253" s="71">
        <v>3.6365862902437596E-2</v>
      </c>
      <c r="AC253" s="71">
        <v>4.1484986095569734E-2</v>
      </c>
      <c r="AD253" s="71">
        <v>4.7255167681424001E-2</v>
      </c>
      <c r="AE253" s="71">
        <v>5.0914417567779369E-2</v>
      </c>
      <c r="AF253" s="63">
        <v>5.4231124837837652E-2</v>
      </c>
      <c r="AG253" s="71" t="s">
        <v>21</v>
      </c>
      <c r="AH253" s="71">
        <v>4.6022297955697301E-3</v>
      </c>
      <c r="AI253" s="71">
        <v>9.706254081423997E-3</v>
      </c>
      <c r="AJ253" s="71">
        <v>1.2324452867779367E-2</v>
      </c>
      <c r="AK253" s="63">
        <v>1.4291384037837654E-2</v>
      </c>
    </row>
    <row r="254" spans="2:37" x14ac:dyDescent="0.35">
      <c r="B254" s="55" t="s">
        <v>369</v>
      </c>
      <c r="C254" s="53" t="s">
        <v>234</v>
      </c>
      <c r="D254" s="53" t="s">
        <v>20</v>
      </c>
      <c r="E254" s="53" t="s">
        <v>258</v>
      </c>
      <c r="F254" s="73">
        <f t="shared" si="23"/>
        <v>3.6348587139764556E-2</v>
      </c>
      <c r="G254" s="60">
        <f t="shared" si="23"/>
        <v>4.1740936503998273E-2</v>
      </c>
      <c r="H254" s="60">
        <f t="shared" si="23"/>
        <v>4.7178956200685865E-2</v>
      </c>
      <c r="I254" s="60">
        <f t="shared" si="23"/>
        <v>5.0747246669281619E-2</v>
      </c>
      <c r="J254" s="63">
        <f t="shared" si="23"/>
        <v>5.3433332794367745E-2</v>
      </c>
      <c r="K254" s="60" t="str">
        <f t="shared" si="24"/>
        <v/>
      </c>
      <c r="L254" s="60">
        <f t="shared" si="24"/>
        <v>4.847003303998277E-3</v>
      </c>
      <c r="M254" s="60">
        <f t="shared" si="24"/>
        <v>9.6327234006858622E-3</v>
      </c>
      <c r="N254" s="60">
        <f t="shared" si="24"/>
        <v>1.2162907969281614E-2</v>
      </c>
      <c r="O254" s="63">
        <f t="shared" si="24"/>
        <v>1.3521909194367746E-2</v>
      </c>
      <c r="P254" s="55" t="s">
        <v>21</v>
      </c>
      <c r="Q254" s="53" t="s">
        <v>21</v>
      </c>
      <c r="R254" s="94" t="s">
        <v>21</v>
      </c>
      <c r="S254" s="73" t="s">
        <v>21</v>
      </c>
      <c r="T254" s="63" t="str">
        <f t="shared" si="20"/>
        <v/>
      </c>
      <c r="V254" s="114">
        <v>1.1382197300000001</v>
      </c>
      <c r="W254" s="72">
        <v>2.8982686800000002</v>
      </c>
      <c r="X254" s="72">
        <v>4.4653156100000002</v>
      </c>
      <c r="Y254" s="72">
        <v>5.8209882899999998</v>
      </c>
      <c r="Z254" s="115">
        <v>7.53159197</v>
      </c>
      <c r="AB254" s="71">
        <v>3.6348587139764556E-2</v>
      </c>
      <c r="AC254" s="71">
        <v>4.1740936503998273E-2</v>
      </c>
      <c r="AD254" s="71">
        <v>4.7178956200685865E-2</v>
      </c>
      <c r="AE254" s="71">
        <v>5.0747246669281619E-2</v>
      </c>
      <c r="AF254" s="63">
        <v>5.3433332794367745E-2</v>
      </c>
      <c r="AG254" s="71" t="s">
        <v>21</v>
      </c>
      <c r="AH254" s="71">
        <v>4.847003303998277E-3</v>
      </c>
      <c r="AI254" s="71">
        <v>9.6327234006858622E-3</v>
      </c>
      <c r="AJ254" s="71">
        <v>1.2162907969281614E-2</v>
      </c>
      <c r="AK254" s="63">
        <v>1.3521909194367746E-2</v>
      </c>
    </row>
    <row r="255" spans="2:37" x14ac:dyDescent="0.35">
      <c r="B255" s="55" t="s">
        <v>368</v>
      </c>
      <c r="C255" s="53" t="s">
        <v>234</v>
      </c>
      <c r="D255" s="53" t="s">
        <v>20</v>
      </c>
      <c r="E255" s="53" t="s">
        <v>294</v>
      </c>
      <c r="F255" s="73">
        <f t="shared" si="23"/>
        <v>3.6391613218721003E-2</v>
      </c>
      <c r="G255" s="60">
        <f t="shared" si="23"/>
        <v>4.1692836437176098E-2</v>
      </c>
      <c r="H255" s="60">
        <f t="shared" si="23"/>
        <v>4.7075106149636947E-2</v>
      </c>
      <c r="I255" s="60">
        <f t="shared" si="23"/>
        <v>5.0528785874400066E-2</v>
      </c>
      <c r="J255" s="63">
        <f t="shared" si="23"/>
        <v>5.3634669617592556E-2</v>
      </c>
      <c r="K255" s="60" t="str">
        <f t="shared" si="24"/>
        <v/>
      </c>
      <c r="L255" s="60">
        <f t="shared" si="24"/>
        <v>4.8004974371760999E-3</v>
      </c>
      <c r="M255" s="60">
        <f t="shared" si="24"/>
        <v>9.5328236496369512E-3</v>
      </c>
      <c r="N255" s="60">
        <f t="shared" si="24"/>
        <v>1.1954184874400071E-2</v>
      </c>
      <c r="O255" s="63">
        <f t="shared" si="24"/>
        <v>1.3719150717592563E-2</v>
      </c>
      <c r="P255" s="55" t="s">
        <v>21</v>
      </c>
      <c r="Q255" s="53" t="s">
        <v>21</v>
      </c>
      <c r="R255" s="94" t="s">
        <v>21</v>
      </c>
      <c r="S255" s="73" t="s">
        <v>21</v>
      </c>
      <c r="T255" s="63" t="str">
        <f t="shared" si="20"/>
        <v/>
      </c>
      <c r="V255" s="114">
        <v>1.1381398300000001</v>
      </c>
      <c r="W255" s="72">
        <v>2.8984964</v>
      </c>
      <c r="X255" s="72">
        <v>4.4675946099999999</v>
      </c>
      <c r="Y255" s="72">
        <v>5.8250798999999995</v>
      </c>
      <c r="Z255" s="115">
        <v>7.5230719500000003</v>
      </c>
      <c r="AB255" s="71">
        <v>3.6391613218721003E-2</v>
      </c>
      <c r="AC255" s="71">
        <v>4.1692836437176098E-2</v>
      </c>
      <c r="AD255" s="71">
        <v>4.7075106149636947E-2</v>
      </c>
      <c r="AE255" s="71">
        <v>5.0528785874400066E-2</v>
      </c>
      <c r="AF255" s="63">
        <v>5.3634669617592556E-2</v>
      </c>
      <c r="AG255" s="71" t="s">
        <v>21</v>
      </c>
      <c r="AH255" s="71">
        <v>4.8004974371760999E-3</v>
      </c>
      <c r="AI255" s="71">
        <v>9.5328236496369512E-3</v>
      </c>
      <c r="AJ255" s="71">
        <v>1.1954184874400071E-2</v>
      </c>
      <c r="AK255" s="63">
        <v>1.3719150717592563E-2</v>
      </c>
    </row>
    <row r="256" spans="2:37" x14ac:dyDescent="0.35">
      <c r="B256" s="55" t="s">
        <v>373</v>
      </c>
      <c r="C256" s="53" t="s">
        <v>234</v>
      </c>
      <c r="D256" s="53" t="s">
        <v>20</v>
      </c>
      <c r="E256" s="53" t="s">
        <v>21</v>
      </c>
      <c r="F256" s="73">
        <f t="shared" si="23"/>
        <v>3.6525224669676323E-2</v>
      </c>
      <c r="G256" s="60">
        <f t="shared" si="23"/>
        <v>4.1719830349933908E-2</v>
      </c>
      <c r="H256" s="60">
        <f t="shared" si="23"/>
        <v>4.6788356234076012E-2</v>
      </c>
      <c r="I256" s="60">
        <f t="shared" si="23"/>
        <v>4.9643176542389811E-2</v>
      </c>
      <c r="J256" s="63">
        <f t="shared" si="23"/>
        <v>5.2175817571047868E-2</v>
      </c>
      <c r="K256" s="60" t="str">
        <f t="shared" si="24"/>
        <v/>
      </c>
      <c r="L256" s="60">
        <f t="shared" si="24"/>
        <v>4.8278865499339074E-3</v>
      </c>
      <c r="M256" s="60">
        <f t="shared" si="24"/>
        <v>9.259211834076006E-3</v>
      </c>
      <c r="N256" s="60">
        <f t="shared" si="24"/>
        <v>1.1105121642389811E-2</v>
      </c>
      <c r="O256" s="63">
        <f t="shared" si="24"/>
        <v>1.2305236971047866E-2</v>
      </c>
      <c r="P256" s="55" t="s">
        <v>21</v>
      </c>
      <c r="Q256" s="53" t="s">
        <v>21</v>
      </c>
      <c r="R256" s="94" t="s">
        <v>21</v>
      </c>
      <c r="S256" s="73" t="s">
        <v>21</v>
      </c>
      <c r="T256" s="63" t="str">
        <f t="shared" si="20"/>
        <v/>
      </c>
      <c r="V256" s="114">
        <v>1.13785892</v>
      </c>
      <c r="W256" s="72">
        <v>2.8975174999999997</v>
      </c>
      <c r="X256" s="72">
        <v>4.4687574699999999</v>
      </c>
      <c r="Y256" s="72">
        <v>5.8407679799999999</v>
      </c>
      <c r="Z256" s="115">
        <v>7.585059750000001</v>
      </c>
      <c r="AB256" s="71">
        <v>3.6525224669676323E-2</v>
      </c>
      <c r="AC256" s="71">
        <v>4.1719830349933908E-2</v>
      </c>
      <c r="AD256" s="71">
        <v>4.6788356234076012E-2</v>
      </c>
      <c r="AE256" s="71">
        <v>4.9643176542389811E-2</v>
      </c>
      <c r="AF256" s="63">
        <v>5.2175817571047868E-2</v>
      </c>
      <c r="AG256" s="71" t="s">
        <v>21</v>
      </c>
      <c r="AH256" s="71">
        <v>4.8278865499339074E-3</v>
      </c>
      <c r="AI256" s="71">
        <v>9.259211834076006E-3</v>
      </c>
      <c r="AJ256" s="71">
        <v>1.1105121642389811E-2</v>
      </c>
      <c r="AK256" s="63">
        <v>1.2305236971047866E-2</v>
      </c>
    </row>
    <row r="257" spans="2:37" x14ac:dyDescent="0.35">
      <c r="B257" s="55" t="s">
        <v>268</v>
      </c>
      <c r="C257" s="53" t="s">
        <v>234</v>
      </c>
      <c r="D257" s="53" t="s">
        <v>20</v>
      </c>
      <c r="E257" s="53" t="s">
        <v>318</v>
      </c>
      <c r="F257" s="73">
        <f t="shared" si="23"/>
        <v>3.6858428566713966E-2</v>
      </c>
      <c r="G257" s="60">
        <f t="shared" si="23"/>
        <v>4.1858775467859412E-2</v>
      </c>
      <c r="H257" s="60">
        <f t="shared" si="23"/>
        <v>4.6788362329333068E-2</v>
      </c>
      <c r="I257" s="60">
        <f t="shared" si="23"/>
        <v>4.9624060709429325E-2</v>
      </c>
      <c r="J257" s="63">
        <f t="shared" si="23"/>
        <v>5.2153566572626264E-2</v>
      </c>
      <c r="K257" s="60" t="str">
        <f t="shared" si="24"/>
        <v/>
      </c>
      <c r="L257" s="60">
        <f t="shared" si="24"/>
        <v>4.9584102678594125E-3</v>
      </c>
      <c r="M257" s="60">
        <f t="shared" si="24"/>
        <v>9.2570214293330733E-3</v>
      </c>
      <c r="N257" s="60">
        <f t="shared" si="24"/>
        <v>1.1085124009429313E-2</v>
      </c>
      <c r="O257" s="63">
        <f t="shared" si="24"/>
        <v>1.2281864172626271E-2</v>
      </c>
      <c r="P257" s="55" t="s">
        <v>563</v>
      </c>
      <c r="Q257" s="53" t="s">
        <v>564</v>
      </c>
      <c r="R257" s="94" t="s">
        <v>32</v>
      </c>
      <c r="S257" s="73">
        <v>4.3292029999999995E-2</v>
      </c>
      <c r="T257" s="63">
        <f t="shared" si="20"/>
        <v>3.4963323293330725E-3</v>
      </c>
      <c r="V257" s="114">
        <v>1.13725601</v>
      </c>
      <c r="W257" s="72">
        <v>2.8957927800000003</v>
      </c>
      <c r="X257" s="72">
        <v>4.4675238300000002</v>
      </c>
      <c r="Y257" s="72">
        <v>5.8392982299999998</v>
      </c>
      <c r="Z257" s="115">
        <v>7.5845957699999991</v>
      </c>
      <c r="AB257" s="71">
        <v>3.6858428566713966E-2</v>
      </c>
      <c r="AC257" s="71">
        <v>4.1858775467859412E-2</v>
      </c>
      <c r="AD257" s="71">
        <v>4.6788362329333068E-2</v>
      </c>
      <c r="AE257" s="71">
        <v>4.9624060709429325E-2</v>
      </c>
      <c r="AF257" s="63">
        <v>5.2153566572626264E-2</v>
      </c>
      <c r="AG257" s="71" t="s">
        <v>21</v>
      </c>
      <c r="AH257" s="71">
        <v>4.9584102678594125E-3</v>
      </c>
      <c r="AI257" s="71">
        <v>9.2570214293330733E-3</v>
      </c>
      <c r="AJ257" s="71">
        <v>1.1085124009429313E-2</v>
      </c>
      <c r="AK257" s="63">
        <v>1.2281864172626271E-2</v>
      </c>
    </row>
    <row r="258" spans="2:37" x14ac:dyDescent="0.35">
      <c r="B258" s="55" t="s">
        <v>374</v>
      </c>
      <c r="C258" s="53" t="s">
        <v>234</v>
      </c>
      <c r="D258" s="53" t="s">
        <v>20</v>
      </c>
      <c r="E258" s="53" t="s">
        <v>266</v>
      </c>
      <c r="F258" s="74">
        <f t="shared" si="23"/>
        <v>3.6364644972832497E-2</v>
      </c>
      <c r="G258" s="76">
        <f t="shared" si="23"/>
        <v>4.1691961903938882E-2</v>
      </c>
      <c r="H258" s="76">
        <f t="shared" si="23"/>
        <v>4.6672511408001119E-2</v>
      </c>
      <c r="I258" s="76">
        <f t="shared" si="23"/>
        <v>4.947802952429127E-2</v>
      </c>
      <c r="J258" s="64">
        <f t="shared" si="23"/>
        <v>5.2153581153008367E-2</v>
      </c>
      <c r="K258" s="76" t="str">
        <f t="shared" si="24"/>
        <v/>
      </c>
      <c r="L258" s="76">
        <f t="shared" si="24"/>
        <v>4.7997637039388806E-3</v>
      </c>
      <c r="M258" s="76">
        <f t="shared" si="24"/>
        <v>9.1473035080011245E-3</v>
      </c>
      <c r="N258" s="76">
        <f t="shared" si="24"/>
        <v>1.0946225324291271E-2</v>
      </c>
      <c r="O258" s="64">
        <f t="shared" si="24"/>
        <v>1.2287560753008365E-2</v>
      </c>
      <c r="P258" s="55" t="s">
        <v>396</v>
      </c>
      <c r="Q258" s="53" t="s">
        <v>397</v>
      </c>
      <c r="R258" s="94">
        <v>47515</v>
      </c>
      <c r="S258" s="73">
        <v>4.563681E-2</v>
      </c>
      <c r="T258" s="63">
        <f t="shared" si="20"/>
        <v>1.035701408001119E-3</v>
      </c>
      <c r="V258" s="114">
        <v>1.1381932799999999</v>
      </c>
      <c r="W258" s="72">
        <v>2.8983199500000003</v>
      </c>
      <c r="X258" s="72">
        <v>4.4707608500000005</v>
      </c>
      <c r="Y258" s="72">
        <v>5.8446167400000002</v>
      </c>
      <c r="Z258" s="115">
        <v>7.5813305700000004</v>
      </c>
      <c r="AB258" s="71">
        <v>3.6364644972832497E-2</v>
      </c>
      <c r="AC258" s="71">
        <v>4.1691961903938882E-2</v>
      </c>
      <c r="AD258" s="71">
        <v>4.6672511408001119E-2</v>
      </c>
      <c r="AE258" s="71">
        <v>4.947802952429127E-2</v>
      </c>
      <c r="AF258" s="63">
        <v>5.2153581153008367E-2</v>
      </c>
      <c r="AG258" s="71" t="s">
        <v>21</v>
      </c>
      <c r="AH258" s="71">
        <v>4.7997637039388806E-3</v>
      </c>
      <c r="AI258" s="71">
        <v>9.1473035080011245E-3</v>
      </c>
      <c r="AJ258" s="71">
        <v>1.0946225324291271E-2</v>
      </c>
      <c r="AK258" s="63">
        <v>1.2287560753008365E-2</v>
      </c>
    </row>
    <row r="259" spans="2:37" x14ac:dyDescent="0.35">
      <c r="B259" s="79" t="s">
        <v>162</v>
      </c>
      <c r="C259" s="136"/>
      <c r="D259" s="78"/>
      <c r="E259" s="78"/>
      <c r="F259" s="78" t="str">
        <f t="shared" si="23"/>
        <v/>
      </c>
      <c r="G259" s="78" t="str">
        <f>IF(ISNUMBER(AC259),AC259-((D$4-D$3)/W259),"")</f>
        <v/>
      </c>
      <c r="H259" s="78" t="str">
        <f t="shared" si="23"/>
        <v/>
      </c>
      <c r="I259" s="78" t="str">
        <f t="shared" si="23"/>
        <v/>
      </c>
      <c r="J259" s="78" t="str">
        <f t="shared" si="23"/>
        <v/>
      </c>
      <c r="K259" s="78" t="str">
        <f t="shared" si="24"/>
        <v/>
      </c>
      <c r="L259" s="78" t="str">
        <f t="shared" si="24"/>
        <v/>
      </c>
      <c r="M259" s="78" t="str">
        <f t="shared" si="24"/>
        <v/>
      </c>
      <c r="N259" s="78" t="str">
        <f t="shared" si="24"/>
        <v/>
      </c>
      <c r="O259" s="77" t="str">
        <f t="shared" si="24"/>
        <v/>
      </c>
      <c r="P259" s="79"/>
      <c r="Q259" s="78"/>
      <c r="R259" s="95"/>
      <c r="S259" s="78"/>
      <c r="T259" s="77" t="str">
        <f t="shared" si="20"/>
        <v/>
      </c>
      <c r="V259" s="120"/>
      <c r="W259" s="109"/>
      <c r="X259" s="109"/>
      <c r="Y259" s="109"/>
      <c r="Z259" s="121"/>
      <c r="AB259" s="78"/>
      <c r="AC259" s="78"/>
      <c r="AD259" s="78"/>
      <c r="AE259" s="78"/>
      <c r="AF259" s="78"/>
      <c r="AG259" s="78"/>
      <c r="AH259" s="78"/>
      <c r="AI259" s="78"/>
      <c r="AJ259" s="78"/>
      <c r="AK259" s="77"/>
    </row>
    <row r="260" spans="2:37" x14ac:dyDescent="0.35">
      <c r="B260" s="56" t="s">
        <v>164</v>
      </c>
      <c r="C260" s="53" t="s">
        <v>234</v>
      </c>
      <c r="D260" s="66" t="s">
        <v>20</v>
      </c>
      <c r="E260" s="66" t="s">
        <v>292</v>
      </c>
      <c r="F260" s="73">
        <f t="shared" si="23"/>
        <v>4.6763280097771823E-2</v>
      </c>
      <c r="G260" s="60">
        <f t="shared" si="23"/>
        <v>6.735239519374836E-2</v>
      </c>
      <c r="H260" s="60">
        <f t="shared" si="23"/>
        <v>8.7737693616088019E-2</v>
      </c>
      <c r="I260" s="60">
        <f t="shared" si="23"/>
        <v>9.8159155217489205E-2</v>
      </c>
      <c r="J260" s="63">
        <f t="shared" si="23"/>
        <v>0.10245556020225541</v>
      </c>
      <c r="K260" s="60">
        <f t="shared" si="24"/>
        <v>8.3283395977718187E-3</v>
      </c>
      <c r="L260" s="60">
        <f t="shared" si="24"/>
        <v>2.8795770693748366E-2</v>
      </c>
      <c r="M260" s="60">
        <f t="shared" si="24"/>
        <v>4.7075362616088016E-2</v>
      </c>
      <c r="N260" s="60">
        <f t="shared" si="24"/>
        <v>5.5745845417489198E-2</v>
      </c>
      <c r="O260" s="63">
        <f t="shared" si="24"/>
        <v>5.874791090225541E-2</v>
      </c>
      <c r="P260" s="56" t="s">
        <v>21</v>
      </c>
      <c r="Q260" s="66" t="s">
        <v>21</v>
      </c>
      <c r="R260" s="100" t="s">
        <v>21</v>
      </c>
      <c r="S260" s="75" t="s">
        <v>21</v>
      </c>
      <c r="T260" s="63" t="str">
        <f t="shared" si="20"/>
        <v/>
      </c>
      <c r="V260" s="118">
        <v>1.11476267</v>
      </c>
      <c r="W260" s="61">
        <v>2.7034601600000001</v>
      </c>
      <c r="X260" s="61">
        <v>3.8648674600000001</v>
      </c>
      <c r="Y260" s="61">
        <v>4.6358165500000004</v>
      </c>
      <c r="Z260" s="119">
        <v>5.4111401400000005</v>
      </c>
      <c r="AB260" s="80">
        <v>4.6763280097771823E-2</v>
      </c>
      <c r="AC260" s="80">
        <v>6.735239519374836E-2</v>
      </c>
      <c r="AD260" s="80">
        <v>8.7737693616088019E-2</v>
      </c>
      <c r="AE260" s="80">
        <v>9.8159155217489205E-2</v>
      </c>
      <c r="AF260" s="62">
        <v>0.10245556020225541</v>
      </c>
      <c r="AG260" s="80">
        <v>8.3283395977718187E-3</v>
      </c>
      <c r="AH260" s="80">
        <v>2.8795770693748366E-2</v>
      </c>
      <c r="AI260" s="80">
        <v>4.7075362616088016E-2</v>
      </c>
      <c r="AJ260" s="80">
        <v>5.5745845417489198E-2</v>
      </c>
      <c r="AK260" s="62">
        <v>5.874791090225541E-2</v>
      </c>
    </row>
    <row r="261" spans="2:37" x14ac:dyDescent="0.35">
      <c r="B261" s="55" t="s">
        <v>167</v>
      </c>
      <c r="C261" s="53" t="s">
        <v>234</v>
      </c>
      <c r="D261" s="53" t="s">
        <v>97</v>
      </c>
      <c r="E261" s="53" t="s">
        <v>236</v>
      </c>
      <c r="F261" s="73">
        <f t="shared" si="23"/>
        <v>4.1049458682993201E-2</v>
      </c>
      <c r="G261" s="60">
        <f t="shared" si="23"/>
        <v>5.715418040070043E-2</v>
      </c>
      <c r="H261" s="60">
        <f t="shared" si="23"/>
        <v>7.2373051417881668E-2</v>
      </c>
      <c r="I261" s="60">
        <f t="shared" si="23"/>
        <v>7.8059187233432456E-2</v>
      </c>
      <c r="J261" s="63">
        <f t="shared" si="23"/>
        <v>8.3004963177741337E-2</v>
      </c>
      <c r="K261" s="60">
        <f t="shared" si="24"/>
        <v>3.0216631829931969E-3</v>
      </c>
      <c r="L261" s="60">
        <f t="shared" si="24"/>
        <v>1.9392069800700434E-2</v>
      </c>
      <c r="M261" s="60">
        <f t="shared" si="24"/>
        <v>3.3149059517881656E-2</v>
      </c>
      <c r="N261" s="60">
        <f t="shared" si="24"/>
        <v>3.7621967233432453E-2</v>
      </c>
      <c r="O261" s="63">
        <f t="shared" si="24"/>
        <v>4.1170072177741331E-2</v>
      </c>
      <c r="P261" s="55" t="s">
        <v>21</v>
      </c>
      <c r="Q261" s="53" t="s">
        <v>21</v>
      </c>
      <c r="R261" s="94" t="s">
        <v>21</v>
      </c>
      <c r="S261" s="73" t="s">
        <v>21</v>
      </c>
      <c r="T261" s="63" t="str">
        <f t="shared" si="20"/>
        <v/>
      </c>
      <c r="V261" s="114">
        <v>1.12696755</v>
      </c>
      <c r="W261" s="72">
        <v>2.7799167300000001</v>
      </c>
      <c r="X261" s="72">
        <v>4.0756364000000005</v>
      </c>
      <c r="Y261" s="72">
        <v>5.0583386600000004</v>
      </c>
      <c r="Z261" s="115">
        <v>6.1296268899999999</v>
      </c>
      <c r="AB261" s="71">
        <v>4.1049458682993201E-2</v>
      </c>
      <c r="AC261" s="71">
        <v>5.715418040070043E-2</v>
      </c>
      <c r="AD261" s="71">
        <v>7.2373051417881668E-2</v>
      </c>
      <c r="AE261" s="71">
        <v>7.8059187233432456E-2</v>
      </c>
      <c r="AF261" s="63">
        <v>8.3004963177741337E-2</v>
      </c>
      <c r="AG261" s="71">
        <v>3.0216631829931969E-3</v>
      </c>
      <c r="AH261" s="71">
        <v>1.9392069800700434E-2</v>
      </c>
      <c r="AI261" s="71">
        <v>3.3149059517881656E-2</v>
      </c>
      <c r="AJ261" s="71">
        <v>3.7621967233432453E-2</v>
      </c>
      <c r="AK261" s="63">
        <v>4.1170072177741331E-2</v>
      </c>
    </row>
    <row r="262" spans="2:37" x14ac:dyDescent="0.35">
      <c r="B262" s="55" t="s">
        <v>235</v>
      </c>
      <c r="C262" s="53" t="s">
        <v>234</v>
      </c>
      <c r="D262" s="53" t="s">
        <v>43</v>
      </c>
      <c r="E262" s="53" t="s">
        <v>565</v>
      </c>
      <c r="F262" s="73">
        <f t="shared" si="23"/>
        <v>4.0320712828384439E-2</v>
      </c>
      <c r="G262" s="60">
        <f t="shared" si="23"/>
        <v>5.2953724965183822E-2</v>
      </c>
      <c r="H262" s="60">
        <f t="shared" si="23"/>
        <v>6.7609964857345495E-2</v>
      </c>
      <c r="I262" s="60">
        <f t="shared" si="23"/>
        <v>7.5239370296220506E-2</v>
      </c>
      <c r="J262" s="63">
        <f t="shared" si="23"/>
        <v>8.0408674388201845E-2</v>
      </c>
      <c r="K262" s="60">
        <f t="shared" si="24"/>
        <v>2.3087621283844279E-3</v>
      </c>
      <c r="L262" s="60">
        <f t="shared" si="24"/>
        <v>1.5458957265183823E-2</v>
      </c>
      <c r="M262" s="60">
        <f t="shared" si="24"/>
        <v>2.876074065734549E-2</v>
      </c>
      <c r="N262" s="60">
        <f t="shared" si="24"/>
        <v>3.5024313396220502E-2</v>
      </c>
      <c r="O262" s="63">
        <f t="shared" si="24"/>
        <v>3.8787460288201833E-2</v>
      </c>
      <c r="P262" s="55" t="s">
        <v>21</v>
      </c>
      <c r="Q262" s="53" t="s">
        <v>21</v>
      </c>
      <c r="R262" s="94" t="s">
        <v>21</v>
      </c>
      <c r="S262" s="73" t="s">
        <v>21</v>
      </c>
      <c r="T262" s="63" t="str">
        <f t="shared" si="20"/>
        <v/>
      </c>
      <c r="V262" s="114">
        <v>1.12898498</v>
      </c>
      <c r="W262" s="72">
        <v>2.8132763500000002</v>
      </c>
      <c r="X262" s="72">
        <v>4.1564347399999999</v>
      </c>
      <c r="Y262" s="72">
        <v>5.1711256400000005</v>
      </c>
      <c r="Z262" s="115">
        <v>6.2746372499999996</v>
      </c>
      <c r="AB262" s="71">
        <v>4.0320712828384439E-2</v>
      </c>
      <c r="AC262" s="71">
        <v>5.2953724965183822E-2</v>
      </c>
      <c r="AD262" s="71">
        <v>6.7609964857345495E-2</v>
      </c>
      <c r="AE262" s="71">
        <v>7.5239370296220506E-2</v>
      </c>
      <c r="AF262" s="63">
        <v>8.0408674388201845E-2</v>
      </c>
      <c r="AG262" s="71">
        <v>2.3087621283844279E-3</v>
      </c>
      <c r="AH262" s="71">
        <v>1.5458957265183823E-2</v>
      </c>
      <c r="AI262" s="71">
        <v>2.876074065734549E-2</v>
      </c>
      <c r="AJ262" s="71">
        <v>3.5024313396220502E-2</v>
      </c>
      <c r="AK262" s="63">
        <v>3.8787460288201833E-2</v>
      </c>
    </row>
    <row r="263" spans="2:37" x14ac:dyDescent="0.35">
      <c r="B263" s="55" t="s">
        <v>163</v>
      </c>
      <c r="C263" s="53" t="s">
        <v>234</v>
      </c>
      <c r="D263" s="53" t="s">
        <v>97</v>
      </c>
      <c r="E263" s="53" t="s">
        <v>116</v>
      </c>
      <c r="F263" s="73">
        <f t="shared" si="23"/>
        <v>3.9070412152945724E-2</v>
      </c>
      <c r="G263" s="60">
        <f t="shared" si="23"/>
        <v>5.0395782292193436E-2</v>
      </c>
      <c r="H263" s="60">
        <f t="shared" si="23"/>
        <v>6.1512829578818366E-2</v>
      </c>
      <c r="I263" s="60">
        <f t="shared" si="23"/>
        <v>6.7907184602028534E-2</v>
      </c>
      <c r="J263" s="63">
        <f t="shared" si="23"/>
        <v>7.3040139229262849E-2</v>
      </c>
      <c r="K263" s="60">
        <f t="shared" si="24"/>
        <v>1.1107658529457259E-3</v>
      </c>
      <c r="L263" s="60">
        <f t="shared" si="24"/>
        <v>1.304869479219343E-2</v>
      </c>
      <c r="M263" s="60">
        <f t="shared" si="24"/>
        <v>2.3116894078818381E-2</v>
      </c>
      <c r="N263" s="60">
        <f t="shared" si="24"/>
        <v>2.8265122802028534E-2</v>
      </c>
      <c r="O263" s="63">
        <f t="shared" si="24"/>
        <v>3.1983449229262849E-2</v>
      </c>
      <c r="P263" s="55" t="s">
        <v>566</v>
      </c>
      <c r="Q263" s="53" t="s">
        <v>567</v>
      </c>
      <c r="R263" s="94">
        <v>47542</v>
      </c>
      <c r="S263" s="73">
        <v>4.9909780000000001E-2</v>
      </c>
      <c r="T263" s="63">
        <f t="shared" si="20"/>
        <v>1.1603049578818365E-2</v>
      </c>
      <c r="V263" s="114">
        <v>1.1320796</v>
      </c>
      <c r="W263" s="72">
        <v>2.8273955399999999</v>
      </c>
      <c r="X263" s="72">
        <v>4.2343780500000001</v>
      </c>
      <c r="Y263" s="72">
        <v>5.3451822399999998</v>
      </c>
      <c r="Z263" s="115">
        <v>6.5932813100000001</v>
      </c>
      <c r="AB263" s="71">
        <v>3.9070412152945724E-2</v>
      </c>
      <c r="AC263" s="71">
        <v>5.0395782292193436E-2</v>
      </c>
      <c r="AD263" s="71">
        <v>6.1512829578818366E-2</v>
      </c>
      <c r="AE263" s="71">
        <v>6.7907184602028534E-2</v>
      </c>
      <c r="AF263" s="63">
        <v>7.3040139229262849E-2</v>
      </c>
      <c r="AG263" s="71">
        <v>1.1107658529457259E-3</v>
      </c>
      <c r="AH263" s="71">
        <v>1.304869479219343E-2</v>
      </c>
      <c r="AI263" s="71">
        <v>2.3116894078818381E-2</v>
      </c>
      <c r="AJ263" s="71">
        <v>2.8265122802028534E-2</v>
      </c>
      <c r="AK263" s="63">
        <v>3.1983449229262849E-2</v>
      </c>
    </row>
    <row r="264" spans="2:37" x14ac:dyDescent="0.35">
      <c r="B264" s="55" t="s">
        <v>174</v>
      </c>
      <c r="C264" s="53" t="s">
        <v>234</v>
      </c>
      <c r="D264" s="53" t="s">
        <v>43</v>
      </c>
      <c r="E264" s="53" t="s">
        <v>568</v>
      </c>
      <c r="F264" s="73">
        <f t="shared" si="23"/>
        <v>3.9915201928530181E-2</v>
      </c>
      <c r="G264" s="60">
        <f t="shared" si="23"/>
        <v>4.9773587721849241E-2</v>
      </c>
      <c r="H264" s="60">
        <f t="shared" si="23"/>
        <v>6.0503109753795636E-2</v>
      </c>
      <c r="I264" s="60">
        <f t="shared" si="23"/>
        <v>6.6683673289234163E-2</v>
      </c>
      <c r="J264" s="63">
        <f t="shared" si="23"/>
        <v>7.1243216199503551E-2</v>
      </c>
      <c r="K264" s="60">
        <f t="shared" si="24"/>
        <v>1.9237944285301744E-3</v>
      </c>
      <c r="L264" s="60">
        <f t="shared" si="24"/>
        <v>1.2468881821849237E-2</v>
      </c>
      <c r="M264" s="60">
        <f t="shared" si="24"/>
        <v>2.2180644053795641E-2</v>
      </c>
      <c r="N264" s="60">
        <f t="shared" si="24"/>
        <v>2.7130438989234177E-2</v>
      </c>
      <c r="O264" s="63">
        <f t="shared" si="24"/>
        <v>3.0312466099503551E-2</v>
      </c>
      <c r="P264" s="55" t="s">
        <v>569</v>
      </c>
      <c r="Q264" s="53" t="s">
        <v>570</v>
      </c>
      <c r="R264" s="94">
        <v>47535</v>
      </c>
      <c r="S264" s="73">
        <v>4.6763760000000001E-2</v>
      </c>
      <c r="T264" s="63">
        <f t="shared" si="20"/>
        <v>1.3739349753795635E-2</v>
      </c>
      <c r="V264" s="114">
        <v>1.1300133999999999</v>
      </c>
      <c r="W264" s="72">
        <v>2.8332865599999999</v>
      </c>
      <c r="X264" s="72">
        <v>4.24979628</v>
      </c>
      <c r="Y264" s="72">
        <v>5.3747734099999995</v>
      </c>
      <c r="Z264" s="115">
        <v>6.6603007500000002</v>
      </c>
      <c r="AB264" s="71">
        <v>3.9915201928530181E-2</v>
      </c>
      <c r="AC264" s="71">
        <v>4.9773587721849241E-2</v>
      </c>
      <c r="AD264" s="71">
        <v>6.0503109753795636E-2</v>
      </c>
      <c r="AE264" s="71">
        <v>6.6683673289234163E-2</v>
      </c>
      <c r="AF264" s="63">
        <v>7.1243216199503551E-2</v>
      </c>
      <c r="AG264" s="71">
        <v>1.9237944285301744E-3</v>
      </c>
      <c r="AH264" s="71">
        <v>1.2468881821849237E-2</v>
      </c>
      <c r="AI264" s="71">
        <v>2.2180644053795641E-2</v>
      </c>
      <c r="AJ264" s="71">
        <v>2.7130438989234177E-2</v>
      </c>
      <c r="AK264" s="63">
        <v>3.0312466099503551E-2</v>
      </c>
    </row>
    <row r="265" spans="2:37" x14ac:dyDescent="0.35">
      <c r="B265" s="55" t="s">
        <v>172</v>
      </c>
      <c r="C265" s="53" t="s">
        <v>234</v>
      </c>
      <c r="D265" s="53" t="s">
        <v>31</v>
      </c>
      <c r="E265" s="53" t="s">
        <v>571</v>
      </c>
      <c r="F265" s="73">
        <f t="shared" si="23"/>
        <v>3.8565904181660435E-2</v>
      </c>
      <c r="G265" s="60">
        <f t="shared" si="23"/>
        <v>4.7966454827629325E-2</v>
      </c>
      <c r="H265" s="60">
        <f t="shared" si="23"/>
        <v>5.9331869101323334E-2</v>
      </c>
      <c r="I265" s="60">
        <f t="shared" si="23"/>
        <v>6.6925313900620204E-2</v>
      </c>
      <c r="J265" s="63">
        <f t="shared" si="23"/>
        <v>7.3083738090214137E-2</v>
      </c>
      <c r="K265" s="60">
        <f t="shared" si="24"/>
        <v>6.3563168166043838E-4</v>
      </c>
      <c r="L265" s="60">
        <f t="shared" si="24"/>
        <v>1.0757560627629328E-2</v>
      </c>
      <c r="M265" s="60">
        <f t="shared" si="24"/>
        <v>2.1090828301323333E-2</v>
      </c>
      <c r="N265" s="60">
        <f t="shared" si="24"/>
        <v>2.7355682500620194E-2</v>
      </c>
      <c r="O265" s="63">
        <f t="shared" si="24"/>
        <v>3.2025173190214147E-2</v>
      </c>
      <c r="P265" s="55" t="s">
        <v>572</v>
      </c>
      <c r="Q265" s="53" t="s">
        <v>573</v>
      </c>
      <c r="R265" s="94">
        <v>47664</v>
      </c>
      <c r="S265" s="73">
        <v>4.9706919999999995E-2</v>
      </c>
      <c r="T265" s="63">
        <f t="shared" si="20"/>
        <v>9.6249491013233393E-3</v>
      </c>
      <c r="V265" s="114">
        <v>1.13298769</v>
      </c>
      <c r="W265" s="72">
        <v>2.8491592999999997</v>
      </c>
      <c r="X265" s="72">
        <v>4.2794098400000005</v>
      </c>
      <c r="Y265" s="72">
        <v>5.4002090300000001</v>
      </c>
      <c r="Z265" s="115">
        <v>6.64030202</v>
      </c>
      <c r="AB265" s="71">
        <v>3.8565904181660435E-2</v>
      </c>
      <c r="AC265" s="71">
        <v>4.7966454827629325E-2</v>
      </c>
      <c r="AD265" s="71">
        <v>5.9331869101323334E-2</v>
      </c>
      <c r="AE265" s="71">
        <v>6.6925313900620204E-2</v>
      </c>
      <c r="AF265" s="63">
        <v>7.3083738090214137E-2</v>
      </c>
      <c r="AG265" s="71">
        <v>6.3563168166043838E-4</v>
      </c>
      <c r="AH265" s="71">
        <v>1.0757560627629328E-2</v>
      </c>
      <c r="AI265" s="71">
        <v>2.1090828301323333E-2</v>
      </c>
      <c r="AJ265" s="71">
        <v>2.7355682500620194E-2</v>
      </c>
      <c r="AK265" s="63">
        <v>3.2025173190214147E-2</v>
      </c>
    </row>
    <row r="266" spans="2:37" x14ac:dyDescent="0.35">
      <c r="B266" s="55" t="s">
        <v>175</v>
      </c>
      <c r="C266" s="53" t="s">
        <v>234</v>
      </c>
      <c r="D266" s="53" t="s">
        <v>43</v>
      </c>
      <c r="E266" s="53" t="s">
        <v>141</v>
      </c>
      <c r="F266" s="73">
        <f t="shared" si="23"/>
        <v>4.3006446697589219E-2</v>
      </c>
      <c r="G266" s="60">
        <f t="shared" si="23"/>
        <v>5.0620805403840355E-2</v>
      </c>
      <c r="H266" s="60">
        <f t="shared" si="23"/>
        <v>5.9093400701365463E-2</v>
      </c>
      <c r="I266" s="60">
        <f t="shared" si="23"/>
        <v>6.5030611162392726E-2</v>
      </c>
      <c r="J266" s="63">
        <f t="shared" si="23"/>
        <v>7.0923101842601782E-2</v>
      </c>
      <c r="K266" s="60">
        <f t="shared" si="24"/>
        <v>4.7936289975892155E-3</v>
      </c>
      <c r="L266" s="60">
        <f t="shared" si="24"/>
        <v>1.3248607003840354E-2</v>
      </c>
      <c r="M266" s="60">
        <f t="shared" si="24"/>
        <v>2.0853347001365454E-2</v>
      </c>
      <c r="N266" s="60">
        <f t="shared" si="24"/>
        <v>2.5580554562392735E-2</v>
      </c>
      <c r="O266" s="63">
        <f t="shared" si="24"/>
        <v>2.9994455342601777E-2</v>
      </c>
      <c r="P266" s="55" t="s">
        <v>21</v>
      </c>
      <c r="Q266" s="53" t="s">
        <v>21</v>
      </c>
      <c r="R266" s="94" t="s">
        <v>21</v>
      </c>
      <c r="S266" s="73" t="s">
        <v>21</v>
      </c>
      <c r="T266" s="63" t="str">
        <f t="shared" si="20"/>
        <v/>
      </c>
      <c r="V266" s="114">
        <v>1.1226858500000001</v>
      </c>
      <c r="W266" s="72">
        <v>2.8153774499999997</v>
      </c>
      <c r="X266" s="72">
        <v>4.2461667199999997</v>
      </c>
      <c r="Y266" s="72">
        <v>5.3957899300000003</v>
      </c>
      <c r="Z266" s="115">
        <v>6.6925367400000004</v>
      </c>
      <c r="AB266" s="71">
        <v>4.3006446697589219E-2</v>
      </c>
      <c r="AC266" s="71">
        <v>5.0620805403840355E-2</v>
      </c>
      <c r="AD266" s="71">
        <v>5.9093400701365463E-2</v>
      </c>
      <c r="AE266" s="71">
        <v>6.5030611162392726E-2</v>
      </c>
      <c r="AF266" s="63">
        <v>7.0923101842601782E-2</v>
      </c>
      <c r="AG266" s="71">
        <v>4.7936289975892155E-3</v>
      </c>
      <c r="AH266" s="71">
        <v>1.3248607003840354E-2</v>
      </c>
      <c r="AI266" s="71">
        <v>2.0853347001365454E-2</v>
      </c>
      <c r="AJ266" s="71">
        <v>2.5580554562392735E-2</v>
      </c>
      <c r="AK266" s="63">
        <v>2.9994455342601777E-2</v>
      </c>
    </row>
    <row r="267" spans="2:37" x14ac:dyDescent="0.35">
      <c r="B267" s="55" t="s">
        <v>129</v>
      </c>
      <c r="C267" s="53" t="s">
        <v>234</v>
      </c>
      <c r="D267" s="53" t="s">
        <v>62</v>
      </c>
      <c r="E267" s="53" t="s">
        <v>574</v>
      </c>
      <c r="F267" s="73">
        <f t="shared" si="23"/>
        <v>4.0110389611502623E-2</v>
      </c>
      <c r="G267" s="60">
        <f t="shared" si="23"/>
        <v>4.9391551372609165E-2</v>
      </c>
      <c r="H267" s="60">
        <f t="shared" si="23"/>
        <v>5.8571313437963665E-2</v>
      </c>
      <c r="I267" s="60">
        <f t="shared" si="23"/>
        <v>6.3919596045466848E-2</v>
      </c>
      <c r="J267" s="63">
        <f t="shared" si="23"/>
        <v>6.8127438325588055E-2</v>
      </c>
      <c r="K267" s="60">
        <f t="shared" si="24"/>
        <v>2.1089528115026228E-3</v>
      </c>
      <c r="L267" s="60">
        <f t="shared" si="24"/>
        <v>1.2107548572609168E-2</v>
      </c>
      <c r="M267" s="60">
        <f t="shared" si="24"/>
        <v>2.0380277237963672E-2</v>
      </c>
      <c r="N267" s="60">
        <f t="shared" si="24"/>
        <v>2.4558950845466845E-2</v>
      </c>
      <c r="O267" s="63">
        <f t="shared" si="24"/>
        <v>2.7402988725588065E-2</v>
      </c>
      <c r="P267" s="55" t="s">
        <v>21</v>
      </c>
      <c r="Q267" s="53" t="s">
        <v>21</v>
      </c>
      <c r="R267" s="94" t="s">
        <v>21</v>
      </c>
      <c r="S267" s="73" t="s">
        <v>21</v>
      </c>
      <c r="T267" s="63" t="str">
        <f t="shared" si="20"/>
        <v/>
      </c>
      <c r="V267" s="114">
        <v>1.1295195900000001</v>
      </c>
      <c r="W267" s="72">
        <v>2.8328888999999999</v>
      </c>
      <c r="X267" s="72">
        <v>4.2692974799999996</v>
      </c>
      <c r="Y267" s="72">
        <v>5.4321813099999998</v>
      </c>
      <c r="Z267" s="115">
        <v>6.7870057299999997</v>
      </c>
      <c r="AB267" s="71">
        <v>4.0110389611502623E-2</v>
      </c>
      <c r="AC267" s="71">
        <v>4.9391551372609165E-2</v>
      </c>
      <c r="AD267" s="71">
        <v>5.8571313437963665E-2</v>
      </c>
      <c r="AE267" s="71">
        <v>6.3919596045466848E-2</v>
      </c>
      <c r="AF267" s="63">
        <v>6.8127438325588055E-2</v>
      </c>
      <c r="AG267" s="71">
        <v>2.1089528115026228E-3</v>
      </c>
      <c r="AH267" s="71">
        <v>1.2107548572609168E-2</v>
      </c>
      <c r="AI267" s="71">
        <v>2.0380277237963672E-2</v>
      </c>
      <c r="AJ267" s="71">
        <v>2.4558950845466845E-2</v>
      </c>
      <c r="AK267" s="63">
        <v>2.7402988725588065E-2</v>
      </c>
    </row>
    <row r="268" spans="2:37" x14ac:dyDescent="0.35">
      <c r="B268" s="55" t="s">
        <v>400</v>
      </c>
      <c r="C268" s="53" t="s">
        <v>234</v>
      </c>
      <c r="D268" s="53" t="s">
        <v>20</v>
      </c>
      <c r="E268" s="53" t="s">
        <v>288</v>
      </c>
      <c r="F268" s="73">
        <f t="shared" si="23"/>
        <v>3.8838737721260688E-2</v>
      </c>
      <c r="G268" s="60">
        <f t="shared" si="23"/>
        <v>4.8080261362861934E-2</v>
      </c>
      <c r="H268" s="60">
        <f t="shared" si="23"/>
        <v>5.7213484807196777E-2</v>
      </c>
      <c r="I268" s="60">
        <f t="shared" si="23"/>
        <v>6.3281758040211661E-2</v>
      </c>
      <c r="J268" s="63">
        <f t="shared" si="23"/>
        <v>6.6765064051912598E-2</v>
      </c>
      <c r="K268" s="60">
        <f t="shared" si="24"/>
        <v>8.9736272126069751E-4</v>
      </c>
      <c r="L268" s="60">
        <f t="shared" si="24"/>
        <v>1.0881479962861929E-2</v>
      </c>
      <c r="M268" s="60">
        <f t="shared" si="24"/>
        <v>1.9140692807196776E-2</v>
      </c>
      <c r="N268" s="60">
        <f t="shared" si="24"/>
        <v>2.3998935840211677E-2</v>
      </c>
      <c r="O268" s="63">
        <f t="shared" si="24"/>
        <v>2.6171599551912582E-2</v>
      </c>
      <c r="P268" s="55" t="s">
        <v>403</v>
      </c>
      <c r="Q268" s="53" t="s">
        <v>404</v>
      </c>
      <c r="R268" s="94">
        <v>47771</v>
      </c>
      <c r="S268" s="73">
        <v>4.9721359999999999E-2</v>
      </c>
      <c r="T268" s="63">
        <f t="shared" si="20"/>
        <v>7.4921248071967775E-3</v>
      </c>
      <c r="V268" s="114">
        <v>1.1335380100000001</v>
      </c>
      <c r="W268" s="72">
        <v>2.85058262</v>
      </c>
      <c r="X268" s="72">
        <v>4.3088412299999996</v>
      </c>
      <c r="Y268" s="72">
        <v>5.4861822999999994</v>
      </c>
      <c r="Z268" s="115">
        <v>6.8762939599999999</v>
      </c>
      <c r="AB268" s="71">
        <v>3.8838737721260688E-2</v>
      </c>
      <c r="AC268" s="71">
        <v>4.8080261362861934E-2</v>
      </c>
      <c r="AD268" s="71">
        <v>5.7213484807196777E-2</v>
      </c>
      <c r="AE268" s="71">
        <v>6.3281758040211661E-2</v>
      </c>
      <c r="AF268" s="63">
        <v>6.6765064051912598E-2</v>
      </c>
      <c r="AG268" s="71">
        <v>8.9736272126069751E-4</v>
      </c>
      <c r="AH268" s="71">
        <v>1.0881479962861929E-2</v>
      </c>
      <c r="AI268" s="71">
        <v>1.9140692807196776E-2</v>
      </c>
      <c r="AJ268" s="71">
        <v>2.3998935840211677E-2</v>
      </c>
      <c r="AK268" s="63">
        <v>2.6171599551912582E-2</v>
      </c>
    </row>
    <row r="269" spans="2:37" x14ac:dyDescent="0.35">
      <c r="B269" s="55" t="s">
        <v>165</v>
      </c>
      <c r="C269" s="53" t="s">
        <v>234</v>
      </c>
      <c r="D269" s="53" t="s">
        <v>47</v>
      </c>
      <c r="E269" s="53" t="s">
        <v>48</v>
      </c>
      <c r="F269" s="73">
        <f t="shared" si="23"/>
        <v>3.8735348904430408E-2</v>
      </c>
      <c r="G269" s="60">
        <f t="shared" si="23"/>
        <v>4.6338655857453698E-2</v>
      </c>
      <c r="H269" s="60">
        <f t="shared" si="23"/>
        <v>5.5094442170038407E-2</v>
      </c>
      <c r="I269" s="60">
        <f t="shared" si="23"/>
        <v>6.1329004341246551E-2</v>
      </c>
      <c r="J269" s="63">
        <f t="shared" si="23"/>
        <v>6.6526242128948754E-2</v>
      </c>
      <c r="K269" s="60">
        <f t="shared" si="24"/>
        <v>8.0262500443040955E-4</v>
      </c>
      <c r="L269" s="60">
        <f t="shared" si="24"/>
        <v>9.2149016574537002E-3</v>
      </c>
      <c r="M269" s="60">
        <f t="shared" si="24"/>
        <v>1.7125708370038406E-2</v>
      </c>
      <c r="N269" s="60">
        <f t="shared" si="24"/>
        <v>2.214436444124656E-2</v>
      </c>
      <c r="O269" s="63">
        <f t="shared" si="24"/>
        <v>2.5911116128948763E-2</v>
      </c>
      <c r="P269" s="55" t="s">
        <v>21</v>
      </c>
      <c r="Q269" s="53" t="s">
        <v>21</v>
      </c>
      <c r="R269" s="94" t="s">
        <v>21</v>
      </c>
      <c r="S269" s="73" t="s">
        <v>21</v>
      </c>
      <c r="T269" s="63" t="str">
        <f t="shared" si="20"/>
        <v/>
      </c>
      <c r="V269" s="114">
        <v>1.1326344500000001</v>
      </c>
      <c r="W269" s="72">
        <v>2.85794785</v>
      </c>
      <c r="X269" s="72">
        <v>4.33303379</v>
      </c>
      <c r="Y269" s="72">
        <v>5.5306052000000001</v>
      </c>
      <c r="Z269" s="115">
        <v>6.9140396099999997</v>
      </c>
      <c r="AB269" s="71">
        <v>3.8735348904430408E-2</v>
      </c>
      <c r="AC269" s="71">
        <v>4.6338655857453698E-2</v>
      </c>
      <c r="AD269" s="71">
        <v>5.5094442170038407E-2</v>
      </c>
      <c r="AE269" s="71">
        <v>6.1329004341246551E-2</v>
      </c>
      <c r="AF269" s="63">
        <v>6.6526242128948754E-2</v>
      </c>
      <c r="AG269" s="71">
        <v>8.0262500443040955E-4</v>
      </c>
      <c r="AH269" s="71">
        <v>9.2149016574537002E-3</v>
      </c>
      <c r="AI269" s="71">
        <v>1.7125708370038406E-2</v>
      </c>
      <c r="AJ269" s="71">
        <v>2.214436444124656E-2</v>
      </c>
      <c r="AK269" s="63">
        <v>2.5911116128948763E-2</v>
      </c>
    </row>
    <row r="270" spans="2:37" x14ac:dyDescent="0.35">
      <c r="B270" s="55" t="s">
        <v>166</v>
      </c>
      <c r="C270" s="53" t="s">
        <v>234</v>
      </c>
      <c r="D270" s="53" t="s">
        <v>43</v>
      </c>
      <c r="E270" s="53" t="s">
        <v>575</v>
      </c>
      <c r="F270" s="73">
        <f t="shared" si="23"/>
        <v>3.8054377363205022E-2</v>
      </c>
      <c r="G270" s="60">
        <f t="shared" si="23"/>
        <v>4.6041321616116827E-2</v>
      </c>
      <c r="H270" s="60">
        <f t="shared" si="23"/>
        <v>5.4498569930867422E-2</v>
      </c>
      <c r="I270" s="60">
        <f t="shared" si="23"/>
        <v>5.8516243929725598E-2</v>
      </c>
      <c r="J270" s="63">
        <f t="shared" si="23"/>
        <v>6.1454479552215863E-2</v>
      </c>
      <c r="K270" s="60">
        <f t="shared" si="24"/>
        <v>1.3243206320502198E-4</v>
      </c>
      <c r="L270" s="60">
        <f t="shared" si="24"/>
        <v>8.9245607161168288E-3</v>
      </c>
      <c r="M270" s="60">
        <f t="shared" si="24"/>
        <v>1.6558809430867415E-2</v>
      </c>
      <c r="N270" s="60">
        <f t="shared" si="24"/>
        <v>1.9509478429725603E-2</v>
      </c>
      <c r="O270" s="63">
        <f t="shared" si="24"/>
        <v>2.1145224552215843E-2</v>
      </c>
      <c r="P270" s="55" t="s">
        <v>21</v>
      </c>
      <c r="Q270" s="53" t="s">
        <v>21</v>
      </c>
      <c r="R270" s="94" t="s">
        <v>21</v>
      </c>
      <c r="S270" s="73" t="s">
        <v>21</v>
      </c>
      <c r="T270" s="63" t="str">
        <f t="shared" si="20"/>
        <v/>
      </c>
      <c r="V270" s="114">
        <v>1.1340633100000002</v>
      </c>
      <c r="W270" s="72">
        <v>2.8621325799999999</v>
      </c>
      <c r="X270" s="72">
        <v>4.3441709500000005</v>
      </c>
      <c r="Y270" s="72">
        <v>5.5775608200000004</v>
      </c>
      <c r="Z270" s="115">
        <v>7.0820044299999996</v>
      </c>
      <c r="AB270" s="71">
        <v>3.8054377363205022E-2</v>
      </c>
      <c r="AC270" s="71">
        <v>4.6041321616116827E-2</v>
      </c>
      <c r="AD270" s="71">
        <v>5.4498569930867422E-2</v>
      </c>
      <c r="AE270" s="71">
        <v>5.8516243929725598E-2</v>
      </c>
      <c r="AF270" s="63">
        <v>6.1454479552215863E-2</v>
      </c>
      <c r="AG270" s="71">
        <v>1.3243206320502198E-4</v>
      </c>
      <c r="AH270" s="71">
        <v>8.9245607161168288E-3</v>
      </c>
      <c r="AI270" s="71">
        <v>1.6558809430867415E-2</v>
      </c>
      <c r="AJ270" s="71">
        <v>1.9509478429725603E-2</v>
      </c>
      <c r="AK270" s="63">
        <v>2.1145224552215843E-2</v>
      </c>
    </row>
    <row r="271" spans="2:37" x14ac:dyDescent="0.35">
      <c r="B271" s="55" t="s">
        <v>401</v>
      </c>
      <c r="C271" s="53" t="s">
        <v>234</v>
      </c>
      <c r="D271" s="53" t="s">
        <v>53</v>
      </c>
      <c r="E271" s="53" t="s">
        <v>293</v>
      </c>
      <c r="F271" s="73">
        <f t="shared" si="23"/>
        <v>3.7234594208509116E-2</v>
      </c>
      <c r="G271" s="60">
        <f t="shared" si="23"/>
        <v>4.5341271569602458E-2</v>
      </c>
      <c r="H271" s="60">
        <f t="shared" si="23"/>
        <v>5.4208679001396212E-2</v>
      </c>
      <c r="I271" s="60">
        <f t="shared" si="23"/>
        <v>5.9353715859835399E-2</v>
      </c>
      <c r="J271" s="63">
        <f t="shared" si="23"/>
        <v>6.5006923906451922E-2</v>
      </c>
      <c r="K271" s="60" t="str">
        <f t="shared" si="24"/>
        <v/>
      </c>
      <c r="L271" s="60">
        <f t="shared" si="24"/>
        <v>8.2682019696024584E-3</v>
      </c>
      <c r="M271" s="60">
        <f t="shared" si="24"/>
        <v>1.629463490139621E-2</v>
      </c>
      <c r="N271" s="60">
        <f t="shared" si="24"/>
        <v>2.0303626359835389E-2</v>
      </c>
      <c r="O271" s="63">
        <f t="shared" si="24"/>
        <v>2.4491181406451946E-2</v>
      </c>
      <c r="P271" s="55" t="s">
        <v>21</v>
      </c>
      <c r="Q271" s="53" t="s">
        <v>21</v>
      </c>
      <c r="R271" s="94" t="s">
        <v>21</v>
      </c>
      <c r="S271" s="73" t="s">
        <v>21</v>
      </c>
      <c r="T271" s="63" t="str">
        <f t="shared" si="20"/>
        <v/>
      </c>
      <c r="V271" s="114">
        <v>1.1354910899999999</v>
      </c>
      <c r="W271" s="72">
        <v>2.8689194800000002</v>
      </c>
      <c r="X271" s="72">
        <v>4.3544193199999999</v>
      </c>
      <c r="Y271" s="72">
        <v>5.5783885700000004</v>
      </c>
      <c r="Z271" s="115">
        <v>7.0010405999999996</v>
      </c>
      <c r="AB271" s="71">
        <v>3.7234594208509116E-2</v>
      </c>
      <c r="AC271" s="71">
        <v>4.5341271569602458E-2</v>
      </c>
      <c r="AD271" s="71">
        <v>5.4208679001396212E-2</v>
      </c>
      <c r="AE271" s="71">
        <v>5.9353715859835399E-2</v>
      </c>
      <c r="AF271" s="63">
        <v>6.5006923906451922E-2</v>
      </c>
      <c r="AG271" s="71" t="s">
        <v>21</v>
      </c>
      <c r="AH271" s="71">
        <v>8.2682019696024584E-3</v>
      </c>
      <c r="AI271" s="71">
        <v>1.629463490139621E-2</v>
      </c>
      <c r="AJ271" s="71">
        <v>2.0303626359835389E-2</v>
      </c>
      <c r="AK271" s="63">
        <v>2.4491181406451946E-2</v>
      </c>
    </row>
    <row r="272" spans="2:37" x14ac:dyDescent="0.35">
      <c r="B272" s="55" t="s">
        <v>170</v>
      </c>
      <c r="C272" s="53" t="s">
        <v>234</v>
      </c>
      <c r="D272" s="53" t="s">
        <v>20</v>
      </c>
      <c r="E272" s="53" t="s">
        <v>402</v>
      </c>
      <c r="F272" s="73">
        <f t="shared" si="23"/>
        <v>4.2691726843859933E-2</v>
      </c>
      <c r="G272" s="60">
        <f t="shared" si="23"/>
        <v>5.3429407000301445E-2</v>
      </c>
      <c r="H272" s="60">
        <f t="shared" si="23"/>
        <v>6.517284624703977E-2</v>
      </c>
      <c r="I272" s="60">
        <f t="shared" si="23"/>
        <v>7.0817550299087623E-2</v>
      </c>
      <c r="J272" s="63">
        <f t="shared" si="23"/>
        <v>7.5847617491117431E-2</v>
      </c>
      <c r="K272" s="60">
        <f t="shared" si="24"/>
        <v>4.5670593438599328E-3</v>
      </c>
      <c r="L272" s="60">
        <f t="shared" si="24"/>
        <v>1.5934407900301449E-2</v>
      </c>
      <c r="M272" s="60">
        <f t="shared" si="24"/>
        <v>2.6548961547039781E-2</v>
      </c>
      <c r="N272" s="60">
        <f t="shared" si="24"/>
        <v>3.1001585299087635E-2</v>
      </c>
      <c r="O272" s="63">
        <f t="shared" si="24"/>
        <v>3.4618019991117438E-2</v>
      </c>
      <c r="P272" s="55" t="s">
        <v>468</v>
      </c>
      <c r="Q272" s="53" t="s">
        <v>469</v>
      </c>
      <c r="R272" s="94">
        <v>47505</v>
      </c>
      <c r="S272" s="73">
        <v>5.5480260000000003E-2</v>
      </c>
      <c r="T272" s="63">
        <f t="shared" si="20"/>
        <v>9.6925862470397667E-3</v>
      </c>
      <c r="V272" s="114">
        <v>1.12436837</v>
      </c>
      <c r="W272" s="72">
        <v>2.8022332800000003</v>
      </c>
      <c r="X272" s="72">
        <v>4.1801492599999994</v>
      </c>
      <c r="Y272" s="72">
        <v>5.2506876099999999</v>
      </c>
      <c r="Z272" s="115">
        <v>6.4616041200000005</v>
      </c>
      <c r="AB272" s="71">
        <v>4.2691726843859933E-2</v>
      </c>
      <c r="AC272" s="71">
        <v>5.3429407000301445E-2</v>
      </c>
      <c r="AD272" s="71">
        <v>6.517284624703977E-2</v>
      </c>
      <c r="AE272" s="71">
        <v>7.0817550299087623E-2</v>
      </c>
      <c r="AF272" s="63">
        <v>7.5847617491117431E-2</v>
      </c>
      <c r="AG272" s="71">
        <v>4.5670593438599328E-3</v>
      </c>
      <c r="AH272" s="71">
        <v>1.5934407900301449E-2</v>
      </c>
      <c r="AI272" s="71">
        <v>2.6548961547039781E-2</v>
      </c>
      <c r="AJ272" s="71">
        <v>3.1001585299087635E-2</v>
      </c>
      <c r="AK272" s="63">
        <v>3.4618019991117438E-2</v>
      </c>
    </row>
    <row r="273" spans="2:37" x14ac:dyDescent="0.35">
      <c r="B273" s="55" t="s">
        <v>168</v>
      </c>
      <c r="C273" s="53" t="s">
        <v>234</v>
      </c>
      <c r="D273" s="53" t="s">
        <v>169</v>
      </c>
      <c r="E273" s="53" t="s">
        <v>576</v>
      </c>
      <c r="F273" s="73">
        <f t="shared" si="23"/>
        <v>4.0765797280684142E-2</v>
      </c>
      <c r="G273" s="60">
        <f t="shared" si="23"/>
        <v>4.7471578377376304E-2</v>
      </c>
      <c r="H273" s="60">
        <f t="shared" si="23"/>
        <v>5.3910515287912963E-2</v>
      </c>
      <c r="I273" s="60">
        <f t="shared" si="23"/>
        <v>5.7094209005983582E-2</v>
      </c>
      <c r="J273" s="63">
        <f t="shared" si="23"/>
        <v>5.9833726948625952E-2</v>
      </c>
      <c r="K273" s="60">
        <f t="shared" si="24"/>
        <v>2.7223772806841432E-3</v>
      </c>
      <c r="L273" s="60">
        <f t="shared" si="24"/>
        <v>1.0299229677376301E-2</v>
      </c>
      <c r="M273" s="60">
        <f t="shared" si="24"/>
        <v>1.602372708791297E-2</v>
      </c>
      <c r="N273" s="60">
        <f t="shared" si="24"/>
        <v>1.8192123005983579E-2</v>
      </c>
      <c r="O273" s="63">
        <f t="shared" si="24"/>
        <v>1.9630137148625958E-2</v>
      </c>
      <c r="P273" s="55" t="s">
        <v>21</v>
      </c>
      <c r="Q273" s="53" t="s">
        <v>21</v>
      </c>
      <c r="R273" s="94" t="s">
        <v>21</v>
      </c>
      <c r="S273" s="73" t="s">
        <v>21</v>
      </c>
      <c r="T273" s="63" t="str">
        <f t="shared" si="20"/>
        <v/>
      </c>
      <c r="V273" s="114">
        <v>1.1296199899999999</v>
      </c>
      <c r="W273" s="72">
        <v>2.8478042800000001</v>
      </c>
      <c r="X273" s="72">
        <v>4.3394292700000001</v>
      </c>
      <c r="Y273" s="72">
        <v>5.6034190400000004</v>
      </c>
      <c r="Z273" s="115">
        <v>7.1617320499999995</v>
      </c>
      <c r="AB273" s="71">
        <v>4.0765797280684142E-2</v>
      </c>
      <c r="AC273" s="71">
        <v>4.7471578377376304E-2</v>
      </c>
      <c r="AD273" s="71">
        <v>5.3910515287912963E-2</v>
      </c>
      <c r="AE273" s="71">
        <v>5.7094209005983582E-2</v>
      </c>
      <c r="AF273" s="63">
        <v>5.9833726948625952E-2</v>
      </c>
      <c r="AG273" s="71">
        <v>2.7223772806841432E-3</v>
      </c>
      <c r="AH273" s="71">
        <v>1.0299229677376301E-2</v>
      </c>
      <c r="AI273" s="71">
        <v>1.602372708791297E-2</v>
      </c>
      <c r="AJ273" s="71">
        <v>1.8192123005983579E-2</v>
      </c>
      <c r="AK273" s="63">
        <v>1.9630137148625958E-2</v>
      </c>
    </row>
    <row r="274" spans="2:37" x14ac:dyDescent="0.35">
      <c r="B274" s="55" t="s">
        <v>117</v>
      </c>
      <c r="C274" s="53" t="s">
        <v>234</v>
      </c>
      <c r="D274" s="53" t="s">
        <v>31</v>
      </c>
      <c r="E274" s="53" t="s">
        <v>123</v>
      </c>
      <c r="F274" s="73">
        <f t="shared" si="23"/>
        <v>3.7167127473110753E-2</v>
      </c>
      <c r="G274" s="60">
        <f t="shared" si="23"/>
        <v>4.568067016490656E-2</v>
      </c>
      <c r="H274" s="60">
        <f t="shared" si="23"/>
        <v>5.1136063834519609E-2</v>
      </c>
      <c r="I274" s="60">
        <f t="shared" si="23"/>
        <v>5.5088213989946379E-2</v>
      </c>
      <c r="J274" s="63">
        <f t="shared" si="23"/>
        <v>5.8065224155237953E-2</v>
      </c>
      <c r="K274" s="60" t="str">
        <f t="shared" si="24"/>
        <v/>
      </c>
      <c r="L274" s="60">
        <f t="shared" si="24"/>
        <v>8.5865817649065524E-3</v>
      </c>
      <c r="M274" s="60">
        <f t="shared" si="24"/>
        <v>1.3379009634519608E-2</v>
      </c>
      <c r="N274" s="60">
        <f t="shared" si="24"/>
        <v>1.6272754789946366E-2</v>
      </c>
      <c r="O274" s="63">
        <f t="shared" si="24"/>
        <v>1.7940369655237959E-2</v>
      </c>
      <c r="P274" s="55" t="s">
        <v>21</v>
      </c>
      <c r="Q274" s="53" t="s">
        <v>21</v>
      </c>
      <c r="R274" s="94" t="s">
        <v>21</v>
      </c>
      <c r="S274" s="73" t="s">
        <v>21</v>
      </c>
      <c r="T274" s="63" t="str">
        <f t="shared" si="20"/>
        <v/>
      </c>
      <c r="V274" s="114">
        <v>1.1356807</v>
      </c>
      <c r="W274" s="72">
        <v>2.8667247900000001</v>
      </c>
      <c r="X274" s="72">
        <v>4.3838548900000003</v>
      </c>
      <c r="Y274" s="72">
        <v>5.6694667999999995</v>
      </c>
      <c r="Z274" s="115">
        <v>7.2537368899999999</v>
      </c>
      <c r="AB274" s="71">
        <v>3.7167127473110753E-2</v>
      </c>
      <c r="AC274" s="71">
        <v>4.568067016490656E-2</v>
      </c>
      <c r="AD274" s="71">
        <v>5.1136063834519609E-2</v>
      </c>
      <c r="AE274" s="71">
        <v>5.5088213989946379E-2</v>
      </c>
      <c r="AF274" s="63">
        <v>5.8065224155237953E-2</v>
      </c>
      <c r="AG274" s="71" t="s">
        <v>21</v>
      </c>
      <c r="AH274" s="71">
        <v>8.5865817649065524E-3</v>
      </c>
      <c r="AI274" s="71">
        <v>1.3379009634519608E-2</v>
      </c>
      <c r="AJ274" s="71">
        <v>1.6272754789946366E-2</v>
      </c>
      <c r="AK274" s="63">
        <v>1.7940369655237959E-2</v>
      </c>
    </row>
    <row r="275" spans="2:37" x14ac:dyDescent="0.35">
      <c r="B275" s="55" t="s">
        <v>139</v>
      </c>
      <c r="C275" s="53" t="s">
        <v>234</v>
      </c>
      <c r="D275" s="53" t="s">
        <v>140</v>
      </c>
      <c r="E275" s="53" t="s">
        <v>161</v>
      </c>
      <c r="F275" s="73">
        <f t="shared" si="23"/>
        <v>3.8249125308594381E-2</v>
      </c>
      <c r="G275" s="60">
        <f t="shared" si="23"/>
        <v>4.3921727237393723E-2</v>
      </c>
      <c r="H275" s="60">
        <f t="shared" si="23"/>
        <v>5.0131868812833102E-2</v>
      </c>
      <c r="I275" s="60">
        <f t="shared" si="23"/>
        <v>5.4516206153718647E-2</v>
      </c>
      <c r="J275" s="63">
        <f t="shared" si="23"/>
        <v>5.9038616528511965E-2</v>
      </c>
      <c r="K275" s="60">
        <f t="shared" si="24"/>
        <v>3.3809880859438264E-4</v>
      </c>
      <c r="L275" s="60">
        <f t="shared" si="24"/>
        <v>6.9144287373937201E-3</v>
      </c>
      <c r="M275" s="60">
        <f t="shared" si="24"/>
        <v>1.2428328712833104E-2</v>
      </c>
      <c r="N275" s="60">
        <f t="shared" si="24"/>
        <v>1.5733685253718648E-2</v>
      </c>
      <c r="O275" s="63">
        <f t="shared" si="24"/>
        <v>1.8862218928511969E-2</v>
      </c>
      <c r="P275" s="55" t="s">
        <v>21</v>
      </c>
      <c r="Q275" s="53" t="s">
        <v>21</v>
      </c>
      <c r="R275" s="94" t="s">
        <v>21</v>
      </c>
      <c r="S275" s="73" t="s">
        <v>21</v>
      </c>
      <c r="T275" s="63" t="str">
        <f t="shared" si="20"/>
        <v/>
      </c>
      <c r="V275" s="114">
        <v>1.13355144</v>
      </c>
      <c r="W275" s="72">
        <v>2.8733273600000002</v>
      </c>
      <c r="X275" s="72">
        <v>4.4017352900000004</v>
      </c>
      <c r="Y275" s="72">
        <v>5.6962113800000003</v>
      </c>
      <c r="Z275" s="115">
        <v>7.2595711699999992</v>
      </c>
      <c r="AA275" s="137"/>
      <c r="AB275" s="71">
        <v>3.8249125308594381E-2</v>
      </c>
      <c r="AC275" s="71">
        <v>4.3921727237393723E-2</v>
      </c>
      <c r="AD275" s="71">
        <v>5.0131868812833102E-2</v>
      </c>
      <c r="AE275" s="71">
        <v>5.4516206153718647E-2</v>
      </c>
      <c r="AF275" s="63">
        <v>5.9038616528511965E-2</v>
      </c>
      <c r="AG275" s="71">
        <v>3.3809880859438264E-4</v>
      </c>
      <c r="AH275" s="71">
        <v>6.9144287373937201E-3</v>
      </c>
      <c r="AI275" s="71">
        <v>1.2428328712833104E-2</v>
      </c>
      <c r="AJ275" s="71">
        <v>1.5733685253718648E-2</v>
      </c>
      <c r="AK275" s="63">
        <v>1.8862218928511969E-2</v>
      </c>
    </row>
    <row r="276" spans="2:37" x14ac:dyDescent="0.35">
      <c r="B276" s="57" t="s">
        <v>171</v>
      </c>
      <c r="C276" s="67" t="s">
        <v>234</v>
      </c>
      <c r="D276" s="67" t="s">
        <v>69</v>
      </c>
      <c r="E276" s="67" t="s">
        <v>110</v>
      </c>
      <c r="F276" s="74">
        <f t="shared" ref="F276:J276" si="25">IF(ISNUMBER(AB276),AB276-((C$4-C$3)/V276),"")</f>
        <v>3.6734006955502746E-2</v>
      </c>
      <c r="G276" s="76">
        <f t="shared" si="25"/>
        <v>4.2706807658023524E-2</v>
      </c>
      <c r="H276" s="76">
        <f t="shared" si="25"/>
        <v>4.9146568085251342E-2</v>
      </c>
      <c r="I276" s="76">
        <f t="shared" si="25"/>
        <v>5.2657528900378066E-2</v>
      </c>
      <c r="J276" s="64">
        <f t="shared" si="25"/>
        <v>5.6729384308449156E-2</v>
      </c>
      <c r="K276" s="76" t="str">
        <f t="shared" ref="K276:O276" si="26">IF(ISNUMBER(AG276),IF(AG276-((C$4-C$3)/V276)&lt;0,"",AG276-((C$4-C$3)/V276)),"")</f>
        <v/>
      </c>
      <c r="L276" s="76">
        <f t="shared" si="26"/>
        <v>5.750617858023525E-3</v>
      </c>
      <c r="M276" s="76">
        <f t="shared" si="26"/>
        <v>1.1488750285251342E-2</v>
      </c>
      <c r="N276" s="76">
        <f t="shared" si="26"/>
        <v>1.3965557200378056E-2</v>
      </c>
      <c r="O276" s="64">
        <f t="shared" si="26"/>
        <v>1.6662900408449158E-2</v>
      </c>
      <c r="P276" s="57" t="s">
        <v>21</v>
      </c>
      <c r="Q276" s="67" t="s">
        <v>21</v>
      </c>
      <c r="R276" s="96" t="s">
        <v>21</v>
      </c>
      <c r="S276" s="74" t="s">
        <v>21</v>
      </c>
      <c r="T276" s="64" t="str">
        <f t="shared" si="20"/>
        <v/>
      </c>
      <c r="V276" s="116">
        <v>1.13651111</v>
      </c>
      <c r="W276" s="108">
        <v>2.8859753500000003</v>
      </c>
      <c r="X276" s="108">
        <v>4.4259066300000001</v>
      </c>
      <c r="Y276" s="108">
        <v>5.7451486799999998</v>
      </c>
      <c r="Z276" s="117">
        <v>7.3638945900000001</v>
      </c>
      <c r="AA276" s="67"/>
      <c r="AB276" s="76">
        <v>3.6734006955502746E-2</v>
      </c>
      <c r="AC276" s="76">
        <v>4.2706807658023524E-2</v>
      </c>
      <c r="AD276" s="76">
        <v>4.9146568085251342E-2</v>
      </c>
      <c r="AE276" s="76">
        <v>5.2657528900378066E-2</v>
      </c>
      <c r="AF276" s="64">
        <v>5.6729384308449156E-2</v>
      </c>
      <c r="AG276" s="76" t="s">
        <v>21</v>
      </c>
      <c r="AH276" s="76">
        <v>5.750617858023525E-3</v>
      </c>
      <c r="AI276" s="76">
        <v>1.1488750285251342E-2</v>
      </c>
      <c r="AJ276" s="76">
        <v>1.3965557200378056E-2</v>
      </c>
      <c r="AK276" s="64">
        <v>1.6662900408449158E-2</v>
      </c>
    </row>
    <row r="277" spans="2:37" x14ac:dyDescent="0.35">
      <c r="P277" s="128"/>
      <c r="Q277" s="128"/>
      <c r="R277" s="44"/>
      <c r="S277" s="128"/>
      <c r="V277" s="72"/>
      <c r="W277" s="72"/>
      <c r="X277" s="72"/>
      <c r="Y277" s="72"/>
      <c r="Z277" s="72"/>
    </row>
    <row r="278" spans="2:37" ht="15.5" x14ac:dyDescent="0.35">
      <c r="B278" s="122" t="s">
        <v>179</v>
      </c>
      <c r="R278" s="94"/>
      <c r="S278" s="71"/>
      <c r="T278" s="71"/>
      <c r="V278" s="72"/>
      <c r="W278" s="72"/>
      <c r="X278" s="72"/>
      <c r="Y278" s="72"/>
      <c r="Z278" s="72"/>
    </row>
    <row r="279" spans="2:37" x14ac:dyDescent="0.35">
      <c r="B279" s="85" t="s">
        <v>5</v>
      </c>
      <c r="C279" s="84" t="s">
        <v>6</v>
      </c>
      <c r="D279" s="84" t="s">
        <v>7</v>
      </c>
      <c r="E279" s="84" t="s">
        <v>8</v>
      </c>
      <c r="F279" s="83" t="s">
        <v>9</v>
      </c>
      <c r="G279" s="82" t="s">
        <v>10</v>
      </c>
      <c r="H279" s="82" t="s">
        <v>11</v>
      </c>
      <c r="I279" s="82" t="s">
        <v>12</v>
      </c>
      <c r="J279" s="81" t="s">
        <v>13</v>
      </c>
      <c r="K279" s="83" t="s">
        <v>9</v>
      </c>
      <c r="L279" s="82" t="s">
        <v>10</v>
      </c>
      <c r="M279" s="82" t="s">
        <v>11</v>
      </c>
      <c r="N279" s="82" t="s">
        <v>12</v>
      </c>
      <c r="O279" s="81" t="s">
        <v>13</v>
      </c>
      <c r="P279" s="70" t="s">
        <v>14</v>
      </c>
      <c r="Q279" s="58" t="s">
        <v>15</v>
      </c>
      <c r="R279" s="58" t="s">
        <v>16</v>
      </c>
      <c r="S279" s="58" t="s">
        <v>218</v>
      </c>
      <c r="T279" s="58" t="s">
        <v>18</v>
      </c>
      <c r="V279" s="106" t="s">
        <v>9</v>
      </c>
      <c r="W279" s="106" t="s">
        <v>10</v>
      </c>
      <c r="X279" s="106" t="s">
        <v>11</v>
      </c>
      <c r="Y279" s="106" t="s">
        <v>12</v>
      </c>
      <c r="Z279" s="111" t="s">
        <v>13</v>
      </c>
      <c r="AB279" s="83" t="s">
        <v>9</v>
      </c>
      <c r="AC279" s="82" t="s">
        <v>10</v>
      </c>
      <c r="AD279" s="82" t="s">
        <v>11</v>
      </c>
      <c r="AE279" s="82" t="s">
        <v>12</v>
      </c>
      <c r="AF279" s="81" t="s">
        <v>13</v>
      </c>
      <c r="AG279" s="83" t="s">
        <v>9</v>
      </c>
      <c r="AH279" s="82" t="s">
        <v>10</v>
      </c>
      <c r="AI279" s="82" t="s">
        <v>11</v>
      </c>
      <c r="AJ279" s="82" t="s">
        <v>12</v>
      </c>
      <c r="AK279" s="81" t="s">
        <v>13</v>
      </c>
    </row>
    <row r="280" spans="2:37" x14ac:dyDescent="0.35">
      <c r="B280" s="56" t="s">
        <v>180</v>
      </c>
      <c r="C280" s="53" t="s">
        <v>234</v>
      </c>
      <c r="D280" s="66" t="s">
        <v>47</v>
      </c>
      <c r="E280" s="66" t="s">
        <v>577</v>
      </c>
      <c r="F280" s="73" t="str">
        <f>IF(ISNUMBER(AB280),AB280-((C$4-C$3)/V280),"")</f>
        <v/>
      </c>
      <c r="G280" s="60" t="str">
        <f>IF(ISNUMBER(AC280),AC280-((D$4-D$3)/W280),"")</f>
        <v/>
      </c>
      <c r="H280" s="60" t="str">
        <f>IF(ISNUMBER(AD280),AD280-((E$4-E$3)/X280),"")</f>
        <v/>
      </c>
      <c r="I280" s="60" t="str">
        <f>IF(ISNUMBER(AE280),AE280-((F$4-F$3)/Y280),"")</f>
        <v/>
      </c>
      <c r="J280" s="63" t="str">
        <f>IF(ISNUMBER(AF280),AF280-((G$4-G$3)/Z280),"")</f>
        <v/>
      </c>
      <c r="K280" s="60" t="str">
        <f>IF(ISNUMBER(AG280),IF(AG280-((C$4-C$3)/V280)&lt;0,"",AG280-((C$4-C$3)/V280)),"")</f>
        <v/>
      </c>
      <c r="L280" s="60" t="str">
        <f>IF(ISNUMBER(AH280),IF(AH280-((D$4-D$3)/W280)&lt;0,"",AH280-((D$4-D$3)/W280)),"")</f>
        <v/>
      </c>
      <c r="M280" s="60" t="str">
        <f>IF(ISNUMBER(AI280),IF(AI280-((E$4-E$3)/X280)&lt;0,"",AI280-((E$4-E$3)/X280)),"")</f>
        <v/>
      </c>
      <c r="N280" s="60" t="str">
        <f>IF(ISNUMBER(AJ280),IF(AJ280-((F$4-F$3)/Y280)&lt;0,"",AJ280-((F$4-F$3)/Y280)),"")</f>
        <v/>
      </c>
      <c r="O280" s="63" t="str">
        <f>IF(ISNUMBER(AK280),IF(AK280-((G$4-G$3)/Z280)&lt;0,"",AK280-((G$4-G$3)/Z280)),"")</f>
        <v/>
      </c>
      <c r="P280" s="56" t="s">
        <v>578</v>
      </c>
      <c r="Q280" s="66" t="s">
        <v>579</v>
      </c>
      <c r="R280" s="100" t="s">
        <v>32</v>
      </c>
      <c r="S280" s="75"/>
      <c r="T280" s="63" t="str">
        <f t="shared" ref="T280:T286" si="27">IF(S280="","",H280-S280)</f>
        <v/>
      </c>
      <c r="V280" s="72">
        <v>1.1371769199999999</v>
      </c>
      <c r="W280" s="72">
        <v>2.89113563</v>
      </c>
      <c r="X280" s="72">
        <v>4.44339</v>
      </c>
      <c r="Y280" s="72">
        <v>5.7795436499999999</v>
      </c>
      <c r="Z280" s="115">
        <v>7.4401842900000004</v>
      </c>
      <c r="AB280" s="80"/>
      <c r="AC280" s="80"/>
      <c r="AD280" s="80"/>
      <c r="AE280" s="80"/>
      <c r="AF280" s="62"/>
      <c r="AG280" s="80"/>
      <c r="AH280" s="80"/>
      <c r="AI280" s="80"/>
      <c r="AJ280" s="80"/>
      <c r="AK280" s="62"/>
    </row>
    <row r="281" spans="2:37" x14ac:dyDescent="0.35">
      <c r="B281" s="55" t="s">
        <v>271</v>
      </c>
      <c r="C281" s="53" t="s">
        <v>234</v>
      </c>
      <c r="D281" s="53" t="s">
        <v>20</v>
      </c>
      <c r="E281" s="53" t="s">
        <v>580</v>
      </c>
      <c r="F281" s="73" t="str">
        <f t="shared" ref="F281:J286" si="28">IF(ISNUMBER(AB281),AB281-((C$4-C$3)/V281),"")</f>
        <v/>
      </c>
      <c r="G281" s="60">
        <f t="shared" si="28"/>
        <v>4.4370249039710388E-2</v>
      </c>
      <c r="H281" s="60">
        <f t="shared" si="28"/>
        <v>4.8790166386483924E-2</v>
      </c>
      <c r="I281" s="60">
        <f t="shared" si="28"/>
        <v>5.2132305606340926E-2</v>
      </c>
      <c r="J281" s="63">
        <f t="shared" si="28"/>
        <v>5.4491403025359986E-2</v>
      </c>
      <c r="K281" s="60" t="str">
        <f t="shared" ref="K281:O286" si="29">IF(ISNUMBER(AG281),IF(AG281-((C$4-C$3)/V281)&lt;0,"",AG281-((C$4-C$3)/V281)),"")</f>
        <v/>
      </c>
      <c r="L281" s="60">
        <f t="shared" si="29"/>
        <v>7.3967242397103864E-3</v>
      </c>
      <c r="M281" s="60">
        <f t="shared" si="29"/>
        <v>1.1187157086483924E-2</v>
      </c>
      <c r="N281" s="60">
        <f t="shared" si="29"/>
        <v>1.3528063306340932E-2</v>
      </c>
      <c r="O281" s="63">
        <f t="shared" si="29"/>
        <v>1.4579565625359989E-2</v>
      </c>
      <c r="P281" s="55" t="s">
        <v>581</v>
      </c>
      <c r="Q281" s="53" t="s">
        <v>582</v>
      </c>
      <c r="R281" s="94" t="s">
        <v>32</v>
      </c>
      <c r="S281" s="73">
        <v>3.9947980000000001E-2</v>
      </c>
      <c r="T281" s="63">
        <f t="shared" si="27"/>
        <v>8.8421863864839231E-3</v>
      </c>
      <c r="V281" s="72">
        <v>1.1356549900000001</v>
      </c>
      <c r="W281" s="72">
        <v>2.8809348200000002</v>
      </c>
      <c r="X281" s="72">
        <v>4.4320552399999995</v>
      </c>
      <c r="Y281" s="72">
        <v>5.7814899300000002</v>
      </c>
      <c r="Z281" s="115">
        <v>7.4990320099999996</v>
      </c>
      <c r="AB281" s="71" t="s">
        <v>21</v>
      </c>
      <c r="AC281" s="71">
        <v>4.4370249039710388E-2</v>
      </c>
      <c r="AD281" s="71">
        <v>4.8790166386483924E-2</v>
      </c>
      <c r="AE281" s="71">
        <v>5.2132305606340926E-2</v>
      </c>
      <c r="AF281" s="63">
        <v>5.4491403025359986E-2</v>
      </c>
      <c r="AG281" s="71" t="s">
        <v>21</v>
      </c>
      <c r="AH281" s="71">
        <v>7.3967242397103864E-3</v>
      </c>
      <c r="AI281" s="71">
        <v>1.1187157086483924E-2</v>
      </c>
      <c r="AJ281" s="71">
        <v>1.3528063306340932E-2</v>
      </c>
      <c r="AK281" s="63">
        <v>1.4579565625359989E-2</v>
      </c>
    </row>
    <row r="282" spans="2:37" x14ac:dyDescent="0.35">
      <c r="B282" s="55" t="s">
        <v>182</v>
      </c>
      <c r="C282" s="53" t="s">
        <v>234</v>
      </c>
      <c r="D282" s="53" t="s">
        <v>69</v>
      </c>
      <c r="E282" s="53" t="s">
        <v>272</v>
      </c>
      <c r="F282" s="73" t="str">
        <f t="shared" si="28"/>
        <v/>
      </c>
      <c r="G282" s="60">
        <f t="shared" si="28"/>
        <v>4.2346522627561452E-2</v>
      </c>
      <c r="H282" s="60">
        <f t="shared" si="28"/>
        <v>4.7024295120766862E-2</v>
      </c>
      <c r="I282" s="60">
        <f t="shared" si="28"/>
        <v>5.0484189731356668E-2</v>
      </c>
      <c r="J282" s="63">
        <f t="shared" si="28"/>
        <v>5.341851049340747E-2</v>
      </c>
      <c r="K282" s="60" t="str">
        <f t="shared" si="29"/>
        <v/>
      </c>
      <c r="L282" s="60">
        <f t="shared" si="29"/>
        <v>5.4763224275614563E-3</v>
      </c>
      <c r="M282" s="60">
        <f t="shared" si="29"/>
        <v>9.5161831207668628E-3</v>
      </c>
      <c r="N282" s="60">
        <f t="shared" si="29"/>
        <v>1.1964560231356676E-2</v>
      </c>
      <c r="O282" s="63">
        <f t="shared" si="29"/>
        <v>1.3558127393407466E-2</v>
      </c>
      <c r="P282" s="55" t="s">
        <v>583</v>
      </c>
      <c r="Q282" s="53" t="s">
        <v>584</v>
      </c>
      <c r="R282" s="94" t="s">
        <v>32</v>
      </c>
      <c r="S282" s="73">
        <v>3.9260299999999998E-2</v>
      </c>
      <c r="T282" s="63">
        <f t="shared" si="27"/>
        <v>7.7639951207668645E-3</v>
      </c>
      <c r="V282" s="72">
        <v>1.1383122699999999</v>
      </c>
      <c r="W282" s="72">
        <v>2.9015961100000003</v>
      </c>
      <c r="X282" s="72">
        <v>4.4786595800000004</v>
      </c>
      <c r="Y282" s="72">
        <v>5.85712454</v>
      </c>
      <c r="Z282" s="115">
        <v>7.6109551799999995</v>
      </c>
      <c r="AB282" s="71" t="s">
        <v>21</v>
      </c>
      <c r="AC282" s="71">
        <v>4.2346522627561452E-2</v>
      </c>
      <c r="AD282" s="71">
        <v>4.7024295120766862E-2</v>
      </c>
      <c r="AE282" s="71">
        <v>5.0484189731356668E-2</v>
      </c>
      <c r="AF282" s="63">
        <v>5.341851049340747E-2</v>
      </c>
      <c r="AG282" s="71" t="s">
        <v>21</v>
      </c>
      <c r="AH282" s="71">
        <v>5.4763224275614563E-3</v>
      </c>
      <c r="AI282" s="71">
        <v>9.5161831207668628E-3</v>
      </c>
      <c r="AJ282" s="71">
        <v>1.1964560231356676E-2</v>
      </c>
      <c r="AK282" s="63">
        <v>1.3558127393407466E-2</v>
      </c>
    </row>
    <row r="283" spans="2:37" x14ac:dyDescent="0.35">
      <c r="B283" s="55" t="s">
        <v>183</v>
      </c>
      <c r="C283" s="53" t="s">
        <v>234</v>
      </c>
      <c r="D283" s="53" t="s">
        <v>184</v>
      </c>
      <c r="E283" s="53" t="s">
        <v>323</v>
      </c>
      <c r="F283" s="73" t="str">
        <f t="shared" si="28"/>
        <v/>
      </c>
      <c r="G283" s="60">
        <f t="shared" si="28"/>
        <v>4.3392479811866128E-2</v>
      </c>
      <c r="H283" s="60">
        <f t="shared" si="28"/>
        <v>4.8737545517534293E-2</v>
      </c>
      <c r="I283" s="60">
        <f t="shared" si="28"/>
        <v>5.3409389013027588E-2</v>
      </c>
      <c r="J283" s="63">
        <f t="shared" si="28"/>
        <v>5.7799779145370829E-2</v>
      </c>
      <c r="K283" s="60" t="str">
        <f t="shared" si="29"/>
        <v/>
      </c>
      <c r="L283" s="60">
        <f t="shared" si="29"/>
        <v>6.4794374118661334E-3</v>
      </c>
      <c r="M283" s="60">
        <f t="shared" si="29"/>
        <v>1.1158395317534292E-2</v>
      </c>
      <c r="N283" s="60">
        <f t="shared" si="29"/>
        <v>1.4774340413027592E-2</v>
      </c>
      <c r="O283" s="63">
        <f t="shared" si="29"/>
        <v>1.7791304745370828E-2</v>
      </c>
      <c r="P283" s="55" t="s">
        <v>585</v>
      </c>
      <c r="Q283" s="53" t="s">
        <v>586</v>
      </c>
      <c r="R283" s="94" t="s">
        <v>32</v>
      </c>
      <c r="S283" s="73">
        <v>4.6177659999999995E-2</v>
      </c>
      <c r="T283" s="63">
        <f t="shared" si="27"/>
        <v>2.559885517534298E-3</v>
      </c>
      <c r="V283" s="72">
        <v>1.13826983</v>
      </c>
      <c r="W283" s="72">
        <v>2.8952116600000002</v>
      </c>
      <c r="X283" s="72">
        <v>4.4537879299999998</v>
      </c>
      <c r="Y283" s="72">
        <v>5.7924312899999997</v>
      </c>
      <c r="Z283" s="115">
        <v>7.4424611200000008</v>
      </c>
      <c r="AB283" s="71" t="s">
        <v>21</v>
      </c>
      <c r="AC283" s="71">
        <v>4.3392479811866128E-2</v>
      </c>
      <c r="AD283" s="71">
        <v>4.8737545517534293E-2</v>
      </c>
      <c r="AE283" s="71">
        <v>5.3409389013027588E-2</v>
      </c>
      <c r="AF283" s="63">
        <v>5.7799779145370829E-2</v>
      </c>
      <c r="AG283" s="71" t="s">
        <v>21</v>
      </c>
      <c r="AH283" s="71">
        <v>6.4794374118661334E-3</v>
      </c>
      <c r="AI283" s="71">
        <v>1.1158395317534292E-2</v>
      </c>
      <c r="AJ283" s="71">
        <v>1.4774340413027592E-2</v>
      </c>
      <c r="AK283" s="63">
        <v>1.7791304745370828E-2</v>
      </c>
    </row>
    <row r="284" spans="2:37" x14ac:dyDescent="0.35">
      <c r="B284" s="55" t="s">
        <v>185</v>
      </c>
      <c r="C284" s="53" t="s">
        <v>234</v>
      </c>
      <c r="D284" s="53" t="s">
        <v>53</v>
      </c>
      <c r="E284" s="53" t="s">
        <v>181</v>
      </c>
      <c r="F284" s="73" t="str">
        <f t="shared" si="28"/>
        <v/>
      </c>
      <c r="G284" s="60">
        <f t="shared" si="28"/>
        <v>4.2360220488783906E-2</v>
      </c>
      <c r="H284" s="60">
        <f t="shared" si="28"/>
        <v>4.7026181319992207E-2</v>
      </c>
      <c r="I284" s="60">
        <f t="shared" si="28"/>
        <v>5.0701123526392292E-2</v>
      </c>
      <c r="J284" s="63">
        <f t="shared" si="28"/>
        <v>5.3749264516901533E-2</v>
      </c>
      <c r="K284" s="60" t="str">
        <f t="shared" si="29"/>
        <v/>
      </c>
      <c r="L284" s="60">
        <f t="shared" si="29"/>
        <v>5.488555388783913E-3</v>
      </c>
      <c r="M284" s="60">
        <f t="shared" si="29"/>
        <v>9.5174231199922077E-3</v>
      </c>
      <c r="N284" s="60">
        <f t="shared" si="29"/>
        <v>1.217284952639229E-2</v>
      </c>
      <c r="O284" s="63">
        <f t="shared" si="29"/>
        <v>1.3879033916901536E-2</v>
      </c>
      <c r="P284" s="55" t="s">
        <v>587</v>
      </c>
      <c r="Q284" s="53" t="s">
        <v>588</v>
      </c>
      <c r="R284" s="94" t="s">
        <v>32</v>
      </c>
      <c r="S284" s="73">
        <v>4.0219889999999994E-2</v>
      </c>
      <c r="T284" s="63">
        <f t="shared" si="27"/>
        <v>6.8062913199922123E-3</v>
      </c>
      <c r="V284" s="72">
        <v>1.1386931200000001</v>
      </c>
      <c r="W284" s="72">
        <v>2.9021787100000003</v>
      </c>
      <c r="X284" s="72">
        <v>4.4791521899999998</v>
      </c>
      <c r="Y284" s="72">
        <v>5.8548038800000004</v>
      </c>
      <c r="Z284" s="115">
        <v>7.6001849899999998</v>
      </c>
      <c r="AB284" s="71" t="s">
        <v>21</v>
      </c>
      <c r="AC284" s="71">
        <v>4.2360220488783906E-2</v>
      </c>
      <c r="AD284" s="71">
        <v>4.7026181319992207E-2</v>
      </c>
      <c r="AE284" s="71">
        <v>5.0701123526392292E-2</v>
      </c>
      <c r="AF284" s="63">
        <v>5.3749264516901533E-2</v>
      </c>
      <c r="AG284" s="71" t="s">
        <v>21</v>
      </c>
      <c r="AH284" s="71">
        <v>5.488555388783913E-3</v>
      </c>
      <c r="AI284" s="71">
        <v>9.5174231199922077E-3</v>
      </c>
      <c r="AJ284" s="71">
        <v>1.217284952639229E-2</v>
      </c>
      <c r="AK284" s="63">
        <v>1.3879033916901536E-2</v>
      </c>
    </row>
    <row r="285" spans="2:37" x14ac:dyDescent="0.35">
      <c r="B285" s="55" t="s">
        <v>186</v>
      </c>
      <c r="C285" s="53" t="s">
        <v>234</v>
      </c>
      <c r="D285" s="53" t="s">
        <v>31</v>
      </c>
      <c r="E285" s="53" t="s">
        <v>589</v>
      </c>
      <c r="F285" s="73" t="str">
        <f t="shared" si="28"/>
        <v/>
      </c>
      <c r="G285" s="60">
        <f t="shared" si="28"/>
        <v>4.3252294518173938E-2</v>
      </c>
      <c r="H285" s="60">
        <f t="shared" si="28"/>
        <v>4.853533711155894E-2</v>
      </c>
      <c r="I285" s="60">
        <f t="shared" si="28"/>
        <v>5.2531457391638829E-2</v>
      </c>
      <c r="J285" s="63">
        <f t="shared" si="28"/>
        <v>5.6061359935642943E-2</v>
      </c>
      <c r="K285" s="60" t="str">
        <f t="shared" si="29"/>
        <v/>
      </c>
      <c r="L285" s="60">
        <f t="shared" si="29"/>
        <v>6.3449777181739412E-3</v>
      </c>
      <c r="M285" s="60">
        <f t="shared" si="29"/>
        <v>1.0964657311558944E-2</v>
      </c>
      <c r="N285" s="60">
        <f t="shared" si="29"/>
        <v>1.3932781991638832E-2</v>
      </c>
      <c r="O285" s="63">
        <f t="shared" si="29"/>
        <v>1.6115823635642946E-2</v>
      </c>
      <c r="P285" s="55" t="s">
        <v>590</v>
      </c>
      <c r="Q285" s="53" t="s">
        <v>591</v>
      </c>
      <c r="R285" s="94" t="s">
        <v>32</v>
      </c>
      <c r="S285" s="73">
        <v>4.1593989999999997E-2</v>
      </c>
      <c r="T285" s="63">
        <f t="shared" si="27"/>
        <v>6.9413471115589431E-3</v>
      </c>
      <c r="V285" s="72">
        <v>1.1377592000000001</v>
      </c>
      <c r="W285" s="72">
        <v>2.8951696499999997</v>
      </c>
      <c r="X285" s="72">
        <v>4.4560301099999995</v>
      </c>
      <c r="Y285" s="72">
        <v>5.8061307200000005</v>
      </c>
      <c r="Z285" s="115">
        <v>7.4969219100000002</v>
      </c>
      <c r="AB285" s="71" t="s">
        <v>21</v>
      </c>
      <c r="AC285" s="71">
        <v>4.3252294518173938E-2</v>
      </c>
      <c r="AD285" s="71">
        <v>4.853533711155894E-2</v>
      </c>
      <c r="AE285" s="71">
        <v>5.2531457391638829E-2</v>
      </c>
      <c r="AF285" s="63">
        <v>5.6061359935642943E-2</v>
      </c>
      <c r="AG285" s="71" t="s">
        <v>21</v>
      </c>
      <c r="AH285" s="71">
        <v>6.3449777181739412E-3</v>
      </c>
      <c r="AI285" s="71">
        <v>1.0964657311558944E-2</v>
      </c>
      <c r="AJ285" s="71">
        <v>1.3932781991638832E-2</v>
      </c>
      <c r="AK285" s="63">
        <v>1.6115823635642946E-2</v>
      </c>
    </row>
    <row r="286" spans="2:37" x14ac:dyDescent="0.35">
      <c r="B286" s="57" t="s">
        <v>187</v>
      </c>
      <c r="C286" s="67" t="s">
        <v>234</v>
      </c>
      <c r="D286" s="67" t="s">
        <v>140</v>
      </c>
      <c r="E286" s="67" t="s">
        <v>592</v>
      </c>
      <c r="F286" s="74" t="str">
        <f t="shared" si="28"/>
        <v/>
      </c>
      <c r="G286" s="76">
        <f t="shared" si="28"/>
        <v>4.229293371425414E-2</v>
      </c>
      <c r="H286" s="76">
        <f t="shared" si="28"/>
        <v>4.6753228717274352E-2</v>
      </c>
      <c r="I286" s="76">
        <f t="shared" si="28"/>
        <v>5.0853301052311728E-2</v>
      </c>
      <c r="J286" s="64">
        <f t="shared" si="28"/>
        <v>5.3961111482734074E-2</v>
      </c>
      <c r="K286" s="76" t="str">
        <f t="shared" si="29"/>
        <v/>
      </c>
      <c r="L286" s="76">
        <f t="shared" si="29"/>
        <v>5.4232698142541438E-3</v>
      </c>
      <c r="M286" s="76">
        <f t="shared" si="29"/>
        <v>9.2547542172743517E-3</v>
      </c>
      <c r="N286" s="76">
        <f t="shared" si="29"/>
        <v>1.231812345231173E-2</v>
      </c>
      <c r="O286" s="64">
        <f t="shared" si="29"/>
        <v>1.4084994482734075E-2</v>
      </c>
      <c r="P286" s="57" t="s">
        <v>593</v>
      </c>
      <c r="Q286" s="67" t="s">
        <v>594</v>
      </c>
      <c r="R286" s="96" t="s">
        <v>32</v>
      </c>
      <c r="S286" s="74">
        <v>3.8895989999999998E-2</v>
      </c>
      <c r="T286" s="64">
        <f t="shared" si="27"/>
        <v>7.8572387172743535E-3</v>
      </c>
      <c r="V286" s="108">
        <v>1.13887856</v>
      </c>
      <c r="W286" s="108">
        <v>2.9029110500000002</v>
      </c>
      <c r="X286" s="108">
        <v>4.4826450499999995</v>
      </c>
      <c r="Y286" s="108">
        <v>5.8568772600000001</v>
      </c>
      <c r="Z286" s="117">
        <v>7.5959619500000004</v>
      </c>
      <c r="AB286" s="76" t="s">
        <v>21</v>
      </c>
      <c r="AC286" s="76">
        <v>4.229293371425414E-2</v>
      </c>
      <c r="AD286" s="76">
        <v>4.6753228717274352E-2</v>
      </c>
      <c r="AE286" s="76">
        <v>5.0853301052311728E-2</v>
      </c>
      <c r="AF286" s="64">
        <v>5.3961111482734074E-2</v>
      </c>
      <c r="AG286" s="76" t="s">
        <v>21</v>
      </c>
      <c r="AH286" s="76">
        <v>5.4232698142541438E-3</v>
      </c>
      <c r="AI286" s="76">
        <v>9.2547542172743517E-3</v>
      </c>
      <c r="AJ286" s="76">
        <v>1.231812345231173E-2</v>
      </c>
      <c r="AK286" s="64">
        <v>1.4084994482734075E-2</v>
      </c>
    </row>
    <row r="287" spans="2:37" x14ac:dyDescent="0.35">
      <c r="V287" s="72"/>
      <c r="W287" s="72"/>
      <c r="X287" s="72"/>
      <c r="Y287" s="72"/>
      <c r="Z287" s="72"/>
    </row>
    <row r="288" spans="2:37" ht="15.5" x14ac:dyDescent="0.35">
      <c r="B288" s="122" t="s">
        <v>188</v>
      </c>
      <c r="R288" s="94"/>
      <c r="S288" s="71"/>
      <c r="T288" s="71"/>
      <c r="V288" s="72"/>
      <c r="W288" s="72"/>
      <c r="X288" s="72"/>
      <c r="Y288" s="72"/>
      <c r="Z288" s="72"/>
    </row>
    <row r="289" spans="2:37" x14ac:dyDescent="0.35">
      <c r="B289" s="85" t="s">
        <v>5</v>
      </c>
      <c r="C289" s="84" t="s">
        <v>6</v>
      </c>
      <c r="D289" s="84" t="s">
        <v>7</v>
      </c>
      <c r="E289" s="84" t="s">
        <v>8</v>
      </c>
      <c r="F289" s="83" t="s">
        <v>9</v>
      </c>
      <c r="G289" s="82" t="s">
        <v>10</v>
      </c>
      <c r="H289" s="82" t="s">
        <v>11</v>
      </c>
      <c r="I289" s="82" t="s">
        <v>12</v>
      </c>
      <c r="J289" s="81" t="s">
        <v>13</v>
      </c>
      <c r="K289" s="83" t="s">
        <v>9</v>
      </c>
      <c r="L289" s="82" t="s">
        <v>10</v>
      </c>
      <c r="M289" s="82" t="s">
        <v>11</v>
      </c>
      <c r="N289" s="82" t="s">
        <v>12</v>
      </c>
      <c r="O289" s="81" t="s">
        <v>13</v>
      </c>
      <c r="P289" s="70" t="s">
        <v>14</v>
      </c>
      <c r="Q289" s="58" t="s">
        <v>15</v>
      </c>
      <c r="R289" s="58" t="s">
        <v>16</v>
      </c>
      <c r="S289" s="58" t="s">
        <v>218</v>
      </c>
      <c r="T289" s="81" t="s">
        <v>18</v>
      </c>
      <c r="V289" s="106" t="s">
        <v>9</v>
      </c>
      <c r="W289" s="106" t="s">
        <v>10</v>
      </c>
      <c r="X289" s="106" t="s">
        <v>11</v>
      </c>
      <c r="Y289" s="106" t="s">
        <v>12</v>
      </c>
      <c r="Z289" s="111" t="s">
        <v>13</v>
      </c>
      <c r="AB289" s="83" t="s">
        <v>9</v>
      </c>
      <c r="AC289" s="82" t="s">
        <v>10</v>
      </c>
      <c r="AD289" s="82" t="s">
        <v>11</v>
      </c>
      <c r="AE289" s="82" t="s">
        <v>12</v>
      </c>
      <c r="AF289" s="81" t="s">
        <v>13</v>
      </c>
      <c r="AG289" s="83" t="s">
        <v>9</v>
      </c>
      <c r="AH289" s="82" t="s">
        <v>10</v>
      </c>
      <c r="AI289" s="82" t="s">
        <v>11</v>
      </c>
      <c r="AJ289" s="82" t="s">
        <v>12</v>
      </c>
      <c r="AK289" s="81" t="s">
        <v>13</v>
      </c>
    </row>
    <row r="290" spans="2:37" x14ac:dyDescent="0.35">
      <c r="B290" s="57" t="s">
        <v>298</v>
      </c>
      <c r="C290" s="67"/>
      <c r="D290" s="69"/>
      <c r="E290" s="69"/>
      <c r="F290" s="102" t="str">
        <f t="shared" ref="F290:J305" si="30">IF(ISNUMBER(AB290),AB290-((C$4-C$3)/V290),"")</f>
        <v/>
      </c>
      <c r="G290" s="103" t="str">
        <f t="shared" si="30"/>
        <v/>
      </c>
      <c r="H290" s="103">
        <f t="shared" si="30"/>
        <v>5.8481498851624521E-2</v>
      </c>
      <c r="I290" s="103" t="str">
        <f t="shared" si="30"/>
        <v/>
      </c>
      <c r="J290" s="104" t="str">
        <f t="shared" si="30"/>
        <v/>
      </c>
      <c r="K290" s="103" t="str">
        <f t="shared" ref="K290:O305" si="31">IF(ISNUMBER(AG290),IF(AG290-((C$4-C$3)/V290)&lt;0,"",AG290-((C$4-C$3)/V290)),"")</f>
        <v/>
      </c>
      <c r="L290" s="103" t="str">
        <f t="shared" si="31"/>
        <v/>
      </c>
      <c r="M290" s="103">
        <f t="shared" si="31"/>
        <v>2.0510812751624526E-2</v>
      </c>
      <c r="N290" s="103" t="str">
        <f t="shared" si="31"/>
        <v/>
      </c>
      <c r="O290" s="104" t="str">
        <f t="shared" si="31"/>
        <v/>
      </c>
      <c r="P290" s="56"/>
      <c r="Q290" s="69"/>
      <c r="R290" s="105"/>
      <c r="S290" s="75"/>
      <c r="T290" s="104"/>
      <c r="V290" s="72">
        <v>1.1190218700000001</v>
      </c>
      <c r="W290" s="72">
        <v>2.8102633699999999</v>
      </c>
      <c r="X290" s="72">
        <v>4.2875331900000004</v>
      </c>
      <c r="Y290" s="72">
        <v>5.5564851399999995</v>
      </c>
      <c r="Z290" s="115">
        <v>7.1472782700000002</v>
      </c>
      <c r="AB290" s="103" t="s">
        <v>21</v>
      </c>
      <c r="AC290" s="103"/>
      <c r="AD290" s="103">
        <v>5.8481498851624521E-2</v>
      </c>
      <c r="AE290" s="103" t="s">
        <v>21</v>
      </c>
      <c r="AF290" s="104" t="s">
        <v>21</v>
      </c>
      <c r="AG290" s="103" t="s">
        <v>21</v>
      </c>
      <c r="AH290" s="103"/>
      <c r="AI290" s="103">
        <v>2.0510812751624526E-2</v>
      </c>
      <c r="AJ290" s="103" t="s">
        <v>21</v>
      </c>
      <c r="AK290" s="104" t="s">
        <v>21</v>
      </c>
    </row>
    <row r="291" spans="2:37" x14ac:dyDescent="0.35">
      <c r="B291" s="55" t="s">
        <v>189</v>
      </c>
      <c r="C291" s="53" t="s">
        <v>234</v>
      </c>
      <c r="D291" s="66" t="s">
        <v>190</v>
      </c>
      <c r="E291" s="66" t="s">
        <v>273</v>
      </c>
      <c r="F291" s="75" t="str">
        <f t="shared" si="30"/>
        <v/>
      </c>
      <c r="G291" s="80">
        <f t="shared" si="30"/>
        <v>4.1683863732881341E-2</v>
      </c>
      <c r="H291" s="80">
        <f t="shared" si="30"/>
        <v>4.7499972794941704E-2</v>
      </c>
      <c r="I291" s="80" t="str">
        <f t="shared" si="30"/>
        <v/>
      </c>
      <c r="J291" s="62" t="str">
        <f t="shared" si="30"/>
        <v/>
      </c>
      <c r="K291" s="80" t="str">
        <f t="shared" si="31"/>
        <v/>
      </c>
      <c r="L291" s="80">
        <f t="shared" si="31"/>
        <v>4.8178801328813484E-3</v>
      </c>
      <c r="M291" s="80">
        <f t="shared" si="31"/>
        <v>9.9848460949417076E-3</v>
      </c>
      <c r="N291" s="80" t="str">
        <f t="shared" si="31"/>
        <v/>
      </c>
      <c r="O291" s="62" t="str">
        <f t="shared" si="31"/>
        <v/>
      </c>
      <c r="P291" s="56" t="s">
        <v>21</v>
      </c>
      <c r="Q291" s="66" t="s">
        <v>21</v>
      </c>
      <c r="R291" s="100" t="s">
        <v>21</v>
      </c>
      <c r="S291" s="75" t="s">
        <v>21</v>
      </c>
      <c r="T291" s="63" t="str">
        <f t="shared" ref="T291:T316" si="32">IF(S291="","",H291-S291)</f>
        <v/>
      </c>
      <c r="V291" s="72">
        <v>1.1385739500000001</v>
      </c>
      <c r="W291" s="72">
        <v>2.9031912699999998</v>
      </c>
      <c r="X291" s="72">
        <v>4.4803373400000002</v>
      </c>
      <c r="Y291" s="72">
        <v>5.8530916800000004</v>
      </c>
      <c r="Z291" s="115">
        <v>7.5938095600000004</v>
      </c>
      <c r="AB291" s="80" t="s">
        <v>21</v>
      </c>
      <c r="AC291" s="80">
        <v>4.1683863732881341E-2</v>
      </c>
      <c r="AD291" s="80">
        <v>4.7499972794941704E-2</v>
      </c>
      <c r="AE291" s="80" t="s">
        <v>21</v>
      </c>
      <c r="AF291" s="62" t="s">
        <v>21</v>
      </c>
      <c r="AG291" s="80" t="s">
        <v>21</v>
      </c>
      <c r="AH291" s="80">
        <v>4.8178801328813484E-3</v>
      </c>
      <c r="AI291" s="80">
        <v>9.9848460949417076E-3</v>
      </c>
      <c r="AJ291" s="80" t="s">
        <v>21</v>
      </c>
      <c r="AK291" s="62" t="s">
        <v>21</v>
      </c>
    </row>
    <row r="292" spans="2:37" x14ac:dyDescent="0.35">
      <c r="B292" s="55" t="s">
        <v>191</v>
      </c>
      <c r="C292" s="53" t="s">
        <v>234</v>
      </c>
      <c r="D292" s="53" t="s">
        <v>192</v>
      </c>
      <c r="E292" s="53" t="s">
        <v>595</v>
      </c>
      <c r="F292" s="73" t="str">
        <f t="shared" si="30"/>
        <v/>
      </c>
      <c r="G292" s="60">
        <f t="shared" si="30"/>
        <v>4.4979264941810933E-2</v>
      </c>
      <c r="H292" s="60">
        <f t="shared" si="30"/>
        <v>5.1809088582734364E-2</v>
      </c>
      <c r="I292" s="60" t="str">
        <f t="shared" si="30"/>
        <v/>
      </c>
      <c r="J292" s="63" t="str">
        <f t="shared" si="30"/>
        <v/>
      </c>
      <c r="K292" s="60" t="str">
        <f t="shared" si="31"/>
        <v/>
      </c>
      <c r="L292" s="60">
        <f t="shared" si="31"/>
        <v>7.9890898418109296E-3</v>
      </c>
      <c r="M292" s="60">
        <f t="shared" si="31"/>
        <v>1.4123856082734365E-2</v>
      </c>
      <c r="N292" s="60" t="str">
        <f t="shared" si="31"/>
        <v/>
      </c>
      <c r="O292" s="63" t="str">
        <f t="shared" si="31"/>
        <v/>
      </c>
      <c r="P292" s="55" t="s">
        <v>596</v>
      </c>
      <c r="Q292" s="53" t="s">
        <v>597</v>
      </c>
      <c r="R292" s="94" t="s">
        <v>32</v>
      </c>
      <c r="S292" s="73">
        <v>4.7870759999999998E-2</v>
      </c>
      <c r="T292" s="63">
        <f t="shared" si="32"/>
        <v>3.9383285827343656E-3</v>
      </c>
      <c r="V292" s="72">
        <v>1.13402088</v>
      </c>
      <c r="W292" s="72">
        <v>2.8794456199999998</v>
      </c>
      <c r="X292" s="72">
        <v>4.4183047799999997</v>
      </c>
      <c r="Y292" s="72">
        <v>5.7397035899999995</v>
      </c>
      <c r="Z292" s="115">
        <v>7.3811847799999999</v>
      </c>
      <c r="AB292" s="71" t="s">
        <v>21</v>
      </c>
      <c r="AC292" s="71">
        <v>4.4979264941810933E-2</v>
      </c>
      <c r="AD292" s="71">
        <v>5.1809088582734364E-2</v>
      </c>
      <c r="AE292" s="71" t="s">
        <v>21</v>
      </c>
      <c r="AF292" s="63" t="s">
        <v>21</v>
      </c>
      <c r="AG292" s="71" t="s">
        <v>21</v>
      </c>
      <c r="AH292" s="71">
        <v>7.9890898418109296E-3</v>
      </c>
      <c r="AI292" s="71">
        <v>1.4123856082734365E-2</v>
      </c>
      <c r="AJ292" s="71" t="s">
        <v>21</v>
      </c>
      <c r="AK292" s="63" t="s">
        <v>21</v>
      </c>
    </row>
    <row r="293" spans="2:37" x14ac:dyDescent="0.35">
      <c r="B293" s="55" t="s">
        <v>194</v>
      </c>
      <c r="C293" s="53" t="s">
        <v>234</v>
      </c>
      <c r="D293" s="53" t="s">
        <v>195</v>
      </c>
      <c r="E293" s="53" t="s">
        <v>294</v>
      </c>
      <c r="F293" s="73" t="str">
        <f t="shared" si="30"/>
        <v/>
      </c>
      <c r="G293" s="60">
        <f t="shared" si="30"/>
        <v>4.1741777456855936E-2</v>
      </c>
      <c r="H293" s="60">
        <f t="shared" si="30"/>
        <v>4.7544432471521958E-2</v>
      </c>
      <c r="I293" s="60" t="str">
        <f t="shared" si="30"/>
        <v/>
      </c>
      <c r="J293" s="63" t="str">
        <f t="shared" si="30"/>
        <v/>
      </c>
      <c r="K293" s="60" t="str">
        <f t="shared" si="31"/>
        <v/>
      </c>
      <c r="L293" s="60">
        <f t="shared" si="31"/>
        <v>4.8746237568559302E-3</v>
      </c>
      <c r="M293" s="60">
        <f t="shared" si="31"/>
        <v>1.002817437152196E-2</v>
      </c>
      <c r="N293" s="60" t="str">
        <f t="shared" si="31"/>
        <v/>
      </c>
      <c r="O293" s="63" t="str">
        <f t="shared" si="31"/>
        <v/>
      </c>
      <c r="P293" s="55" t="s">
        <v>598</v>
      </c>
      <c r="Q293" s="53" t="s">
        <v>599</v>
      </c>
      <c r="R293" s="94" t="s">
        <v>32</v>
      </c>
      <c r="S293" s="73">
        <v>4.5901630000000006E-2</v>
      </c>
      <c r="T293" s="63">
        <f t="shared" si="32"/>
        <v>1.6428024715219522E-3</v>
      </c>
      <c r="V293" s="72">
        <v>1.13823381</v>
      </c>
      <c r="W293" s="72">
        <v>2.9023768599999999</v>
      </c>
      <c r="X293" s="72">
        <v>4.4792550599999998</v>
      </c>
      <c r="Y293" s="72">
        <v>5.8529639400000004</v>
      </c>
      <c r="Z293" s="115">
        <v>7.581342789999999</v>
      </c>
      <c r="AB293" s="71" t="s">
        <v>21</v>
      </c>
      <c r="AC293" s="71">
        <v>4.1741777456855936E-2</v>
      </c>
      <c r="AD293" s="71">
        <v>4.7544432471521958E-2</v>
      </c>
      <c r="AE293" s="71" t="s">
        <v>21</v>
      </c>
      <c r="AF293" s="63" t="s">
        <v>21</v>
      </c>
      <c r="AG293" s="71" t="s">
        <v>21</v>
      </c>
      <c r="AH293" s="71">
        <v>4.8746237568559302E-3</v>
      </c>
      <c r="AI293" s="71">
        <v>1.002817437152196E-2</v>
      </c>
      <c r="AJ293" s="71" t="s">
        <v>21</v>
      </c>
      <c r="AK293" s="63" t="s">
        <v>21</v>
      </c>
    </row>
    <row r="294" spans="2:37" x14ac:dyDescent="0.35">
      <c r="B294" s="55" t="s">
        <v>196</v>
      </c>
      <c r="C294" s="53" t="s">
        <v>234</v>
      </c>
      <c r="D294" s="53" t="s">
        <v>197</v>
      </c>
      <c r="E294" s="53" t="s">
        <v>600</v>
      </c>
      <c r="F294" s="73" t="str">
        <f t="shared" si="30"/>
        <v/>
      </c>
      <c r="G294" s="60">
        <f t="shared" si="30"/>
        <v>4.8575315401682258E-2</v>
      </c>
      <c r="H294" s="60">
        <f t="shared" si="30"/>
        <v>5.9310125281992573E-2</v>
      </c>
      <c r="I294" s="60" t="str">
        <f t="shared" si="30"/>
        <v/>
      </c>
      <c r="J294" s="63" t="str">
        <f t="shared" si="30"/>
        <v/>
      </c>
      <c r="K294" s="60" t="str">
        <f t="shared" si="31"/>
        <v/>
      </c>
      <c r="L294" s="60">
        <f t="shared" si="31"/>
        <v>1.1426107501682261E-2</v>
      </c>
      <c r="M294" s="60">
        <f t="shared" si="31"/>
        <v>2.1264309681992579E-2</v>
      </c>
      <c r="N294" s="60" t="str">
        <f t="shared" si="31"/>
        <v/>
      </c>
      <c r="O294" s="63" t="str">
        <f t="shared" si="31"/>
        <v/>
      </c>
      <c r="P294" s="55" t="s">
        <v>601</v>
      </c>
      <c r="Q294" s="53" t="s">
        <v>602</v>
      </c>
      <c r="R294" s="94" t="s">
        <v>32</v>
      </c>
      <c r="S294" s="73">
        <v>5.8399929999999996E-2</v>
      </c>
      <c r="T294" s="63">
        <f t="shared" si="32"/>
        <v>9.1019528199257765E-4</v>
      </c>
      <c r="V294" s="72">
        <v>1.1340887500000001</v>
      </c>
      <c r="W294" s="72">
        <v>2.8632220300000002</v>
      </c>
      <c r="X294" s="72">
        <v>4.3366071800000006</v>
      </c>
      <c r="Y294" s="72">
        <v>5.5390188799999995</v>
      </c>
      <c r="Z294" s="115">
        <v>6.9174121699999995</v>
      </c>
      <c r="AB294" s="71" t="s">
        <v>21</v>
      </c>
      <c r="AC294" s="71">
        <v>4.8575315401682258E-2</v>
      </c>
      <c r="AD294" s="71">
        <v>5.9310125281992573E-2</v>
      </c>
      <c r="AE294" s="71" t="s">
        <v>21</v>
      </c>
      <c r="AF294" s="63" t="s">
        <v>21</v>
      </c>
      <c r="AG294" s="71" t="s">
        <v>21</v>
      </c>
      <c r="AH294" s="71">
        <v>1.1426107501682261E-2</v>
      </c>
      <c r="AI294" s="71">
        <v>2.1264309681992579E-2</v>
      </c>
      <c r="AJ294" s="71" t="s">
        <v>21</v>
      </c>
      <c r="AK294" s="63" t="s">
        <v>21</v>
      </c>
    </row>
    <row r="295" spans="2:37" x14ac:dyDescent="0.35">
      <c r="B295" s="55" t="s">
        <v>198</v>
      </c>
      <c r="C295" s="53" t="s">
        <v>234</v>
      </c>
      <c r="D295" s="53" t="s">
        <v>199</v>
      </c>
      <c r="E295" s="53" t="s">
        <v>55</v>
      </c>
      <c r="F295" s="73" t="str">
        <f t="shared" si="30"/>
        <v/>
      </c>
      <c r="G295" s="60">
        <f t="shared" si="30"/>
        <v>4.8384960154367884E-2</v>
      </c>
      <c r="H295" s="60">
        <f t="shared" si="30"/>
        <v>5.6517194719038884E-2</v>
      </c>
      <c r="I295" s="60" t="str">
        <f t="shared" si="30"/>
        <v/>
      </c>
      <c r="J295" s="63" t="str">
        <f t="shared" si="30"/>
        <v/>
      </c>
      <c r="K295" s="60" t="str">
        <f t="shared" si="31"/>
        <v/>
      </c>
      <c r="L295" s="60">
        <f t="shared" si="31"/>
        <v>1.1264302154367882E-2</v>
      </c>
      <c r="M295" s="60">
        <f t="shared" si="31"/>
        <v>1.8628485819038882E-2</v>
      </c>
      <c r="N295" s="60" t="str">
        <f t="shared" si="31"/>
        <v/>
      </c>
      <c r="O295" s="63" t="str">
        <f t="shared" si="31"/>
        <v/>
      </c>
      <c r="P295" s="55" t="s">
        <v>603</v>
      </c>
      <c r="Q295" s="53" t="s">
        <v>604</v>
      </c>
      <c r="R295" s="94">
        <v>47586</v>
      </c>
      <c r="S295" s="73">
        <v>5.1769080000000002E-2</v>
      </c>
      <c r="T295" s="63">
        <f t="shared" si="32"/>
        <v>4.7481147190388817E-3</v>
      </c>
      <c r="V295" s="72">
        <v>1.1319532800000001</v>
      </c>
      <c r="W295" s="72">
        <v>2.85944669</v>
      </c>
      <c r="X295" s="72">
        <v>4.3568055600000006</v>
      </c>
      <c r="Y295" s="72">
        <v>5.6053558400000005</v>
      </c>
      <c r="Z295" s="115">
        <v>7.0895970200000002</v>
      </c>
      <c r="AB295" s="71" t="s">
        <v>21</v>
      </c>
      <c r="AC295" s="71">
        <v>4.8384960154367884E-2</v>
      </c>
      <c r="AD295" s="71">
        <v>5.6517194719038884E-2</v>
      </c>
      <c r="AE295" s="71" t="s">
        <v>21</v>
      </c>
      <c r="AF295" s="63" t="s">
        <v>21</v>
      </c>
      <c r="AG295" s="71" t="s">
        <v>21</v>
      </c>
      <c r="AH295" s="71">
        <v>1.1264302154367882E-2</v>
      </c>
      <c r="AI295" s="71">
        <v>1.8628485819038882E-2</v>
      </c>
      <c r="AJ295" s="71" t="s">
        <v>21</v>
      </c>
      <c r="AK295" s="63" t="s">
        <v>21</v>
      </c>
    </row>
    <row r="296" spans="2:37" x14ac:dyDescent="0.35">
      <c r="B296" s="55" t="s">
        <v>200</v>
      </c>
      <c r="C296" s="53" t="s">
        <v>234</v>
      </c>
      <c r="D296" s="53" t="s">
        <v>201</v>
      </c>
      <c r="E296" s="53" t="s">
        <v>295</v>
      </c>
      <c r="F296" s="73" t="str">
        <f t="shared" si="30"/>
        <v/>
      </c>
      <c r="G296" s="60">
        <f t="shared" si="30"/>
        <v>5.0309719335886717E-2</v>
      </c>
      <c r="H296" s="60">
        <f t="shared" si="30"/>
        <v>5.9794646300869378E-2</v>
      </c>
      <c r="I296" s="60" t="str">
        <f t="shared" si="30"/>
        <v/>
      </c>
      <c r="J296" s="63" t="str">
        <f t="shared" si="30"/>
        <v/>
      </c>
      <c r="K296" s="60" t="str">
        <f t="shared" si="31"/>
        <v/>
      </c>
      <c r="L296" s="60">
        <f t="shared" si="31"/>
        <v>1.3106423235886705E-2</v>
      </c>
      <c r="M296" s="60">
        <f t="shared" si="31"/>
        <v>2.1741703700869381E-2</v>
      </c>
      <c r="N296" s="60" t="str">
        <f t="shared" si="31"/>
        <v/>
      </c>
      <c r="O296" s="63" t="str">
        <f t="shared" si="31"/>
        <v/>
      </c>
      <c r="P296" s="55" t="s">
        <v>605</v>
      </c>
      <c r="Q296" s="53" t="s">
        <v>606</v>
      </c>
      <c r="R296" s="94" t="s">
        <v>32</v>
      </c>
      <c r="S296" s="73">
        <v>5.1957779999999995E-2</v>
      </c>
      <c r="T296" s="63">
        <f t="shared" si="32"/>
        <v>7.8368663008693829E-3</v>
      </c>
      <c r="V296" s="72">
        <v>1.1309891999999999</v>
      </c>
      <c r="W296" s="72">
        <v>2.8487794200000001</v>
      </c>
      <c r="X296" s="72">
        <v>4.3183863200000001</v>
      </c>
      <c r="Y296" s="72">
        <v>5.5205211400000005</v>
      </c>
      <c r="Z296" s="115">
        <v>6.910286039999999</v>
      </c>
      <c r="AB296" s="71" t="s">
        <v>21</v>
      </c>
      <c r="AC296" s="71">
        <v>5.0309719335886717E-2</v>
      </c>
      <c r="AD296" s="71">
        <v>5.9794646300869378E-2</v>
      </c>
      <c r="AE296" s="71" t="s">
        <v>21</v>
      </c>
      <c r="AF296" s="63" t="s">
        <v>21</v>
      </c>
      <c r="AG296" s="71" t="s">
        <v>21</v>
      </c>
      <c r="AH296" s="71">
        <v>1.3106423235886705E-2</v>
      </c>
      <c r="AI296" s="71">
        <v>2.1741703700869381E-2</v>
      </c>
      <c r="AJ296" s="71" t="s">
        <v>21</v>
      </c>
      <c r="AK296" s="63" t="s">
        <v>21</v>
      </c>
    </row>
    <row r="297" spans="2:37" x14ac:dyDescent="0.35">
      <c r="B297" s="55" t="s">
        <v>202</v>
      </c>
      <c r="C297" s="53" t="s">
        <v>234</v>
      </c>
      <c r="D297" s="53" t="s">
        <v>203</v>
      </c>
      <c r="E297" s="53" t="s">
        <v>181</v>
      </c>
      <c r="F297" s="73" t="str">
        <f t="shared" si="30"/>
        <v/>
      </c>
      <c r="G297" s="60">
        <f t="shared" si="30"/>
        <v>4.6268474602191037E-2</v>
      </c>
      <c r="H297" s="60">
        <f t="shared" si="30"/>
        <v>5.3555928673479213E-2</v>
      </c>
      <c r="I297" s="60" t="str">
        <f t="shared" si="30"/>
        <v/>
      </c>
      <c r="J297" s="63" t="str">
        <f t="shared" si="30"/>
        <v/>
      </c>
      <c r="K297" s="60" t="str">
        <f t="shared" si="31"/>
        <v/>
      </c>
      <c r="L297" s="60">
        <f t="shared" si="31"/>
        <v>9.2254032021910331E-3</v>
      </c>
      <c r="M297" s="60">
        <f t="shared" si="31"/>
        <v>1.5791722873479214E-2</v>
      </c>
      <c r="N297" s="60" t="str">
        <f t="shared" si="31"/>
        <v/>
      </c>
      <c r="O297" s="63" t="str">
        <f t="shared" si="31"/>
        <v/>
      </c>
      <c r="P297" s="55" t="s">
        <v>607</v>
      </c>
      <c r="Q297" s="53" t="s">
        <v>608</v>
      </c>
      <c r="R297" s="94" t="s">
        <v>32</v>
      </c>
      <c r="S297" s="73">
        <v>3.1003799999999998E-3</v>
      </c>
      <c r="T297" s="63">
        <f t="shared" si="32"/>
        <v>5.0455548673479213E-2</v>
      </c>
      <c r="V297" s="72">
        <v>1.1335829500000001</v>
      </c>
      <c r="W297" s="72">
        <v>2.87156353</v>
      </c>
      <c r="X297" s="72">
        <v>4.3927896400000002</v>
      </c>
      <c r="Y297" s="72">
        <v>5.6813836499999999</v>
      </c>
      <c r="Z297" s="115">
        <v>7.2579314000000004</v>
      </c>
      <c r="AB297" s="71" t="s">
        <v>21</v>
      </c>
      <c r="AC297" s="71">
        <v>4.6268474602191037E-2</v>
      </c>
      <c r="AD297" s="71">
        <v>5.3555928673479213E-2</v>
      </c>
      <c r="AE297" s="71" t="s">
        <v>21</v>
      </c>
      <c r="AF297" s="63" t="s">
        <v>21</v>
      </c>
      <c r="AG297" s="71" t="s">
        <v>21</v>
      </c>
      <c r="AH297" s="71">
        <v>9.2254032021910331E-3</v>
      </c>
      <c r="AI297" s="71">
        <v>1.5791722873479214E-2</v>
      </c>
      <c r="AJ297" s="71" t="s">
        <v>21</v>
      </c>
      <c r="AK297" s="63" t="s">
        <v>21</v>
      </c>
    </row>
    <row r="298" spans="2:37" x14ac:dyDescent="0.35">
      <c r="B298" s="55" t="s">
        <v>204</v>
      </c>
      <c r="C298" s="53" t="s">
        <v>234</v>
      </c>
      <c r="D298" s="53" t="s">
        <v>205</v>
      </c>
      <c r="E298" s="53" t="s">
        <v>609</v>
      </c>
      <c r="F298" s="73" t="str">
        <f t="shared" si="30"/>
        <v/>
      </c>
      <c r="G298" s="60">
        <f t="shared" si="30"/>
        <v>5.6895266069939075E-2</v>
      </c>
      <c r="H298" s="60">
        <f t="shared" si="30"/>
        <v>6.8647656314265601E-2</v>
      </c>
      <c r="I298" s="60" t="str">
        <f t="shared" si="30"/>
        <v/>
      </c>
      <c r="J298" s="63" t="str">
        <f t="shared" si="30"/>
        <v/>
      </c>
      <c r="K298" s="60" t="str">
        <f t="shared" si="31"/>
        <v/>
      </c>
      <c r="L298" s="60">
        <f t="shared" si="31"/>
        <v>1.9351659969939067E-2</v>
      </c>
      <c r="M298" s="60">
        <f t="shared" si="31"/>
        <v>3.0060421614265587E-2</v>
      </c>
      <c r="N298" s="60" t="str">
        <f t="shared" si="31"/>
        <v/>
      </c>
      <c r="O298" s="63" t="str">
        <f t="shared" si="31"/>
        <v/>
      </c>
      <c r="P298" s="55" t="s">
        <v>21</v>
      </c>
      <c r="Q298" s="53" t="s">
        <v>21</v>
      </c>
      <c r="R298" s="94" t="s">
        <v>21</v>
      </c>
      <c r="S298" s="73" t="s">
        <v>21</v>
      </c>
      <c r="T298" s="63" t="str">
        <f t="shared" si="32"/>
        <v/>
      </c>
      <c r="V298" s="72">
        <v>1.12510284</v>
      </c>
      <c r="W298" s="72">
        <v>2.8048280500000002</v>
      </c>
      <c r="X298" s="72">
        <v>4.2002948999999994</v>
      </c>
      <c r="Y298" s="72">
        <v>5.2969310800000002</v>
      </c>
      <c r="Z298" s="115">
        <v>6.5130797500000002</v>
      </c>
      <c r="AB298" s="71" t="s">
        <v>21</v>
      </c>
      <c r="AC298" s="71">
        <v>5.6895266069939075E-2</v>
      </c>
      <c r="AD298" s="71">
        <v>6.8647656314265601E-2</v>
      </c>
      <c r="AE298" s="71" t="s">
        <v>21</v>
      </c>
      <c r="AF298" s="63" t="s">
        <v>21</v>
      </c>
      <c r="AG298" s="71" t="s">
        <v>21</v>
      </c>
      <c r="AH298" s="71">
        <v>1.9351659969939067E-2</v>
      </c>
      <c r="AI298" s="71">
        <v>3.0060421614265587E-2</v>
      </c>
      <c r="AJ298" s="71" t="s">
        <v>21</v>
      </c>
      <c r="AK298" s="63" t="s">
        <v>21</v>
      </c>
    </row>
    <row r="299" spans="2:37" x14ac:dyDescent="0.35">
      <c r="B299" s="55" t="s">
        <v>206</v>
      </c>
      <c r="C299" s="53" t="s">
        <v>234</v>
      </c>
      <c r="D299" s="53" t="s">
        <v>207</v>
      </c>
      <c r="E299" s="53" t="s">
        <v>193</v>
      </c>
      <c r="F299" s="73" t="str">
        <f t="shared" si="30"/>
        <v/>
      </c>
      <c r="G299" s="60">
        <f t="shared" si="30"/>
        <v>4.497256948742593E-2</v>
      </c>
      <c r="H299" s="60">
        <f t="shared" si="30"/>
        <v>5.1310761993943042E-2</v>
      </c>
      <c r="I299" s="60" t="str">
        <f t="shared" si="30"/>
        <v/>
      </c>
      <c r="J299" s="63" t="str">
        <f t="shared" si="30"/>
        <v/>
      </c>
      <c r="K299" s="60" t="str">
        <f t="shared" si="31"/>
        <v/>
      </c>
      <c r="L299" s="60">
        <f t="shared" si="31"/>
        <v>7.9865231874259382E-3</v>
      </c>
      <c r="M299" s="60">
        <f t="shared" si="31"/>
        <v>1.3648537193943046E-2</v>
      </c>
      <c r="N299" s="60" t="str">
        <f t="shared" si="31"/>
        <v/>
      </c>
      <c r="O299" s="63" t="str">
        <f t="shared" si="31"/>
        <v/>
      </c>
      <c r="P299" s="55" t="s">
        <v>610</v>
      </c>
      <c r="Q299" s="53" t="s">
        <v>611</v>
      </c>
      <c r="R299" s="94" t="s">
        <v>32</v>
      </c>
      <c r="S299" s="73">
        <v>4.4206570000000001E-2</v>
      </c>
      <c r="T299" s="63">
        <f t="shared" si="32"/>
        <v>7.1041919939430417E-3</v>
      </c>
      <c r="V299" s="72">
        <v>1.1347067500000001</v>
      </c>
      <c r="W299" s="72">
        <v>2.88040611</v>
      </c>
      <c r="X299" s="72">
        <v>4.4230239600000001</v>
      </c>
      <c r="Y299" s="72">
        <v>5.7466310900000002</v>
      </c>
      <c r="Z299" s="115">
        <v>7.3938904799999996</v>
      </c>
      <c r="AB299" s="71" t="s">
        <v>21</v>
      </c>
      <c r="AC299" s="71">
        <v>4.497256948742593E-2</v>
      </c>
      <c r="AD299" s="71">
        <v>5.1310761993943042E-2</v>
      </c>
      <c r="AE299" s="71" t="s">
        <v>21</v>
      </c>
      <c r="AF299" s="63" t="s">
        <v>21</v>
      </c>
      <c r="AG299" s="71" t="s">
        <v>21</v>
      </c>
      <c r="AH299" s="71">
        <v>7.9865231874259382E-3</v>
      </c>
      <c r="AI299" s="71">
        <v>1.3648537193943046E-2</v>
      </c>
      <c r="AJ299" s="71" t="s">
        <v>21</v>
      </c>
      <c r="AK299" s="63" t="s">
        <v>21</v>
      </c>
    </row>
    <row r="300" spans="2:37" x14ac:dyDescent="0.35">
      <c r="B300" s="55" t="s">
        <v>208</v>
      </c>
      <c r="C300" s="53" t="s">
        <v>234</v>
      </c>
      <c r="D300" s="53" t="s">
        <v>209</v>
      </c>
      <c r="E300" s="53" t="s">
        <v>181</v>
      </c>
      <c r="F300" s="73" t="str">
        <f t="shared" si="30"/>
        <v/>
      </c>
      <c r="G300" s="60">
        <f t="shared" si="30"/>
        <v>4.9465190831992384E-2</v>
      </c>
      <c r="H300" s="60">
        <f t="shared" si="30"/>
        <v>5.8324985071055505E-2</v>
      </c>
      <c r="I300" s="60" t="str">
        <f t="shared" si="30"/>
        <v/>
      </c>
      <c r="J300" s="63" t="str">
        <f t="shared" si="30"/>
        <v/>
      </c>
      <c r="K300" s="60" t="str">
        <f t="shared" si="31"/>
        <v/>
      </c>
      <c r="L300" s="60">
        <f t="shared" si="31"/>
        <v>1.2293391731992388E-2</v>
      </c>
      <c r="M300" s="60">
        <f t="shared" si="31"/>
        <v>2.0343725671055506E-2</v>
      </c>
      <c r="N300" s="60" t="str">
        <f t="shared" si="31"/>
        <v/>
      </c>
      <c r="O300" s="63" t="str">
        <f t="shared" si="31"/>
        <v/>
      </c>
      <c r="P300" s="55" t="s">
        <v>21</v>
      </c>
      <c r="Q300" s="53" t="s">
        <v>21</v>
      </c>
      <c r="R300" s="94" t="s">
        <v>21</v>
      </c>
      <c r="S300" s="73" t="s">
        <v>21</v>
      </c>
      <c r="T300" s="63" t="str">
        <f t="shared" si="32"/>
        <v/>
      </c>
      <c r="V300" s="72">
        <v>1.1309959600000001</v>
      </c>
      <c r="W300" s="72">
        <v>2.8519874999999999</v>
      </c>
      <c r="X300" s="72">
        <v>4.3335201300000001</v>
      </c>
      <c r="Y300" s="72">
        <v>5.5574554000000003</v>
      </c>
      <c r="Z300" s="115">
        <v>6.9929484400000002</v>
      </c>
      <c r="AB300" s="71" t="s">
        <v>21</v>
      </c>
      <c r="AC300" s="71">
        <v>4.9465190831992384E-2</v>
      </c>
      <c r="AD300" s="71">
        <v>5.8324985071055505E-2</v>
      </c>
      <c r="AE300" s="71" t="s">
        <v>21</v>
      </c>
      <c r="AF300" s="63" t="s">
        <v>21</v>
      </c>
      <c r="AG300" s="71" t="s">
        <v>21</v>
      </c>
      <c r="AH300" s="71">
        <v>1.2293391731992388E-2</v>
      </c>
      <c r="AI300" s="71">
        <v>2.0343725671055506E-2</v>
      </c>
      <c r="AJ300" s="71" t="s">
        <v>21</v>
      </c>
      <c r="AK300" s="63" t="s">
        <v>21</v>
      </c>
    </row>
    <row r="301" spans="2:37" x14ac:dyDescent="0.35">
      <c r="B301" s="55" t="s">
        <v>405</v>
      </c>
      <c r="C301" s="53" t="s">
        <v>234</v>
      </c>
      <c r="D301" s="53" t="s">
        <v>405</v>
      </c>
      <c r="E301" s="53" t="s">
        <v>612</v>
      </c>
      <c r="F301" s="73" t="str">
        <f t="shared" si="30"/>
        <v/>
      </c>
      <c r="G301" s="60">
        <f t="shared" si="30"/>
        <v>7.7140990621226507E-2</v>
      </c>
      <c r="H301" s="60">
        <f t="shared" si="30"/>
        <v>8.8236788997364035E-2</v>
      </c>
      <c r="I301" s="60" t="str">
        <f t="shared" si="30"/>
        <v/>
      </c>
      <c r="J301" s="63" t="str">
        <f t="shared" si="30"/>
        <v/>
      </c>
      <c r="K301" s="60" t="str">
        <f t="shared" si="31"/>
        <v/>
      </c>
      <c r="L301" s="60">
        <f t="shared" si="31"/>
        <v>3.8234359321226506E-2</v>
      </c>
      <c r="M301" s="60">
        <f t="shared" si="31"/>
        <v>4.8153946397364034E-2</v>
      </c>
      <c r="N301" s="60" t="str">
        <f t="shared" si="31"/>
        <v/>
      </c>
      <c r="O301" s="63" t="str">
        <f t="shared" si="31"/>
        <v/>
      </c>
      <c r="P301" s="55" t="s">
        <v>613</v>
      </c>
      <c r="Q301" s="53" t="s">
        <v>614</v>
      </c>
      <c r="R301" s="94" t="s">
        <v>32</v>
      </c>
      <c r="S301" s="73">
        <v>7.4424740000000003E-2</v>
      </c>
      <c r="T301" s="63">
        <f t="shared" si="32"/>
        <v>1.3812048997364032E-2</v>
      </c>
      <c r="V301" s="72">
        <v>1.09007751</v>
      </c>
      <c r="W301" s="72">
        <v>2.6522070100000001</v>
      </c>
      <c r="X301" s="72">
        <v>3.88664649</v>
      </c>
      <c r="Y301" s="72">
        <v>4.8289369600000001</v>
      </c>
      <c r="Z301" s="115">
        <v>5.8454528899999998</v>
      </c>
      <c r="AB301" s="71" t="s">
        <v>21</v>
      </c>
      <c r="AC301" s="71">
        <v>7.7140990621226507E-2</v>
      </c>
      <c r="AD301" s="71">
        <v>8.8236788997364035E-2</v>
      </c>
      <c r="AE301" s="71" t="s">
        <v>21</v>
      </c>
      <c r="AF301" s="63" t="s">
        <v>21</v>
      </c>
      <c r="AG301" s="71" t="s">
        <v>21</v>
      </c>
      <c r="AH301" s="71">
        <v>3.8234359321226506E-2</v>
      </c>
      <c r="AI301" s="71">
        <v>4.8153946397364034E-2</v>
      </c>
      <c r="AJ301" s="71" t="s">
        <v>21</v>
      </c>
      <c r="AK301" s="63" t="s">
        <v>21</v>
      </c>
    </row>
    <row r="302" spans="2:37" x14ac:dyDescent="0.35">
      <c r="B302" s="55" t="s">
        <v>210</v>
      </c>
      <c r="C302" s="53" t="s">
        <v>234</v>
      </c>
      <c r="D302" s="53" t="s">
        <v>210</v>
      </c>
      <c r="E302" s="53" t="s">
        <v>615</v>
      </c>
      <c r="F302" s="73" t="str">
        <f t="shared" si="30"/>
        <v/>
      </c>
      <c r="G302" s="60">
        <f t="shared" si="30"/>
        <v>4.6491016825153518E-2</v>
      </c>
      <c r="H302" s="60">
        <f t="shared" si="30"/>
        <v>5.3114904775762695E-2</v>
      </c>
      <c r="I302" s="60" t="str">
        <f t="shared" si="30"/>
        <v/>
      </c>
      <c r="J302" s="63" t="str">
        <f t="shared" si="30"/>
        <v/>
      </c>
      <c r="K302" s="60" t="str">
        <f t="shared" si="31"/>
        <v/>
      </c>
      <c r="L302" s="60">
        <f t="shared" si="31"/>
        <v>9.4487284251535218E-3</v>
      </c>
      <c r="M302" s="60">
        <f t="shared" si="31"/>
        <v>1.5379445675762693E-2</v>
      </c>
      <c r="N302" s="60" t="str">
        <f t="shared" si="31"/>
        <v/>
      </c>
      <c r="O302" s="63" t="str">
        <f t="shared" si="31"/>
        <v/>
      </c>
      <c r="P302" s="55" t="s">
        <v>616</v>
      </c>
      <c r="Q302" s="53" t="s">
        <v>617</v>
      </c>
      <c r="R302" s="94" t="s">
        <v>32</v>
      </c>
      <c r="S302" s="73">
        <v>4.8560720000000002E-2</v>
      </c>
      <c r="T302" s="63">
        <f t="shared" si="32"/>
        <v>4.554184775762693E-3</v>
      </c>
      <c r="V302" s="72">
        <v>1.1337972599999999</v>
      </c>
      <c r="W302" s="72">
        <v>2.87176651</v>
      </c>
      <c r="X302" s="72">
        <v>4.3974318800000001</v>
      </c>
      <c r="Y302" s="72">
        <v>5.7028792799999994</v>
      </c>
      <c r="Z302" s="115">
        <v>7.3234123900000005</v>
      </c>
      <c r="AB302" s="71" t="s">
        <v>21</v>
      </c>
      <c r="AC302" s="71">
        <v>4.6491016825153518E-2</v>
      </c>
      <c r="AD302" s="71">
        <v>5.3114904775762695E-2</v>
      </c>
      <c r="AE302" s="71" t="s">
        <v>21</v>
      </c>
      <c r="AF302" s="63" t="s">
        <v>21</v>
      </c>
      <c r="AG302" s="71" t="s">
        <v>21</v>
      </c>
      <c r="AH302" s="71">
        <v>9.4487284251535218E-3</v>
      </c>
      <c r="AI302" s="71">
        <v>1.5379445675762693E-2</v>
      </c>
      <c r="AJ302" s="71" t="s">
        <v>21</v>
      </c>
      <c r="AK302" s="63" t="s">
        <v>21</v>
      </c>
    </row>
    <row r="303" spans="2:37" x14ac:dyDescent="0.35">
      <c r="B303" s="55" t="s">
        <v>211</v>
      </c>
      <c r="C303" s="53" t="s">
        <v>234</v>
      </c>
      <c r="D303" s="53" t="s">
        <v>211</v>
      </c>
      <c r="E303" s="53" t="s">
        <v>618</v>
      </c>
      <c r="F303" s="73" t="str">
        <f t="shared" si="30"/>
        <v/>
      </c>
      <c r="G303" s="60">
        <f t="shared" si="30"/>
        <v>5.3905570894635026E-2</v>
      </c>
      <c r="H303" s="60">
        <f t="shared" si="30"/>
        <v>6.3635669171561229E-2</v>
      </c>
      <c r="I303" s="60" t="str">
        <f t="shared" si="30"/>
        <v/>
      </c>
      <c r="J303" s="63" t="str">
        <f t="shared" si="30"/>
        <v/>
      </c>
      <c r="K303" s="60" t="str">
        <f t="shared" si="31"/>
        <v/>
      </c>
      <c r="L303" s="60">
        <f t="shared" si="31"/>
        <v>1.6408724194635023E-2</v>
      </c>
      <c r="M303" s="60">
        <f t="shared" si="31"/>
        <v>2.5226456571561237E-2</v>
      </c>
      <c r="N303" s="60" t="str">
        <f t="shared" si="31"/>
        <v/>
      </c>
      <c r="O303" s="63" t="str">
        <f t="shared" si="31"/>
        <v/>
      </c>
      <c r="P303" s="55" t="s">
        <v>619</v>
      </c>
      <c r="Q303" s="53" t="s">
        <v>620</v>
      </c>
      <c r="R303" s="94" t="s">
        <v>32</v>
      </c>
      <c r="S303" s="73">
        <v>7.2751419999999997E-2</v>
      </c>
      <c r="T303" s="63">
        <f t="shared" si="32"/>
        <v>-9.1157508284387678E-3</v>
      </c>
      <c r="V303" s="72">
        <v>1.12461345</v>
      </c>
      <c r="W303" s="72">
        <v>2.8099521900000002</v>
      </c>
      <c r="X303" s="72">
        <v>4.2279878000000002</v>
      </c>
      <c r="Y303" s="72">
        <v>5.3797311600000004</v>
      </c>
      <c r="Z303" s="115">
        <v>6.7299877300000004</v>
      </c>
      <c r="AB303" s="71" t="s">
        <v>21</v>
      </c>
      <c r="AC303" s="71">
        <v>5.3905570894635026E-2</v>
      </c>
      <c r="AD303" s="71">
        <v>6.3635669171561229E-2</v>
      </c>
      <c r="AE303" s="71" t="s">
        <v>21</v>
      </c>
      <c r="AF303" s="63" t="s">
        <v>21</v>
      </c>
      <c r="AG303" s="71" t="s">
        <v>21</v>
      </c>
      <c r="AH303" s="71">
        <v>1.6408724194635023E-2</v>
      </c>
      <c r="AI303" s="71">
        <v>2.5226456571561237E-2</v>
      </c>
      <c r="AJ303" s="71" t="s">
        <v>21</v>
      </c>
      <c r="AK303" s="63" t="s">
        <v>21</v>
      </c>
    </row>
    <row r="304" spans="2:37" x14ac:dyDescent="0.35">
      <c r="B304" s="55" t="s">
        <v>212</v>
      </c>
      <c r="C304" s="53" t="s">
        <v>234</v>
      </c>
      <c r="D304" s="53" t="s">
        <v>212</v>
      </c>
      <c r="E304" s="53" t="s">
        <v>574</v>
      </c>
      <c r="F304" s="73" t="str">
        <f t="shared" si="30"/>
        <v/>
      </c>
      <c r="G304" s="60">
        <f t="shared" si="30"/>
        <v>6.5633138109128741E-2</v>
      </c>
      <c r="H304" s="60">
        <f t="shared" si="30"/>
        <v>7.864465332259149E-2</v>
      </c>
      <c r="I304" s="60" t="str">
        <f t="shared" si="30"/>
        <v/>
      </c>
      <c r="J304" s="63" t="str">
        <f t="shared" si="30"/>
        <v/>
      </c>
      <c r="K304" s="60" t="str">
        <f t="shared" si="31"/>
        <v/>
      </c>
      <c r="L304" s="60">
        <f t="shared" si="31"/>
        <v>2.7539217009128751E-2</v>
      </c>
      <c r="M304" s="60">
        <f t="shared" si="31"/>
        <v>3.9345411022591495E-2</v>
      </c>
      <c r="N304" s="60" t="str">
        <f t="shared" si="31"/>
        <v/>
      </c>
      <c r="O304" s="63" t="str">
        <f t="shared" si="31"/>
        <v/>
      </c>
      <c r="P304" s="55" t="s">
        <v>621</v>
      </c>
      <c r="Q304" s="53" t="s">
        <v>622</v>
      </c>
      <c r="R304" s="94" t="s">
        <v>32</v>
      </c>
      <c r="S304" s="73">
        <v>6.6532080000000007E-2</v>
      </c>
      <c r="T304" s="63">
        <f t="shared" si="32"/>
        <v>1.2112573322591483E-2</v>
      </c>
      <c r="V304" s="72">
        <v>1.11318567</v>
      </c>
      <c r="W304" s="72">
        <v>2.7453808799999999</v>
      </c>
      <c r="X304" s="72">
        <v>4.0592491800000001</v>
      </c>
      <c r="Y304" s="72">
        <v>5.079701</v>
      </c>
      <c r="Z304" s="115">
        <v>6.21110557</v>
      </c>
      <c r="AB304" s="71" t="s">
        <v>21</v>
      </c>
      <c r="AC304" s="71">
        <v>6.5633138109128741E-2</v>
      </c>
      <c r="AD304" s="71">
        <v>7.864465332259149E-2</v>
      </c>
      <c r="AE304" s="71" t="s">
        <v>21</v>
      </c>
      <c r="AF304" s="63" t="s">
        <v>21</v>
      </c>
      <c r="AG304" s="71" t="s">
        <v>21</v>
      </c>
      <c r="AH304" s="71">
        <v>2.7539217009128751E-2</v>
      </c>
      <c r="AI304" s="71">
        <v>3.9345411022591495E-2</v>
      </c>
      <c r="AJ304" s="71" t="s">
        <v>21</v>
      </c>
      <c r="AK304" s="63" t="s">
        <v>21</v>
      </c>
    </row>
    <row r="305" spans="2:37" x14ac:dyDescent="0.35">
      <c r="B305" s="55" t="s">
        <v>213</v>
      </c>
      <c r="C305" s="53" t="s">
        <v>234</v>
      </c>
      <c r="D305" s="53" t="s">
        <v>213</v>
      </c>
      <c r="E305" s="53" t="s">
        <v>623</v>
      </c>
      <c r="F305" s="73" t="str">
        <f t="shared" si="30"/>
        <v/>
      </c>
      <c r="G305" s="60">
        <f t="shared" si="30"/>
        <v>6.581911484816845E-2</v>
      </c>
      <c r="H305" s="60">
        <f t="shared" si="30"/>
        <v>7.7584607186797966E-2</v>
      </c>
      <c r="I305" s="60" t="str">
        <f t="shared" si="30"/>
        <v/>
      </c>
      <c r="J305" s="63" t="str">
        <f t="shared" si="30"/>
        <v/>
      </c>
      <c r="K305" s="60" t="str">
        <f t="shared" si="31"/>
        <v/>
      </c>
      <c r="L305" s="60">
        <f t="shared" si="31"/>
        <v>2.7703423448168455E-2</v>
      </c>
      <c r="M305" s="60">
        <f t="shared" si="31"/>
        <v>3.835245438679797E-2</v>
      </c>
      <c r="N305" s="60" t="str">
        <f t="shared" si="31"/>
        <v/>
      </c>
      <c r="O305" s="63" t="str">
        <f t="shared" si="31"/>
        <v/>
      </c>
      <c r="P305" s="55" t="s">
        <v>624</v>
      </c>
      <c r="Q305" s="53" t="s">
        <v>625</v>
      </c>
      <c r="R305" s="94" t="s">
        <v>32</v>
      </c>
      <c r="S305" s="73">
        <v>6.3110059999999996E-2</v>
      </c>
      <c r="T305" s="63">
        <f t="shared" si="32"/>
        <v>1.447454718679797E-2</v>
      </c>
      <c r="V305" s="72">
        <v>1.1132366899999999</v>
      </c>
      <c r="W305" s="72">
        <v>2.7413612000000001</v>
      </c>
      <c r="X305" s="72">
        <v>4.06048644</v>
      </c>
      <c r="Y305" s="72">
        <v>5.0843625900000005</v>
      </c>
      <c r="Z305" s="115">
        <v>6.2077302300000001</v>
      </c>
      <c r="AB305" s="71" t="s">
        <v>21</v>
      </c>
      <c r="AC305" s="71">
        <v>6.581911484816845E-2</v>
      </c>
      <c r="AD305" s="71">
        <v>7.7584607186797966E-2</v>
      </c>
      <c r="AE305" s="71" t="s">
        <v>21</v>
      </c>
      <c r="AF305" s="63" t="s">
        <v>21</v>
      </c>
      <c r="AG305" s="71" t="s">
        <v>21</v>
      </c>
      <c r="AH305" s="71">
        <v>2.7703423448168455E-2</v>
      </c>
      <c r="AI305" s="71">
        <v>3.835245438679797E-2</v>
      </c>
      <c r="AJ305" s="71" t="s">
        <v>21</v>
      </c>
      <c r="AK305" s="63" t="s">
        <v>21</v>
      </c>
    </row>
    <row r="306" spans="2:37" x14ac:dyDescent="0.35">
      <c r="B306" s="55" t="s">
        <v>274</v>
      </c>
      <c r="C306" s="53" t="s">
        <v>234</v>
      </c>
      <c r="D306" s="53" t="s">
        <v>274</v>
      </c>
      <c r="E306" s="53" t="s">
        <v>288</v>
      </c>
      <c r="F306" s="73" t="str">
        <f t="shared" ref="F306:J316" si="33">IF(ISNUMBER(AB306),AB306-((C$4-C$3)/V306),"")</f>
        <v/>
      </c>
      <c r="G306" s="60">
        <f t="shared" si="33"/>
        <v>4.4359222106604257E-2</v>
      </c>
      <c r="H306" s="60">
        <f t="shared" si="33"/>
        <v>5.2246945941234309E-2</v>
      </c>
      <c r="I306" s="60" t="str">
        <f t="shared" si="33"/>
        <v/>
      </c>
      <c r="J306" s="63" t="str">
        <f t="shared" si="33"/>
        <v/>
      </c>
      <c r="K306" s="60" t="str">
        <f t="shared" ref="K306:O316" si="34">IF(ISNUMBER(AG306),IF(AG306-((C$4-C$3)/V306)&lt;0,"",AG306-((C$4-C$3)/V306)),"")</f>
        <v/>
      </c>
      <c r="L306" s="60">
        <f t="shared" si="34"/>
        <v>7.4011170066042567E-3</v>
      </c>
      <c r="M306" s="60">
        <f t="shared" si="34"/>
        <v>1.4550790341234306E-2</v>
      </c>
      <c r="N306" s="60" t="str">
        <f t="shared" si="34"/>
        <v/>
      </c>
      <c r="O306" s="63" t="str">
        <f t="shared" si="34"/>
        <v/>
      </c>
      <c r="P306" s="55" t="s">
        <v>21</v>
      </c>
      <c r="Q306" s="53" t="s">
        <v>21</v>
      </c>
      <c r="R306" s="94" t="s">
        <v>21</v>
      </c>
      <c r="S306" s="73" t="s">
        <v>21</v>
      </c>
      <c r="T306" s="63" t="str">
        <f t="shared" si="32"/>
        <v/>
      </c>
      <c r="V306" s="72">
        <v>1.1362284599999999</v>
      </c>
      <c r="W306" s="72">
        <v>2.88638182</v>
      </c>
      <c r="X306" s="72">
        <v>4.42302397</v>
      </c>
      <c r="Y306" s="72">
        <v>5.7191130299999999</v>
      </c>
      <c r="Z306" s="115">
        <v>7.3183893700000002</v>
      </c>
      <c r="AB306" s="71" t="s">
        <v>21</v>
      </c>
      <c r="AC306" s="71">
        <v>4.4359222106604257E-2</v>
      </c>
      <c r="AD306" s="71">
        <v>5.2246945941234309E-2</v>
      </c>
      <c r="AE306" s="71" t="s">
        <v>21</v>
      </c>
      <c r="AF306" s="63" t="s">
        <v>21</v>
      </c>
      <c r="AG306" s="71" t="s">
        <v>21</v>
      </c>
      <c r="AH306" s="71">
        <v>7.4011170066042567E-3</v>
      </c>
      <c r="AI306" s="71">
        <v>1.4550790341234306E-2</v>
      </c>
      <c r="AJ306" s="71" t="s">
        <v>21</v>
      </c>
      <c r="AK306" s="63" t="s">
        <v>21</v>
      </c>
    </row>
    <row r="307" spans="2:37" x14ac:dyDescent="0.35">
      <c r="B307" s="55" t="s">
        <v>275</v>
      </c>
      <c r="C307" s="53" t="s">
        <v>234</v>
      </c>
      <c r="D307" s="53" t="s">
        <v>275</v>
      </c>
      <c r="E307" s="53" t="s">
        <v>276</v>
      </c>
      <c r="F307" s="73" t="str">
        <f t="shared" si="33"/>
        <v/>
      </c>
      <c r="G307" s="60">
        <f t="shared" si="33"/>
        <v>4.8514321600533004E-2</v>
      </c>
      <c r="H307" s="60">
        <f t="shared" si="33"/>
        <v>5.658639623373158E-2</v>
      </c>
      <c r="I307" s="60" t="str">
        <f t="shared" si="33"/>
        <v/>
      </c>
      <c r="J307" s="63" t="str">
        <f t="shared" si="33"/>
        <v/>
      </c>
      <c r="K307" s="60" t="str">
        <f t="shared" si="34"/>
        <v/>
      </c>
      <c r="L307" s="60">
        <f t="shared" si="34"/>
        <v>1.1379397900533005E-2</v>
      </c>
      <c r="M307" s="60">
        <f t="shared" si="34"/>
        <v>1.8688546233731586E-2</v>
      </c>
      <c r="N307" s="60" t="str">
        <f t="shared" si="34"/>
        <v/>
      </c>
      <c r="O307" s="63" t="str">
        <f t="shared" si="34"/>
        <v/>
      </c>
      <c r="P307" s="55" t="s">
        <v>626</v>
      </c>
      <c r="Q307" s="53" t="s">
        <v>627</v>
      </c>
      <c r="R307" s="94" t="s">
        <v>32</v>
      </c>
      <c r="S307" s="73">
        <v>5.2613479999999997E-2</v>
      </c>
      <c r="T307" s="63">
        <f t="shared" si="32"/>
        <v>3.9729162337315826E-3</v>
      </c>
      <c r="V307" s="72">
        <v>1.1341913299999999</v>
      </c>
      <c r="W307" s="72">
        <v>2.8632321700000003</v>
      </c>
      <c r="X307" s="72">
        <v>4.3590540400000002</v>
      </c>
      <c r="Y307" s="72">
        <v>5.6119315500000004</v>
      </c>
      <c r="Z307" s="115">
        <v>7.1305388999999995</v>
      </c>
      <c r="AB307" s="71" t="s">
        <v>21</v>
      </c>
      <c r="AC307" s="71">
        <v>4.8514321600533004E-2</v>
      </c>
      <c r="AD307" s="71">
        <v>5.658639623373158E-2</v>
      </c>
      <c r="AE307" s="71" t="s">
        <v>21</v>
      </c>
      <c r="AF307" s="63" t="s">
        <v>21</v>
      </c>
      <c r="AG307" s="71" t="s">
        <v>21</v>
      </c>
      <c r="AH307" s="71">
        <v>1.1379397900533005E-2</v>
      </c>
      <c r="AI307" s="71">
        <v>1.8688546233731586E-2</v>
      </c>
      <c r="AJ307" s="71" t="s">
        <v>21</v>
      </c>
      <c r="AK307" s="63" t="s">
        <v>21</v>
      </c>
    </row>
    <row r="308" spans="2:37" x14ac:dyDescent="0.35">
      <c r="B308" s="138" t="s">
        <v>279</v>
      </c>
      <c r="C308" s="139" t="s">
        <v>234</v>
      </c>
      <c r="D308" s="139" t="s">
        <v>279</v>
      </c>
      <c r="E308" s="139" t="s">
        <v>280</v>
      </c>
      <c r="F308" s="73" t="str">
        <f t="shared" si="33"/>
        <v/>
      </c>
      <c r="G308" s="60">
        <f t="shared" si="33"/>
        <v>4.4496835735281744E-2</v>
      </c>
      <c r="H308" s="60">
        <f t="shared" si="33"/>
        <v>5.1171826245067303E-2</v>
      </c>
      <c r="I308" s="60" t="str">
        <f t="shared" si="33"/>
        <v/>
      </c>
      <c r="J308" s="63" t="str">
        <f t="shared" si="33"/>
        <v/>
      </c>
      <c r="K308" s="60" t="str">
        <f t="shared" si="34"/>
        <v/>
      </c>
      <c r="L308" s="60">
        <f t="shared" si="34"/>
        <v>7.5300316352817451E-3</v>
      </c>
      <c r="M308" s="60">
        <f t="shared" si="34"/>
        <v>1.3516770845067298E-2</v>
      </c>
      <c r="N308" s="60" t="str">
        <f t="shared" si="34"/>
        <v/>
      </c>
      <c r="O308" s="63" t="str">
        <f t="shared" si="34"/>
        <v/>
      </c>
      <c r="P308" s="138" t="s">
        <v>628</v>
      </c>
      <c r="Q308" s="139" t="s">
        <v>629</v>
      </c>
      <c r="R308" s="143" t="s">
        <v>32</v>
      </c>
      <c r="S308" s="140">
        <v>4.2536439999999995E-2</v>
      </c>
      <c r="T308" s="63">
        <f t="shared" si="32"/>
        <v>8.6353862450673086E-3</v>
      </c>
      <c r="V308" s="145">
        <v>1.1363498300000001</v>
      </c>
      <c r="W308" s="145">
        <v>2.8853175100000001</v>
      </c>
      <c r="X308" s="145">
        <v>4.4289964799999995</v>
      </c>
      <c r="Y308" s="145">
        <v>5.7545128100000005</v>
      </c>
      <c r="Z308" s="146">
        <v>7.4053634500000003</v>
      </c>
      <c r="AB308" s="141" t="s">
        <v>21</v>
      </c>
      <c r="AC308" s="141">
        <v>4.4496835735281744E-2</v>
      </c>
      <c r="AD308" s="141">
        <v>5.1171826245067303E-2</v>
      </c>
      <c r="AE308" s="141" t="s">
        <v>21</v>
      </c>
      <c r="AF308" s="142" t="s">
        <v>21</v>
      </c>
      <c r="AG308" s="141" t="s">
        <v>21</v>
      </c>
      <c r="AH308" s="141">
        <v>7.5300316352817451E-3</v>
      </c>
      <c r="AI308" s="141">
        <v>1.3516770845067298E-2</v>
      </c>
      <c r="AJ308" s="141" t="s">
        <v>21</v>
      </c>
      <c r="AK308" s="142" t="s">
        <v>21</v>
      </c>
    </row>
    <row r="309" spans="2:37" x14ac:dyDescent="0.35">
      <c r="B309" s="138" t="s">
        <v>281</v>
      </c>
      <c r="C309" s="139" t="s">
        <v>234</v>
      </c>
      <c r="D309" s="139" t="s">
        <v>281</v>
      </c>
      <c r="E309" s="139" t="s">
        <v>48</v>
      </c>
      <c r="F309" s="73" t="str">
        <f t="shared" si="33"/>
        <v/>
      </c>
      <c r="G309" s="60">
        <f t="shared" si="33"/>
        <v>5.179049438740322E-2</v>
      </c>
      <c r="H309" s="60">
        <f t="shared" si="33"/>
        <v>6.1217446041493179E-2</v>
      </c>
      <c r="I309" s="60" t="str">
        <f t="shared" si="33"/>
        <v/>
      </c>
      <c r="J309" s="63" t="str">
        <f t="shared" si="33"/>
        <v/>
      </c>
      <c r="K309" s="60" t="str">
        <f t="shared" si="34"/>
        <v/>
      </c>
      <c r="L309" s="60">
        <f t="shared" si="34"/>
        <v>1.4510034387403222E-2</v>
      </c>
      <c r="M309" s="60">
        <f t="shared" si="34"/>
        <v>2.3074767741493179E-2</v>
      </c>
      <c r="N309" s="60" t="str">
        <f t="shared" si="34"/>
        <v/>
      </c>
      <c r="O309" s="63" t="str">
        <f t="shared" si="34"/>
        <v/>
      </c>
      <c r="P309" s="138" t="s">
        <v>630</v>
      </c>
      <c r="Q309" s="139" t="s">
        <v>631</v>
      </c>
      <c r="R309" s="143" t="s">
        <v>32</v>
      </c>
      <c r="S309" s="140">
        <v>5.6029619999999995E-2</v>
      </c>
      <c r="T309" s="63">
        <f t="shared" si="32"/>
        <v>5.1878260414931834E-3</v>
      </c>
      <c r="V309" s="145">
        <v>1.1300549599999998</v>
      </c>
      <c r="W309" s="145">
        <v>2.83796158</v>
      </c>
      <c r="X309" s="145">
        <v>4.2935534200000003</v>
      </c>
      <c r="Y309" s="145">
        <v>5.4917830199999997</v>
      </c>
      <c r="Z309" s="146">
        <v>6.8800454200000001</v>
      </c>
      <c r="AB309" s="141" t="s">
        <v>21</v>
      </c>
      <c r="AC309" s="141">
        <v>5.179049438740322E-2</v>
      </c>
      <c r="AD309" s="141">
        <v>6.1217446041493179E-2</v>
      </c>
      <c r="AE309" s="141" t="s">
        <v>21</v>
      </c>
      <c r="AF309" s="142" t="s">
        <v>21</v>
      </c>
      <c r="AG309" s="141" t="s">
        <v>21</v>
      </c>
      <c r="AH309" s="141">
        <v>1.4510034387403222E-2</v>
      </c>
      <c r="AI309" s="141">
        <v>2.3074767741493179E-2</v>
      </c>
      <c r="AJ309" s="141" t="s">
        <v>21</v>
      </c>
      <c r="AK309" s="142" t="s">
        <v>21</v>
      </c>
    </row>
    <row r="310" spans="2:37" x14ac:dyDescent="0.35">
      <c r="B310" s="147" t="s">
        <v>277</v>
      </c>
      <c r="C310" s="148" t="s">
        <v>234</v>
      </c>
      <c r="D310" s="148" t="s">
        <v>278</v>
      </c>
      <c r="E310" s="148" t="s">
        <v>123</v>
      </c>
      <c r="F310" s="73" t="str">
        <f t="shared" si="33"/>
        <v/>
      </c>
      <c r="G310" s="60">
        <f t="shared" si="33"/>
        <v>4.8882271480845438E-2</v>
      </c>
      <c r="H310" s="60">
        <f t="shared" si="33"/>
        <v>5.61994767566589E-2</v>
      </c>
      <c r="I310" s="60" t="str">
        <f t="shared" si="33"/>
        <v/>
      </c>
      <c r="J310" s="63" t="str">
        <f t="shared" si="33"/>
        <v/>
      </c>
      <c r="K310" s="60" t="str">
        <f t="shared" si="34"/>
        <v/>
      </c>
      <c r="L310" s="60">
        <f t="shared" si="34"/>
        <v>1.1701301180845433E-2</v>
      </c>
      <c r="M310" s="60">
        <f t="shared" si="34"/>
        <v>1.8266412956658904E-2</v>
      </c>
      <c r="N310" s="60" t="str">
        <f t="shared" si="34"/>
        <v/>
      </c>
      <c r="O310" s="63" t="str">
        <f t="shared" si="34"/>
        <v/>
      </c>
      <c r="P310" s="147" t="s">
        <v>632</v>
      </c>
      <c r="Q310" s="148" t="s">
        <v>633</v>
      </c>
      <c r="R310" s="152" t="s">
        <v>32</v>
      </c>
      <c r="S310" s="149">
        <v>4.9109380000000001E-2</v>
      </c>
      <c r="T310" s="63">
        <f t="shared" si="32"/>
        <v>7.0900967566588993E-3</v>
      </c>
      <c r="V310" s="154">
        <v>1.12962732</v>
      </c>
      <c r="W310" s="154">
        <v>2.84440085</v>
      </c>
      <c r="X310" s="154">
        <v>4.3239234099999999</v>
      </c>
      <c r="Y310" s="154">
        <v>5.5622107499999993</v>
      </c>
      <c r="Z310" s="155">
        <v>7.0324919700000006</v>
      </c>
      <c r="AB310" s="150" t="s">
        <v>21</v>
      </c>
      <c r="AC310" s="150">
        <v>4.8882271480845438E-2</v>
      </c>
      <c r="AD310" s="150">
        <v>5.61994767566589E-2</v>
      </c>
      <c r="AE310" s="150" t="s">
        <v>21</v>
      </c>
      <c r="AF310" s="151" t="s">
        <v>21</v>
      </c>
      <c r="AG310" s="150" t="s">
        <v>21</v>
      </c>
      <c r="AH310" s="150">
        <v>1.1701301180845433E-2</v>
      </c>
      <c r="AI310" s="150">
        <v>1.8266412956658904E-2</v>
      </c>
      <c r="AJ310" s="150" t="s">
        <v>21</v>
      </c>
      <c r="AK310" s="151" t="s">
        <v>21</v>
      </c>
    </row>
    <row r="311" spans="2:37" x14ac:dyDescent="0.35">
      <c r="B311" s="55" t="s">
        <v>214</v>
      </c>
      <c r="C311" s="53" t="s">
        <v>234</v>
      </c>
      <c r="D311" s="53" t="s">
        <v>201</v>
      </c>
      <c r="E311" s="53" t="s">
        <v>295</v>
      </c>
      <c r="F311" s="75" t="str">
        <f t="shared" si="33"/>
        <v/>
      </c>
      <c r="G311" s="80">
        <f t="shared" si="33"/>
        <v>4.9636563699780527E-2</v>
      </c>
      <c r="H311" s="80">
        <f t="shared" si="33"/>
        <v>6.0034930795209725E-2</v>
      </c>
      <c r="I311" s="80" t="str">
        <f t="shared" si="33"/>
        <v/>
      </c>
      <c r="J311" s="62" t="str">
        <f t="shared" si="33"/>
        <v/>
      </c>
      <c r="K311" s="80" t="str">
        <f t="shared" si="34"/>
        <v/>
      </c>
      <c r="L311" s="80">
        <f t="shared" si="34"/>
        <v>1.2425246199780523E-2</v>
      </c>
      <c r="M311" s="80">
        <f t="shared" si="34"/>
        <v>2.1926518895209718E-2</v>
      </c>
      <c r="N311" s="80" t="str">
        <f t="shared" si="34"/>
        <v/>
      </c>
      <c r="O311" s="62" t="str">
        <f t="shared" si="34"/>
        <v/>
      </c>
      <c r="P311" s="55" t="s">
        <v>634</v>
      </c>
      <c r="Q311" s="53" t="s">
        <v>635</v>
      </c>
      <c r="R311" s="94" t="s">
        <v>32</v>
      </c>
      <c r="S311" s="73">
        <v>5.3320280000000005E-2</v>
      </c>
      <c r="T311" s="62">
        <f t="shared" si="32"/>
        <v>6.7146507952097201E-3</v>
      </c>
      <c r="V311" s="72">
        <v>1.13247893</v>
      </c>
      <c r="W311" s="72">
        <v>2.8511308999999998</v>
      </c>
      <c r="X311" s="72">
        <v>4.3132656000000003</v>
      </c>
      <c r="Y311" s="72">
        <v>5.5026177199999999</v>
      </c>
      <c r="Z311" s="115">
        <v>6.8774128399999999</v>
      </c>
      <c r="AB311" s="71" t="s">
        <v>21</v>
      </c>
      <c r="AC311" s="71">
        <v>4.9636563699780527E-2</v>
      </c>
      <c r="AD311" s="71">
        <v>6.0034930795209725E-2</v>
      </c>
      <c r="AE311" s="71" t="s">
        <v>21</v>
      </c>
      <c r="AF311" s="63" t="s">
        <v>21</v>
      </c>
      <c r="AG311" s="71" t="s">
        <v>21</v>
      </c>
      <c r="AH311" s="71">
        <v>1.2425246199780523E-2</v>
      </c>
      <c r="AI311" s="71">
        <v>2.1926518895209718E-2</v>
      </c>
      <c r="AJ311" s="71" t="s">
        <v>21</v>
      </c>
      <c r="AK311" s="63" t="s">
        <v>21</v>
      </c>
    </row>
    <row r="312" spans="2:37" x14ac:dyDescent="0.35">
      <c r="B312" s="55" t="s">
        <v>215</v>
      </c>
      <c r="C312" s="53" t="s">
        <v>234</v>
      </c>
      <c r="D312" s="53" t="s">
        <v>199</v>
      </c>
      <c r="E312" s="53" t="s">
        <v>636</v>
      </c>
      <c r="F312" s="73" t="str">
        <f t="shared" si="33"/>
        <v/>
      </c>
      <c r="G312" s="60">
        <f t="shared" si="33"/>
        <v>6.8991231667289862E-2</v>
      </c>
      <c r="H312" s="60">
        <f t="shared" si="33"/>
        <v>7.9412223248399957E-2</v>
      </c>
      <c r="I312" s="60" t="str">
        <f t="shared" si="33"/>
        <v/>
      </c>
      <c r="J312" s="63" t="str">
        <f t="shared" si="33"/>
        <v/>
      </c>
      <c r="K312" s="60" t="str">
        <f t="shared" si="34"/>
        <v/>
      </c>
      <c r="L312" s="60">
        <f t="shared" si="34"/>
        <v>3.066217196728984E-2</v>
      </c>
      <c r="M312" s="60">
        <f t="shared" si="34"/>
        <v>4.0027530448399955E-2</v>
      </c>
      <c r="N312" s="60" t="str">
        <f t="shared" si="34"/>
        <v/>
      </c>
      <c r="O312" s="63" t="str">
        <f t="shared" si="34"/>
        <v/>
      </c>
      <c r="P312" s="55" t="s">
        <v>21</v>
      </c>
      <c r="Q312" s="53" t="s">
        <v>21</v>
      </c>
      <c r="R312" s="94" t="s">
        <v>21</v>
      </c>
      <c r="S312" s="73" t="s">
        <v>21</v>
      </c>
      <c r="T312" s="63" t="str">
        <f t="shared" si="32"/>
        <v/>
      </c>
      <c r="V312" s="72">
        <v>1.1029047300000001</v>
      </c>
      <c r="W312" s="72">
        <v>2.7077829900000001</v>
      </c>
      <c r="X312" s="72">
        <v>4.0113183500000007</v>
      </c>
      <c r="Y312" s="72">
        <v>5.0151341399999998</v>
      </c>
      <c r="Z312" s="115">
        <v>6.1145119999999995</v>
      </c>
      <c r="AB312" s="71" t="s">
        <v>21</v>
      </c>
      <c r="AC312" s="71">
        <v>6.8991231667289862E-2</v>
      </c>
      <c r="AD312" s="71">
        <v>7.9412223248399957E-2</v>
      </c>
      <c r="AE312" s="71" t="s">
        <v>21</v>
      </c>
      <c r="AF312" s="63" t="s">
        <v>21</v>
      </c>
      <c r="AG312" s="71" t="s">
        <v>21</v>
      </c>
      <c r="AH312" s="71">
        <v>3.066217196728984E-2</v>
      </c>
      <c r="AI312" s="71">
        <v>4.0027530448399955E-2</v>
      </c>
      <c r="AJ312" s="71" t="s">
        <v>21</v>
      </c>
      <c r="AK312" s="63" t="s">
        <v>21</v>
      </c>
    </row>
    <row r="313" spans="2:37" x14ac:dyDescent="0.35">
      <c r="B313" s="55" t="s">
        <v>282</v>
      </c>
      <c r="C313" s="53" t="s">
        <v>234</v>
      </c>
      <c r="D313" s="53" t="s">
        <v>201</v>
      </c>
      <c r="E313" s="53" t="s">
        <v>133</v>
      </c>
      <c r="F313" s="73" t="str">
        <f t="shared" si="33"/>
        <v/>
      </c>
      <c r="G313" s="60" t="str">
        <f t="shared" si="33"/>
        <v/>
      </c>
      <c r="H313" s="60">
        <f t="shared" si="33"/>
        <v>4.8326495194629678E-2</v>
      </c>
      <c r="I313" s="60" t="str">
        <f t="shared" si="33"/>
        <v/>
      </c>
      <c r="J313" s="63" t="str">
        <f t="shared" si="33"/>
        <v/>
      </c>
      <c r="K313" s="60" t="str">
        <f t="shared" si="34"/>
        <v/>
      </c>
      <c r="L313" s="60" t="str">
        <f t="shared" si="34"/>
        <v/>
      </c>
      <c r="M313" s="60">
        <f t="shared" si="34"/>
        <v>1.0661029494629687E-2</v>
      </c>
      <c r="N313" s="60" t="str">
        <f t="shared" si="34"/>
        <v/>
      </c>
      <c r="O313" s="63" t="str">
        <f t="shared" si="34"/>
        <v/>
      </c>
      <c r="P313" s="55" t="s">
        <v>296</v>
      </c>
      <c r="Q313" s="53" t="s">
        <v>297</v>
      </c>
      <c r="R313" s="94">
        <v>47581</v>
      </c>
      <c r="S313" s="73">
        <v>5.0983559999999997E-2</v>
      </c>
      <c r="T313" s="63">
        <f t="shared" si="32"/>
        <v>-2.6570648053703197E-3</v>
      </c>
      <c r="V313" s="72">
        <v>1.13402417</v>
      </c>
      <c r="W313" s="72">
        <v>2.87997419</v>
      </c>
      <c r="X313" s="72">
        <v>4.4204469399999997</v>
      </c>
      <c r="Y313" s="72">
        <v>5.7407943599999998</v>
      </c>
      <c r="Z313" s="115">
        <v>7.3602073299999997</v>
      </c>
      <c r="AB313" s="71" t="s">
        <v>21</v>
      </c>
      <c r="AC313" s="71"/>
      <c r="AD313" s="71">
        <v>4.8326495194629678E-2</v>
      </c>
      <c r="AE313" s="71" t="s">
        <v>21</v>
      </c>
      <c r="AF313" s="63" t="s">
        <v>21</v>
      </c>
      <c r="AG313" s="71" t="s">
        <v>21</v>
      </c>
      <c r="AH313" s="71"/>
      <c r="AI313" s="71">
        <v>1.0661029494629687E-2</v>
      </c>
      <c r="AJ313" s="71" t="s">
        <v>21</v>
      </c>
      <c r="AK313" s="63" t="s">
        <v>21</v>
      </c>
    </row>
    <row r="314" spans="2:37" x14ac:dyDescent="0.35">
      <c r="B314" s="55" t="s">
        <v>283</v>
      </c>
      <c r="C314" s="53" t="s">
        <v>234</v>
      </c>
      <c r="D314" s="53" t="s">
        <v>197</v>
      </c>
      <c r="E314" s="53" t="s">
        <v>637</v>
      </c>
      <c r="F314" s="73" t="str">
        <f t="shared" si="33"/>
        <v/>
      </c>
      <c r="G314" s="60" t="str">
        <f t="shared" si="33"/>
        <v/>
      </c>
      <c r="H314" s="60">
        <f t="shared" si="33"/>
        <v>7.8121968436617117E-2</v>
      </c>
      <c r="I314" s="60" t="str">
        <f t="shared" si="33"/>
        <v/>
      </c>
      <c r="J314" s="63" t="str">
        <f t="shared" si="33"/>
        <v/>
      </c>
      <c r="K314" s="60" t="str">
        <f t="shared" si="34"/>
        <v/>
      </c>
      <c r="L314" s="60" t="str">
        <f t="shared" si="34"/>
        <v/>
      </c>
      <c r="M314" s="60">
        <f t="shared" si="34"/>
        <v>3.8797795736617118E-2</v>
      </c>
      <c r="N314" s="60" t="str">
        <f t="shared" si="34"/>
        <v/>
      </c>
      <c r="O314" s="63" t="str">
        <f t="shared" si="34"/>
        <v/>
      </c>
      <c r="P314" s="55" t="s">
        <v>21</v>
      </c>
      <c r="Q314" s="53" t="s">
        <v>21</v>
      </c>
      <c r="R314" s="94" t="s">
        <v>21</v>
      </c>
      <c r="S314" s="73" t="s">
        <v>21</v>
      </c>
      <c r="T314" s="63" t="str">
        <f t="shared" si="32"/>
        <v/>
      </c>
      <c r="V314" s="72">
        <v>1.1030491899999999</v>
      </c>
      <c r="W314" s="72">
        <v>2.6972822700000001</v>
      </c>
      <c r="X314" s="72">
        <v>4.0015180099999998</v>
      </c>
      <c r="Y314" s="72">
        <v>5.0516878100000007</v>
      </c>
      <c r="Z314" s="115">
        <v>6.2709497200000008</v>
      </c>
      <c r="AB314" s="71" t="s">
        <v>21</v>
      </c>
      <c r="AC314" s="71"/>
      <c r="AD314" s="71">
        <v>7.8121968436617117E-2</v>
      </c>
      <c r="AE314" s="71" t="s">
        <v>21</v>
      </c>
      <c r="AF314" s="63" t="s">
        <v>21</v>
      </c>
      <c r="AG314" s="71" t="s">
        <v>21</v>
      </c>
      <c r="AH314" s="71"/>
      <c r="AI314" s="71">
        <v>3.8797795736617118E-2</v>
      </c>
      <c r="AJ314" s="71" t="s">
        <v>21</v>
      </c>
      <c r="AK314" s="63" t="s">
        <v>21</v>
      </c>
    </row>
    <row r="315" spans="2:37" x14ac:dyDescent="0.35">
      <c r="B315" s="55" t="s">
        <v>284</v>
      </c>
      <c r="C315" s="53" t="s">
        <v>234</v>
      </c>
      <c r="D315" s="53" t="s">
        <v>197</v>
      </c>
      <c r="E315" s="53" t="s">
        <v>638</v>
      </c>
      <c r="F315" s="73" t="str">
        <f t="shared" si="33"/>
        <v/>
      </c>
      <c r="G315" s="60" t="str">
        <f t="shared" si="33"/>
        <v/>
      </c>
      <c r="H315" s="60">
        <f t="shared" si="33"/>
        <v>8.2746596078685078E-2</v>
      </c>
      <c r="I315" s="60" t="str">
        <f t="shared" si="33"/>
        <v/>
      </c>
      <c r="J315" s="63" t="str">
        <f t="shared" si="33"/>
        <v/>
      </c>
      <c r="K315" s="60" t="str">
        <f t="shared" si="34"/>
        <v/>
      </c>
      <c r="L315" s="60" t="str">
        <f t="shared" si="34"/>
        <v/>
      </c>
      <c r="M315" s="60">
        <f t="shared" si="34"/>
        <v>4.3534275578685083E-2</v>
      </c>
      <c r="N315" s="60" t="str">
        <f t="shared" si="34"/>
        <v/>
      </c>
      <c r="O315" s="63" t="str">
        <f t="shared" si="34"/>
        <v/>
      </c>
      <c r="P315" s="55" t="s">
        <v>21</v>
      </c>
      <c r="Q315" s="53" t="s">
        <v>21</v>
      </c>
      <c r="R315" s="94" t="s">
        <v>21</v>
      </c>
      <c r="S315" s="73" t="s">
        <v>21</v>
      </c>
      <c r="T315" s="63" t="str">
        <f t="shared" si="32"/>
        <v/>
      </c>
      <c r="V315" s="72">
        <v>1.10608518</v>
      </c>
      <c r="W315" s="72">
        <v>2.7249001700000002</v>
      </c>
      <c r="X315" s="72">
        <v>4.0429485999999999</v>
      </c>
      <c r="Y315" s="72">
        <v>5.07133448</v>
      </c>
      <c r="Z315" s="115">
        <v>6.1833972700000004</v>
      </c>
      <c r="AB315" s="71" t="s">
        <v>21</v>
      </c>
      <c r="AC315" s="71"/>
      <c r="AD315" s="71">
        <v>8.2746596078685078E-2</v>
      </c>
      <c r="AE315" s="71" t="s">
        <v>21</v>
      </c>
      <c r="AF315" s="63" t="s">
        <v>21</v>
      </c>
      <c r="AG315" s="71" t="s">
        <v>21</v>
      </c>
      <c r="AH315" s="71"/>
      <c r="AI315" s="71">
        <v>4.3534275578685083E-2</v>
      </c>
      <c r="AJ315" s="71" t="s">
        <v>21</v>
      </c>
      <c r="AK315" s="63" t="s">
        <v>21</v>
      </c>
    </row>
    <row r="316" spans="2:37" x14ac:dyDescent="0.35">
      <c r="B316" s="57" t="s">
        <v>285</v>
      </c>
      <c r="C316" s="53" t="s">
        <v>234</v>
      </c>
      <c r="D316" s="67" t="s">
        <v>197</v>
      </c>
      <c r="E316" s="67" t="s">
        <v>270</v>
      </c>
      <c r="F316" s="74" t="str">
        <f t="shared" si="33"/>
        <v/>
      </c>
      <c r="G316" s="76" t="str">
        <f t="shared" si="33"/>
        <v/>
      </c>
      <c r="H316" s="76">
        <f t="shared" si="33"/>
        <v>8.595342831366555E-2</v>
      </c>
      <c r="I316" s="76" t="str">
        <f t="shared" si="33"/>
        <v/>
      </c>
      <c r="J316" s="64" t="str">
        <f t="shared" si="33"/>
        <v/>
      </c>
      <c r="K316" s="76" t="str">
        <f t="shared" si="34"/>
        <v/>
      </c>
      <c r="L316" s="76" t="str">
        <f t="shared" si="34"/>
        <v/>
      </c>
      <c r="M316" s="76">
        <f t="shared" si="34"/>
        <v>4.5634555813665552E-2</v>
      </c>
      <c r="N316" s="76" t="str">
        <f t="shared" si="34"/>
        <v/>
      </c>
      <c r="O316" s="64" t="str">
        <f t="shared" si="34"/>
        <v/>
      </c>
      <c r="P316" s="57" t="s">
        <v>639</v>
      </c>
      <c r="Q316" s="67" t="s">
        <v>640</v>
      </c>
      <c r="R316" s="96">
        <v>47560</v>
      </c>
      <c r="S316" s="74">
        <v>7.990572E-2</v>
      </c>
      <c r="T316" s="64">
        <f t="shared" si="32"/>
        <v>6.0477083136655507E-3</v>
      </c>
      <c r="V316" s="108">
        <v>1.09750218</v>
      </c>
      <c r="W316" s="108">
        <v>2.64635832</v>
      </c>
      <c r="X316" s="108">
        <v>3.8609730400000002</v>
      </c>
      <c r="Y316" s="108">
        <v>4.7947236699999998</v>
      </c>
      <c r="Z316" s="117">
        <v>5.7623122999999996</v>
      </c>
      <c r="AB316" s="76" t="s">
        <v>21</v>
      </c>
      <c r="AC316" s="76"/>
      <c r="AD316" s="76">
        <v>8.595342831366555E-2</v>
      </c>
      <c r="AE316" s="76" t="s">
        <v>21</v>
      </c>
      <c r="AF316" s="64" t="s">
        <v>21</v>
      </c>
      <c r="AG316" s="76" t="s">
        <v>21</v>
      </c>
      <c r="AH316" s="76"/>
      <c r="AI316" s="76">
        <v>4.5634555813665552E-2</v>
      </c>
      <c r="AJ316" s="76" t="s">
        <v>21</v>
      </c>
      <c r="AK316" s="64" t="s">
        <v>21</v>
      </c>
    </row>
    <row r="317" spans="2:37" x14ac:dyDescent="0.35">
      <c r="B317" s="66"/>
      <c r="C317" s="66"/>
      <c r="D317" s="66"/>
      <c r="E317" s="66"/>
      <c r="P317" s="66"/>
      <c r="Q317" s="66"/>
      <c r="R317" s="66"/>
      <c r="S317" s="66"/>
      <c r="V317" s="66"/>
      <c r="W317" s="66"/>
      <c r="X317" s="66"/>
      <c r="Y317" s="66"/>
      <c r="Z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</row>
    <row r="318" spans="2:37" ht="15.5" x14ac:dyDescent="0.35">
      <c r="B318" s="122" t="s">
        <v>286</v>
      </c>
    </row>
    <row r="319" spans="2:37" x14ac:dyDescent="0.35">
      <c r="B319" s="85" t="s">
        <v>5</v>
      </c>
      <c r="C319" s="84" t="s">
        <v>6</v>
      </c>
      <c r="D319" s="84" t="s">
        <v>7</v>
      </c>
      <c r="E319" s="84" t="s">
        <v>8</v>
      </c>
      <c r="F319" s="83" t="s">
        <v>9</v>
      </c>
      <c r="G319" s="82" t="s">
        <v>10</v>
      </c>
      <c r="H319" s="82" t="s">
        <v>11</v>
      </c>
      <c r="I319" s="82" t="s">
        <v>12</v>
      </c>
      <c r="J319" s="81" t="s">
        <v>13</v>
      </c>
      <c r="K319" s="83" t="s">
        <v>9</v>
      </c>
      <c r="L319" s="82" t="s">
        <v>10</v>
      </c>
      <c r="M319" s="82" t="s">
        <v>11</v>
      </c>
      <c r="N319" s="82" t="s">
        <v>12</v>
      </c>
      <c r="O319" s="81" t="s">
        <v>13</v>
      </c>
      <c r="P319" s="83" t="s">
        <v>14</v>
      </c>
      <c r="Q319" s="82" t="s">
        <v>15</v>
      </c>
      <c r="R319" s="82" t="s">
        <v>16</v>
      </c>
      <c r="S319" s="82" t="s">
        <v>218</v>
      </c>
      <c r="T319" s="58" t="s">
        <v>18</v>
      </c>
      <c r="V319" s="106" t="s">
        <v>9</v>
      </c>
      <c r="W319" s="106" t="s">
        <v>10</v>
      </c>
      <c r="X319" s="106" t="s">
        <v>11</v>
      </c>
      <c r="Y319" s="106" t="s">
        <v>12</v>
      </c>
      <c r="Z319" s="111" t="s">
        <v>13</v>
      </c>
      <c r="AB319" s="83" t="s">
        <v>9</v>
      </c>
      <c r="AC319" s="82" t="s">
        <v>10</v>
      </c>
      <c r="AD319" s="82" t="s">
        <v>11</v>
      </c>
      <c r="AE319" s="82" t="s">
        <v>12</v>
      </c>
      <c r="AF319" s="81" t="s">
        <v>13</v>
      </c>
      <c r="AG319" s="83" t="s">
        <v>9</v>
      </c>
      <c r="AH319" s="82" t="s">
        <v>10</v>
      </c>
      <c r="AI319" s="82" t="s">
        <v>11</v>
      </c>
      <c r="AJ319" s="82" t="s">
        <v>12</v>
      </c>
      <c r="AK319" s="81" t="s">
        <v>13</v>
      </c>
    </row>
    <row r="320" spans="2:37" x14ac:dyDescent="0.35">
      <c r="B320" s="55" t="s">
        <v>641</v>
      </c>
      <c r="C320" s="53" t="s">
        <v>234</v>
      </c>
      <c r="D320" s="53" t="s">
        <v>642</v>
      </c>
      <c r="E320" s="53" t="s">
        <v>643</v>
      </c>
      <c r="F320" s="73">
        <f>IF(ISNUMBER(AB320),AB320-((C$4-C$3)/V320),"")</f>
        <v>3.8574795223508415E-2</v>
      </c>
      <c r="G320" s="60">
        <f>IF(ISNUMBER(AC320),AC320-((D$4-D$3)/W320),"")</f>
        <v>4.5269799521222238E-2</v>
      </c>
      <c r="H320" s="60">
        <f>IF(ISNUMBER(AD320),AD320-((E$4-E$3)/X320),"")</f>
        <v>5.2703965515205814E-2</v>
      </c>
      <c r="I320" s="60">
        <f>IF(ISNUMBER(AE320),AE320-((F$4-F$3)/Y320),"")</f>
        <v>5.58693581899532E-2</v>
      </c>
      <c r="J320" s="63">
        <f>IF(ISNUMBER(AF320),AF320-((G$4-G$3)/Z320),"")</f>
        <v>5.8651879966441792E-2</v>
      </c>
      <c r="K320" s="60">
        <f>IF(ISNUMBER(AG320),IF(AG320-((C$4-C$3)/V320)&lt;0,"",AG320-((C$4-C$3)/V320)),"")</f>
        <v>6.7454332350841764E-4</v>
      </c>
      <c r="L320" s="60">
        <f>IF(ISNUMBER(AH320),IF(AH320-((D$4-D$3)/W320)&lt;0,"",AH320-((D$4-D$3)/W320)),"")</f>
        <v>8.2247014212222368E-3</v>
      </c>
      <c r="M320" s="60">
        <f>IF(ISNUMBER(AI320),IF(AI320-((E$4-E$3)/X320)&lt;0,"",AI320-((E$4-E$3)/X320)),"")</f>
        <v>1.4896839915205812E-2</v>
      </c>
      <c r="N320" s="60">
        <f>IF(ISNUMBER(AJ320),IF(AJ320-((F$4-F$3)/Y320)&lt;0,"",AJ320-((F$4-F$3)/Y320)),"")</f>
        <v>1.7047033589953204E-2</v>
      </c>
      <c r="O320" s="63">
        <f>IF(ISNUMBER(AK320),IF(AK320-((G$4-G$3)/Z320)&lt;0,"",AK320-((G$4-G$3)/Z320)),"")</f>
        <v>1.8527595566441794E-2</v>
      </c>
      <c r="P320" s="55" t="s">
        <v>644</v>
      </c>
      <c r="Q320" s="53" t="s">
        <v>645</v>
      </c>
      <c r="R320" s="94">
        <v>47545</v>
      </c>
      <c r="S320" s="73">
        <v>4.3045140000000003E-2</v>
      </c>
      <c r="T320" s="63">
        <f t="shared" ref="T320:T325" si="35">IF(S320="","",H320-S320)</f>
        <v>9.6588255152058114E-3</v>
      </c>
      <c r="V320" s="72">
        <v>1.1338600599999999</v>
      </c>
      <c r="W320" s="72">
        <v>2.8687120900000003</v>
      </c>
      <c r="X320" s="72">
        <v>4.3750157700000001</v>
      </c>
      <c r="Y320" s="72">
        <v>5.6536745100000001</v>
      </c>
      <c r="Z320" s="115">
        <v>7.2366262099999998</v>
      </c>
      <c r="AB320" s="71">
        <v>3.8574795223508415E-2</v>
      </c>
      <c r="AC320" s="71">
        <v>4.5269799521222238E-2</v>
      </c>
      <c r="AD320" s="71">
        <v>5.2703965515205814E-2</v>
      </c>
      <c r="AE320" s="71">
        <v>5.58693581899532E-2</v>
      </c>
      <c r="AF320" s="63">
        <v>5.8651879966441792E-2</v>
      </c>
      <c r="AG320" s="71">
        <v>6.7454332350841764E-4</v>
      </c>
      <c r="AH320" s="71">
        <v>8.2247014212222368E-3</v>
      </c>
      <c r="AI320" s="71">
        <v>1.4896839915205812E-2</v>
      </c>
      <c r="AJ320" s="71">
        <v>1.7047033589953204E-2</v>
      </c>
      <c r="AK320" s="63">
        <v>1.8527595566441794E-2</v>
      </c>
    </row>
    <row r="321" spans="2:37" x14ac:dyDescent="0.35">
      <c r="B321" s="55" t="s">
        <v>646</v>
      </c>
      <c r="C321" s="53" t="s">
        <v>234</v>
      </c>
      <c r="D321" s="53" t="s">
        <v>647</v>
      </c>
      <c r="E321" s="53" t="s">
        <v>266</v>
      </c>
      <c r="F321" s="73">
        <f t="shared" ref="F321:J325" si="36">IF(ISNUMBER(AB321),AB321-((C$4-C$3)/V321),"")</f>
        <v>3.9324819989670134E-2</v>
      </c>
      <c r="G321" s="60">
        <f t="shared" si="36"/>
        <v>4.5671880600370376E-2</v>
      </c>
      <c r="H321" s="60">
        <f t="shared" si="36"/>
        <v>5.2676579342049633E-2</v>
      </c>
      <c r="I321" s="60">
        <f t="shared" si="36"/>
        <v>5.5691389779032485E-2</v>
      </c>
      <c r="J321" s="63">
        <f t="shared" si="36"/>
        <v>5.8513869210166464E-2</v>
      </c>
      <c r="K321" s="60">
        <f t="shared" ref="K321:O325" si="37">IF(ISNUMBER(AG321),IF(AG321-((C$4-C$3)/V321)&lt;0,"",AG321-((C$4-C$3)/V321)),"")</f>
        <v>1.3996667896701313E-3</v>
      </c>
      <c r="L321" s="60">
        <f t="shared" si="37"/>
        <v>8.6098841003703734E-3</v>
      </c>
      <c r="M321" s="60">
        <f t="shared" si="37"/>
        <v>1.4871904042049631E-2</v>
      </c>
      <c r="N321" s="60">
        <f t="shared" si="37"/>
        <v>1.687769217903248E-2</v>
      </c>
      <c r="O321" s="63">
        <f t="shared" si="37"/>
        <v>1.8394379710166463E-2</v>
      </c>
      <c r="P321" s="55" t="s">
        <v>21</v>
      </c>
      <c r="Q321" s="53" t="s">
        <v>21</v>
      </c>
      <c r="R321" s="94" t="s">
        <v>21</v>
      </c>
      <c r="S321" s="73" t="s">
        <v>21</v>
      </c>
      <c r="T321" s="63" t="str">
        <f t="shared" si="35"/>
        <v/>
      </c>
      <c r="V321" s="72">
        <v>1.1323901399999998</v>
      </c>
      <c r="W321" s="72">
        <v>2.8634249500000002</v>
      </c>
      <c r="X321" s="72">
        <v>4.36929283</v>
      </c>
      <c r="Y321" s="72">
        <v>5.65168435</v>
      </c>
      <c r="Z321" s="115">
        <v>7.2394998599999996</v>
      </c>
      <c r="AB321" s="71">
        <v>3.9324819989670134E-2</v>
      </c>
      <c r="AC321" s="71">
        <v>4.5671880600370376E-2</v>
      </c>
      <c r="AD321" s="71">
        <v>5.2676579342049633E-2</v>
      </c>
      <c r="AE321" s="71">
        <v>5.5691389779032485E-2</v>
      </c>
      <c r="AF321" s="63">
        <v>5.8513869210166464E-2</v>
      </c>
      <c r="AG321" s="71">
        <v>1.3996667896701313E-3</v>
      </c>
      <c r="AH321" s="71">
        <v>8.6098841003703734E-3</v>
      </c>
      <c r="AI321" s="71">
        <v>1.4871904042049631E-2</v>
      </c>
      <c r="AJ321" s="71">
        <v>1.687769217903248E-2</v>
      </c>
      <c r="AK321" s="63">
        <v>1.8394379710166463E-2</v>
      </c>
    </row>
    <row r="322" spans="2:37" x14ac:dyDescent="0.35">
      <c r="B322" s="55" t="s">
        <v>289</v>
      </c>
      <c r="C322" s="53" t="s">
        <v>234</v>
      </c>
      <c r="D322" s="53" t="s">
        <v>287</v>
      </c>
      <c r="E322" s="53" t="s">
        <v>181</v>
      </c>
      <c r="F322" s="73">
        <f t="shared" si="36"/>
        <v>3.7360982556662467E-2</v>
      </c>
      <c r="G322" s="60">
        <f t="shared" si="36"/>
        <v>4.355953181452922E-2</v>
      </c>
      <c r="H322" s="60">
        <f t="shared" si="36"/>
        <v>4.9949813121184669E-2</v>
      </c>
      <c r="I322" s="60">
        <f t="shared" si="36"/>
        <v>5.3510128847153504E-2</v>
      </c>
      <c r="J322" s="63">
        <f t="shared" si="36"/>
        <v>5.6619623044771493E-2</v>
      </c>
      <c r="K322" s="60" t="str">
        <f t="shared" si="37"/>
        <v/>
      </c>
      <c r="L322" s="60">
        <f t="shared" si="37"/>
        <v>6.5870239145292189E-3</v>
      </c>
      <c r="M322" s="60">
        <f t="shared" si="37"/>
        <v>1.2276698321184661E-2</v>
      </c>
      <c r="N322" s="60">
        <f t="shared" si="37"/>
        <v>1.480226864715351E-2</v>
      </c>
      <c r="O322" s="63">
        <f t="shared" si="37"/>
        <v>1.6586024644771484E-2</v>
      </c>
      <c r="P322" s="55" t="s">
        <v>648</v>
      </c>
      <c r="Q322" s="53" t="s">
        <v>649</v>
      </c>
      <c r="R322" s="94" t="s">
        <v>32</v>
      </c>
      <c r="S322" s="73">
        <v>4.3990649999999999E-2</v>
      </c>
      <c r="T322" s="63">
        <f t="shared" si="35"/>
        <v>5.9591631211846699E-3</v>
      </c>
      <c r="V322" s="72">
        <v>1.1362668500000002</v>
      </c>
      <c r="W322" s="72">
        <v>2.8842410900000002</v>
      </c>
      <c r="X322" s="72">
        <v>4.4219863200000002</v>
      </c>
      <c r="Y322" s="72">
        <v>5.7336842199999998</v>
      </c>
      <c r="Z322" s="115">
        <v>7.3615973599999993</v>
      </c>
      <c r="AB322" s="71">
        <v>3.7360982556662467E-2</v>
      </c>
      <c r="AC322" s="71">
        <v>4.355953181452922E-2</v>
      </c>
      <c r="AD322" s="71">
        <v>4.9949813121184669E-2</v>
      </c>
      <c r="AE322" s="71">
        <v>5.3510128847153504E-2</v>
      </c>
      <c r="AF322" s="63">
        <v>5.6619623044771493E-2</v>
      </c>
      <c r="AG322" s="71" t="s">
        <v>21</v>
      </c>
      <c r="AH322" s="71">
        <v>6.5870239145292189E-3</v>
      </c>
      <c r="AI322" s="71">
        <v>1.2276698321184661E-2</v>
      </c>
      <c r="AJ322" s="71">
        <v>1.480226864715351E-2</v>
      </c>
      <c r="AK322" s="63">
        <v>1.6586024644771484E-2</v>
      </c>
    </row>
    <row r="323" spans="2:37" x14ac:dyDescent="0.35">
      <c r="B323" s="55" t="s">
        <v>650</v>
      </c>
      <c r="C323" s="53" t="s">
        <v>234</v>
      </c>
      <c r="D323" s="53" t="s">
        <v>642</v>
      </c>
      <c r="E323" s="53" t="s">
        <v>651</v>
      </c>
      <c r="F323" s="73">
        <f t="shared" si="36"/>
        <v>3.9106067115922384E-2</v>
      </c>
      <c r="G323" s="60">
        <f t="shared" si="36"/>
        <v>4.6999073544921451E-2</v>
      </c>
      <c r="H323" s="60">
        <f t="shared" si="36"/>
        <v>5.4215416824950333E-2</v>
      </c>
      <c r="I323" s="60">
        <f t="shared" si="36"/>
        <v>5.8197943083318243E-2</v>
      </c>
      <c r="J323" s="63">
        <f t="shared" si="36"/>
        <v>6.2272581020289347E-2</v>
      </c>
      <c r="K323" s="60">
        <f t="shared" si="37"/>
        <v>1.1788677159223857E-3</v>
      </c>
      <c r="L323" s="60">
        <f t="shared" si="37"/>
        <v>9.8673507449214479E-3</v>
      </c>
      <c r="M323" s="60">
        <f t="shared" si="37"/>
        <v>1.6324856124950327E-2</v>
      </c>
      <c r="N323" s="60">
        <f t="shared" si="37"/>
        <v>1.9242632383318241E-2</v>
      </c>
      <c r="O323" s="63">
        <f t="shared" si="37"/>
        <v>2.1941354620289344E-2</v>
      </c>
      <c r="P323" s="55" t="s">
        <v>652</v>
      </c>
      <c r="Q323" s="53" t="s">
        <v>653</v>
      </c>
      <c r="R323" s="94">
        <v>47651</v>
      </c>
      <c r="S323" s="73">
        <v>4.4901450000000002E-2</v>
      </c>
      <c r="T323" s="63">
        <f t="shared" si="35"/>
        <v>9.3139668249503302E-3</v>
      </c>
      <c r="V323" s="72">
        <v>1.1328799899999999</v>
      </c>
      <c r="W323" s="72">
        <v>2.8570433900000003</v>
      </c>
      <c r="X323" s="72">
        <v>4.3456295599999999</v>
      </c>
      <c r="Y323" s="72">
        <v>5.5934127</v>
      </c>
      <c r="Z323" s="115">
        <v>7.0908766100000005</v>
      </c>
      <c r="AB323" s="71">
        <v>3.9106067115922384E-2</v>
      </c>
      <c r="AC323" s="71">
        <v>4.6999073544921451E-2</v>
      </c>
      <c r="AD323" s="71">
        <v>5.4215416824950333E-2</v>
      </c>
      <c r="AE323" s="71">
        <v>5.8197943083318243E-2</v>
      </c>
      <c r="AF323" s="63">
        <v>6.2272581020289347E-2</v>
      </c>
      <c r="AG323" s="71">
        <v>1.1788677159223857E-3</v>
      </c>
      <c r="AH323" s="71">
        <v>9.8673507449214479E-3</v>
      </c>
      <c r="AI323" s="71">
        <v>1.6324856124950327E-2</v>
      </c>
      <c r="AJ323" s="71">
        <v>1.9242632383318241E-2</v>
      </c>
      <c r="AK323" s="63">
        <v>2.1941354620289344E-2</v>
      </c>
    </row>
    <row r="324" spans="2:37" x14ac:dyDescent="0.35">
      <c r="B324" s="55" t="s">
        <v>654</v>
      </c>
      <c r="C324" s="53" t="s">
        <v>234</v>
      </c>
      <c r="D324" s="53" t="s">
        <v>642</v>
      </c>
      <c r="E324" s="53" t="s">
        <v>643</v>
      </c>
      <c r="F324" s="73">
        <f t="shared" si="36"/>
        <v>3.9849880025643207E-2</v>
      </c>
      <c r="G324" s="60">
        <f t="shared" si="36"/>
        <v>4.7455765339812779E-2</v>
      </c>
      <c r="H324" s="60">
        <f t="shared" si="36"/>
        <v>5.494594757713181E-2</v>
      </c>
      <c r="I324" s="60">
        <f t="shared" si="36"/>
        <v>5.8240509371397388E-2</v>
      </c>
      <c r="J324" s="63">
        <f t="shared" si="36"/>
        <v>6.1669196374488387E-2</v>
      </c>
      <c r="K324" s="60">
        <f t="shared" si="37"/>
        <v>1.9010438256432038E-3</v>
      </c>
      <c r="L324" s="60">
        <f t="shared" si="37"/>
        <v>1.030540063981278E-2</v>
      </c>
      <c r="M324" s="60">
        <f t="shared" si="37"/>
        <v>1.701723017713181E-2</v>
      </c>
      <c r="N324" s="60">
        <f t="shared" si="37"/>
        <v>1.92853878713974E-2</v>
      </c>
      <c r="O324" s="63">
        <f t="shared" si="37"/>
        <v>2.1372399974488393E-2</v>
      </c>
      <c r="P324" s="55" t="s">
        <v>655</v>
      </c>
      <c r="Q324" s="53" t="s">
        <v>656</v>
      </c>
      <c r="R324" s="94">
        <v>47599</v>
      </c>
      <c r="S324" s="73">
        <v>4.4426019999999997E-2</v>
      </c>
      <c r="T324" s="63">
        <f t="shared" si="35"/>
        <v>1.0519927577131813E-2</v>
      </c>
      <c r="V324" s="72">
        <v>1.1313270199999998</v>
      </c>
      <c r="W324" s="72">
        <v>2.8507101800000001</v>
      </c>
      <c r="X324" s="72">
        <v>4.3315109300000003</v>
      </c>
      <c r="Y324" s="72">
        <v>5.5781333799999997</v>
      </c>
      <c r="Z324" s="115">
        <v>7.0936636900000005</v>
      </c>
      <c r="AB324" s="71">
        <v>3.9849880025643207E-2</v>
      </c>
      <c r="AC324" s="71">
        <v>4.7455765339812779E-2</v>
      </c>
      <c r="AD324" s="71">
        <v>5.494594757713181E-2</v>
      </c>
      <c r="AE324" s="71">
        <v>5.8240509371397388E-2</v>
      </c>
      <c r="AF324" s="63">
        <v>6.1669196374488387E-2</v>
      </c>
      <c r="AG324" s="71">
        <v>1.9010438256432038E-3</v>
      </c>
      <c r="AH324" s="71">
        <v>1.030540063981278E-2</v>
      </c>
      <c r="AI324" s="71">
        <v>1.701723017713181E-2</v>
      </c>
      <c r="AJ324" s="71">
        <v>1.92853878713974E-2</v>
      </c>
      <c r="AK324" s="63">
        <v>2.1372399974488393E-2</v>
      </c>
    </row>
    <row r="325" spans="2:37" x14ac:dyDescent="0.35">
      <c r="B325" s="57" t="s">
        <v>657</v>
      </c>
      <c r="C325" s="67" t="s">
        <v>234</v>
      </c>
      <c r="D325" s="67" t="s">
        <v>642</v>
      </c>
      <c r="E325" s="67" t="s">
        <v>658</v>
      </c>
      <c r="F325" s="74">
        <f t="shared" si="36"/>
        <v>4.006515199741946E-2</v>
      </c>
      <c r="G325" s="76">
        <f t="shared" si="36"/>
        <v>4.8292091916994455E-2</v>
      </c>
      <c r="H325" s="76">
        <f t="shared" si="36"/>
        <v>5.5426079594427684E-2</v>
      </c>
      <c r="I325" s="76">
        <f t="shared" si="36"/>
        <v>5.8924830390427931E-2</v>
      </c>
      <c r="J325" s="64">
        <f t="shared" si="36"/>
        <v>6.2227805948141562E-2</v>
      </c>
      <c r="K325" s="76">
        <f t="shared" si="37"/>
        <v>2.1108835974194612E-3</v>
      </c>
      <c r="L325" s="76">
        <f t="shared" si="37"/>
        <v>1.1101729716994458E-2</v>
      </c>
      <c r="M325" s="76">
        <f t="shared" si="37"/>
        <v>1.7471335494427677E-2</v>
      </c>
      <c r="N325" s="76">
        <f t="shared" si="37"/>
        <v>1.9927910990427934E-2</v>
      </c>
      <c r="O325" s="64">
        <f t="shared" si="37"/>
        <v>2.1899555948141542E-2</v>
      </c>
      <c r="P325" s="57" t="s">
        <v>659</v>
      </c>
      <c r="Q325" s="67" t="s">
        <v>660</v>
      </c>
      <c r="R325" s="96">
        <v>47490</v>
      </c>
      <c r="S325" s="74">
        <v>4.4538180000000004E-2</v>
      </c>
      <c r="T325" s="64">
        <f t="shared" si="35"/>
        <v>1.088789959442768E-2</v>
      </c>
      <c r="V325" s="108">
        <v>1.13073702</v>
      </c>
      <c r="W325" s="108">
        <v>2.8444926599999998</v>
      </c>
      <c r="X325" s="108">
        <v>4.3187061</v>
      </c>
      <c r="Y325" s="108">
        <v>5.5566670199999999</v>
      </c>
      <c r="Z325" s="117">
        <v>7.0587906800000004</v>
      </c>
      <c r="AB325" s="76">
        <v>4.006515199741946E-2</v>
      </c>
      <c r="AC325" s="76">
        <v>4.8292091916994455E-2</v>
      </c>
      <c r="AD325" s="76">
        <v>5.5426079594427684E-2</v>
      </c>
      <c r="AE325" s="76">
        <v>5.8924830390427931E-2</v>
      </c>
      <c r="AF325" s="64">
        <v>6.2227805948141562E-2</v>
      </c>
      <c r="AG325" s="76">
        <v>2.1108835974194612E-3</v>
      </c>
      <c r="AH325" s="76">
        <v>1.1101729716994458E-2</v>
      </c>
      <c r="AI325" s="76">
        <v>1.7471335494427677E-2</v>
      </c>
      <c r="AJ325" s="76">
        <v>1.9927910990427934E-2</v>
      </c>
      <c r="AK325" s="64">
        <v>2.1899555948141542E-2</v>
      </c>
    </row>
  </sheetData>
  <mergeCells count="10">
    <mergeCell ref="V10:Z10"/>
    <mergeCell ref="V19:Z19"/>
    <mergeCell ref="F8:J8"/>
    <mergeCell ref="K8:O8"/>
    <mergeCell ref="AB8:AF8"/>
    <mergeCell ref="AG8:AK8"/>
    <mergeCell ref="F9:J9"/>
    <mergeCell ref="K9:O9"/>
    <mergeCell ref="AB9:AF9"/>
    <mergeCell ref="AG9:AK9"/>
  </mergeCells>
  <conditionalFormatting sqref="F31">
    <cfRule type="colorScale" priority="151">
      <colorScale>
        <cfvo type="min"/>
        <cfvo type="max"/>
        <color rgb="FFFFEF9C"/>
        <color rgb="FF63BE7B"/>
      </colorScale>
    </cfRule>
  </conditionalFormatting>
  <conditionalFormatting sqref="F12:J17">
    <cfRule type="colorScale" priority="159">
      <colorScale>
        <cfvo type="min"/>
        <cfvo type="max"/>
        <color rgb="FFFFEF9C"/>
        <color rgb="FF63BE7B"/>
      </colorScale>
    </cfRule>
  </conditionalFormatting>
  <conditionalFormatting sqref="F21:J27">
    <cfRule type="colorScale" priority="110">
      <colorScale>
        <cfvo type="min"/>
        <cfvo type="max"/>
        <color rgb="FFFFEF9C"/>
        <color rgb="FF63BE7B"/>
      </colorScale>
    </cfRule>
  </conditionalFormatting>
  <conditionalFormatting sqref="F31:J70 F72:J78 F80:J110">
    <cfRule type="colorScale" priority="157">
      <colorScale>
        <cfvo type="min"/>
        <cfvo type="max"/>
        <color rgb="FFFFEF9C"/>
        <color rgb="FF63BE7B"/>
      </colorScale>
    </cfRule>
  </conditionalFormatting>
  <conditionalFormatting sqref="F31:J70 F72:J78">
    <cfRule type="colorScale" priority="179">
      <colorScale>
        <cfvo type="min"/>
        <cfvo type="max"/>
        <color rgb="FFFFEF9C"/>
        <color rgb="FF63BE7B"/>
      </colorScale>
    </cfRule>
  </conditionalFormatting>
  <conditionalFormatting sqref="F31:J70 F72:J110">
    <cfRule type="colorScale" priority="181">
      <colorScale>
        <cfvo type="min"/>
        <cfvo type="max"/>
        <color rgb="FFFFEF9C"/>
        <color rgb="FF63BE7B"/>
      </colorScale>
    </cfRule>
  </conditionalFormatting>
  <conditionalFormatting sqref="F32:J50 G31:J31 F52:J70 F72:J78 F80:J110">
    <cfRule type="colorScale" priority="156">
      <colorScale>
        <cfvo type="min"/>
        <cfvo type="max"/>
        <color rgb="FFFFEF9C"/>
        <color rgb="FF63BE7B"/>
      </colorScale>
    </cfRule>
  </conditionalFormatting>
  <conditionalFormatting sqref="F45:J53 F290:J316">
    <cfRule type="cellIs" dxfId="55" priority="153" operator="lessThan">
      <formula>0</formula>
    </cfRule>
  </conditionalFormatting>
  <conditionalFormatting sqref="F51:J51">
    <cfRule type="colorScale" priority="152">
      <colorScale>
        <cfvo type="min"/>
        <cfvo type="max"/>
        <color rgb="FFFFEF9C"/>
        <color rgb="FF63BE7B"/>
      </colorScale>
    </cfRule>
  </conditionalFormatting>
  <conditionalFormatting sqref="F55:J60 F62:J65 F73:J75 F77:J78 F80:J98">
    <cfRule type="cellIs" dxfId="54" priority="155" operator="lessThan">
      <formula>0</formula>
    </cfRule>
  </conditionalFormatting>
  <conditionalFormatting sqref="F67:J71">
    <cfRule type="cellIs" dxfId="53" priority="50" operator="lessThan">
      <formula>0</formula>
    </cfRule>
  </conditionalFormatting>
  <conditionalFormatting sqref="F71:J71">
    <cfRule type="colorScale" priority="53">
      <colorScale>
        <cfvo type="min"/>
        <cfvo type="max"/>
        <color rgb="FFFFEF9C"/>
        <color rgb="FF63BE7B"/>
      </colorScale>
    </cfRule>
    <cfRule type="colorScale" priority="51">
      <colorScale>
        <cfvo type="min"/>
        <cfvo type="max"/>
        <color rgb="FFFFEF9C"/>
        <color rgb="FF63BE7B"/>
      </colorScale>
    </cfRule>
    <cfRule type="colorScale" priority="55">
      <colorScale>
        <cfvo type="min"/>
        <cfvo type="max"/>
        <color rgb="FFFFEF9C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</conditionalFormatting>
  <conditionalFormatting sqref="F79:J79"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F111:J113">
    <cfRule type="colorScale" priority="164">
      <colorScale>
        <cfvo type="min"/>
        <cfvo type="max"/>
        <color rgb="FFFFEF9C"/>
        <color rgb="FF63BE7B"/>
      </colorScale>
    </cfRule>
  </conditionalFormatting>
  <conditionalFormatting sqref="F114:J114">
    <cfRule type="colorScale" priority="162">
      <colorScale>
        <cfvo type="min"/>
        <cfvo type="max"/>
        <color rgb="FFFFEF9C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</conditionalFormatting>
  <conditionalFormatting sqref="F115:J134 F136:J138">
    <cfRule type="cellIs" dxfId="52" priority="143" operator="lessThan">
      <formula>0</formula>
    </cfRule>
  </conditionalFormatting>
  <conditionalFormatting sqref="F115:J134">
    <cfRule type="colorScale" priority="145">
      <colorScale>
        <cfvo type="min"/>
        <cfvo type="max"/>
        <color rgb="FFFFEF9C"/>
        <color rgb="FF63BE7B"/>
      </colorScale>
    </cfRule>
    <cfRule type="colorScale" priority="144">
      <colorScale>
        <cfvo type="min"/>
        <cfvo type="max"/>
        <color rgb="FFFFEF9C"/>
        <color rgb="FF63BE7B"/>
      </colorScale>
    </cfRule>
  </conditionalFormatting>
  <conditionalFormatting sqref="F115:J138">
    <cfRule type="colorScale" priority="147">
      <colorScale>
        <cfvo type="min"/>
        <cfvo type="max"/>
        <color rgb="FFFFEF9C"/>
        <color rgb="FF63BE7B"/>
      </colorScale>
    </cfRule>
  </conditionalFormatting>
  <conditionalFormatting sqref="F135:J135">
    <cfRule type="colorScale" priority="142">
      <colorScale>
        <cfvo type="min"/>
        <cfvo type="max"/>
        <color rgb="FFFFEF9C"/>
        <color rgb="FF63BE7B"/>
      </colorScale>
    </cfRule>
    <cfRule type="colorScale" priority="141">
      <colorScale>
        <cfvo type="min"/>
        <cfvo type="max"/>
        <color rgb="FFFFEF9C"/>
        <color rgb="FF63BE7B"/>
      </colorScale>
    </cfRule>
  </conditionalFormatting>
  <conditionalFormatting sqref="F136:J138">
    <cfRule type="colorScale" priority="146">
      <colorScale>
        <cfvo type="min"/>
        <cfvo type="max"/>
        <color rgb="FFFFEF9C"/>
        <color rgb="FF63BE7B"/>
      </colorScale>
    </cfRule>
  </conditionalFormatting>
  <conditionalFormatting sqref="F142:J142">
    <cfRule type="colorScale" priority="138">
      <colorScale>
        <cfvo type="min"/>
        <cfvo type="max"/>
        <color rgb="FFFFEF9C"/>
        <color rgb="FF63BE7B"/>
      </colorScale>
    </cfRule>
    <cfRule type="colorScale" priority="139">
      <colorScale>
        <cfvo type="min"/>
        <cfvo type="max"/>
        <color rgb="FFFFEF9C"/>
        <color rgb="FF63BE7B"/>
      </colorScale>
    </cfRule>
  </conditionalFormatting>
  <conditionalFormatting sqref="F143:J258 F260:J276 F320:J325">
    <cfRule type="cellIs" dxfId="51" priority="163" operator="lessThan">
      <formula>0</formula>
    </cfRule>
  </conditionalFormatting>
  <conditionalFormatting sqref="F143:J258">
    <cfRule type="colorScale" priority="168">
      <colorScale>
        <cfvo type="min"/>
        <cfvo type="max"/>
        <color rgb="FFFFEF9C"/>
        <color rgb="FF63BE7B"/>
      </colorScale>
    </cfRule>
  </conditionalFormatting>
  <conditionalFormatting sqref="F259:J259">
    <cfRule type="colorScale" priority="137">
      <colorScale>
        <cfvo type="min"/>
        <cfvo type="max"/>
        <color rgb="FFFFEF9C"/>
        <color rgb="FF63BE7B"/>
      </colorScale>
    </cfRule>
    <cfRule type="colorScale" priority="136">
      <colorScale>
        <cfvo type="min"/>
        <cfvo type="max"/>
        <color rgb="FFFFEF9C"/>
        <color rgb="FF63BE7B"/>
      </colorScale>
    </cfRule>
  </conditionalFormatting>
  <conditionalFormatting sqref="F260:J276">
    <cfRule type="colorScale" priority="175">
      <colorScale>
        <cfvo type="min"/>
        <cfvo type="max"/>
        <color rgb="FFFFEF9C"/>
        <color rgb="FF63BE7B"/>
      </colorScale>
    </cfRule>
  </conditionalFormatting>
  <conditionalFormatting sqref="F280:J286">
    <cfRule type="cellIs" dxfId="50" priority="134" operator="lessThan">
      <formula>0</formula>
    </cfRule>
    <cfRule type="colorScale" priority="135">
      <colorScale>
        <cfvo type="min"/>
        <cfvo type="max"/>
        <color rgb="FFFFEF9C"/>
        <color rgb="FF63BE7B"/>
      </colorScale>
    </cfRule>
  </conditionalFormatting>
  <conditionalFormatting sqref="F300:J310">
    <cfRule type="colorScale" priority="185">
      <colorScale>
        <cfvo type="min"/>
        <cfvo type="max"/>
        <color rgb="FFFFEF9C"/>
        <color rgb="FF63BE7B"/>
      </colorScale>
    </cfRule>
  </conditionalFormatting>
  <conditionalFormatting sqref="F311:J316 F290:J299">
    <cfRule type="colorScale" priority="132">
      <colorScale>
        <cfvo type="min"/>
        <cfvo type="max"/>
        <color rgb="FFFFEF9C"/>
        <color rgb="FF63BE7B"/>
      </colorScale>
    </cfRule>
  </conditionalFormatting>
  <conditionalFormatting sqref="F320:J325">
    <cfRule type="colorScale" priority="165">
      <colorScale>
        <cfvo type="min"/>
        <cfvo type="max"/>
        <color rgb="FFFFEF9C"/>
        <color rgb="FF63BE7B"/>
      </colorScale>
    </cfRule>
  </conditionalFormatting>
  <conditionalFormatting sqref="G31:J31 F32:J39 F41:J43 F100:J112">
    <cfRule type="cellIs" dxfId="49" priority="154" operator="lessThan">
      <formula>0</formula>
    </cfRule>
  </conditionalFormatting>
  <conditionalFormatting sqref="K12:O17">
    <cfRule type="colorScale" priority="158">
      <colorScale>
        <cfvo type="min"/>
        <cfvo type="max"/>
        <color theme="0"/>
        <color theme="8" tint="0.39997558519241921"/>
      </colorScale>
    </cfRule>
  </conditionalFormatting>
  <conditionalFormatting sqref="K21:O27">
    <cfRule type="colorScale" priority="109">
      <colorScale>
        <cfvo type="min"/>
        <cfvo type="max"/>
        <color theme="0"/>
        <color theme="8" tint="0.39997558519241921"/>
      </colorScale>
    </cfRule>
  </conditionalFormatting>
  <conditionalFormatting sqref="K31:O70 K72:O110">
    <cfRule type="colorScale" priority="180">
      <colorScale>
        <cfvo type="min"/>
        <cfvo type="max"/>
        <color theme="0"/>
        <color theme="8" tint="0.39997558519241921"/>
      </colorScale>
    </cfRule>
  </conditionalFormatting>
  <conditionalFormatting sqref="K71:O71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K115:O138">
    <cfRule type="colorScale" priority="140">
      <colorScale>
        <cfvo type="min"/>
        <cfvo type="max"/>
        <color theme="0"/>
        <color theme="8" tint="0.39997558519241921"/>
      </colorScale>
    </cfRule>
  </conditionalFormatting>
  <conditionalFormatting sqref="K143:O258">
    <cfRule type="colorScale" priority="169">
      <colorScale>
        <cfvo type="min"/>
        <cfvo type="max"/>
        <color theme="0"/>
        <color theme="8" tint="0.39997558519241921"/>
      </colorScale>
    </cfRule>
  </conditionalFormatting>
  <conditionalFormatting sqref="K260:O276">
    <cfRule type="colorScale" priority="176">
      <colorScale>
        <cfvo type="min"/>
        <cfvo type="max"/>
        <color theme="0"/>
        <color theme="8" tint="0.39997558519241921"/>
      </colorScale>
    </cfRule>
  </conditionalFormatting>
  <conditionalFormatting sqref="K280:O286">
    <cfRule type="colorScale" priority="133">
      <colorScale>
        <cfvo type="min"/>
        <cfvo type="max"/>
        <color theme="0"/>
        <color theme="8" tint="0.39997558519241921"/>
      </colorScale>
    </cfRule>
  </conditionalFormatting>
  <conditionalFormatting sqref="K290:O316">
    <cfRule type="colorScale" priority="186">
      <colorScale>
        <cfvo type="min"/>
        <cfvo type="max"/>
        <color theme="0"/>
        <color theme="8" tint="0.39997558519241921"/>
      </colorScale>
    </cfRule>
  </conditionalFormatting>
  <conditionalFormatting sqref="K320:O325">
    <cfRule type="colorScale" priority="166">
      <colorScale>
        <cfvo type="min"/>
        <cfvo type="max"/>
        <color theme="0"/>
        <color theme="8" tint="0.39997558519241921"/>
      </colorScale>
    </cfRule>
  </conditionalFormatting>
  <conditionalFormatting sqref="T31:T110">
    <cfRule type="colorScale" priority="18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4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5:T138">
    <cfRule type="colorScale" priority="11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6:T134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5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6:T138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9:T140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2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3:T276">
    <cfRule type="colorScale" priority="17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44:T258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9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60:T276"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8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0:T286">
    <cfRule type="colorScale" priority="11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8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0 T311 T292:T299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1:T316">
    <cfRule type="colorScale" priority="18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92:T316"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0:T304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5:T310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2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3:T314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6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20:T325">
    <cfRule type="colorScale" priority="16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AB31">
    <cfRule type="colorScale" priority="20">
      <colorScale>
        <cfvo type="min"/>
        <cfvo type="max"/>
        <color rgb="FFFFEF9C"/>
        <color rgb="FF63BE7B"/>
      </colorScale>
    </cfRule>
  </conditionalFormatting>
  <conditionalFormatting sqref="AB12:AF17">
    <cfRule type="colorScale" priority="24">
      <colorScale>
        <cfvo type="min"/>
        <cfvo type="max"/>
        <color rgb="FFFFEF9C"/>
        <color rgb="FF63BE7B"/>
      </colorScale>
    </cfRule>
  </conditionalFormatting>
  <conditionalFormatting sqref="AB21:AF26">
    <cfRule type="colorScale" priority="5">
      <colorScale>
        <cfvo type="min"/>
        <cfvo type="max"/>
        <color rgb="FFFFEF9C"/>
        <color rgb="FF63BE7B"/>
      </colorScale>
    </cfRule>
  </conditionalFormatting>
  <conditionalFormatting sqref="AB31:AF110">
    <cfRule type="colorScale" priority="41">
      <colorScale>
        <cfvo type="min"/>
        <cfvo type="max"/>
        <color rgb="FFFFEF9C"/>
        <color rgb="FF63BE7B"/>
      </colorScale>
    </cfRule>
  </conditionalFormatting>
  <conditionalFormatting sqref="AB45:AF53">
    <cfRule type="cellIs" dxfId="48" priority="22" operator="lessThan">
      <formula>0</formula>
    </cfRule>
  </conditionalFormatting>
  <conditionalFormatting sqref="AB51:AF51">
    <cfRule type="colorScale" priority="21">
      <colorScale>
        <cfvo type="min"/>
        <cfvo type="max"/>
        <color rgb="FFFFEF9C"/>
        <color rgb="FF63BE7B"/>
      </colorScale>
    </cfRule>
  </conditionalFormatting>
  <conditionalFormatting sqref="AB55:AF60 AB62:AF65 AB67:AF71 AB73:AF75 AB77:AF78 AB80:AF98 AB115:AF134 AB136:AF138 AB143:AF258 AB260:AF276 AB320:AF325">
    <cfRule type="cellIs" dxfId="47" priority="25" operator="lessThan">
      <formula>0</formula>
    </cfRule>
  </conditionalFormatting>
  <conditionalFormatting sqref="AB62:AF65 AB52:AF53 AB32:AF39 AC31:AF31 AB41:AF43 AB45:AF50 AB55:AF60 AB80:AF98 AB67:AF71 AB73:AF75 AB100:AF110 AB77:AF78">
    <cfRule type="colorScale" priority="27">
      <colorScale>
        <cfvo type="min"/>
        <cfvo type="max"/>
        <color rgb="FFFFEF9C"/>
        <color rgb="FF63BE7B"/>
      </colorScale>
    </cfRule>
  </conditionalFormatting>
  <conditionalFormatting sqref="AB62:AF65 AB55:AF60 AB31:AF39 AB41:AF43 AB45:AF53 AB80:AF98 AB67:AF71 AB73:AF75 AB100:AF110 AB77:AF78">
    <cfRule type="colorScale" priority="28">
      <colorScale>
        <cfvo type="min"/>
        <cfvo type="max"/>
        <color rgb="FFFFEF9C"/>
        <color rgb="FF63BE7B"/>
      </colorScale>
    </cfRule>
  </conditionalFormatting>
  <conditionalFormatting sqref="AB115:AF134">
    <cfRule type="colorScale" priority="26">
      <colorScale>
        <cfvo type="min"/>
        <cfvo type="max"/>
        <color rgb="FFFFEF9C"/>
        <color rgb="FF63BE7B"/>
      </colorScale>
    </cfRule>
  </conditionalFormatting>
  <conditionalFormatting sqref="AB136:AF138 AB115:AF134">
    <cfRule type="colorScale" priority="30">
      <colorScale>
        <cfvo type="min"/>
        <cfvo type="max"/>
        <color rgb="FFFFEF9C"/>
        <color rgb="FF63BE7B"/>
      </colorScale>
    </cfRule>
  </conditionalFormatting>
  <conditionalFormatting sqref="AB136:AF138">
    <cfRule type="colorScale" priority="29">
      <colorScale>
        <cfvo type="min"/>
        <cfvo type="max"/>
        <color rgb="FFFFEF9C"/>
        <color rgb="FF63BE7B"/>
      </colorScale>
    </cfRule>
  </conditionalFormatting>
  <conditionalFormatting sqref="AB143:AF258">
    <cfRule type="colorScale" priority="38">
      <colorScale>
        <cfvo type="min"/>
        <cfvo type="max"/>
        <color rgb="FFFFEF9C"/>
        <color rgb="FF63BE7B"/>
      </colorScale>
    </cfRule>
  </conditionalFormatting>
  <conditionalFormatting sqref="AB260:AF276">
    <cfRule type="colorScale" priority="42">
      <colorScale>
        <cfvo type="min"/>
        <cfvo type="max"/>
        <color rgb="FFFFEF9C"/>
        <color rgb="FF63BE7B"/>
      </colorScale>
    </cfRule>
  </conditionalFormatting>
  <conditionalFormatting sqref="AB280:AF286">
    <cfRule type="cellIs" dxfId="46" priority="18" operator="lessThan">
      <formula>0</formula>
    </cfRule>
    <cfRule type="colorScale" priority="19">
      <colorScale>
        <cfvo type="min"/>
        <cfvo type="max"/>
        <color rgb="FFFFEF9C"/>
        <color rgb="FF63BE7B"/>
      </colorScale>
    </cfRule>
  </conditionalFormatting>
  <conditionalFormatting sqref="AB290:AF299">
    <cfRule type="colorScale" priority="31">
      <colorScale>
        <cfvo type="min"/>
        <cfvo type="max"/>
        <color rgb="FFFFEF9C"/>
        <color rgb="FF63BE7B"/>
      </colorScale>
    </cfRule>
  </conditionalFormatting>
  <conditionalFormatting sqref="AB290:AF316">
    <cfRule type="cellIs" dxfId="45" priority="1" operator="lessThan">
      <formula>0</formula>
    </cfRule>
  </conditionalFormatting>
  <conditionalFormatting sqref="AB300:AF303">
    <cfRule type="colorScale" priority="33">
      <colorScale>
        <cfvo type="min"/>
        <cfvo type="max"/>
        <color rgb="FFFFEF9C"/>
        <color rgb="FF63BE7B"/>
      </colorScale>
    </cfRule>
  </conditionalFormatting>
  <conditionalFormatting sqref="AB304:AF310">
    <cfRule type="colorScale" priority="13">
      <colorScale>
        <cfvo type="min"/>
        <cfvo type="max"/>
        <color rgb="FFFFEF9C"/>
        <color rgb="FF63BE7B"/>
      </colorScale>
    </cfRule>
  </conditionalFormatting>
  <conditionalFormatting sqref="AB311:AF311">
    <cfRule type="colorScale" priority="2">
      <colorScale>
        <cfvo type="min"/>
        <cfvo type="max"/>
        <color rgb="FFFFEF9C"/>
        <color rgb="FF63BE7B"/>
      </colorScale>
    </cfRule>
  </conditionalFormatting>
  <conditionalFormatting sqref="AB312:AF315">
    <cfRule type="colorScale" priority="10">
      <colorScale>
        <cfvo type="min"/>
        <cfvo type="max"/>
        <color rgb="FFFFEF9C"/>
        <color rgb="FF63BE7B"/>
      </colorScale>
    </cfRule>
  </conditionalFormatting>
  <conditionalFormatting sqref="AB316:AF316">
    <cfRule type="colorScale" priority="7">
      <colorScale>
        <cfvo type="min"/>
        <cfvo type="max"/>
        <color rgb="FFFFEF9C"/>
        <color rgb="FF63BE7B"/>
      </colorScale>
    </cfRule>
  </conditionalFormatting>
  <conditionalFormatting sqref="AB320:AF325">
    <cfRule type="colorScale" priority="35">
      <colorScale>
        <cfvo type="min"/>
        <cfvo type="max"/>
        <color rgb="FFFFEF9C"/>
        <color rgb="FF63BE7B"/>
      </colorScale>
    </cfRule>
  </conditionalFormatting>
  <conditionalFormatting sqref="AC290:AD316">
    <cfRule type="colorScale" priority="34">
      <colorScale>
        <cfvo type="min"/>
        <cfvo type="max"/>
        <color rgb="FFFFEF9C"/>
        <color rgb="FF63BE7B"/>
      </colorScale>
    </cfRule>
  </conditionalFormatting>
  <conditionalFormatting sqref="AC320:AD325">
    <cfRule type="colorScale" priority="37">
      <colorScale>
        <cfvo type="min"/>
        <cfvo type="max"/>
        <color rgb="FFFFEF9C"/>
        <color rgb="FF63BE7B"/>
      </colorScale>
    </cfRule>
  </conditionalFormatting>
  <conditionalFormatting sqref="AC31:AF31 AB32:AF39 AB41:AF43 AB100:AF112">
    <cfRule type="cellIs" dxfId="44" priority="23" operator="lessThan">
      <formula>0</formula>
    </cfRule>
  </conditionalFormatting>
  <conditionalFormatting sqref="AG12:AK17">
    <cfRule type="colorScale" priority="17">
      <colorScale>
        <cfvo type="min"/>
        <cfvo type="max"/>
        <color theme="0"/>
        <color theme="8" tint="0.39997558519241921"/>
      </colorScale>
    </cfRule>
  </conditionalFormatting>
  <conditionalFormatting sqref="AG21:AK26">
    <cfRule type="colorScale" priority="4">
      <colorScale>
        <cfvo type="min"/>
        <cfvo type="max"/>
        <color theme="0"/>
        <color theme="8" tint="0.39997558519241921"/>
      </colorScale>
    </cfRule>
  </conditionalFormatting>
  <conditionalFormatting sqref="AG31:AK110">
    <cfRule type="colorScale" priority="40">
      <colorScale>
        <cfvo type="min"/>
        <cfvo type="max"/>
        <color theme="0"/>
        <color theme="8" tint="0.39997558519241921"/>
      </colorScale>
    </cfRule>
  </conditionalFormatting>
  <conditionalFormatting sqref="AG115:AK138">
    <cfRule type="colorScale" priority="16">
      <colorScale>
        <cfvo type="min"/>
        <cfvo type="max"/>
        <color theme="0"/>
        <color theme="8" tint="0.39997558519241921"/>
      </colorScale>
    </cfRule>
  </conditionalFormatting>
  <conditionalFormatting sqref="AG143:AK258">
    <cfRule type="colorScale" priority="39">
      <colorScale>
        <cfvo type="min"/>
        <cfvo type="max"/>
        <color theme="0"/>
        <color theme="8" tint="0.39997558519241921"/>
      </colorScale>
    </cfRule>
  </conditionalFormatting>
  <conditionalFormatting sqref="AG260:AK276">
    <cfRule type="colorScale" priority="43">
      <colorScale>
        <cfvo type="min"/>
        <cfvo type="max"/>
        <color theme="0"/>
        <color theme="8" tint="0.39997558519241921"/>
      </colorScale>
    </cfRule>
  </conditionalFormatting>
  <conditionalFormatting sqref="AG280:AK286">
    <cfRule type="colorScale" priority="15">
      <colorScale>
        <cfvo type="min"/>
        <cfvo type="max"/>
        <color theme="0"/>
        <color theme="8" tint="0.39997558519241921"/>
      </colorScale>
    </cfRule>
  </conditionalFormatting>
  <conditionalFormatting sqref="AG290:AK303">
    <cfRule type="colorScale" priority="32">
      <colorScale>
        <cfvo type="min"/>
        <cfvo type="max"/>
        <color theme="0"/>
        <color theme="8" tint="0.39997558519241921"/>
      </colorScale>
    </cfRule>
  </conditionalFormatting>
  <conditionalFormatting sqref="AG304:AK310">
    <cfRule type="colorScale" priority="14">
      <colorScale>
        <cfvo type="min"/>
        <cfvo type="max"/>
        <color theme="0"/>
        <color theme="8" tint="0.39997558519241921"/>
      </colorScale>
    </cfRule>
  </conditionalFormatting>
  <conditionalFormatting sqref="AG311:AK311">
    <cfRule type="colorScale" priority="3">
      <colorScale>
        <cfvo type="min"/>
        <cfvo type="max"/>
        <color theme="0"/>
        <color theme="8" tint="0.39997558519241921"/>
      </colorScale>
    </cfRule>
  </conditionalFormatting>
  <conditionalFormatting sqref="AG312:AK315">
    <cfRule type="colorScale" priority="11">
      <colorScale>
        <cfvo type="min"/>
        <cfvo type="max"/>
        <color theme="0"/>
        <color theme="8" tint="0.39997558519241921"/>
      </colorScale>
    </cfRule>
  </conditionalFormatting>
  <conditionalFormatting sqref="AG316:AK316">
    <cfRule type="colorScale" priority="8">
      <colorScale>
        <cfvo type="min"/>
        <cfvo type="max"/>
        <color theme="0"/>
        <color theme="8" tint="0.39997558519241921"/>
      </colorScale>
    </cfRule>
  </conditionalFormatting>
  <conditionalFormatting sqref="AG320:AK325">
    <cfRule type="colorScale" priority="36">
      <colorScale>
        <cfvo type="min"/>
        <cfvo type="max"/>
        <color theme="0"/>
        <color theme="8" tint="0.39997558519241921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B4C7-8C08-4007-A1CB-19054B91E49C}">
  <sheetPr>
    <tabColor theme="7" tint="0.39997558519241921"/>
  </sheetPr>
  <dimension ref="B2:AK325"/>
  <sheetViews>
    <sheetView showGridLines="0" topLeftCell="A306" zoomScale="85" zoomScaleNormal="85" workbookViewId="0">
      <selection activeCell="C327" sqref="C327"/>
    </sheetView>
  </sheetViews>
  <sheetFormatPr defaultRowHeight="14.5" x14ac:dyDescent="0.35"/>
  <cols>
    <col min="1" max="1" width="8.7265625" style="53"/>
    <col min="2" max="2" width="76" style="53" bestFit="1" customWidth="1"/>
    <col min="3" max="3" width="16.1796875" style="53" bestFit="1" customWidth="1"/>
    <col min="4" max="4" width="24" style="53" bestFit="1" customWidth="1"/>
    <col min="5" max="5" width="21" style="53" bestFit="1" customWidth="1"/>
    <col min="6" max="7" width="7.81640625" style="53" bestFit="1" customWidth="1"/>
    <col min="8" max="10" width="7.1796875" style="53" bestFit="1" customWidth="1"/>
    <col min="11" max="11" width="6.81640625" style="53" bestFit="1" customWidth="1"/>
    <col min="12" max="15" width="6.1796875" style="53" bestFit="1" customWidth="1"/>
    <col min="16" max="16" width="15.26953125" style="53" bestFit="1" customWidth="1"/>
    <col min="17" max="17" width="22.1796875" style="53" bestFit="1" customWidth="1"/>
    <col min="18" max="18" width="13.7265625" style="53" bestFit="1" customWidth="1"/>
    <col min="19" max="19" width="9.54296875" style="53" bestFit="1" customWidth="1"/>
    <col min="20" max="20" width="19.81640625" style="53" bestFit="1" customWidth="1"/>
    <col min="21" max="21" width="8.7265625" style="53"/>
    <col min="22" max="26" width="4.7265625" style="53" hidden="1" customWidth="1"/>
    <col min="27" max="27" width="0" style="53" hidden="1" customWidth="1"/>
    <col min="28" max="37" width="6.1796875" style="53" hidden="1" customWidth="1"/>
    <col min="38" max="16384" width="8.7265625" style="53"/>
  </cols>
  <sheetData>
    <row r="2" spans="2:37" ht="15" thickBot="1" x14ac:dyDescent="0.4">
      <c r="C2" s="130" t="s">
        <v>9</v>
      </c>
      <c r="D2" s="130" t="s">
        <v>10</v>
      </c>
      <c r="E2" s="130" t="s">
        <v>11</v>
      </c>
      <c r="F2" s="130" t="s">
        <v>12</v>
      </c>
      <c r="G2" s="130" t="s">
        <v>13</v>
      </c>
    </row>
    <row r="3" spans="2:37" ht="17.5" thickBot="1" x14ac:dyDescent="0.45">
      <c r="B3" s="52" t="s">
        <v>220</v>
      </c>
      <c r="C3" s="129">
        <f>C4</f>
        <v>0.998</v>
      </c>
      <c r="D3" s="131">
        <f>D4</f>
        <v>0.99399999999999999</v>
      </c>
      <c r="E3" s="131">
        <f>E4</f>
        <v>0.99399999999999999</v>
      </c>
      <c r="F3" s="131">
        <f>F4</f>
        <v>0.99399999999999999</v>
      </c>
      <c r="G3" s="131">
        <f>G4</f>
        <v>0.99399999999999999</v>
      </c>
    </row>
    <row r="4" spans="2:37" x14ac:dyDescent="0.35">
      <c r="B4" s="53" t="s">
        <v>219</v>
      </c>
      <c r="C4" s="132">
        <v>0.998</v>
      </c>
      <c r="D4" s="132">
        <v>0.99399999999999999</v>
      </c>
      <c r="E4" s="132">
        <v>0.99399999999999999</v>
      </c>
      <c r="F4" s="132">
        <v>0.99399999999999999</v>
      </c>
      <c r="G4" s="132">
        <v>0.99399999999999999</v>
      </c>
    </row>
    <row r="8" spans="2:37" x14ac:dyDescent="0.35">
      <c r="F8" s="159" t="s">
        <v>222</v>
      </c>
      <c r="G8" s="160"/>
      <c r="H8" s="160"/>
      <c r="I8" s="160"/>
      <c r="J8" s="161"/>
      <c r="K8" s="159" t="s">
        <v>299</v>
      </c>
      <c r="L8" s="160"/>
      <c r="M8" s="160"/>
      <c r="N8" s="160"/>
      <c r="O8" s="161"/>
      <c r="AB8" s="159" t="s">
        <v>222</v>
      </c>
      <c r="AC8" s="160"/>
      <c r="AD8" s="160"/>
      <c r="AE8" s="160"/>
      <c r="AF8" s="161"/>
      <c r="AG8" s="159" t="s">
        <v>301</v>
      </c>
      <c r="AH8" s="160"/>
      <c r="AI8" s="160"/>
      <c r="AJ8" s="160"/>
      <c r="AK8" s="161"/>
    </row>
    <row r="9" spans="2:37" x14ac:dyDescent="0.35">
      <c r="F9" s="156" t="s">
        <v>1</v>
      </c>
      <c r="G9" s="157"/>
      <c r="H9" s="157"/>
      <c r="I9" s="157"/>
      <c r="J9" s="158"/>
      <c r="K9" s="156" t="s">
        <v>2</v>
      </c>
      <c r="L9" s="157"/>
      <c r="M9" s="157"/>
      <c r="N9" s="157"/>
      <c r="O9" s="158"/>
      <c r="AB9" s="156" t="s">
        <v>1</v>
      </c>
      <c r="AC9" s="157"/>
      <c r="AD9" s="157"/>
      <c r="AE9" s="157"/>
      <c r="AF9" s="158"/>
      <c r="AG9" s="156" t="s">
        <v>2</v>
      </c>
      <c r="AH9" s="157"/>
      <c r="AI9" s="157"/>
      <c r="AJ9" s="157"/>
      <c r="AK9" s="158"/>
    </row>
    <row r="10" spans="2:37" ht="15.5" x14ac:dyDescent="0.35">
      <c r="B10" s="122" t="s">
        <v>3</v>
      </c>
      <c r="C10" s="123"/>
      <c r="D10" s="123"/>
      <c r="E10" s="123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Q10" s="126"/>
      <c r="R10" s="126"/>
      <c r="S10" s="126"/>
      <c r="T10" s="126"/>
      <c r="V10" s="156" t="s">
        <v>406</v>
      </c>
      <c r="W10" s="157"/>
      <c r="X10" s="157"/>
      <c r="Y10" s="157"/>
      <c r="Z10" s="158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</row>
    <row r="11" spans="2:37" x14ac:dyDescent="0.35">
      <c r="B11" s="85" t="s">
        <v>5</v>
      </c>
      <c r="C11" s="84" t="s">
        <v>6</v>
      </c>
      <c r="D11" s="84" t="s">
        <v>7</v>
      </c>
      <c r="E11" s="84" t="s">
        <v>8</v>
      </c>
      <c r="F11" s="83" t="s">
        <v>9</v>
      </c>
      <c r="G11" s="82" t="s">
        <v>10</v>
      </c>
      <c r="H11" s="82" t="s">
        <v>11</v>
      </c>
      <c r="I11" s="82" t="s">
        <v>12</v>
      </c>
      <c r="J11" s="81" t="s">
        <v>13</v>
      </c>
      <c r="K11" s="83" t="s">
        <v>9</v>
      </c>
      <c r="L11" s="82" t="s">
        <v>10</v>
      </c>
      <c r="M11" s="82" t="s">
        <v>11</v>
      </c>
      <c r="N11" s="82" t="s">
        <v>12</v>
      </c>
      <c r="O11" s="81" t="s">
        <v>13</v>
      </c>
      <c r="P11" s="70" t="s">
        <v>14</v>
      </c>
      <c r="Q11" s="58" t="s">
        <v>15</v>
      </c>
      <c r="R11" s="58" t="s">
        <v>16</v>
      </c>
      <c r="S11" s="58" t="s">
        <v>407</v>
      </c>
      <c r="T11" s="58" t="s">
        <v>18</v>
      </c>
      <c r="V11" s="110" t="s">
        <v>9</v>
      </c>
      <c r="W11" s="106" t="s">
        <v>10</v>
      </c>
      <c r="X11" s="106" t="s">
        <v>11</v>
      </c>
      <c r="Y11" s="106" t="s">
        <v>12</v>
      </c>
      <c r="Z11" s="111" t="s">
        <v>13</v>
      </c>
      <c r="AB11" s="83" t="s">
        <v>9</v>
      </c>
      <c r="AC11" s="82" t="s">
        <v>10</v>
      </c>
      <c r="AD11" s="82" t="s">
        <v>11</v>
      </c>
      <c r="AE11" s="82" t="s">
        <v>12</v>
      </c>
      <c r="AF11" s="81" t="s">
        <v>13</v>
      </c>
      <c r="AG11" s="83" t="s">
        <v>9</v>
      </c>
      <c r="AH11" s="82" t="s">
        <v>10</v>
      </c>
      <c r="AI11" s="82" t="s">
        <v>11</v>
      </c>
      <c r="AJ11" s="82" t="s">
        <v>12</v>
      </c>
      <c r="AK11" s="81" t="s">
        <v>13</v>
      </c>
    </row>
    <row r="12" spans="2:37" x14ac:dyDescent="0.35">
      <c r="B12" s="56" t="s">
        <v>19</v>
      </c>
      <c r="C12" s="124"/>
      <c r="D12" s="11" t="s">
        <v>20</v>
      </c>
      <c r="E12" s="124"/>
      <c r="F12" s="75" t="str">
        <f t="shared" ref="F12:J17" si="0">IF(ISNUMBER(AB12),AB12-((C$4-C$3)/V12),"")</f>
        <v/>
      </c>
      <c r="G12" s="80">
        <f t="shared" si="0"/>
        <v>5.0761288044139596E-2</v>
      </c>
      <c r="H12" s="80">
        <f t="shared" si="0"/>
        <v>5.4734032893393257E-2</v>
      </c>
      <c r="I12" s="80">
        <f t="shared" si="0"/>
        <v>5.8055905837971308E-2</v>
      </c>
      <c r="J12" s="62">
        <f t="shared" si="0"/>
        <v>6.2004571178394266E-2</v>
      </c>
      <c r="K12" s="89" t="str">
        <f t="shared" ref="K12:O17" si="1">IF(ISNUMBER(AG12),IF(AG12-((C$4-C$3)/V12)&lt;0,"",AG12-((C$4-C$3)/V12)),"")</f>
        <v/>
      </c>
      <c r="L12" s="87">
        <f t="shared" si="1"/>
        <v>7.7293979441396031E-3</v>
      </c>
      <c r="M12" s="87">
        <f t="shared" si="1"/>
        <v>1.1627681693393257E-2</v>
      </c>
      <c r="N12" s="87">
        <f t="shared" si="1"/>
        <v>1.4223040237971305E-2</v>
      </c>
      <c r="O12" s="90">
        <f t="shared" si="1"/>
        <v>1.6741153678394273E-2</v>
      </c>
      <c r="P12" s="15"/>
      <c r="Q12" s="133"/>
      <c r="R12" s="133"/>
      <c r="S12" s="133"/>
      <c r="T12" s="16"/>
      <c r="V12" s="17">
        <v>1.1302210700000002</v>
      </c>
      <c r="W12" s="18">
        <v>2.8651184499999998</v>
      </c>
      <c r="X12" s="18">
        <v>4.3861542</v>
      </c>
      <c r="Y12" s="18">
        <v>5.67944373</v>
      </c>
      <c r="Z12" s="19">
        <v>7.2615625000000001</v>
      </c>
      <c r="AB12" s="75"/>
      <c r="AC12" s="80">
        <v>5.0761288044139596E-2</v>
      </c>
      <c r="AD12" s="80">
        <v>5.4734032893393257E-2</v>
      </c>
      <c r="AE12" s="80">
        <v>5.8055905837971308E-2</v>
      </c>
      <c r="AF12" s="62">
        <v>6.2004571178394266E-2</v>
      </c>
      <c r="AG12" s="80"/>
      <c r="AH12" s="80">
        <v>7.7293979441396031E-3</v>
      </c>
      <c r="AI12" s="80">
        <v>1.1627681693393257E-2</v>
      </c>
      <c r="AJ12" s="80">
        <v>1.4223040237971305E-2</v>
      </c>
      <c r="AK12" s="80">
        <v>1.6741153678394273E-2</v>
      </c>
    </row>
    <row r="13" spans="2:37" x14ac:dyDescent="0.35">
      <c r="B13" s="55" t="s">
        <v>22</v>
      </c>
      <c r="C13" s="123"/>
      <c r="D13" s="20" t="s">
        <v>23</v>
      </c>
      <c r="E13" s="123"/>
      <c r="F13" s="73">
        <f t="shared" si="0"/>
        <v>4.3897741498684764E-2</v>
      </c>
      <c r="G13" s="71">
        <f t="shared" si="0"/>
        <v>5.1064707783652803E-2</v>
      </c>
      <c r="H13" s="71">
        <f t="shared" si="0"/>
        <v>5.5399308248132523E-2</v>
      </c>
      <c r="I13" s="71">
        <f t="shared" si="0"/>
        <v>5.8717419185902106E-2</v>
      </c>
      <c r="J13" s="63">
        <f t="shared" si="0"/>
        <v>6.2677544940113183E-2</v>
      </c>
      <c r="K13" s="86">
        <f t="shared" si="1"/>
        <v>5.7460229868477094E-4</v>
      </c>
      <c r="L13" s="68">
        <f t="shared" si="1"/>
        <v>8.0092740836528089E-3</v>
      </c>
      <c r="M13" s="68">
        <f t="shared" si="1"/>
        <v>1.2250460448132529E-2</v>
      </c>
      <c r="N13" s="68">
        <f t="shared" si="1"/>
        <v>1.4844642485902108E-2</v>
      </c>
      <c r="O13" s="91">
        <f t="shared" si="1"/>
        <v>1.7378056240113189E-2</v>
      </c>
      <c r="P13" s="24"/>
      <c r="Q13" s="25"/>
      <c r="R13" s="25"/>
      <c r="S13" s="25"/>
      <c r="T13" s="26"/>
      <c r="V13" s="27">
        <v>1.1347345899999999</v>
      </c>
      <c r="W13" s="28">
        <v>2.8691937899999997</v>
      </c>
      <c r="X13" s="28">
        <v>4.3824265599999999</v>
      </c>
      <c r="Y13" s="28">
        <v>5.6657424299999999</v>
      </c>
      <c r="Z13" s="29">
        <v>7.2316057599999999</v>
      </c>
      <c r="AB13" s="73">
        <v>4.3897741498684764E-2</v>
      </c>
      <c r="AC13" s="71">
        <v>5.1064707783652803E-2</v>
      </c>
      <c r="AD13" s="71">
        <v>5.5399308248132523E-2</v>
      </c>
      <c r="AE13" s="71">
        <v>5.8717419185902106E-2</v>
      </c>
      <c r="AF13" s="63">
        <v>6.2677544940113183E-2</v>
      </c>
      <c r="AG13" s="71">
        <v>5.7460229868477094E-4</v>
      </c>
      <c r="AH13" s="71">
        <v>8.0092740836528089E-3</v>
      </c>
      <c r="AI13" s="71">
        <v>1.2250460448132529E-2</v>
      </c>
      <c r="AJ13" s="71">
        <v>1.4844642485902108E-2</v>
      </c>
      <c r="AK13" s="71">
        <v>1.7378056240113189E-2</v>
      </c>
    </row>
    <row r="14" spans="2:37" x14ac:dyDescent="0.35">
      <c r="B14" s="56" t="s">
        <v>24</v>
      </c>
      <c r="C14" s="124"/>
      <c r="D14" s="11" t="s">
        <v>20</v>
      </c>
      <c r="E14" s="124"/>
      <c r="F14" s="75">
        <f t="shared" si="0"/>
        <v>7.0407422603654665E-2</v>
      </c>
      <c r="G14" s="80">
        <f t="shared" si="0"/>
        <v>7.953282561137337E-2</v>
      </c>
      <c r="H14" s="80">
        <f t="shared" si="0"/>
        <v>8.6332846991015427E-2</v>
      </c>
      <c r="I14" s="80" t="str">
        <f t="shared" si="0"/>
        <v/>
      </c>
      <c r="J14" s="62" t="str">
        <f t="shared" si="0"/>
        <v/>
      </c>
      <c r="K14" s="89">
        <f t="shared" si="1"/>
        <v>2.5797288403654656E-2</v>
      </c>
      <c r="L14" s="87">
        <f t="shared" si="1"/>
        <v>3.4672574011373372E-2</v>
      </c>
      <c r="M14" s="87">
        <f t="shared" si="1"/>
        <v>4.1048756191015431E-2</v>
      </c>
      <c r="N14" s="87" t="str">
        <f t="shared" si="1"/>
        <v/>
      </c>
      <c r="O14" s="90" t="str">
        <f t="shared" si="1"/>
        <v/>
      </c>
      <c r="P14" s="15"/>
      <c r="Q14" s="133"/>
      <c r="R14" s="133"/>
      <c r="S14" s="133"/>
      <c r="T14" s="16"/>
      <c r="V14" s="17">
        <v>1.0924468999999999</v>
      </c>
      <c r="W14" s="18">
        <v>2.6538738500000001</v>
      </c>
      <c r="X14" s="18">
        <v>3.9055927999999995</v>
      </c>
      <c r="Y14" s="18">
        <v>4.8973240699999998</v>
      </c>
      <c r="Z14" s="19">
        <v>6.0282932300000001</v>
      </c>
      <c r="AB14" s="75">
        <v>7.0407422603654665E-2</v>
      </c>
      <c r="AC14" s="80">
        <v>7.953282561137337E-2</v>
      </c>
      <c r="AD14" s="80">
        <v>8.6332846991015427E-2</v>
      </c>
      <c r="AE14" s="80"/>
      <c r="AF14" s="62"/>
      <c r="AG14" s="80">
        <v>2.5797288403654656E-2</v>
      </c>
      <c r="AH14" s="80">
        <v>3.4672574011373372E-2</v>
      </c>
      <c r="AI14" s="80">
        <v>4.1048756191015431E-2</v>
      </c>
      <c r="AJ14" s="80"/>
      <c r="AK14" s="80"/>
    </row>
    <row r="15" spans="2:37" x14ac:dyDescent="0.35">
      <c r="B15" s="57" t="s">
        <v>25</v>
      </c>
      <c r="C15" s="125"/>
      <c r="D15" s="20" t="s">
        <v>23</v>
      </c>
      <c r="E15" s="125"/>
      <c r="F15" s="74">
        <f t="shared" si="0"/>
        <v>6.0645554711871837E-2</v>
      </c>
      <c r="G15" s="76">
        <f t="shared" si="0"/>
        <v>5.4461891684013469E-2</v>
      </c>
      <c r="H15" s="76">
        <f t="shared" si="0"/>
        <v>8.7088696599445029E-2</v>
      </c>
      <c r="I15" s="76">
        <f t="shared" si="0"/>
        <v>9.2131990803475838E-2</v>
      </c>
      <c r="J15" s="64">
        <f t="shared" si="0"/>
        <v>9.8024716945547638E-2</v>
      </c>
      <c r="K15" s="92">
        <f t="shared" si="1"/>
        <v>1.6490997811871855E-2</v>
      </c>
      <c r="L15" s="88">
        <f t="shared" si="1"/>
        <v>1.1230762384013472E-2</v>
      </c>
      <c r="M15" s="88">
        <f t="shared" si="1"/>
        <v>4.144636689944501E-2</v>
      </c>
      <c r="N15" s="88">
        <f t="shared" si="1"/>
        <v>4.5614794503475845E-2</v>
      </c>
      <c r="O15" s="93">
        <f t="shared" si="1"/>
        <v>5.0044552945547646E-2</v>
      </c>
      <c r="P15" s="33"/>
      <c r="Q15" s="134"/>
      <c r="R15" s="134"/>
      <c r="S15" s="134"/>
      <c r="T15" s="34"/>
      <c r="V15" s="27">
        <v>1.12321753</v>
      </c>
      <c r="W15" s="28">
        <v>2.8307361900000001</v>
      </c>
      <c r="X15" s="28">
        <v>4.0301318500000001</v>
      </c>
      <c r="Y15" s="28">
        <v>4.8890289300000003</v>
      </c>
      <c r="Z15" s="29">
        <v>5.7835737900000002</v>
      </c>
      <c r="AB15" s="74">
        <v>6.0645554711871837E-2</v>
      </c>
      <c r="AC15" s="76">
        <v>5.4461891684013469E-2</v>
      </c>
      <c r="AD15" s="76">
        <v>8.7088696599445029E-2</v>
      </c>
      <c r="AE15" s="76">
        <v>9.2131990803475838E-2</v>
      </c>
      <c r="AF15" s="64">
        <v>9.8024716945547638E-2</v>
      </c>
      <c r="AG15" s="76">
        <v>1.6490997811871855E-2</v>
      </c>
      <c r="AH15" s="76">
        <v>1.1230762384013472E-2</v>
      </c>
      <c r="AI15" s="76">
        <v>4.144636689944501E-2</v>
      </c>
      <c r="AJ15" s="76">
        <v>4.5614794503475845E-2</v>
      </c>
      <c r="AK15" s="76">
        <v>5.0044552945547646E-2</v>
      </c>
    </row>
    <row r="16" spans="2:37" x14ac:dyDescent="0.35">
      <c r="B16" s="55" t="s">
        <v>26</v>
      </c>
      <c r="C16" s="123"/>
      <c r="D16" s="11" t="s">
        <v>23</v>
      </c>
      <c r="E16" s="123"/>
      <c r="F16" s="73">
        <f t="shared" si="0"/>
        <v>4.4308171549483966E-2</v>
      </c>
      <c r="G16" s="71">
        <f t="shared" si="0"/>
        <v>5.146565460310714E-2</v>
      </c>
      <c r="H16" s="71">
        <f t="shared" si="0"/>
        <v>5.6270299438131222E-2</v>
      </c>
      <c r="I16" s="71" t="str">
        <f t="shared" si="0"/>
        <v/>
      </c>
      <c r="J16" s="63" t="str">
        <f t="shared" si="0"/>
        <v/>
      </c>
      <c r="K16" s="86">
        <f t="shared" si="1"/>
        <v>9.6787604948396586E-4</v>
      </c>
      <c r="L16" s="68">
        <f t="shared" si="1"/>
        <v>8.3971234031071477E-3</v>
      </c>
      <c r="M16" s="68">
        <f t="shared" si="1"/>
        <v>1.3082271638131224E-2</v>
      </c>
      <c r="N16" s="68" t="str">
        <f t="shared" si="1"/>
        <v/>
      </c>
      <c r="O16" s="91" t="str">
        <f t="shared" si="1"/>
        <v/>
      </c>
      <c r="P16" s="24"/>
      <c r="Q16" s="25"/>
      <c r="R16" s="25"/>
      <c r="S16" s="25"/>
      <c r="T16" s="26"/>
      <c r="V16" s="17">
        <v>1.1232734200000001</v>
      </c>
      <c r="W16" s="18">
        <v>2.83100957</v>
      </c>
      <c r="X16" s="18">
        <v>4.3333909300000002</v>
      </c>
      <c r="Y16" s="18">
        <v>5.5825576199999993</v>
      </c>
      <c r="Z16" s="19">
        <v>7.0621111099999991</v>
      </c>
      <c r="AB16" s="73">
        <v>4.4308171549483966E-2</v>
      </c>
      <c r="AC16" s="71">
        <v>5.146565460310714E-2</v>
      </c>
      <c r="AD16" s="71">
        <v>5.6270299438131222E-2</v>
      </c>
      <c r="AE16" s="71"/>
      <c r="AF16" s="63"/>
      <c r="AG16" s="71">
        <v>9.6787604948396586E-4</v>
      </c>
      <c r="AH16" s="71">
        <v>8.3971234031071477E-3</v>
      </c>
      <c r="AI16" s="71">
        <v>1.3082271638131224E-2</v>
      </c>
      <c r="AJ16" s="71"/>
      <c r="AK16" s="71"/>
    </row>
    <row r="17" spans="2:37" x14ac:dyDescent="0.35">
      <c r="B17" s="57" t="s">
        <v>27</v>
      </c>
      <c r="C17" s="125"/>
      <c r="D17" s="35" t="s">
        <v>23</v>
      </c>
      <c r="E17" s="125"/>
      <c r="F17" s="74" t="str">
        <f t="shared" si="0"/>
        <v/>
      </c>
      <c r="G17" s="76">
        <f t="shared" si="0"/>
        <v>5.5213993452319018E-2</v>
      </c>
      <c r="H17" s="76">
        <f t="shared" si="0"/>
        <v>6.211643374157616E-2</v>
      </c>
      <c r="I17" s="76" t="str">
        <f t="shared" si="0"/>
        <v/>
      </c>
      <c r="J17" s="64">
        <f t="shared" si="0"/>
        <v>7.6486880724930706E-2</v>
      </c>
      <c r="K17" s="92" t="str">
        <f t="shared" si="1"/>
        <v/>
      </c>
      <c r="L17" s="88">
        <f t="shared" si="1"/>
        <v>1.2019188852319024E-2</v>
      </c>
      <c r="M17" s="88">
        <f t="shared" si="1"/>
        <v>1.870259134157615E-2</v>
      </c>
      <c r="N17" s="88" t="str">
        <f t="shared" si="1"/>
        <v/>
      </c>
      <c r="O17" s="93">
        <f t="shared" si="1"/>
        <v>3.0526293224930695E-2</v>
      </c>
      <c r="P17" s="33"/>
      <c r="Q17" s="134"/>
      <c r="R17" s="134"/>
      <c r="S17" s="134"/>
      <c r="T17" s="34"/>
      <c r="V17" s="36">
        <v>1.1184658700000001</v>
      </c>
      <c r="W17" s="37">
        <v>2.8075566599999999</v>
      </c>
      <c r="X17" s="37">
        <v>4.2815649599999999</v>
      </c>
      <c r="Y17" s="37">
        <v>5.4821660899999998</v>
      </c>
      <c r="Z17" s="38">
        <v>6.8613552300000009</v>
      </c>
      <c r="AB17" s="74"/>
      <c r="AC17" s="76">
        <v>5.5213993452319018E-2</v>
      </c>
      <c r="AD17" s="76">
        <v>6.211643374157616E-2</v>
      </c>
      <c r="AE17" s="76"/>
      <c r="AF17" s="64">
        <v>7.6486880724930706E-2</v>
      </c>
      <c r="AG17" s="76"/>
      <c r="AH17" s="76">
        <v>1.2019188852319024E-2</v>
      </c>
      <c r="AI17" s="76">
        <v>1.870259134157615E-2</v>
      </c>
      <c r="AJ17" s="76"/>
      <c r="AK17" s="76">
        <v>3.0526293224930695E-2</v>
      </c>
    </row>
    <row r="18" spans="2:37" x14ac:dyDescent="0.35">
      <c r="C18" s="123"/>
      <c r="D18" s="123"/>
      <c r="E18" s="123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V18" s="40"/>
      <c r="W18" s="40"/>
      <c r="X18" s="40"/>
      <c r="Y18" s="40"/>
      <c r="Z18" s="40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</row>
    <row r="19" spans="2:37" ht="15.5" x14ac:dyDescent="0.35">
      <c r="B19" s="122" t="s">
        <v>225</v>
      </c>
      <c r="C19" s="123"/>
      <c r="D19" s="123"/>
      <c r="E19" s="123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Q19" s="126"/>
      <c r="R19" s="126"/>
      <c r="S19" s="126"/>
      <c r="T19" s="126"/>
      <c r="V19" s="156" t="s">
        <v>406</v>
      </c>
      <c r="W19" s="157"/>
      <c r="X19" s="157"/>
      <c r="Y19" s="157"/>
      <c r="Z19" s="158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</row>
    <row r="20" spans="2:37" x14ac:dyDescent="0.35">
      <c r="B20" s="85" t="s">
        <v>5</v>
      </c>
      <c r="C20" s="84" t="s">
        <v>6</v>
      </c>
      <c r="D20" s="84" t="s">
        <v>7</v>
      </c>
      <c r="E20" s="84" t="s">
        <v>8</v>
      </c>
      <c r="F20" s="83" t="s">
        <v>9</v>
      </c>
      <c r="G20" s="82" t="s">
        <v>10</v>
      </c>
      <c r="H20" s="82" t="s">
        <v>11</v>
      </c>
      <c r="I20" s="82" t="s">
        <v>12</v>
      </c>
      <c r="J20" s="81" t="s">
        <v>13</v>
      </c>
      <c r="K20" s="83" t="s">
        <v>9</v>
      </c>
      <c r="L20" s="82" t="s">
        <v>10</v>
      </c>
      <c r="M20" s="82" t="s">
        <v>11</v>
      </c>
      <c r="N20" s="82" t="s">
        <v>12</v>
      </c>
      <c r="O20" s="81" t="s">
        <v>13</v>
      </c>
      <c r="P20" s="70" t="s">
        <v>14</v>
      </c>
      <c r="Q20" s="58" t="s">
        <v>15</v>
      </c>
      <c r="R20" s="58" t="s">
        <v>16</v>
      </c>
      <c r="S20" s="58" t="s">
        <v>407</v>
      </c>
      <c r="T20" s="58" t="s">
        <v>18</v>
      </c>
      <c r="V20" s="110" t="s">
        <v>9</v>
      </c>
      <c r="W20" s="106" t="s">
        <v>10</v>
      </c>
      <c r="X20" s="106" t="s">
        <v>11</v>
      </c>
      <c r="Y20" s="106" t="s">
        <v>12</v>
      </c>
      <c r="Z20" s="111" t="s">
        <v>13</v>
      </c>
      <c r="AB20" s="83" t="s">
        <v>9</v>
      </c>
      <c r="AC20" s="82" t="s">
        <v>10</v>
      </c>
      <c r="AD20" s="82" t="s">
        <v>11</v>
      </c>
      <c r="AE20" s="82" t="s">
        <v>12</v>
      </c>
      <c r="AF20" s="81" t="s">
        <v>13</v>
      </c>
      <c r="AG20" s="83" t="s">
        <v>9</v>
      </c>
      <c r="AH20" s="82" t="s">
        <v>10</v>
      </c>
      <c r="AI20" s="82" t="s">
        <v>11</v>
      </c>
      <c r="AJ20" s="82" t="s">
        <v>12</v>
      </c>
      <c r="AK20" s="81" t="s">
        <v>13</v>
      </c>
    </row>
    <row r="21" spans="2:37" x14ac:dyDescent="0.35">
      <c r="B21" s="56" t="s">
        <v>19</v>
      </c>
      <c r="C21" s="124"/>
      <c r="D21" s="11" t="s">
        <v>20</v>
      </c>
      <c r="E21" s="124"/>
      <c r="F21" s="75" t="str">
        <f t="shared" ref="F21:J26" si="2">IF(ISNUMBER(AB21),AB21-((C$4-C$3)/V21),"")</f>
        <v/>
      </c>
      <c r="G21" s="80">
        <f t="shared" si="2"/>
        <v>5.3730263129284472E-2</v>
      </c>
      <c r="H21" s="80">
        <f t="shared" si="2"/>
        <v>5.8526935668024749E-2</v>
      </c>
      <c r="I21" s="80">
        <f t="shared" si="2"/>
        <v>6.2434431124257173E-2</v>
      </c>
      <c r="J21" s="62">
        <f t="shared" si="2"/>
        <v>6.6693477996977196E-2</v>
      </c>
      <c r="K21" s="89" t="str">
        <f t="shared" ref="K21:O26" si="3">IF(ISNUMBER(AG21),IF(AG21-((C$4-C$3)/V21)&lt;0,"",AG21-((C$4-C$3)/V21)),"")</f>
        <v/>
      </c>
      <c r="L21" s="87">
        <f t="shared" si="3"/>
        <v>1.0644108429284474E-2</v>
      </c>
      <c r="M21" s="87">
        <f t="shared" si="3"/>
        <v>1.5343889468024743E-2</v>
      </c>
      <c r="N21" s="87">
        <f t="shared" si="3"/>
        <v>1.8499154424257171E-2</v>
      </c>
      <c r="O21" s="90">
        <f t="shared" si="3"/>
        <v>2.1300214096977209E-2</v>
      </c>
      <c r="P21" s="15"/>
      <c r="Q21" s="133"/>
      <c r="R21" s="133"/>
      <c r="S21" s="133"/>
      <c r="T21" s="16"/>
      <c r="V21" s="17">
        <v>1.1302210700000002</v>
      </c>
      <c r="W21" s="18">
        <v>2.8651184499999998</v>
      </c>
      <c r="X21" s="18">
        <v>4.3861542</v>
      </c>
      <c r="Y21" s="18">
        <v>5.67944373</v>
      </c>
      <c r="Z21" s="19">
        <v>7.2615625000000001</v>
      </c>
      <c r="AB21" s="75"/>
      <c r="AC21" s="80">
        <v>5.3730263129284472E-2</v>
      </c>
      <c r="AD21" s="80">
        <v>5.8526935668024749E-2</v>
      </c>
      <c r="AE21" s="80">
        <v>6.2434431124257173E-2</v>
      </c>
      <c r="AF21" s="62">
        <v>6.6693477996977196E-2</v>
      </c>
      <c r="AG21" s="80"/>
      <c r="AH21" s="80">
        <v>1.0644108429284474E-2</v>
      </c>
      <c r="AI21" s="80">
        <v>1.5343889468024743E-2</v>
      </c>
      <c r="AJ21" s="80">
        <v>1.8499154424257171E-2</v>
      </c>
      <c r="AK21" s="80">
        <v>2.1300214096977209E-2</v>
      </c>
    </row>
    <row r="22" spans="2:37" x14ac:dyDescent="0.35">
      <c r="B22" s="55" t="s">
        <v>22</v>
      </c>
      <c r="C22" s="123"/>
      <c r="D22" s="20" t="s">
        <v>23</v>
      </c>
      <c r="E22" s="123"/>
      <c r="F22" s="73">
        <f t="shared" si="2"/>
        <v>4.4977161048504868E-2</v>
      </c>
      <c r="G22" s="71">
        <f t="shared" si="2"/>
        <v>5.4171927736357726E-2</v>
      </c>
      <c r="H22" s="71">
        <f t="shared" si="2"/>
        <v>5.9454427959307186E-2</v>
      </c>
      <c r="I22" s="71">
        <f t="shared" si="2"/>
        <v>6.3328859133580981E-2</v>
      </c>
      <c r="J22" s="63">
        <f t="shared" si="2"/>
        <v>6.7567735223423825E-2</v>
      </c>
      <c r="K22" s="86">
        <f t="shared" si="3"/>
        <v>1.6253396485048756E-3</v>
      </c>
      <c r="L22" s="68">
        <f t="shared" si="3"/>
        <v>1.1057290036357723E-2</v>
      </c>
      <c r="M22" s="68">
        <f t="shared" si="3"/>
        <v>1.6217133859307203E-2</v>
      </c>
      <c r="N22" s="68">
        <f t="shared" si="3"/>
        <v>1.9341086333580983E-2</v>
      </c>
      <c r="O22" s="91">
        <f t="shared" si="3"/>
        <v>2.2125683023423829E-2</v>
      </c>
      <c r="P22" s="24"/>
      <c r="Q22" s="25"/>
      <c r="R22" s="25"/>
      <c r="S22" s="25"/>
      <c r="T22" s="26"/>
      <c r="V22" s="27">
        <v>1.1347345899999999</v>
      </c>
      <c r="W22" s="28">
        <v>2.8691937899999997</v>
      </c>
      <c r="X22" s="28">
        <v>4.3824265599999999</v>
      </c>
      <c r="Y22" s="28">
        <v>5.6657424299999999</v>
      </c>
      <c r="Z22" s="29">
        <v>7.2316057599999999</v>
      </c>
      <c r="AB22" s="73">
        <v>4.4977161048504868E-2</v>
      </c>
      <c r="AC22" s="71">
        <v>5.4171927736357726E-2</v>
      </c>
      <c r="AD22" s="71">
        <v>5.9454427959307186E-2</v>
      </c>
      <c r="AE22" s="71">
        <v>6.3328859133580981E-2</v>
      </c>
      <c r="AF22" s="63">
        <v>6.7567735223423825E-2</v>
      </c>
      <c r="AG22" s="71">
        <v>1.6253396485048756E-3</v>
      </c>
      <c r="AH22" s="71">
        <v>1.1057290036357723E-2</v>
      </c>
      <c r="AI22" s="71">
        <v>1.6217133859307203E-2</v>
      </c>
      <c r="AJ22" s="71">
        <v>1.9341086333580983E-2</v>
      </c>
      <c r="AK22" s="71">
        <v>2.2125683023423829E-2</v>
      </c>
    </row>
    <row r="23" spans="2:37" x14ac:dyDescent="0.35">
      <c r="B23" s="56" t="s">
        <v>24</v>
      </c>
      <c r="C23" s="124"/>
      <c r="D23" s="11" t="s">
        <v>20</v>
      </c>
      <c r="E23" s="124"/>
      <c r="F23" s="75">
        <f t="shared" si="2"/>
        <v>7.7282935317881357E-2</v>
      </c>
      <c r="G23" s="80">
        <f t="shared" si="2"/>
        <v>8.7909254695765354E-2</v>
      </c>
      <c r="H23" s="80">
        <f>IF(ISNUMBER(AD23),AD23-((E$4-E$3)/X23),"")</f>
        <v>9.5208704722599513E-2</v>
      </c>
      <c r="I23" s="80" t="str">
        <f>IF(ISNUMBER(AE23),AE23-((F$4-F$3)/Y23),"")</f>
        <v/>
      </c>
      <c r="J23" s="62" t="str">
        <f>IF(ISNUMBER(AF23),AF23-((G$4-G$3)/Z23),"")</f>
        <v/>
      </c>
      <c r="K23" s="89">
        <f>IF(ISNUMBER(AG23),IF(AG23-((C$4-C$3)/V23)&lt;0,"",AG23-((C$4-C$3)/V23)),"")</f>
        <v>3.2327123717881351E-2</v>
      </c>
      <c r="L23" s="87">
        <f>IF(ISNUMBER(AH23),IF(AH23-((D$4-D$3)/W23)&lt;0,"",AH23-((D$4-D$3)/W23)),"")</f>
        <v>4.2586469595765349E-2</v>
      </c>
      <c r="M23" s="87">
        <f t="shared" si="3"/>
        <v>4.9376097322599503E-2</v>
      </c>
      <c r="N23" s="87" t="str">
        <f t="shared" si="3"/>
        <v/>
      </c>
      <c r="O23" s="90" t="str">
        <f t="shared" si="3"/>
        <v/>
      </c>
      <c r="P23" s="15"/>
      <c r="Q23" s="133"/>
      <c r="R23" s="133"/>
      <c r="S23" s="133"/>
      <c r="T23" s="16"/>
      <c r="V23" s="17">
        <v>1.0924468999999999</v>
      </c>
      <c r="W23" s="18">
        <v>2.6538738500000001</v>
      </c>
      <c r="X23" s="18">
        <v>3.9055927999999995</v>
      </c>
      <c r="Y23" s="18">
        <v>4.8973240699999998</v>
      </c>
      <c r="Z23" s="19">
        <v>6.0282932300000001</v>
      </c>
      <c r="AB23" s="75">
        <v>7.7282935317881357E-2</v>
      </c>
      <c r="AC23" s="80">
        <v>8.7909254695765354E-2</v>
      </c>
      <c r="AD23" s="80">
        <v>9.5208704722599513E-2</v>
      </c>
      <c r="AE23" s="80"/>
      <c r="AF23" s="62"/>
      <c r="AG23" s="80">
        <v>3.2327123717881351E-2</v>
      </c>
      <c r="AH23" s="80">
        <v>4.2586469595765349E-2</v>
      </c>
      <c r="AI23" s="80">
        <v>4.9376097322599503E-2</v>
      </c>
      <c r="AJ23" s="80"/>
      <c r="AK23" s="80"/>
    </row>
    <row r="24" spans="2:37" x14ac:dyDescent="0.35">
      <c r="B24" s="57" t="s">
        <v>25</v>
      </c>
      <c r="C24" s="125"/>
      <c r="D24" s="20" t="s">
        <v>23</v>
      </c>
      <c r="E24" s="125"/>
      <c r="F24" s="74">
        <f t="shared" si="2"/>
        <v>6.7244091841957732E-2</v>
      </c>
      <c r="G24" s="76">
        <f t="shared" si="2"/>
        <v>5.819995736450749E-2</v>
      </c>
      <c r="H24" s="76">
        <f t="shared" si="2"/>
        <v>0.10002877401628091</v>
      </c>
      <c r="I24" s="76">
        <f t="shared" si="2"/>
        <v>0.10456574519756748</v>
      </c>
      <c r="J24" s="64">
        <f t="shared" si="2"/>
        <v>0.10907622233811065</v>
      </c>
      <c r="K24" s="92">
        <f t="shared" si="3"/>
        <v>2.2767701841957748E-2</v>
      </c>
      <c r="L24" s="88">
        <f t="shared" si="3"/>
        <v>1.4856536164507505E-2</v>
      </c>
      <c r="M24" s="88">
        <f t="shared" si="3"/>
        <v>5.3385059516280906E-2</v>
      </c>
      <c r="N24" s="88">
        <f t="shared" si="3"/>
        <v>5.7008151197567469E-2</v>
      </c>
      <c r="O24" s="93">
        <f t="shared" si="3"/>
        <v>6.0056023038110633E-2</v>
      </c>
      <c r="P24" s="33"/>
      <c r="Q24" s="134"/>
      <c r="R24" s="134"/>
      <c r="S24" s="134"/>
      <c r="T24" s="34"/>
      <c r="V24" s="27">
        <v>1.12321753</v>
      </c>
      <c r="W24" s="28">
        <v>2.8307361900000001</v>
      </c>
      <c r="X24" s="28">
        <v>4.0301318500000001</v>
      </c>
      <c r="Y24" s="28">
        <v>4.8890289300000003</v>
      </c>
      <c r="Z24" s="29">
        <v>5.7835737900000002</v>
      </c>
      <c r="AB24" s="74">
        <v>6.7244091841957732E-2</v>
      </c>
      <c r="AC24" s="76">
        <v>5.819995736450749E-2</v>
      </c>
      <c r="AD24" s="76">
        <v>0.10002877401628091</v>
      </c>
      <c r="AE24" s="76">
        <v>0.10456574519756748</v>
      </c>
      <c r="AF24" s="64">
        <v>0.10907622233811065</v>
      </c>
      <c r="AG24" s="76">
        <v>2.2767701841957748E-2</v>
      </c>
      <c r="AH24" s="76">
        <v>1.4856536164507505E-2</v>
      </c>
      <c r="AI24" s="76">
        <v>5.3385059516280906E-2</v>
      </c>
      <c r="AJ24" s="76">
        <v>5.7008151197567469E-2</v>
      </c>
      <c r="AK24" s="76">
        <v>6.0056023038110633E-2</v>
      </c>
    </row>
    <row r="25" spans="2:37" x14ac:dyDescent="0.35">
      <c r="B25" s="55" t="s">
        <v>26</v>
      </c>
      <c r="C25" s="123"/>
      <c r="D25" s="11" t="s">
        <v>23</v>
      </c>
      <c r="E25" s="123"/>
      <c r="F25" s="73">
        <f t="shared" si="2"/>
        <v>4.5559880847267704E-2</v>
      </c>
      <c r="G25" s="71">
        <f t="shared" si="2"/>
        <v>5.4708229012476524E-2</v>
      </c>
      <c r="H25" s="71">
        <f t="shared" si="2"/>
        <v>6.0532191635413547E-2</v>
      </c>
      <c r="I25" s="71" t="str">
        <f t="shared" si="2"/>
        <v/>
      </c>
      <c r="J25" s="63" t="str">
        <f t="shared" si="2"/>
        <v/>
      </c>
      <c r="K25" s="86">
        <f t="shared" si="3"/>
        <v>2.1859112472677085E-3</v>
      </c>
      <c r="L25" s="68">
        <f t="shared" si="3"/>
        <v>1.157616961247653E-2</v>
      </c>
      <c r="M25" s="68">
        <f t="shared" si="3"/>
        <v>1.7244855735413556E-2</v>
      </c>
      <c r="N25" s="68" t="str">
        <f t="shared" si="3"/>
        <v/>
      </c>
      <c r="O25" s="91" t="str">
        <f t="shared" si="3"/>
        <v/>
      </c>
      <c r="P25" s="24"/>
      <c r="Q25" s="25"/>
      <c r="R25" s="25"/>
      <c r="S25" s="25"/>
      <c r="T25" s="26"/>
      <c r="V25" s="17">
        <v>1.1232734200000001</v>
      </c>
      <c r="W25" s="18">
        <v>2.83100957</v>
      </c>
      <c r="X25" s="18">
        <v>4.3333909300000002</v>
      </c>
      <c r="Y25" s="18">
        <v>5.5825576199999993</v>
      </c>
      <c r="Z25" s="19">
        <v>7.0621111099999991</v>
      </c>
      <c r="AB25" s="73">
        <v>4.5559880847267704E-2</v>
      </c>
      <c r="AC25" s="71">
        <v>5.4708229012476524E-2</v>
      </c>
      <c r="AD25" s="71">
        <v>6.0532191635413547E-2</v>
      </c>
      <c r="AE25" s="71"/>
      <c r="AF25" s="63"/>
      <c r="AG25" s="71">
        <v>2.1859112472677085E-3</v>
      </c>
      <c r="AH25" s="71">
        <v>1.157616961247653E-2</v>
      </c>
      <c r="AI25" s="71">
        <v>1.7244855735413556E-2</v>
      </c>
      <c r="AJ25" s="71"/>
      <c r="AK25" s="71"/>
    </row>
    <row r="26" spans="2:37" x14ac:dyDescent="0.35">
      <c r="B26" s="57" t="s">
        <v>27</v>
      </c>
      <c r="C26" s="125"/>
      <c r="D26" s="35" t="s">
        <v>23</v>
      </c>
      <c r="E26" s="125"/>
      <c r="F26" s="74" t="str">
        <f t="shared" si="2"/>
        <v/>
      </c>
      <c r="G26" s="76">
        <f t="shared" si="2"/>
        <v>5.7557695043605743E-2</v>
      </c>
      <c r="H26" s="76">
        <f t="shared" si="2"/>
        <v>6.5115727086056535E-2</v>
      </c>
      <c r="I26" s="76" t="str">
        <f t="shared" si="2"/>
        <v/>
      </c>
      <c r="J26" s="64">
        <f t="shared" si="2"/>
        <v>8.0531146218856223E-2</v>
      </c>
      <c r="K26" s="92" t="str">
        <f t="shared" si="3"/>
        <v/>
      </c>
      <c r="L26" s="88">
        <f t="shared" si="3"/>
        <v>1.4319312843605747E-2</v>
      </c>
      <c r="M26" s="88">
        <f t="shared" si="3"/>
        <v>2.1622638286056543E-2</v>
      </c>
      <c r="N26" s="88" t="str">
        <f t="shared" si="3"/>
        <v/>
      </c>
      <c r="O26" s="93">
        <f t="shared" si="3"/>
        <v>3.4410725118856227E-2</v>
      </c>
      <c r="P26" s="33"/>
      <c r="Q26" s="134"/>
      <c r="R26" s="134"/>
      <c r="S26" s="134"/>
      <c r="T26" s="34"/>
      <c r="V26" s="36">
        <v>1.1184658700000001</v>
      </c>
      <c r="W26" s="37">
        <v>2.8075566599999999</v>
      </c>
      <c r="X26" s="37">
        <v>4.2815649599999999</v>
      </c>
      <c r="Y26" s="37">
        <v>5.4821660899999998</v>
      </c>
      <c r="Z26" s="38">
        <v>6.8613552300000009</v>
      </c>
      <c r="AB26" s="74"/>
      <c r="AC26" s="76">
        <v>5.7557695043605743E-2</v>
      </c>
      <c r="AD26" s="76">
        <v>6.5115727086056535E-2</v>
      </c>
      <c r="AE26" s="76"/>
      <c r="AF26" s="64">
        <v>8.0531146218856223E-2</v>
      </c>
      <c r="AG26" s="76"/>
      <c r="AH26" s="76">
        <v>1.4319312843605747E-2</v>
      </c>
      <c r="AI26" s="76">
        <v>2.1622638286056543E-2</v>
      </c>
      <c r="AJ26" s="76"/>
      <c r="AK26" s="76">
        <v>3.4410725118856227E-2</v>
      </c>
    </row>
    <row r="27" spans="2:37" x14ac:dyDescent="0.35">
      <c r="C27" s="123"/>
      <c r="D27" s="123"/>
      <c r="E27" s="123"/>
      <c r="F27" s="60"/>
      <c r="G27" s="60"/>
      <c r="H27" s="60"/>
      <c r="I27" s="60"/>
      <c r="J27" s="60"/>
      <c r="K27" s="68"/>
      <c r="L27" s="68"/>
      <c r="M27" s="68"/>
      <c r="N27" s="68"/>
      <c r="O27" s="68"/>
      <c r="P27" s="127"/>
      <c r="Q27" s="127"/>
      <c r="R27" s="127"/>
      <c r="S27" s="127"/>
      <c r="T27" s="135"/>
      <c r="V27" s="40"/>
      <c r="W27" s="40"/>
      <c r="X27" s="40"/>
      <c r="Y27" s="40"/>
      <c r="Z27" s="40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</row>
    <row r="28" spans="2:37" ht="15.5" x14ac:dyDescent="0.35">
      <c r="B28" s="122" t="s">
        <v>28</v>
      </c>
      <c r="C28" s="123"/>
      <c r="D28" s="123"/>
      <c r="E28" s="123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V28" s="40"/>
      <c r="W28" s="40"/>
      <c r="X28" s="40"/>
      <c r="Y28" s="40"/>
      <c r="Z28" s="40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</row>
    <row r="29" spans="2:37" x14ac:dyDescent="0.35">
      <c r="B29" s="85" t="s">
        <v>5</v>
      </c>
      <c r="C29" s="84" t="s">
        <v>6</v>
      </c>
      <c r="D29" s="84" t="s">
        <v>7</v>
      </c>
      <c r="E29" s="84" t="s">
        <v>8</v>
      </c>
      <c r="F29" s="83" t="s">
        <v>9</v>
      </c>
      <c r="G29" s="82" t="s">
        <v>10</v>
      </c>
      <c r="H29" s="82" t="s">
        <v>11</v>
      </c>
      <c r="I29" s="82" t="s">
        <v>12</v>
      </c>
      <c r="J29" s="81" t="s">
        <v>13</v>
      </c>
      <c r="K29" s="83" t="s">
        <v>9</v>
      </c>
      <c r="L29" s="82" t="s">
        <v>10</v>
      </c>
      <c r="M29" s="82" t="s">
        <v>11</v>
      </c>
      <c r="N29" s="82" t="s">
        <v>12</v>
      </c>
      <c r="O29" s="81" t="s">
        <v>13</v>
      </c>
      <c r="P29" s="70" t="s">
        <v>14</v>
      </c>
      <c r="Q29" s="58" t="s">
        <v>15</v>
      </c>
      <c r="R29" s="58" t="s">
        <v>16</v>
      </c>
      <c r="S29" s="58" t="s">
        <v>407</v>
      </c>
      <c r="T29" s="58" t="s">
        <v>18</v>
      </c>
      <c r="V29" s="110" t="s">
        <v>9</v>
      </c>
      <c r="W29" s="106" t="s">
        <v>10</v>
      </c>
      <c r="X29" s="106" t="s">
        <v>11</v>
      </c>
      <c r="Y29" s="106" t="s">
        <v>12</v>
      </c>
      <c r="Z29" s="111" t="s">
        <v>13</v>
      </c>
      <c r="AB29" s="83" t="s">
        <v>9</v>
      </c>
      <c r="AC29" s="82" t="s">
        <v>10</v>
      </c>
      <c r="AD29" s="82" t="s">
        <v>11</v>
      </c>
      <c r="AE29" s="82" t="s">
        <v>12</v>
      </c>
      <c r="AF29" s="81" t="s">
        <v>13</v>
      </c>
      <c r="AG29" s="83" t="s">
        <v>9</v>
      </c>
      <c r="AH29" s="82" t="s">
        <v>10</v>
      </c>
      <c r="AI29" s="82" t="s">
        <v>11</v>
      </c>
      <c r="AJ29" s="82" t="s">
        <v>12</v>
      </c>
      <c r="AK29" s="81" t="s">
        <v>13</v>
      </c>
    </row>
    <row r="30" spans="2:37" x14ac:dyDescent="0.35">
      <c r="B30" s="79" t="s">
        <v>410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7"/>
      <c r="P30" s="79"/>
      <c r="Q30" s="78"/>
      <c r="R30" s="78"/>
      <c r="S30" s="78"/>
      <c r="T30" s="77"/>
      <c r="V30" s="112"/>
      <c r="W30" s="107"/>
      <c r="X30" s="107"/>
      <c r="Y30" s="107"/>
      <c r="Z30" s="113"/>
      <c r="AB30" s="78"/>
      <c r="AC30" s="78"/>
      <c r="AD30" s="78"/>
      <c r="AE30" s="78"/>
      <c r="AF30" s="78"/>
      <c r="AG30" s="78"/>
      <c r="AH30" s="78"/>
      <c r="AI30" s="78"/>
      <c r="AJ30" s="78"/>
      <c r="AK30" s="78"/>
    </row>
    <row r="31" spans="2:37" x14ac:dyDescent="0.35">
      <c r="B31" s="56" t="s">
        <v>29</v>
      </c>
      <c r="C31" s="53" t="s">
        <v>30</v>
      </c>
      <c r="D31" s="53" t="s">
        <v>31</v>
      </c>
      <c r="E31" s="53" t="s">
        <v>411</v>
      </c>
      <c r="F31" s="89">
        <f>IF(ISNUMBER(AB31),AB31-((C$4-C$3)/V31),"")</f>
        <v>4.2321202172234618E-2</v>
      </c>
      <c r="G31" s="60">
        <f>IF(ISNUMBER(AC31),AC31-((D$4-D$3)/W31),"")</f>
        <v>4.7949717354119237E-2</v>
      </c>
      <c r="H31" s="71">
        <f>IF(ISNUMBER(AD31),AD31-((E$4-E$3)/X31),"")</f>
        <v>5.2167579309114163E-2</v>
      </c>
      <c r="I31" s="71">
        <f>IF(ISNUMBER(AE31),AE31-((F$4-F$3)/Y31),"")</f>
        <v>5.452847172001056E-2</v>
      </c>
      <c r="J31" s="63">
        <f>IF(ISNUMBER(AF31),AF31-((G$4-G$3)/Z31),"")</f>
        <v>5.7265283223687416E-2</v>
      </c>
      <c r="K31" s="73" t="str">
        <f>IF(ISNUMBER(AG31),IF(AG31-((C$4-C$3)/V31)&lt;0,"",AG31-((C$4-C$3)/V31)),"")</f>
        <v/>
      </c>
      <c r="L31" s="60">
        <f>IF(ISNUMBER(AH31),IF(AH31-((D$4-D$3)/W31)&lt;0,"",AH31-((D$4-D$3)/W31)),"")</f>
        <v>5.0077757541192331E-3</v>
      </c>
      <c r="M31" s="71">
        <f>IF(ISNUMBER(AI31),IF(AI31-((E$4-E$3)/X31)&lt;0,"",AI31-((E$4-E$3)/X31)),"")</f>
        <v>9.1815240091141608E-3</v>
      </c>
      <c r="N31" s="71">
        <f>IF(ISNUMBER(AJ31),IF(AJ31-((F$4-F$3)/Y31)&lt;0,"",AJ31-((F$4-F$3)/Y31)),"")</f>
        <v>1.0844976320010569E-2</v>
      </c>
      <c r="O31" s="63">
        <f>IF(ISNUMBER(AK31),IF(AK31-((G$4-G$3)/Z31)&lt;0,"",AK31-((G$4-G$3)/Z31)),"")</f>
        <v>1.2170233023687395E-2</v>
      </c>
      <c r="P31" s="55" t="s">
        <v>412</v>
      </c>
      <c r="Q31" s="53" t="s">
        <v>413</v>
      </c>
      <c r="R31" s="94" t="s">
        <v>32</v>
      </c>
      <c r="S31" s="71">
        <v>5.5842219999999998E-2</v>
      </c>
      <c r="T31" s="63">
        <f>IF(S31="","",H31-S31)</f>
        <v>-3.6746406908858345E-3</v>
      </c>
      <c r="V31" s="114">
        <v>1.1360858899999999</v>
      </c>
      <c r="W31" s="72">
        <v>2.8869602099999998</v>
      </c>
      <c r="X31" s="72">
        <v>4.4352298699999997</v>
      </c>
      <c r="Y31" s="72">
        <v>5.7695796599999998</v>
      </c>
      <c r="Z31" s="115">
        <v>7.4380211700000007</v>
      </c>
      <c r="AB31" s="75">
        <v>4.2321202172234618E-2</v>
      </c>
      <c r="AC31" s="71">
        <v>4.7949717354119237E-2</v>
      </c>
      <c r="AD31" s="71">
        <v>5.2167579309114163E-2</v>
      </c>
      <c r="AE31" s="71">
        <v>5.452847172001056E-2</v>
      </c>
      <c r="AF31" s="63">
        <v>5.7265283223687416E-2</v>
      </c>
      <c r="AG31" s="71" t="s">
        <v>21</v>
      </c>
      <c r="AH31" s="71">
        <v>5.0077757541192331E-3</v>
      </c>
      <c r="AI31" s="71">
        <v>9.1815240091141608E-3</v>
      </c>
      <c r="AJ31" s="71">
        <v>1.0844976320010569E-2</v>
      </c>
      <c r="AK31" s="71">
        <v>1.2170233023687395E-2</v>
      </c>
    </row>
    <row r="32" spans="2:37" x14ac:dyDescent="0.35">
      <c r="B32" s="55" t="s">
        <v>29</v>
      </c>
      <c r="C32" s="53" t="s">
        <v>33</v>
      </c>
      <c r="D32" s="53" t="s">
        <v>31</v>
      </c>
      <c r="E32" s="53" t="s">
        <v>34</v>
      </c>
      <c r="F32" s="73">
        <f t="shared" ref="F32:J89" si="4">IF(ISNUMBER(AB32),AB32-((C$4-C$3)/V32),"")</f>
        <v>4.2734163267908361E-2</v>
      </c>
      <c r="G32" s="60">
        <f t="shared" si="4"/>
        <v>4.9929378387913718E-2</v>
      </c>
      <c r="H32" s="71">
        <f t="shared" si="4"/>
        <v>5.5587269832704192E-2</v>
      </c>
      <c r="I32" s="71">
        <f t="shared" si="4"/>
        <v>5.8813353553725391E-2</v>
      </c>
      <c r="J32" s="63">
        <f t="shared" si="4"/>
        <v>6.2088646431163394E-2</v>
      </c>
      <c r="K32" s="73" t="str">
        <f t="shared" ref="K32:O89" si="5">IF(ISNUMBER(AG32),IF(AG32-((C$4-C$3)/V32)&lt;0,"",AG32-((C$4-C$3)/V32)),"")</f>
        <v/>
      </c>
      <c r="L32" s="60">
        <f t="shared" si="5"/>
        <v>6.880194987913724E-3</v>
      </c>
      <c r="M32" s="71">
        <f t="shared" si="5"/>
        <v>1.2411783932704194E-2</v>
      </c>
      <c r="N32" s="71">
        <f t="shared" si="5"/>
        <v>1.4892636853725395E-2</v>
      </c>
      <c r="O32" s="63">
        <f t="shared" si="5"/>
        <v>1.6754744131163391E-2</v>
      </c>
      <c r="P32" s="55" t="s">
        <v>21</v>
      </c>
      <c r="Q32" s="53" t="s">
        <v>21</v>
      </c>
      <c r="R32" s="94" t="s">
        <v>21</v>
      </c>
      <c r="S32" s="71">
        <v>0</v>
      </c>
      <c r="T32" s="63">
        <f t="shared" ref="T32:T110" si="6">IF(S32="","",H32-S32)</f>
        <v>5.5587269832704192E-2</v>
      </c>
      <c r="V32" s="114">
        <v>1.13532246</v>
      </c>
      <c r="W32" s="72">
        <v>2.8734499200000001</v>
      </c>
      <c r="X32" s="72">
        <v>4.3845833000000001</v>
      </c>
      <c r="Y32" s="72">
        <v>5.65710376</v>
      </c>
      <c r="Z32" s="115">
        <v>7.2068122900000002</v>
      </c>
      <c r="AB32" s="73">
        <v>4.2734163267908361E-2</v>
      </c>
      <c r="AC32" s="71">
        <v>4.9929378387913718E-2</v>
      </c>
      <c r="AD32" s="71">
        <v>5.5587269832704192E-2</v>
      </c>
      <c r="AE32" s="71">
        <v>5.8813353553725391E-2</v>
      </c>
      <c r="AF32" s="63">
        <v>6.2088646431163394E-2</v>
      </c>
      <c r="AG32" s="71" t="s">
        <v>21</v>
      </c>
      <c r="AH32" s="71">
        <v>6.880194987913724E-3</v>
      </c>
      <c r="AI32" s="71">
        <v>1.2411783932704194E-2</v>
      </c>
      <c r="AJ32" s="71">
        <v>1.4892636853725395E-2</v>
      </c>
      <c r="AK32" s="71">
        <v>1.6754744131163391E-2</v>
      </c>
    </row>
    <row r="33" spans="2:37" x14ac:dyDescent="0.35">
      <c r="B33" s="57" t="s">
        <v>29</v>
      </c>
      <c r="C33" s="67" t="s">
        <v>35</v>
      </c>
      <c r="D33" s="67" t="s">
        <v>31</v>
      </c>
      <c r="E33" s="67" t="s">
        <v>339</v>
      </c>
      <c r="F33" s="74">
        <f t="shared" si="4"/>
        <v>4.3736215970341524E-2</v>
      </c>
      <c r="G33" s="76">
        <f t="shared" si="4"/>
        <v>5.2628092579745871E-2</v>
      </c>
      <c r="H33" s="76">
        <f t="shared" si="4"/>
        <v>5.9895922928033404E-2</v>
      </c>
      <c r="I33" s="76">
        <f t="shared" si="4"/>
        <v>6.4077251291030021E-2</v>
      </c>
      <c r="J33" s="64">
        <f t="shared" si="4"/>
        <v>6.81468212375093E-2</v>
      </c>
      <c r="K33" s="74">
        <f t="shared" si="5"/>
        <v>3.7686547034152494E-4</v>
      </c>
      <c r="L33" s="76">
        <f t="shared" si="5"/>
        <v>9.4903267797458758E-3</v>
      </c>
      <c r="M33" s="76">
        <f t="shared" si="5"/>
        <v>1.6568673528033404E-2</v>
      </c>
      <c r="N33" s="76">
        <f t="shared" si="5"/>
        <v>1.9956823891030026E-2</v>
      </c>
      <c r="O33" s="64">
        <f t="shared" si="5"/>
        <v>2.2580062237509305E-2</v>
      </c>
      <c r="P33" s="55" t="s">
        <v>21</v>
      </c>
      <c r="Q33" s="53" t="s">
        <v>21</v>
      </c>
      <c r="R33" s="94" t="s">
        <v>21</v>
      </c>
      <c r="S33" s="71">
        <v>0</v>
      </c>
      <c r="T33" s="63">
        <f t="shared" si="6"/>
        <v>5.9895922928033404E-2</v>
      </c>
      <c r="V33" s="116">
        <v>1.13501853</v>
      </c>
      <c r="W33" s="108">
        <v>2.8674930500000002</v>
      </c>
      <c r="X33" s="108">
        <v>4.3626366599999997</v>
      </c>
      <c r="Y33" s="108">
        <v>5.6091325999999997</v>
      </c>
      <c r="Z33" s="117">
        <v>7.1052651100000004</v>
      </c>
      <c r="AB33" s="74">
        <v>4.3736215970341524E-2</v>
      </c>
      <c r="AC33" s="76">
        <v>5.2628092579745871E-2</v>
      </c>
      <c r="AD33" s="76">
        <v>5.9895922928033404E-2</v>
      </c>
      <c r="AE33" s="76">
        <v>6.4077251291030021E-2</v>
      </c>
      <c r="AF33" s="64">
        <v>6.81468212375093E-2</v>
      </c>
      <c r="AG33" s="71">
        <v>3.7686547034152494E-4</v>
      </c>
      <c r="AH33" s="71">
        <v>9.4903267797458758E-3</v>
      </c>
      <c r="AI33" s="71">
        <v>1.6568673528033404E-2</v>
      </c>
      <c r="AJ33" s="71">
        <v>1.9956823891030026E-2</v>
      </c>
      <c r="AK33" s="71">
        <v>2.2580062237509305E-2</v>
      </c>
    </row>
    <row r="34" spans="2:37" x14ac:dyDescent="0.35">
      <c r="B34" s="55" t="s">
        <v>37</v>
      </c>
      <c r="C34" s="53" t="s">
        <v>30</v>
      </c>
      <c r="D34" s="53" t="s">
        <v>31</v>
      </c>
      <c r="E34" s="53" t="s">
        <v>339</v>
      </c>
      <c r="F34" s="73">
        <f t="shared" si="4"/>
        <v>4.2775814687094765E-2</v>
      </c>
      <c r="G34" s="60">
        <f t="shared" si="4"/>
        <v>4.8832803447222475E-2</v>
      </c>
      <c r="H34" s="71">
        <f t="shared" si="4"/>
        <v>5.2722616983683093E-2</v>
      </c>
      <c r="I34" s="71">
        <f t="shared" si="4"/>
        <v>5.512166576064953E-2</v>
      </c>
      <c r="J34" s="63">
        <f t="shared" si="4"/>
        <v>5.7823778898600173E-2</v>
      </c>
      <c r="K34" s="73" t="str">
        <f t="shared" si="5"/>
        <v/>
      </c>
      <c r="L34" s="60">
        <f t="shared" si="5"/>
        <v>5.8444166472224803E-3</v>
      </c>
      <c r="M34" s="71">
        <f t="shared" si="5"/>
        <v>9.7067879836830878E-3</v>
      </c>
      <c r="N34" s="71">
        <f t="shared" si="5"/>
        <v>1.1406244460649532E-2</v>
      </c>
      <c r="O34" s="63">
        <f t="shared" si="5"/>
        <v>1.2701150698600158E-2</v>
      </c>
      <c r="P34" s="56" t="s">
        <v>21</v>
      </c>
      <c r="Q34" s="66" t="s">
        <v>21</v>
      </c>
      <c r="R34" s="100" t="s">
        <v>21</v>
      </c>
      <c r="S34" s="80">
        <v>0</v>
      </c>
      <c r="T34" s="62">
        <f t="shared" si="6"/>
        <v>5.2722616983683093E-2</v>
      </c>
      <c r="V34" s="114">
        <v>1.13522324</v>
      </c>
      <c r="W34" s="72">
        <v>2.8800280099999997</v>
      </c>
      <c r="X34" s="72">
        <v>4.42134743</v>
      </c>
      <c r="Y34" s="72">
        <v>5.7477102699999998</v>
      </c>
      <c r="Z34" s="115">
        <v>7.4031288099999992</v>
      </c>
      <c r="AB34" s="73">
        <v>4.2775814687094765E-2</v>
      </c>
      <c r="AC34" s="71">
        <v>4.8832803447222475E-2</v>
      </c>
      <c r="AD34" s="71">
        <v>5.2722616983683093E-2</v>
      </c>
      <c r="AE34" s="71">
        <v>5.512166576064953E-2</v>
      </c>
      <c r="AF34" s="63">
        <v>5.7823778898600173E-2</v>
      </c>
      <c r="AG34" s="71" t="s">
        <v>21</v>
      </c>
      <c r="AH34" s="71">
        <v>5.8444166472224803E-3</v>
      </c>
      <c r="AI34" s="71">
        <v>9.7067879836830878E-3</v>
      </c>
      <c r="AJ34" s="71">
        <v>1.1406244460649532E-2</v>
      </c>
      <c r="AK34" s="71">
        <v>1.2701150698600158E-2</v>
      </c>
    </row>
    <row r="35" spans="2:37" x14ac:dyDescent="0.35">
      <c r="B35" s="55" t="s">
        <v>37</v>
      </c>
      <c r="C35" s="53" t="s">
        <v>33</v>
      </c>
      <c r="D35" s="53" t="s">
        <v>31</v>
      </c>
      <c r="E35" s="53" t="s">
        <v>38</v>
      </c>
      <c r="F35" s="73">
        <f t="shared" si="4"/>
        <v>4.3217018931321446E-2</v>
      </c>
      <c r="G35" s="60">
        <f t="shared" si="4"/>
        <v>5.0111866982409256E-2</v>
      </c>
      <c r="H35" s="71">
        <f t="shared" si="4"/>
        <v>5.5699342834951884E-2</v>
      </c>
      <c r="I35" s="71">
        <f t="shared" si="4"/>
        <v>5.8829165873079202E-2</v>
      </c>
      <c r="J35" s="63">
        <f t="shared" si="4"/>
        <v>6.2192795868929521E-2</v>
      </c>
      <c r="K35" s="73" t="str">
        <f t="shared" si="5"/>
        <v/>
      </c>
      <c r="L35" s="60">
        <f t="shared" si="5"/>
        <v>7.0553505824092633E-3</v>
      </c>
      <c r="M35" s="71">
        <f t="shared" si="5"/>
        <v>1.2519256734951882E-2</v>
      </c>
      <c r="N35" s="71">
        <f t="shared" si="5"/>
        <v>1.4908666373079209E-2</v>
      </c>
      <c r="O35" s="63">
        <f t="shared" si="5"/>
        <v>1.6852866168929524E-2</v>
      </c>
      <c r="P35" s="55" t="s">
        <v>21</v>
      </c>
      <c r="Q35" s="53" t="s">
        <v>21</v>
      </c>
      <c r="R35" s="94" t="s">
        <v>21</v>
      </c>
      <c r="S35" s="71">
        <v>0</v>
      </c>
      <c r="T35" s="63">
        <f t="shared" si="6"/>
        <v>5.5699342834951884E-2</v>
      </c>
      <c r="V35" s="114">
        <v>1.1343734700000001</v>
      </c>
      <c r="W35" s="72">
        <v>2.8707009999999999</v>
      </c>
      <c r="X35" s="72">
        <v>4.3805735300000004</v>
      </c>
      <c r="Y35" s="72">
        <v>5.6530423500000007</v>
      </c>
      <c r="Z35" s="115">
        <v>7.2012387100000002</v>
      </c>
      <c r="AB35" s="73">
        <v>4.3217018931321446E-2</v>
      </c>
      <c r="AC35" s="71">
        <v>5.0111866982409256E-2</v>
      </c>
      <c r="AD35" s="71">
        <v>5.5699342834951884E-2</v>
      </c>
      <c r="AE35" s="71">
        <v>5.8829165873079202E-2</v>
      </c>
      <c r="AF35" s="63">
        <v>6.2192795868929521E-2</v>
      </c>
      <c r="AG35" s="71" t="s">
        <v>21</v>
      </c>
      <c r="AH35" s="71">
        <v>7.0553505824092633E-3</v>
      </c>
      <c r="AI35" s="71">
        <v>1.2519256734951882E-2</v>
      </c>
      <c r="AJ35" s="71">
        <v>1.4908666373079209E-2</v>
      </c>
      <c r="AK35" s="71">
        <v>1.6852866168929524E-2</v>
      </c>
    </row>
    <row r="36" spans="2:37" x14ac:dyDescent="0.35">
      <c r="B36" s="57" t="s">
        <v>37</v>
      </c>
      <c r="C36" s="67" t="s">
        <v>35</v>
      </c>
      <c r="D36" s="67" t="s">
        <v>31</v>
      </c>
      <c r="E36" s="67" t="s">
        <v>39</v>
      </c>
      <c r="F36" s="74">
        <f t="shared" si="4"/>
        <v>4.3798859358143531E-2</v>
      </c>
      <c r="G36" s="76">
        <f t="shared" si="4"/>
        <v>5.2865698861611576E-2</v>
      </c>
      <c r="H36" s="76">
        <f t="shared" si="4"/>
        <v>6.0087424611796905E-2</v>
      </c>
      <c r="I36" s="76">
        <f t="shared" si="4"/>
        <v>6.4179839176643036E-2</v>
      </c>
      <c r="J36" s="64">
        <f t="shared" si="4"/>
        <v>6.833500189338286E-2</v>
      </c>
      <c r="K36" s="74">
        <f t="shared" si="5"/>
        <v>4.5376625814353734E-4</v>
      </c>
      <c r="L36" s="76">
        <f t="shared" si="5"/>
        <v>9.7242690616115672E-3</v>
      </c>
      <c r="M36" s="76">
        <f t="shared" si="5"/>
        <v>1.6755010811796887E-2</v>
      </c>
      <c r="N36" s="76">
        <f t="shared" si="5"/>
        <v>2.0057829876643049E-2</v>
      </c>
      <c r="O36" s="64">
        <f t="shared" si="5"/>
        <v>2.2760606193382854E-2</v>
      </c>
      <c r="P36" s="57" t="s">
        <v>21</v>
      </c>
      <c r="Q36" s="67" t="s">
        <v>21</v>
      </c>
      <c r="R36" s="96" t="s">
        <v>21</v>
      </c>
      <c r="S36" s="76">
        <v>0</v>
      </c>
      <c r="T36" s="64">
        <f t="shared" si="6"/>
        <v>6.0087424611796905E-2</v>
      </c>
      <c r="V36" s="116">
        <v>1.13484064</v>
      </c>
      <c r="W36" s="108">
        <v>2.8660492799999999</v>
      </c>
      <c r="X36" s="108">
        <v>4.3593371999999997</v>
      </c>
      <c r="Y36" s="108">
        <v>5.6046469800000001</v>
      </c>
      <c r="Z36" s="117">
        <v>7.0978521200000007</v>
      </c>
      <c r="AB36" s="74">
        <v>4.3798859358143531E-2</v>
      </c>
      <c r="AC36" s="76">
        <v>5.2865698861611576E-2</v>
      </c>
      <c r="AD36" s="76">
        <v>6.0087424611796905E-2</v>
      </c>
      <c r="AE36" s="76">
        <v>6.4179839176643036E-2</v>
      </c>
      <c r="AF36" s="64">
        <v>6.833500189338286E-2</v>
      </c>
      <c r="AG36" s="76">
        <v>4.5376625814353734E-4</v>
      </c>
      <c r="AH36" s="76">
        <v>9.7242690616115672E-3</v>
      </c>
      <c r="AI36" s="76">
        <v>1.6755010811796887E-2</v>
      </c>
      <c r="AJ36" s="76">
        <v>2.0057829876643049E-2</v>
      </c>
      <c r="AK36" s="76">
        <v>2.2760606193382854E-2</v>
      </c>
    </row>
    <row r="37" spans="2:37" x14ac:dyDescent="0.35">
      <c r="B37" s="55" t="s">
        <v>40</v>
      </c>
      <c r="C37" s="53" t="s">
        <v>30</v>
      </c>
      <c r="D37" s="53" t="s">
        <v>31</v>
      </c>
      <c r="E37" s="53" t="s">
        <v>21</v>
      </c>
      <c r="F37" s="73">
        <f t="shared" si="4"/>
        <v>4.3238684972571009E-2</v>
      </c>
      <c r="G37" s="60">
        <f t="shared" si="4"/>
        <v>4.9032307856653426E-2</v>
      </c>
      <c r="H37" s="71">
        <f t="shared" si="4"/>
        <v>5.3248304678761488E-2</v>
      </c>
      <c r="I37" s="71">
        <f t="shared" si="4"/>
        <v>5.6026182074417188E-2</v>
      </c>
      <c r="J37" s="63">
        <f t="shared" si="4"/>
        <v>5.9220068212645458E-2</v>
      </c>
      <c r="K37" s="73" t="str">
        <f t="shared" si="5"/>
        <v/>
      </c>
      <c r="L37" s="60">
        <f t="shared" si="5"/>
        <v>6.0334561566534233E-3</v>
      </c>
      <c r="M37" s="71">
        <f t="shared" si="5"/>
        <v>1.0204415578761488E-2</v>
      </c>
      <c r="N37" s="71">
        <f t="shared" si="5"/>
        <v>1.2262840574417185E-2</v>
      </c>
      <c r="O37" s="63">
        <f t="shared" si="5"/>
        <v>1.4031651312645454E-2</v>
      </c>
      <c r="P37" s="55" t="s">
        <v>21</v>
      </c>
      <c r="Q37" s="53" t="s">
        <v>21</v>
      </c>
      <c r="R37" s="94" t="s">
        <v>21</v>
      </c>
      <c r="S37" s="71">
        <v>0</v>
      </c>
      <c r="T37" s="63">
        <f t="shared" si="6"/>
        <v>5.3248304678761488E-2</v>
      </c>
      <c r="V37" s="114">
        <v>1.1343449999999999</v>
      </c>
      <c r="W37" s="72">
        <v>2.87729912</v>
      </c>
      <c r="X37" s="72">
        <v>4.4132162900000003</v>
      </c>
      <c r="Y37" s="72">
        <v>5.7266928899999998</v>
      </c>
      <c r="Z37" s="115">
        <v>7.3475267999999998</v>
      </c>
      <c r="AB37" s="73">
        <v>4.3238684972571009E-2</v>
      </c>
      <c r="AC37" s="71">
        <v>4.9032307856653426E-2</v>
      </c>
      <c r="AD37" s="71">
        <v>5.3248304678761488E-2</v>
      </c>
      <c r="AE37" s="71">
        <v>5.6026182074417188E-2</v>
      </c>
      <c r="AF37" s="63">
        <v>5.9220068212645458E-2</v>
      </c>
      <c r="AG37" s="71" t="s">
        <v>21</v>
      </c>
      <c r="AH37" s="71">
        <v>6.0334561566534233E-3</v>
      </c>
      <c r="AI37" s="71">
        <v>1.0204415578761488E-2</v>
      </c>
      <c r="AJ37" s="71">
        <v>1.2262840574417185E-2</v>
      </c>
      <c r="AK37" s="71">
        <v>1.4031651312645454E-2</v>
      </c>
    </row>
    <row r="38" spans="2:37" x14ac:dyDescent="0.35">
      <c r="B38" s="55" t="s">
        <v>40</v>
      </c>
      <c r="C38" s="53" t="s">
        <v>33</v>
      </c>
      <c r="D38" s="53" t="s">
        <v>31</v>
      </c>
      <c r="E38" s="53" t="s">
        <v>41</v>
      </c>
      <c r="F38" s="73">
        <f t="shared" si="4"/>
        <v>4.3544954215322625E-2</v>
      </c>
      <c r="G38" s="60">
        <f t="shared" si="4"/>
        <v>5.087934870493984E-2</v>
      </c>
      <c r="H38" s="71">
        <f t="shared" si="4"/>
        <v>5.6962736444903864E-2</v>
      </c>
      <c r="I38" s="71">
        <f t="shared" si="4"/>
        <v>6.063878742482031E-2</v>
      </c>
      <c r="J38" s="63">
        <f t="shared" si="4"/>
        <v>6.4414913088887804E-2</v>
      </c>
      <c r="K38" s="73">
        <f t="shared" si="5"/>
        <v>1.819074153226307E-4</v>
      </c>
      <c r="L38" s="60">
        <f t="shared" si="5"/>
        <v>7.7783105049398418E-3</v>
      </c>
      <c r="M38" s="71">
        <f t="shared" si="5"/>
        <v>1.3707193144903849E-2</v>
      </c>
      <c r="N38" s="71">
        <f t="shared" si="5"/>
        <v>1.6606552324820306E-2</v>
      </c>
      <c r="O38" s="63">
        <f t="shared" si="5"/>
        <v>1.8948555688887803E-2</v>
      </c>
      <c r="P38" s="55" t="s">
        <v>414</v>
      </c>
      <c r="Q38" s="53" t="s">
        <v>415</v>
      </c>
      <c r="R38" s="94">
        <v>47729</v>
      </c>
      <c r="S38" s="71">
        <v>5.3598569999999998E-2</v>
      </c>
      <c r="T38" s="63">
        <f t="shared" si="6"/>
        <v>3.3641664449038655E-3</v>
      </c>
      <c r="V38" s="114">
        <v>1.13377876</v>
      </c>
      <c r="W38" s="72">
        <v>2.8649943600000003</v>
      </c>
      <c r="X38" s="72">
        <v>4.36136035</v>
      </c>
      <c r="Y38" s="72">
        <v>5.60869763</v>
      </c>
      <c r="Z38" s="115">
        <v>7.1042834700000004</v>
      </c>
      <c r="AB38" s="73">
        <v>4.3544954215322625E-2</v>
      </c>
      <c r="AC38" s="71">
        <v>5.087934870493984E-2</v>
      </c>
      <c r="AD38" s="71">
        <v>5.6962736444903864E-2</v>
      </c>
      <c r="AE38" s="71">
        <v>6.063878742482031E-2</v>
      </c>
      <c r="AF38" s="63">
        <v>6.4414913088887804E-2</v>
      </c>
      <c r="AG38" s="71">
        <v>1.819074153226307E-4</v>
      </c>
      <c r="AH38" s="71">
        <v>7.7783105049398418E-3</v>
      </c>
      <c r="AI38" s="71">
        <v>1.3707193144903849E-2</v>
      </c>
      <c r="AJ38" s="71">
        <v>1.6606552324820306E-2</v>
      </c>
      <c r="AK38" s="71">
        <v>1.8948555688887803E-2</v>
      </c>
    </row>
    <row r="39" spans="2:37" x14ac:dyDescent="0.35">
      <c r="B39" s="57" t="s">
        <v>40</v>
      </c>
      <c r="C39" s="67" t="s">
        <v>35</v>
      </c>
      <c r="D39" s="67" t="s">
        <v>31</v>
      </c>
      <c r="E39" s="67" t="s">
        <v>21</v>
      </c>
      <c r="F39" s="74">
        <f t="shared" si="4"/>
        <v>4.4134582281553383E-2</v>
      </c>
      <c r="G39" s="76">
        <f t="shared" si="4"/>
        <v>5.3733021130305481E-2</v>
      </c>
      <c r="H39" s="76">
        <f t="shared" si="4"/>
        <v>6.1658479062820161E-2</v>
      </c>
      <c r="I39" s="76">
        <f t="shared" si="4"/>
        <v>6.6560172937244214E-2</v>
      </c>
      <c r="J39" s="64">
        <f t="shared" si="4"/>
        <v>7.1234507606533382E-2</v>
      </c>
      <c r="K39" s="74">
        <f t="shared" si="5"/>
        <v>7.7209248155338684E-4</v>
      </c>
      <c r="L39" s="76">
        <f t="shared" si="5"/>
        <v>1.0547577930305491E-2</v>
      </c>
      <c r="M39" s="76">
        <f t="shared" si="5"/>
        <v>1.8234694362820152E-2</v>
      </c>
      <c r="N39" s="76">
        <f t="shared" si="5"/>
        <v>2.2294274237244227E-2</v>
      </c>
      <c r="O39" s="64">
        <f t="shared" si="5"/>
        <v>2.5492442906533373E-2</v>
      </c>
      <c r="P39" s="55" t="s">
        <v>21</v>
      </c>
      <c r="Q39" s="53" t="s">
        <v>21</v>
      </c>
      <c r="R39" s="94" t="s">
        <v>21</v>
      </c>
      <c r="S39" s="71"/>
      <c r="T39" s="63" t="str">
        <f t="shared" si="6"/>
        <v/>
      </c>
      <c r="V39" s="116">
        <v>1.1343801099999999</v>
      </c>
      <c r="W39" s="108">
        <v>2.8612147800000001</v>
      </c>
      <c r="X39" s="108">
        <v>4.3413930699999996</v>
      </c>
      <c r="Y39" s="108">
        <v>5.5612516100000002</v>
      </c>
      <c r="Z39" s="117">
        <v>7.0010489300000005</v>
      </c>
      <c r="AB39" s="74">
        <v>4.4134582281553383E-2</v>
      </c>
      <c r="AC39" s="76">
        <v>5.3733021130305481E-2</v>
      </c>
      <c r="AD39" s="76">
        <v>6.1658479062820161E-2</v>
      </c>
      <c r="AE39" s="76">
        <v>6.6560172937244214E-2</v>
      </c>
      <c r="AF39" s="64">
        <v>7.1234507606533382E-2</v>
      </c>
      <c r="AG39" s="71">
        <v>7.7209248155338684E-4</v>
      </c>
      <c r="AH39" s="71">
        <v>1.0547577930305491E-2</v>
      </c>
      <c r="AI39" s="71">
        <v>1.8234694362820152E-2</v>
      </c>
      <c r="AJ39" s="71">
        <v>2.2294274237244227E-2</v>
      </c>
      <c r="AK39" s="71">
        <v>2.5492442906533373E-2</v>
      </c>
    </row>
    <row r="40" spans="2:37" x14ac:dyDescent="0.35">
      <c r="B40" s="79" t="s">
        <v>416</v>
      </c>
      <c r="C40" s="78"/>
      <c r="D40" s="78"/>
      <c r="E40" s="78"/>
      <c r="F40" s="78" t="str">
        <f t="shared" si="4"/>
        <v/>
      </c>
      <c r="G40" s="78" t="str">
        <f t="shared" si="4"/>
        <v/>
      </c>
      <c r="H40" s="78" t="str">
        <f t="shared" si="4"/>
        <v/>
      </c>
      <c r="I40" s="78" t="str">
        <f t="shared" si="4"/>
        <v/>
      </c>
      <c r="J40" s="78" t="str">
        <f t="shared" si="4"/>
        <v/>
      </c>
      <c r="K40" s="78" t="str">
        <f t="shared" si="5"/>
        <v/>
      </c>
      <c r="L40" s="78" t="str">
        <f t="shared" si="5"/>
        <v/>
      </c>
      <c r="M40" s="78" t="str">
        <f t="shared" si="5"/>
        <v/>
      </c>
      <c r="N40" s="78" t="str">
        <f t="shared" si="5"/>
        <v/>
      </c>
      <c r="O40" s="77" t="str">
        <f t="shared" si="5"/>
        <v/>
      </c>
      <c r="P40" s="79"/>
      <c r="Q40" s="78"/>
      <c r="R40" s="95"/>
      <c r="S40" s="78"/>
      <c r="T40" s="77" t="str">
        <f t="shared" si="6"/>
        <v/>
      </c>
      <c r="V40" s="112"/>
      <c r="W40" s="107"/>
      <c r="X40" s="107"/>
      <c r="Y40" s="107"/>
      <c r="Z40" s="113"/>
      <c r="AB40" s="78"/>
      <c r="AC40" s="78"/>
      <c r="AD40" s="78"/>
      <c r="AE40" s="78"/>
      <c r="AF40" s="78"/>
      <c r="AG40" s="78"/>
      <c r="AH40" s="78"/>
      <c r="AI40" s="78"/>
      <c r="AJ40" s="78"/>
      <c r="AK40" s="78"/>
    </row>
    <row r="41" spans="2:37" x14ac:dyDescent="0.35">
      <c r="B41" s="55" t="s">
        <v>42</v>
      </c>
      <c r="C41" s="53" t="s">
        <v>30</v>
      </c>
      <c r="D41" s="53" t="s">
        <v>43</v>
      </c>
      <c r="E41" s="53" t="s">
        <v>417</v>
      </c>
      <c r="F41" s="73">
        <f t="shared" si="4"/>
        <v>4.2910120830460786E-2</v>
      </c>
      <c r="G41" s="60">
        <f t="shared" si="4"/>
        <v>4.8886433533171986E-2</v>
      </c>
      <c r="H41" s="71">
        <f t="shared" si="4"/>
        <v>5.3445444867505701E-2</v>
      </c>
      <c r="I41" s="71">
        <f t="shared" si="4"/>
        <v>5.6174361649971159E-2</v>
      </c>
      <c r="J41" s="63">
        <f t="shared" si="4"/>
        <v>5.9142682289215841E-2</v>
      </c>
      <c r="K41" s="73" t="str">
        <f t="shared" si="5"/>
        <v/>
      </c>
      <c r="L41" s="60">
        <f t="shared" si="5"/>
        <v>5.894463733171991E-3</v>
      </c>
      <c r="M41" s="71">
        <f t="shared" si="5"/>
        <v>1.0390365367505702E-2</v>
      </c>
      <c r="N41" s="71">
        <f t="shared" si="5"/>
        <v>1.240308804997115E-2</v>
      </c>
      <c r="O41" s="63">
        <f t="shared" si="5"/>
        <v>1.3959132689215836E-2</v>
      </c>
      <c r="P41" s="55" t="s">
        <v>418</v>
      </c>
      <c r="Q41" s="53" t="s">
        <v>419</v>
      </c>
      <c r="R41" s="94" t="s">
        <v>32</v>
      </c>
      <c r="S41" s="71">
        <v>5.3029239999999998E-2</v>
      </c>
      <c r="T41" s="63">
        <f t="shared" si="6"/>
        <v>4.1620486750570257E-4</v>
      </c>
      <c r="V41" s="114">
        <v>1.13497877</v>
      </c>
      <c r="W41" s="72">
        <v>2.8792841</v>
      </c>
      <c r="X41" s="72">
        <v>4.4134024900000002</v>
      </c>
      <c r="Y41" s="72">
        <v>5.7241902400000004</v>
      </c>
      <c r="Z41" s="115">
        <v>7.3460438799999999</v>
      </c>
      <c r="AB41" s="73">
        <v>4.2910120830460786E-2</v>
      </c>
      <c r="AC41" s="71">
        <v>4.8886433533171986E-2</v>
      </c>
      <c r="AD41" s="71">
        <v>5.3445444867505701E-2</v>
      </c>
      <c r="AE41" s="71">
        <v>5.6174361649971159E-2</v>
      </c>
      <c r="AF41" s="63">
        <v>5.9142682289215841E-2</v>
      </c>
      <c r="AG41" s="71" t="s">
        <v>21</v>
      </c>
      <c r="AH41" s="71">
        <v>5.894463733171991E-3</v>
      </c>
      <c r="AI41" s="71">
        <v>1.0390365367505702E-2</v>
      </c>
      <c r="AJ41" s="71">
        <v>1.240308804997115E-2</v>
      </c>
      <c r="AK41" s="71">
        <v>1.3959132689215836E-2</v>
      </c>
    </row>
    <row r="42" spans="2:37" x14ac:dyDescent="0.35">
      <c r="B42" s="55" t="s">
        <v>42</v>
      </c>
      <c r="C42" s="53" t="s">
        <v>33</v>
      </c>
      <c r="D42" s="53" t="s">
        <v>43</v>
      </c>
      <c r="E42" s="53" t="s">
        <v>420</v>
      </c>
      <c r="F42" s="73">
        <f t="shared" si="4"/>
        <v>4.2837694191375793E-2</v>
      </c>
      <c r="G42" s="60">
        <f t="shared" si="4"/>
        <v>5.1087611869430179E-2</v>
      </c>
      <c r="H42" s="71">
        <f t="shared" si="4"/>
        <v>5.7265768854821555E-2</v>
      </c>
      <c r="I42" s="71">
        <f t="shared" si="4"/>
        <v>6.1171906477368532E-2</v>
      </c>
      <c r="J42" s="63">
        <f t="shared" si="4"/>
        <v>6.4922848645207282E-2</v>
      </c>
      <c r="K42" s="73" t="str">
        <f t="shared" si="5"/>
        <v/>
      </c>
      <c r="L42" s="60">
        <f t="shared" si="5"/>
        <v>7.9785713694301846E-3</v>
      </c>
      <c r="M42" s="71">
        <f t="shared" si="5"/>
        <v>1.3994555954821556E-2</v>
      </c>
      <c r="N42" s="71">
        <f t="shared" si="5"/>
        <v>1.7108262377368524E-2</v>
      </c>
      <c r="O42" s="63">
        <f t="shared" si="5"/>
        <v>1.9429770445207304E-2</v>
      </c>
      <c r="P42" s="55" t="s">
        <v>421</v>
      </c>
      <c r="Q42" s="53" t="s">
        <v>422</v>
      </c>
      <c r="R42" s="94" t="s">
        <v>32</v>
      </c>
      <c r="S42" s="71">
        <v>5.6898400000000002E-2</v>
      </c>
      <c r="T42" s="63">
        <f t="shared" si="6"/>
        <v>3.6736885482155368E-4</v>
      </c>
      <c r="V42" s="114">
        <v>1.1350689199999999</v>
      </c>
      <c r="W42" s="72">
        <v>2.8658863999999999</v>
      </c>
      <c r="X42" s="72">
        <v>4.3586406100000001</v>
      </c>
      <c r="Y42" s="72">
        <v>5.59841766</v>
      </c>
      <c r="Z42" s="115">
        <v>7.08119576</v>
      </c>
      <c r="AB42" s="73">
        <v>4.2837694191375793E-2</v>
      </c>
      <c r="AC42" s="71">
        <v>5.1087611869430179E-2</v>
      </c>
      <c r="AD42" s="71">
        <v>5.7265768854821555E-2</v>
      </c>
      <c r="AE42" s="71">
        <v>6.1171906477368532E-2</v>
      </c>
      <c r="AF42" s="63">
        <v>6.4922848645207282E-2</v>
      </c>
      <c r="AG42" s="71" t="s">
        <v>21</v>
      </c>
      <c r="AH42" s="71">
        <v>7.9785713694301846E-3</v>
      </c>
      <c r="AI42" s="71">
        <v>1.3994555954821556E-2</v>
      </c>
      <c r="AJ42" s="71">
        <v>1.7108262377368524E-2</v>
      </c>
      <c r="AK42" s="71">
        <v>1.9429770445207304E-2</v>
      </c>
    </row>
    <row r="43" spans="2:37" x14ac:dyDescent="0.35">
      <c r="B43" s="55" t="s">
        <v>42</v>
      </c>
      <c r="C43" s="53" t="s">
        <v>35</v>
      </c>
      <c r="D43" s="53" t="s">
        <v>43</v>
      </c>
      <c r="E43" s="53" t="s">
        <v>423</v>
      </c>
      <c r="F43" s="73">
        <f t="shared" si="4"/>
        <v>4.4486434836216865E-2</v>
      </c>
      <c r="G43" s="60">
        <f t="shared" si="4"/>
        <v>5.460874205933141E-2</v>
      </c>
      <c r="H43" s="71">
        <f t="shared" si="4"/>
        <v>6.3037634978123758E-2</v>
      </c>
      <c r="I43" s="71">
        <f t="shared" si="4"/>
        <v>6.8113725269196901E-2</v>
      </c>
      <c r="J43" s="63">
        <f t="shared" si="4"/>
        <v>7.3287419112578661E-2</v>
      </c>
      <c r="K43" s="73">
        <f t="shared" si="5"/>
        <v>1.1035484362168606E-3</v>
      </c>
      <c r="L43" s="60">
        <f t="shared" si="5"/>
        <v>1.1377052859331414E-2</v>
      </c>
      <c r="M43" s="71">
        <f t="shared" si="5"/>
        <v>1.9529069178123755E-2</v>
      </c>
      <c r="N43" s="71">
        <f t="shared" si="5"/>
        <v>2.3747771269196895E-2</v>
      </c>
      <c r="O43" s="63">
        <f t="shared" si="5"/>
        <v>2.7417593712578649E-2</v>
      </c>
      <c r="P43" s="55" t="s">
        <v>21</v>
      </c>
      <c r="Q43" s="53" t="s">
        <v>21</v>
      </c>
      <c r="R43" s="94" t="s">
        <v>21</v>
      </c>
      <c r="S43" s="71">
        <v>0</v>
      </c>
      <c r="T43" s="63">
        <f t="shared" si="6"/>
        <v>6.3037634978123758E-2</v>
      </c>
      <c r="V43" s="114">
        <v>1.1339082300000001</v>
      </c>
      <c r="W43" s="72">
        <v>2.8563367900000003</v>
      </c>
      <c r="X43" s="72">
        <v>4.3249538300000001</v>
      </c>
      <c r="Y43" s="72">
        <v>5.5281515699999995</v>
      </c>
      <c r="Z43" s="115">
        <v>6.9324200399999993</v>
      </c>
      <c r="AB43" s="73">
        <v>4.4486434836216865E-2</v>
      </c>
      <c r="AC43" s="71">
        <v>5.460874205933141E-2</v>
      </c>
      <c r="AD43" s="71">
        <v>6.3037634978123758E-2</v>
      </c>
      <c r="AE43" s="71">
        <v>6.8113725269196901E-2</v>
      </c>
      <c r="AF43" s="63">
        <v>7.3287419112578661E-2</v>
      </c>
      <c r="AG43" s="71">
        <v>1.1035484362168606E-3</v>
      </c>
      <c r="AH43" s="71">
        <v>1.1377052859331414E-2</v>
      </c>
      <c r="AI43" s="71">
        <v>1.9529069178123755E-2</v>
      </c>
      <c r="AJ43" s="71">
        <v>2.3747771269196895E-2</v>
      </c>
      <c r="AK43" s="71">
        <v>2.7417593712578649E-2</v>
      </c>
    </row>
    <row r="44" spans="2:37" x14ac:dyDescent="0.35">
      <c r="B44" s="79" t="s">
        <v>45</v>
      </c>
      <c r="C44" s="78"/>
      <c r="D44" s="78"/>
      <c r="E44" s="78"/>
      <c r="F44" s="78" t="str">
        <f t="shared" si="4"/>
        <v/>
      </c>
      <c r="G44" s="78" t="str">
        <f t="shared" si="4"/>
        <v/>
      </c>
      <c r="H44" s="78" t="str">
        <f t="shared" si="4"/>
        <v/>
      </c>
      <c r="I44" s="78" t="str">
        <f t="shared" si="4"/>
        <v/>
      </c>
      <c r="J44" s="78" t="str">
        <f t="shared" si="4"/>
        <v/>
      </c>
      <c r="K44" s="78" t="str">
        <f t="shared" si="5"/>
        <v/>
      </c>
      <c r="L44" s="78" t="str">
        <f t="shared" si="5"/>
        <v/>
      </c>
      <c r="M44" s="78" t="str">
        <f t="shared" si="5"/>
        <v/>
      </c>
      <c r="N44" s="78" t="str">
        <f t="shared" si="5"/>
        <v/>
      </c>
      <c r="O44" s="77" t="str">
        <f t="shared" si="5"/>
        <v/>
      </c>
      <c r="P44" s="79"/>
      <c r="Q44" s="78"/>
      <c r="R44" s="95"/>
      <c r="S44" s="78"/>
      <c r="T44" s="77" t="str">
        <f t="shared" si="6"/>
        <v/>
      </c>
      <c r="V44" s="112"/>
      <c r="W44" s="107"/>
      <c r="X44" s="107"/>
      <c r="Y44" s="107"/>
      <c r="Z44" s="113"/>
      <c r="AB44" s="78"/>
      <c r="AC44" s="78"/>
      <c r="AD44" s="78"/>
      <c r="AE44" s="78"/>
      <c r="AF44" s="78"/>
      <c r="AG44" s="78"/>
      <c r="AH44" s="78"/>
      <c r="AI44" s="78"/>
      <c r="AJ44" s="78"/>
      <c r="AK44" s="78"/>
    </row>
    <row r="45" spans="2:37" x14ac:dyDescent="0.35">
      <c r="B45" s="56" t="s">
        <v>46</v>
      </c>
      <c r="C45" s="66" t="s">
        <v>30</v>
      </c>
      <c r="D45" s="66" t="s">
        <v>47</v>
      </c>
      <c r="E45" s="66" t="s">
        <v>424</v>
      </c>
      <c r="F45" s="75">
        <f t="shared" si="4"/>
        <v>4.222445847407659E-2</v>
      </c>
      <c r="G45" s="80">
        <f t="shared" si="4"/>
        <v>4.8558610639050225E-2</v>
      </c>
      <c r="H45" s="80">
        <f t="shared" si="4"/>
        <v>5.3016494760313476E-2</v>
      </c>
      <c r="I45" s="80">
        <f t="shared" si="4"/>
        <v>5.6086677135647703E-2</v>
      </c>
      <c r="J45" s="62">
        <f t="shared" si="4"/>
        <v>5.9472262185270956E-2</v>
      </c>
      <c r="K45" s="75" t="str">
        <f t="shared" si="5"/>
        <v/>
      </c>
      <c r="L45" s="80">
        <f t="shared" si="5"/>
        <v>5.5831311390502208E-3</v>
      </c>
      <c r="M45" s="80">
        <f t="shared" si="5"/>
        <v>9.9840183603134829E-3</v>
      </c>
      <c r="N45" s="80">
        <f t="shared" si="5"/>
        <v>1.2320004935647704E-2</v>
      </c>
      <c r="O45" s="62">
        <f t="shared" si="5"/>
        <v>1.4273818285270959E-2</v>
      </c>
      <c r="P45" s="55" t="s">
        <v>425</v>
      </c>
      <c r="Q45" s="53" t="s">
        <v>426</v>
      </c>
      <c r="R45" s="94" t="s">
        <v>32</v>
      </c>
      <c r="S45" s="71">
        <v>5.0189979999999995E-2</v>
      </c>
      <c r="T45" s="63">
        <f t="shared" si="6"/>
        <v>2.826514760313481E-3</v>
      </c>
      <c r="V45" s="118">
        <v>1.1362903099999999</v>
      </c>
      <c r="W45" s="61">
        <v>2.88355118</v>
      </c>
      <c r="X45" s="61">
        <v>4.4222701500000001</v>
      </c>
      <c r="Y45" s="61">
        <v>5.7345174200000004</v>
      </c>
      <c r="Z45" s="119">
        <v>7.3475124200000002</v>
      </c>
      <c r="AB45" s="75">
        <v>4.222445847407659E-2</v>
      </c>
      <c r="AC45" s="80">
        <v>4.8558610639050225E-2</v>
      </c>
      <c r="AD45" s="80">
        <v>5.3016494760313476E-2</v>
      </c>
      <c r="AE45" s="80">
        <v>5.6086677135647703E-2</v>
      </c>
      <c r="AF45" s="62">
        <v>5.9472262185270956E-2</v>
      </c>
      <c r="AG45" s="71" t="s">
        <v>21</v>
      </c>
      <c r="AH45" s="71">
        <v>5.5831311390502208E-3</v>
      </c>
      <c r="AI45" s="71">
        <v>9.9840183603134829E-3</v>
      </c>
      <c r="AJ45" s="71">
        <v>1.2320004935647704E-2</v>
      </c>
      <c r="AK45" s="71">
        <v>1.4273818285270959E-2</v>
      </c>
    </row>
    <row r="46" spans="2:37" x14ac:dyDescent="0.35">
      <c r="B46" s="55" t="s">
        <v>46</v>
      </c>
      <c r="C46" s="53" t="s">
        <v>33</v>
      </c>
      <c r="D46" s="53" t="s">
        <v>47</v>
      </c>
      <c r="E46" s="53" t="s">
        <v>427</v>
      </c>
      <c r="F46" s="73">
        <f t="shared" si="4"/>
        <v>4.3006828124580385E-2</v>
      </c>
      <c r="G46" s="60">
        <f t="shared" si="4"/>
        <v>5.0646799487029784E-2</v>
      </c>
      <c r="H46" s="71">
        <f t="shared" si="4"/>
        <v>5.6895867190016818E-2</v>
      </c>
      <c r="I46" s="71">
        <f t="shared" si="4"/>
        <v>6.0574033992299652E-2</v>
      </c>
      <c r="J46" s="63">
        <f t="shared" si="4"/>
        <v>6.4083718638512713E-2</v>
      </c>
      <c r="K46" s="73" t="str">
        <f t="shared" si="5"/>
        <v/>
      </c>
      <c r="L46" s="60">
        <f t="shared" si="5"/>
        <v>7.5576128870297804E-3</v>
      </c>
      <c r="M46" s="71">
        <f t="shared" si="5"/>
        <v>1.3643626090016819E-2</v>
      </c>
      <c r="N46" s="71">
        <f t="shared" si="5"/>
        <v>1.6545742092299642E-2</v>
      </c>
      <c r="O46" s="63">
        <f t="shared" si="5"/>
        <v>1.8638131938512714E-2</v>
      </c>
      <c r="P46" s="55" t="s">
        <v>21</v>
      </c>
      <c r="Q46" s="53" t="s">
        <v>21</v>
      </c>
      <c r="R46" s="94" t="s">
        <v>21</v>
      </c>
      <c r="S46" s="71">
        <v>0</v>
      </c>
      <c r="T46" s="63">
        <f t="shared" si="6"/>
        <v>5.6895867190016818E-2</v>
      </c>
      <c r="V46" s="114">
        <v>1.13481107</v>
      </c>
      <c r="W46" s="72">
        <v>2.8681767000000002</v>
      </c>
      <c r="X46" s="72">
        <v>4.3653911299999999</v>
      </c>
      <c r="Y46" s="72">
        <v>5.6132126600000003</v>
      </c>
      <c r="Z46" s="115">
        <v>7.1153858300000001</v>
      </c>
      <c r="AB46" s="73">
        <v>4.3006828124580385E-2</v>
      </c>
      <c r="AC46" s="71">
        <v>5.0646799487029784E-2</v>
      </c>
      <c r="AD46" s="71">
        <v>5.6895867190016818E-2</v>
      </c>
      <c r="AE46" s="71">
        <v>6.0574033992299652E-2</v>
      </c>
      <c r="AF46" s="63">
        <v>6.4083718638512713E-2</v>
      </c>
      <c r="AG46" s="71" t="s">
        <v>21</v>
      </c>
      <c r="AH46" s="71">
        <v>7.5576128870297804E-3</v>
      </c>
      <c r="AI46" s="71">
        <v>1.3643626090016819E-2</v>
      </c>
      <c r="AJ46" s="71">
        <v>1.6545742092299642E-2</v>
      </c>
      <c r="AK46" s="71">
        <v>1.8638131938512714E-2</v>
      </c>
    </row>
    <row r="47" spans="2:37" x14ac:dyDescent="0.35">
      <c r="B47" s="57" t="s">
        <v>46</v>
      </c>
      <c r="C47" s="67" t="s">
        <v>35</v>
      </c>
      <c r="D47" s="67" t="s">
        <v>47</v>
      </c>
      <c r="E47" s="67" t="s">
        <v>21</v>
      </c>
      <c r="F47" s="74">
        <f t="shared" si="4"/>
        <v>4.4236281861538884E-2</v>
      </c>
      <c r="G47" s="76">
        <f t="shared" si="4"/>
        <v>5.3908138091320938E-2</v>
      </c>
      <c r="H47" s="76">
        <f t="shared" si="4"/>
        <v>6.2157264845199303E-2</v>
      </c>
      <c r="I47" s="76">
        <f t="shared" si="4"/>
        <v>6.7237101275663985E-2</v>
      </c>
      <c r="J47" s="64">
        <f t="shared" si="4"/>
        <v>7.157910602043234E-2</v>
      </c>
      <c r="K47" s="74">
        <f t="shared" si="5"/>
        <v>8.5231356153888434E-4</v>
      </c>
      <c r="L47" s="76">
        <f t="shared" si="5"/>
        <v>1.0705930191320935E-2</v>
      </c>
      <c r="M47" s="76">
        <f t="shared" si="5"/>
        <v>1.8698108845199311E-2</v>
      </c>
      <c r="N47" s="76">
        <f t="shared" si="5"/>
        <v>2.292400957566398E-2</v>
      </c>
      <c r="O47" s="64">
        <f t="shared" si="5"/>
        <v>2.5813305720432344E-2</v>
      </c>
      <c r="P47" s="55" t="s">
        <v>21</v>
      </c>
      <c r="Q47" s="53" t="s">
        <v>21</v>
      </c>
      <c r="R47" s="94" t="s">
        <v>21</v>
      </c>
      <c r="S47" s="71">
        <v>0</v>
      </c>
      <c r="T47" s="63">
        <f t="shared" si="6"/>
        <v>6.2157264845199303E-2</v>
      </c>
      <c r="V47" s="116">
        <v>1.1343249099999999</v>
      </c>
      <c r="W47" s="108">
        <v>2.8603323500000002</v>
      </c>
      <c r="X47" s="108">
        <v>4.3365684900000003</v>
      </c>
      <c r="Y47" s="108">
        <v>5.5491561899999997</v>
      </c>
      <c r="Z47" s="117">
        <v>6.9818319399999993</v>
      </c>
      <c r="AB47" s="74">
        <v>4.4236281861538884E-2</v>
      </c>
      <c r="AC47" s="76">
        <v>5.3908138091320938E-2</v>
      </c>
      <c r="AD47" s="76">
        <v>6.2157264845199303E-2</v>
      </c>
      <c r="AE47" s="76">
        <v>6.7237101275663985E-2</v>
      </c>
      <c r="AF47" s="64">
        <v>7.157910602043234E-2</v>
      </c>
      <c r="AG47" s="71">
        <v>8.5231356153888434E-4</v>
      </c>
      <c r="AH47" s="71">
        <v>1.0705930191320935E-2</v>
      </c>
      <c r="AI47" s="71">
        <v>1.8698108845199311E-2</v>
      </c>
      <c r="AJ47" s="71">
        <v>2.292400957566398E-2</v>
      </c>
      <c r="AK47" s="71">
        <v>2.5813305720432344E-2</v>
      </c>
    </row>
    <row r="48" spans="2:37" x14ac:dyDescent="0.35">
      <c r="B48" s="55" t="s">
        <v>49</v>
      </c>
      <c r="C48" s="53" t="s">
        <v>30</v>
      </c>
      <c r="D48" s="53" t="s">
        <v>47</v>
      </c>
      <c r="E48" s="53" t="s">
        <v>356</v>
      </c>
      <c r="F48" s="73">
        <f t="shared" si="4"/>
        <v>4.2013774005941577E-2</v>
      </c>
      <c r="G48" s="60">
        <f t="shared" si="4"/>
        <v>4.7905118462256063E-2</v>
      </c>
      <c r="H48" s="71">
        <f t="shared" si="4"/>
        <v>5.226753735677523E-2</v>
      </c>
      <c r="I48" s="71">
        <f t="shared" si="4"/>
        <v>5.4772498621043261E-2</v>
      </c>
      <c r="J48" s="63">
        <f t="shared" si="4"/>
        <v>5.8260567132181862E-2</v>
      </c>
      <c r="K48" s="73" t="str">
        <f t="shared" si="5"/>
        <v/>
      </c>
      <c r="L48" s="60">
        <f t="shared" si="5"/>
        <v>4.9644384622560649E-3</v>
      </c>
      <c r="M48" s="71">
        <f t="shared" si="5"/>
        <v>9.2755242567752316E-3</v>
      </c>
      <c r="N48" s="71">
        <f t="shared" si="5"/>
        <v>1.1076089821043258E-2</v>
      </c>
      <c r="O48" s="63">
        <f t="shared" si="5"/>
        <v>1.3118795532181857E-2</v>
      </c>
      <c r="P48" s="56" t="s">
        <v>428</v>
      </c>
      <c r="Q48" s="66" t="s">
        <v>429</v>
      </c>
      <c r="R48" s="100" t="s">
        <v>32</v>
      </c>
      <c r="S48" s="80">
        <v>5.1759090000000001E-2</v>
      </c>
      <c r="T48" s="62">
        <f t="shared" si="6"/>
        <v>5.0844735677522956E-4</v>
      </c>
      <c r="V48" s="114">
        <v>1.13668342</v>
      </c>
      <c r="W48" s="72">
        <v>2.8882641600000003</v>
      </c>
      <c r="X48" s="72">
        <v>4.4355240499999997</v>
      </c>
      <c r="Y48" s="72">
        <v>5.7662111999999999</v>
      </c>
      <c r="Z48" s="115">
        <v>7.4108874800000004</v>
      </c>
      <c r="AB48" s="73">
        <v>4.2013774005941577E-2</v>
      </c>
      <c r="AC48" s="71">
        <v>4.7905118462256063E-2</v>
      </c>
      <c r="AD48" s="71">
        <v>5.226753735677523E-2</v>
      </c>
      <c r="AE48" s="71">
        <v>5.4772498621043261E-2</v>
      </c>
      <c r="AF48" s="63">
        <v>5.8260567132181862E-2</v>
      </c>
      <c r="AG48" s="71" t="s">
        <v>21</v>
      </c>
      <c r="AH48" s="71">
        <v>4.9644384622560649E-3</v>
      </c>
      <c r="AI48" s="71">
        <v>9.2755242567752316E-3</v>
      </c>
      <c r="AJ48" s="71">
        <v>1.1076089821043258E-2</v>
      </c>
      <c r="AK48" s="71">
        <v>1.3118795532181857E-2</v>
      </c>
    </row>
    <row r="49" spans="2:37" x14ac:dyDescent="0.35">
      <c r="B49" s="55" t="s">
        <v>49</v>
      </c>
      <c r="C49" s="53" t="s">
        <v>33</v>
      </c>
      <c r="D49" s="53" t="s">
        <v>47</v>
      </c>
      <c r="E49" s="53" t="s">
        <v>276</v>
      </c>
      <c r="F49" s="73">
        <f t="shared" si="4"/>
        <v>4.2513214924323521E-2</v>
      </c>
      <c r="G49" s="60">
        <f t="shared" si="4"/>
        <v>5.0143846595155521E-2</v>
      </c>
      <c r="H49" s="71">
        <f t="shared" si="4"/>
        <v>5.5997813256880968E-2</v>
      </c>
      <c r="I49" s="71">
        <f t="shared" si="4"/>
        <v>5.9408305893525248E-2</v>
      </c>
      <c r="J49" s="63">
        <f t="shared" si="4"/>
        <v>6.319737619298231E-2</v>
      </c>
      <c r="K49" s="73" t="str">
        <f t="shared" si="5"/>
        <v/>
      </c>
      <c r="L49" s="60">
        <f t="shared" si="5"/>
        <v>7.086712995155519E-3</v>
      </c>
      <c r="M49" s="71">
        <f t="shared" si="5"/>
        <v>1.280134275688097E-2</v>
      </c>
      <c r="N49" s="71">
        <f t="shared" si="5"/>
        <v>1.5454368593525246E-2</v>
      </c>
      <c r="O49" s="63">
        <f t="shared" si="5"/>
        <v>1.7803521092982319E-2</v>
      </c>
      <c r="P49" s="55" t="s">
        <v>430</v>
      </c>
      <c r="Q49" s="53" t="s">
        <v>431</v>
      </c>
      <c r="R49" s="94" t="s">
        <v>32</v>
      </c>
      <c r="S49" s="71">
        <v>5.6466299999999997E-2</v>
      </c>
      <c r="T49" s="63">
        <f t="shared" si="6"/>
        <v>-4.6848674311902871E-4</v>
      </c>
      <c r="V49" s="114">
        <v>1.13569071</v>
      </c>
      <c r="W49" s="72">
        <v>2.8727368100000001</v>
      </c>
      <c r="X49" s="72">
        <v>4.37935243</v>
      </c>
      <c r="Y49" s="72">
        <v>5.64337029</v>
      </c>
      <c r="Z49" s="115">
        <v>7.16718454</v>
      </c>
      <c r="AB49" s="73">
        <v>4.2513214924323521E-2</v>
      </c>
      <c r="AC49" s="71">
        <v>5.0143846595155521E-2</v>
      </c>
      <c r="AD49" s="71">
        <v>5.5997813256880968E-2</v>
      </c>
      <c r="AE49" s="71">
        <v>5.9408305893525248E-2</v>
      </c>
      <c r="AF49" s="63">
        <v>6.319737619298231E-2</v>
      </c>
      <c r="AG49" s="71" t="s">
        <v>21</v>
      </c>
      <c r="AH49" s="71">
        <v>7.086712995155519E-3</v>
      </c>
      <c r="AI49" s="71">
        <v>1.280134275688097E-2</v>
      </c>
      <c r="AJ49" s="71">
        <v>1.5454368593525246E-2</v>
      </c>
      <c r="AK49" s="71">
        <v>1.7803521092982319E-2</v>
      </c>
    </row>
    <row r="50" spans="2:37" x14ac:dyDescent="0.35">
      <c r="B50" s="57" t="s">
        <v>49</v>
      </c>
      <c r="C50" s="67" t="s">
        <v>35</v>
      </c>
      <c r="D50" s="67" t="s">
        <v>47</v>
      </c>
      <c r="E50" s="67" t="s">
        <v>21</v>
      </c>
      <c r="F50" s="74">
        <f t="shared" si="4"/>
        <v>4.3874838053686395E-2</v>
      </c>
      <c r="G50" s="76">
        <f t="shared" si="4"/>
        <v>5.2932183399245172E-2</v>
      </c>
      <c r="H50" s="76">
        <f t="shared" si="4"/>
        <v>6.0582361975005973E-2</v>
      </c>
      <c r="I50" s="76">
        <f t="shared" si="4"/>
        <v>6.548502530584778E-2</v>
      </c>
      <c r="J50" s="64">
        <f t="shared" si="4"/>
        <v>7.0072673048233669E-2</v>
      </c>
      <c r="K50" s="74">
        <f t="shared" si="5"/>
        <v>5.052005536864022E-4</v>
      </c>
      <c r="L50" s="76">
        <f t="shared" si="5"/>
        <v>9.7775561992451722E-3</v>
      </c>
      <c r="M50" s="76">
        <f t="shared" si="5"/>
        <v>1.7214957475005985E-2</v>
      </c>
      <c r="N50" s="76">
        <f t="shared" si="5"/>
        <v>2.1280441305847782E-2</v>
      </c>
      <c r="O50" s="64">
        <f t="shared" si="5"/>
        <v>2.4396472948233671E-2</v>
      </c>
      <c r="P50" s="57" t="s">
        <v>21</v>
      </c>
      <c r="Q50" s="67" t="s">
        <v>21</v>
      </c>
      <c r="R50" s="96" t="s">
        <v>21</v>
      </c>
      <c r="S50" s="76">
        <v>0</v>
      </c>
      <c r="T50" s="64">
        <f t="shared" si="6"/>
        <v>6.0582361975005973E-2</v>
      </c>
      <c r="V50" s="116">
        <v>1.1348445299999999</v>
      </c>
      <c r="W50" s="108">
        <v>2.8657793099999997</v>
      </c>
      <c r="X50" s="108">
        <v>4.3552907899999997</v>
      </c>
      <c r="Y50" s="108">
        <v>5.5868856999999998</v>
      </c>
      <c r="Z50" s="117">
        <v>7.0469977700000008</v>
      </c>
      <c r="AB50" s="74">
        <v>4.3874838053686395E-2</v>
      </c>
      <c r="AC50" s="76">
        <v>5.2932183399245172E-2</v>
      </c>
      <c r="AD50" s="76">
        <v>6.0582361975005973E-2</v>
      </c>
      <c r="AE50" s="76">
        <v>6.548502530584778E-2</v>
      </c>
      <c r="AF50" s="64">
        <v>7.0072673048233669E-2</v>
      </c>
      <c r="AG50" s="76">
        <v>5.052005536864022E-4</v>
      </c>
      <c r="AH50" s="76">
        <v>9.7775561992451722E-3</v>
      </c>
      <c r="AI50" s="76">
        <v>1.7214957475005985E-2</v>
      </c>
      <c r="AJ50" s="76">
        <v>2.1280441305847782E-2</v>
      </c>
      <c r="AK50" s="76">
        <v>2.4396472948233671E-2</v>
      </c>
    </row>
    <row r="51" spans="2:37" x14ac:dyDescent="0.35">
      <c r="B51" s="56" t="s">
        <v>50</v>
      </c>
      <c r="C51" s="66" t="s">
        <v>30</v>
      </c>
      <c r="D51" s="66" t="s">
        <v>47</v>
      </c>
      <c r="E51" s="66" t="s">
        <v>181</v>
      </c>
      <c r="F51" s="75">
        <f t="shared" si="4"/>
        <v>4.1819549418272227E-2</v>
      </c>
      <c r="G51" s="80">
        <f t="shared" si="4"/>
        <v>4.7963572730263186E-2</v>
      </c>
      <c r="H51" s="80">
        <f t="shared" si="4"/>
        <v>5.2575688422330055E-2</v>
      </c>
      <c r="I51" s="80">
        <f t="shared" si="4"/>
        <v>5.5366510304915934E-2</v>
      </c>
      <c r="J51" s="62">
        <f t="shared" si="4"/>
        <v>5.8688039082212318E-2</v>
      </c>
      <c r="K51" s="75" t="str">
        <f t="shared" si="5"/>
        <v/>
      </c>
      <c r="L51" s="80">
        <f t="shared" si="5"/>
        <v>5.0205312302631817E-3</v>
      </c>
      <c r="M51" s="80">
        <f t="shared" si="5"/>
        <v>9.5678785223300492E-3</v>
      </c>
      <c r="N51" s="80">
        <f t="shared" si="5"/>
        <v>1.1639669904915936E-2</v>
      </c>
      <c r="O51" s="62">
        <f t="shared" si="5"/>
        <v>1.3528656882212324E-2</v>
      </c>
      <c r="P51" s="55" t="s">
        <v>432</v>
      </c>
      <c r="Q51" s="53" t="s">
        <v>433</v>
      </c>
      <c r="R51" s="94" t="s">
        <v>32</v>
      </c>
      <c r="S51" s="71">
        <v>5.0864560000000003E-2</v>
      </c>
      <c r="T51" s="63">
        <f t="shared" si="6"/>
        <v>1.7111284223300521E-3</v>
      </c>
      <c r="V51" s="118">
        <v>1.1370425900000001</v>
      </c>
      <c r="W51" s="61">
        <v>2.88851236</v>
      </c>
      <c r="X51" s="61">
        <v>4.43252238</v>
      </c>
      <c r="Y51" s="61">
        <v>5.7545214300000005</v>
      </c>
      <c r="Z51" s="119">
        <v>7.3868866199999994</v>
      </c>
      <c r="AB51" s="75">
        <v>4.1819549418272227E-2</v>
      </c>
      <c r="AC51" s="80">
        <v>4.7963572730263186E-2</v>
      </c>
      <c r="AD51" s="80">
        <v>5.2575688422330055E-2</v>
      </c>
      <c r="AE51" s="80">
        <v>5.5366510304915934E-2</v>
      </c>
      <c r="AF51" s="62">
        <v>5.8688039082212318E-2</v>
      </c>
      <c r="AG51" s="71" t="s">
        <v>21</v>
      </c>
      <c r="AH51" s="71">
        <v>5.0205312302631817E-3</v>
      </c>
      <c r="AI51" s="71">
        <v>9.5678785223300492E-3</v>
      </c>
      <c r="AJ51" s="71">
        <v>1.1639669904915936E-2</v>
      </c>
      <c r="AK51" s="71">
        <v>1.3528656882212324E-2</v>
      </c>
    </row>
    <row r="52" spans="2:37" x14ac:dyDescent="0.35">
      <c r="B52" s="55" t="s">
        <v>50</v>
      </c>
      <c r="C52" s="53" t="s">
        <v>33</v>
      </c>
      <c r="D52" s="53" t="s">
        <v>47</v>
      </c>
      <c r="E52" s="53" t="s">
        <v>133</v>
      </c>
      <c r="F52" s="73">
        <f t="shared" si="4"/>
        <v>4.2765561174006692E-2</v>
      </c>
      <c r="G52" s="60">
        <f t="shared" si="4"/>
        <v>5.0367515931517767E-2</v>
      </c>
      <c r="H52" s="71">
        <f t="shared" si="4"/>
        <v>5.6422600689525093E-2</v>
      </c>
      <c r="I52" s="71">
        <f t="shared" si="4"/>
        <v>6.020150711607114E-2</v>
      </c>
      <c r="J52" s="63">
        <f t="shared" si="4"/>
        <v>6.3703272027425484E-2</v>
      </c>
      <c r="K52" s="73" t="str">
        <f t="shared" si="5"/>
        <v/>
      </c>
      <c r="L52" s="60">
        <f t="shared" si="5"/>
        <v>7.2939862315177717E-3</v>
      </c>
      <c r="M52" s="71">
        <f t="shared" si="5"/>
        <v>1.3198503389525091E-2</v>
      </c>
      <c r="N52" s="71">
        <f t="shared" si="5"/>
        <v>1.6196687016071128E-2</v>
      </c>
      <c r="O52" s="63">
        <f t="shared" si="5"/>
        <v>1.8280734927425497E-2</v>
      </c>
      <c r="P52" s="55" t="s">
        <v>434</v>
      </c>
      <c r="Q52" s="53" t="s">
        <v>435</v>
      </c>
      <c r="R52" s="94" t="s">
        <v>32</v>
      </c>
      <c r="S52" s="71">
        <v>5.1435829999999995E-2</v>
      </c>
      <c r="T52" s="63">
        <f t="shared" si="6"/>
        <v>4.9867706895250982E-3</v>
      </c>
      <c r="V52" s="114">
        <v>1.1352658899999999</v>
      </c>
      <c r="W52" s="72">
        <v>2.87066219</v>
      </c>
      <c r="X52" s="72">
        <v>4.3728783299999998</v>
      </c>
      <c r="Y52" s="72">
        <v>5.6260445199999998</v>
      </c>
      <c r="Z52" s="115">
        <v>7.1363910399999995</v>
      </c>
      <c r="AB52" s="73">
        <v>4.2765561174006692E-2</v>
      </c>
      <c r="AC52" s="71">
        <v>5.0367515931517767E-2</v>
      </c>
      <c r="AD52" s="71">
        <v>5.6422600689525093E-2</v>
      </c>
      <c r="AE52" s="71">
        <v>6.020150711607114E-2</v>
      </c>
      <c r="AF52" s="63">
        <v>6.3703272027425484E-2</v>
      </c>
      <c r="AG52" s="71" t="s">
        <v>21</v>
      </c>
      <c r="AH52" s="71">
        <v>7.2939862315177717E-3</v>
      </c>
      <c r="AI52" s="71">
        <v>1.3198503389525091E-2</v>
      </c>
      <c r="AJ52" s="71">
        <v>1.6196687016071128E-2</v>
      </c>
      <c r="AK52" s="71">
        <v>1.8280734927425497E-2</v>
      </c>
    </row>
    <row r="53" spans="2:37" x14ac:dyDescent="0.35">
      <c r="B53" s="57" t="s">
        <v>50</v>
      </c>
      <c r="C53" s="67" t="s">
        <v>35</v>
      </c>
      <c r="D53" s="67" t="s">
        <v>47</v>
      </c>
      <c r="E53" s="67" t="s">
        <v>21</v>
      </c>
      <c r="F53" s="74">
        <f t="shared" si="4"/>
        <v>4.421575924073496E-2</v>
      </c>
      <c r="G53" s="76">
        <f t="shared" si="4"/>
        <v>5.3725189399603614E-2</v>
      </c>
      <c r="H53" s="76">
        <f t="shared" si="4"/>
        <v>6.1859482300942313E-2</v>
      </c>
      <c r="I53" s="76">
        <f t="shared" si="4"/>
        <v>6.6758918769473485E-2</v>
      </c>
      <c r="J53" s="64">
        <f t="shared" si="4"/>
        <v>7.1349250200650416E-2</v>
      </c>
      <c r="K53" s="74">
        <f t="shared" si="5"/>
        <v>8.3358764073495316E-4</v>
      </c>
      <c r="L53" s="76">
        <f t="shared" si="5"/>
        <v>1.0532462099603613E-2</v>
      </c>
      <c r="M53" s="76">
        <f t="shared" si="5"/>
        <v>1.8418358600942313E-2</v>
      </c>
      <c r="N53" s="76">
        <f t="shared" si="5"/>
        <v>2.247609966947349E-2</v>
      </c>
      <c r="O53" s="64">
        <f t="shared" si="5"/>
        <v>2.5596688000650434E-2</v>
      </c>
      <c r="P53" s="55" t="s">
        <v>21</v>
      </c>
      <c r="Q53" s="53" t="s">
        <v>21</v>
      </c>
      <c r="R53" s="94" t="s">
        <v>21</v>
      </c>
      <c r="S53" s="71"/>
      <c r="T53" s="63" t="str">
        <f t="shared" si="6"/>
        <v/>
      </c>
      <c r="V53" s="116">
        <v>1.1343492900000001</v>
      </c>
      <c r="W53" s="108">
        <v>2.8612243500000001</v>
      </c>
      <c r="X53" s="108">
        <v>4.3399690099999999</v>
      </c>
      <c r="Y53" s="108">
        <v>5.5575987799999993</v>
      </c>
      <c r="Z53" s="117">
        <v>6.9951914200000003</v>
      </c>
      <c r="AB53" s="74">
        <v>4.421575924073496E-2</v>
      </c>
      <c r="AC53" s="76">
        <v>5.3725189399603614E-2</v>
      </c>
      <c r="AD53" s="76">
        <v>6.1859482300942313E-2</v>
      </c>
      <c r="AE53" s="76">
        <v>6.6758918769473485E-2</v>
      </c>
      <c r="AF53" s="64">
        <v>7.1349250200650416E-2</v>
      </c>
      <c r="AG53" s="71">
        <v>8.3358764073495316E-4</v>
      </c>
      <c r="AH53" s="71">
        <v>1.0532462099603613E-2</v>
      </c>
      <c r="AI53" s="71">
        <v>1.8418358600942313E-2</v>
      </c>
      <c r="AJ53" s="71">
        <v>2.247609966947349E-2</v>
      </c>
      <c r="AK53" s="71">
        <v>2.5596688000650434E-2</v>
      </c>
    </row>
    <row r="54" spans="2:37" x14ac:dyDescent="0.35">
      <c r="B54" s="79" t="s">
        <v>51</v>
      </c>
      <c r="C54" s="78"/>
      <c r="D54" s="78"/>
      <c r="E54" s="78"/>
      <c r="F54" s="78" t="str">
        <f t="shared" si="4"/>
        <v/>
      </c>
      <c r="G54" s="78" t="str">
        <f t="shared" si="4"/>
        <v/>
      </c>
      <c r="H54" s="78" t="str">
        <f t="shared" si="4"/>
        <v/>
      </c>
      <c r="I54" s="78" t="str">
        <f t="shared" si="4"/>
        <v/>
      </c>
      <c r="J54" s="78" t="str">
        <f t="shared" si="4"/>
        <v/>
      </c>
      <c r="K54" s="78" t="str">
        <f t="shared" si="5"/>
        <v/>
      </c>
      <c r="L54" s="78" t="str">
        <f t="shared" si="5"/>
        <v/>
      </c>
      <c r="M54" s="78" t="str">
        <f t="shared" si="5"/>
        <v/>
      </c>
      <c r="N54" s="78" t="str">
        <f t="shared" si="5"/>
        <v/>
      </c>
      <c r="O54" s="77" t="str">
        <f t="shared" si="5"/>
        <v/>
      </c>
      <c r="P54" s="79"/>
      <c r="Q54" s="78"/>
      <c r="R54" s="95"/>
      <c r="S54" s="78"/>
      <c r="T54" s="77" t="str">
        <f t="shared" si="6"/>
        <v/>
      </c>
      <c r="V54" s="112"/>
      <c r="W54" s="107"/>
      <c r="X54" s="107"/>
      <c r="Y54" s="107"/>
      <c r="Z54" s="113"/>
      <c r="AB54" s="78"/>
      <c r="AC54" s="78"/>
      <c r="AD54" s="78"/>
      <c r="AE54" s="78"/>
      <c r="AF54" s="78"/>
      <c r="AG54" s="78"/>
      <c r="AH54" s="78"/>
      <c r="AI54" s="78"/>
      <c r="AJ54" s="78"/>
      <c r="AK54" s="78"/>
    </row>
    <row r="55" spans="2:37" x14ac:dyDescent="0.35">
      <c r="B55" s="56" t="s">
        <v>52</v>
      </c>
      <c r="C55" s="66" t="s">
        <v>30</v>
      </c>
      <c r="D55" s="66" t="s">
        <v>53</v>
      </c>
      <c r="E55" s="66" t="s">
        <v>57</v>
      </c>
      <c r="F55" s="75">
        <f t="shared" si="4"/>
        <v>4.3023879375792877E-2</v>
      </c>
      <c r="G55" s="80">
        <f t="shared" si="4"/>
        <v>4.8793392400513474E-2</v>
      </c>
      <c r="H55" s="80">
        <f t="shared" si="4"/>
        <v>5.2826770550503145E-2</v>
      </c>
      <c r="I55" s="80">
        <f t="shared" si="4"/>
        <v>5.5321219250498835E-2</v>
      </c>
      <c r="J55" s="62">
        <f t="shared" si="4"/>
        <v>5.8308907454419405E-2</v>
      </c>
      <c r="K55" s="75" t="str">
        <f t="shared" si="5"/>
        <v/>
      </c>
      <c r="L55" s="80">
        <f t="shared" si="5"/>
        <v>5.8061677005134781E-3</v>
      </c>
      <c r="M55" s="80">
        <f t="shared" si="5"/>
        <v>9.8048139505031405E-3</v>
      </c>
      <c r="N55" s="80">
        <f t="shared" si="5"/>
        <v>1.1594880350498835E-2</v>
      </c>
      <c r="O55" s="62">
        <f t="shared" si="5"/>
        <v>1.3163088254419399E-2</v>
      </c>
      <c r="P55" s="55" t="s">
        <v>436</v>
      </c>
      <c r="Q55" s="53" t="s">
        <v>437</v>
      </c>
      <c r="R55" s="94" t="s">
        <v>32</v>
      </c>
      <c r="S55" s="71">
        <v>4.9760689999999996E-2</v>
      </c>
      <c r="T55" s="63">
        <f t="shared" si="6"/>
        <v>3.0660805505031488E-3</v>
      </c>
      <c r="V55" s="118">
        <v>1.1347665</v>
      </c>
      <c r="W55" s="61">
        <v>2.8794971499999997</v>
      </c>
      <c r="X55" s="61">
        <v>4.4199530200000003</v>
      </c>
      <c r="Y55" s="61">
        <v>5.7434459700000007</v>
      </c>
      <c r="Z55" s="119">
        <v>7.3871535899999996</v>
      </c>
      <c r="AB55" s="75">
        <v>4.3023879375792877E-2</v>
      </c>
      <c r="AC55" s="80">
        <v>4.8793392400513474E-2</v>
      </c>
      <c r="AD55" s="80">
        <v>5.2826770550503145E-2</v>
      </c>
      <c r="AE55" s="80">
        <v>5.5321219250498835E-2</v>
      </c>
      <c r="AF55" s="62">
        <v>5.8308907454419405E-2</v>
      </c>
      <c r="AG55" s="71" t="s">
        <v>21</v>
      </c>
      <c r="AH55" s="71">
        <v>5.8061677005134781E-3</v>
      </c>
      <c r="AI55" s="71">
        <v>9.8048139505031405E-3</v>
      </c>
      <c r="AJ55" s="71">
        <v>1.1594880350498835E-2</v>
      </c>
      <c r="AK55" s="71">
        <v>1.3163088254419399E-2</v>
      </c>
    </row>
    <row r="56" spans="2:37" x14ac:dyDescent="0.35">
      <c r="B56" s="55" t="s">
        <v>52</v>
      </c>
      <c r="C56" s="53" t="s">
        <v>33</v>
      </c>
      <c r="D56" s="53" t="s">
        <v>53</v>
      </c>
      <c r="E56" s="53" t="s">
        <v>58</v>
      </c>
      <c r="F56" s="73">
        <f t="shared" si="4"/>
        <v>4.347794131135102E-2</v>
      </c>
      <c r="G56" s="60">
        <f t="shared" si="4"/>
        <v>5.0384115170426992E-2</v>
      </c>
      <c r="H56" s="71">
        <f t="shared" si="4"/>
        <v>5.6227309596958347E-2</v>
      </c>
      <c r="I56" s="71">
        <f t="shared" si="4"/>
        <v>5.953829161198286E-2</v>
      </c>
      <c r="J56" s="63">
        <f t="shared" si="4"/>
        <v>6.3012684022305143E-2</v>
      </c>
      <c r="K56" s="73">
        <f t="shared" si="5"/>
        <v>1.1619551135102699E-4</v>
      </c>
      <c r="L56" s="60">
        <f t="shared" si="5"/>
        <v>7.3097721704269928E-3</v>
      </c>
      <c r="M56" s="71">
        <f t="shared" si="5"/>
        <v>1.3014662896958346E-2</v>
      </c>
      <c r="N56" s="71">
        <f t="shared" si="5"/>
        <v>1.5573653511982859E-2</v>
      </c>
      <c r="O56" s="63">
        <f t="shared" si="5"/>
        <v>1.7626223722305143E-2</v>
      </c>
      <c r="P56" s="55" t="s">
        <v>438</v>
      </c>
      <c r="Q56" s="53" t="s">
        <v>439</v>
      </c>
      <c r="R56" s="94" t="s">
        <v>32</v>
      </c>
      <c r="S56" s="71">
        <v>5.2173030000000002E-2</v>
      </c>
      <c r="T56" s="63">
        <f t="shared" si="6"/>
        <v>4.0542795969583448E-3</v>
      </c>
      <c r="V56" s="114">
        <v>1.1339169499999999</v>
      </c>
      <c r="W56" s="72">
        <v>2.86826911</v>
      </c>
      <c r="X56" s="72">
        <v>4.3726359700000001</v>
      </c>
      <c r="Y56" s="72">
        <v>5.63517885</v>
      </c>
      <c r="Z56" s="115">
        <v>7.1638384400000001</v>
      </c>
      <c r="AB56" s="73">
        <v>4.347794131135102E-2</v>
      </c>
      <c r="AC56" s="71">
        <v>5.0384115170426992E-2</v>
      </c>
      <c r="AD56" s="71">
        <v>5.6227309596958347E-2</v>
      </c>
      <c r="AE56" s="71">
        <v>5.953829161198286E-2</v>
      </c>
      <c r="AF56" s="63">
        <v>6.3012684022305143E-2</v>
      </c>
      <c r="AG56" s="71">
        <v>1.1619551135102699E-4</v>
      </c>
      <c r="AH56" s="71">
        <v>7.3097721704269928E-3</v>
      </c>
      <c r="AI56" s="71">
        <v>1.3014662896958346E-2</v>
      </c>
      <c r="AJ56" s="71">
        <v>1.5573653511982859E-2</v>
      </c>
      <c r="AK56" s="71">
        <v>1.7626223722305143E-2</v>
      </c>
    </row>
    <row r="57" spans="2:37" x14ac:dyDescent="0.35">
      <c r="B57" s="57" t="s">
        <v>52</v>
      </c>
      <c r="C57" s="67" t="s">
        <v>35</v>
      </c>
      <c r="D57" s="67" t="s">
        <v>53</v>
      </c>
      <c r="E57" s="67" t="s">
        <v>351</v>
      </c>
      <c r="F57" s="74">
        <f t="shared" si="4"/>
        <v>4.4217256306390403E-2</v>
      </c>
      <c r="G57" s="76">
        <f t="shared" si="4"/>
        <v>5.3748336788796314E-2</v>
      </c>
      <c r="H57" s="76">
        <f t="shared" si="4"/>
        <v>6.1668787566274863E-2</v>
      </c>
      <c r="I57" s="76">
        <f t="shared" si="4"/>
        <v>6.6568359592275889E-2</v>
      </c>
      <c r="J57" s="64">
        <f t="shared" si="4"/>
        <v>7.0906977080435876E-2</v>
      </c>
      <c r="K57" s="74">
        <f t="shared" si="5"/>
        <v>8.3666840639040358E-4</v>
      </c>
      <c r="L57" s="76">
        <f t="shared" si="5"/>
        <v>1.0555239888796312E-2</v>
      </c>
      <c r="M57" s="76">
        <f t="shared" si="5"/>
        <v>1.8239349366274863E-2</v>
      </c>
      <c r="N57" s="76">
        <f t="shared" si="5"/>
        <v>2.2297697492275882E-2</v>
      </c>
      <c r="O57" s="64">
        <f t="shared" si="5"/>
        <v>2.5181288680435877E-2</v>
      </c>
      <c r="P57" s="55" t="s">
        <v>21</v>
      </c>
      <c r="Q57" s="53" t="s">
        <v>21</v>
      </c>
      <c r="R57" s="94" t="s">
        <v>21</v>
      </c>
      <c r="S57" s="71">
        <v>0</v>
      </c>
      <c r="T57" s="63">
        <f t="shared" si="6"/>
        <v>6.1668787566274863E-2</v>
      </c>
      <c r="V57" s="116">
        <v>1.1343385799999999</v>
      </c>
      <c r="W57" s="108">
        <v>2.8610954300000002</v>
      </c>
      <c r="X57" s="108">
        <v>4.3412581100000001</v>
      </c>
      <c r="Y57" s="108">
        <v>5.5611031200000003</v>
      </c>
      <c r="Z57" s="117">
        <v>7.0062999900000005</v>
      </c>
      <c r="AB57" s="74">
        <v>4.4217256306390403E-2</v>
      </c>
      <c r="AC57" s="76">
        <v>5.3748336788796314E-2</v>
      </c>
      <c r="AD57" s="76">
        <v>6.1668787566274863E-2</v>
      </c>
      <c r="AE57" s="76">
        <v>6.6568359592275889E-2</v>
      </c>
      <c r="AF57" s="64">
        <v>7.0906977080435876E-2</v>
      </c>
      <c r="AG57" s="71">
        <v>8.3666840639040358E-4</v>
      </c>
      <c r="AH57" s="71">
        <v>1.0555239888796312E-2</v>
      </c>
      <c r="AI57" s="71">
        <v>1.8239349366274863E-2</v>
      </c>
      <c r="AJ57" s="71">
        <v>2.2297697492275882E-2</v>
      </c>
      <c r="AK57" s="71">
        <v>2.5181288680435877E-2</v>
      </c>
    </row>
    <row r="58" spans="2:37" x14ac:dyDescent="0.35">
      <c r="B58" s="55" t="s">
        <v>56</v>
      </c>
      <c r="C58" s="53" t="s">
        <v>30</v>
      </c>
      <c r="D58" s="53" t="s">
        <v>53</v>
      </c>
      <c r="E58" s="53" t="s">
        <v>440</v>
      </c>
      <c r="F58" s="73">
        <f t="shared" si="4"/>
        <v>4.2625418949418577E-2</v>
      </c>
      <c r="G58" s="60">
        <f t="shared" si="4"/>
        <v>4.8727054897729973E-2</v>
      </c>
      <c r="H58" s="71">
        <f t="shared" si="4"/>
        <v>5.2820779240056494E-2</v>
      </c>
      <c r="I58" s="71">
        <f t="shared" si="4"/>
        <v>5.5508356716546629E-2</v>
      </c>
      <c r="J58" s="63">
        <f t="shared" si="4"/>
        <v>5.8318737852837407E-2</v>
      </c>
      <c r="K58" s="73" t="str">
        <f t="shared" si="5"/>
        <v/>
      </c>
      <c r="L58" s="60">
        <f t="shared" si="5"/>
        <v>5.7433781977299734E-3</v>
      </c>
      <c r="M58" s="71">
        <f t="shared" si="5"/>
        <v>9.7991653400564902E-3</v>
      </c>
      <c r="N58" s="71">
        <f t="shared" si="5"/>
        <v>1.177237681654663E-2</v>
      </c>
      <c r="O58" s="63">
        <f t="shared" si="5"/>
        <v>1.3174436052837402E-2</v>
      </c>
      <c r="P58" s="56" t="s">
        <v>441</v>
      </c>
      <c r="Q58" s="66" t="s">
        <v>442</v>
      </c>
      <c r="R58" s="100" t="s">
        <v>32</v>
      </c>
      <c r="S58" s="80">
        <v>5.7617620000000001E-2</v>
      </c>
      <c r="T58" s="62">
        <f t="shared" si="6"/>
        <v>-4.7968407599435076E-3</v>
      </c>
      <c r="V58" s="114">
        <v>1.1355204299999999</v>
      </c>
      <c r="W58" s="72">
        <v>2.8811926899999998</v>
      </c>
      <c r="X58" s="72">
        <v>4.4216855200000005</v>
      </c>
      <c r="Y58" s="72">
        <v>5.7424612899999996</v>
      </c>
      <c r="Z58" s="115">
        <v>7.3845018499999995</v>
      </c>
      <c r="AB58" s="73">
        <v>4.2625418949418577E-2</v>
      </c>
      <c r="AC58" s="71">
        <v>4.8727054897729973E-2</v>
      </c>
      <c r="AD58" s="71">
        <v>5.2820779240056494E-2</v>
      </c>
      <c r="AE58" s="71">
        <v>5.5508356716546629E-2</v>
      </c>
      <c r="AF58" s="63">
        <v>5.8318737852837407E-2</v>
      </c>
      <c r="AG58" s="71" t="s">
        <v>21</v>
      </c>
      <c r="AH58" s="71">
        <v>5.7433781977299734E-3</v>
      </c>
      <c r="AI58" s="71">
        <v>9.7991653400564902E-3</v>
      </c>
      <c r="AJ58" s="71">
        <v>1.177237681654663E-2</v>
      </c>
      <c r="AK58" s="71">
        <v>1.3174436052837402E-2</v>
      </c>
    </row>
    <row r="59" spans="2:37" x14ac:dyDescent="0.35">
      <c r="B59" s="55" t="s">
        <v>56</v>
      </c>
      <c r="C59" s="53" t="s">
        <v>33</v>
      </c>
      <c r="D59" s="53" t="s">
        <v>53</v>
      </c>
      <c r="E59" s="53" t="s">
        <v>443</v>
      </c>
      <c r="F59" s="73">
        <f t="shared" si="4"/>
        <v>4.3434135444776117E-2</v>
      </c>
      <c r="G59" s="60">
        <f t="shared" si="4"/>
        <v>5.0328769962051587E-2</v>
      </c>
      <c r="H59" s="71">
        <f t="shared" si="4"/>
        <v>5.6021509951731739E-2</v>
      </c>
      <c r="I59" s="71">
        <f t="shared" si="4"/>
        <v>5.9193193092612797E-2</v>
      </c>
      <c r="J59" s="63">
        <f t="shared" si="4"/>
        <v>6.2565752495613983E-2</v>
      </c>
      <c r="K59" s="73">
        <f t="shared" si="5"/>
        <v>7.3163944776121273E-5</v>
      </c>
      <c r="L59" s="60">
        <f t="shared" si="5"/>
        <v>7.2568769620515831E-3</v>
      </c>
      <c r="M59" s="71">
        <f t="shared" si="5"/>
        <v>1.2820352351731741E-2</v>
      </c>
      <c r="N59" s="71">
        <f t="shared" si="5"/>
        <v>1.5248893392612796E-2</v>
      </c>
      <c r="O59" s="63">
        <f t="shared" si="5"/>
        <v>1.720342589561397E-2</v>
      </c>
      <c r="P59" s="55" t="s">
        <v>444</v>
      </c>
      <c r="Q59" s="53" t="s">
        <v>445</v>
      </c>
      <c r="R59" s="94" t="s">
        <v>32</v>
      </c>
      <c r="S59" s="71">
        <v>5.2849279999999998E-2</v>
      </c>
      <c r="T59" s="63">
        <f t="shared" si="6"/>
        <v>3.1722299517317407E-3</v>
      </c>
      <c r="V59" s="114">
        <v>1.1340077400000002</v>
      </c>
      <c r="W59" s="72">
        <v>2.8687660899999998</v>
      </c>
      <c r="X59" s="72">
        <v>4.3752310200000002</v>
      </c>
      <c r="Y59" s="72">
        <v>5.6426427500000003</v>
      </c>
      <c r="Z59" s="115">
        <v>7.1821636499999997</v>
      </c>
      <c r="AB59" s="73">
        <v>4.3434135444776117E-2</v>
      </c>
      <c r="AC59" s="71">
        <v>5.0328769962051587E-2</v>
      </c>
      <c r="AD59" s="71">
        <v>5.6021509951731739E-2</v>
      </c>
      <c r="AE59" s="71">
        <v>5.9193193092612797E-2</v>
      </c>
      <c r="AF59" s="63">
        <v>6.2565752495613983E-2</v>
      </c>
      <c r="AG59" s="71">
        <v>7.3163944776121273E-5</v>
      </c>
      <c r="AH59" s="71">
        <v>7.2568769620515831E-3</v>
      </c>
      <c r="AI59" s="71">
        <v>1.2820352351731741E-2</v>
      </c>
      <c r="AJ59" s="71">
        <v>1.5248893392612796E-2</v>
      </c>
      <c r="AK59" s="71">
        <v>1.720342589561397E-2</v>
      </c>
    </row>
    <row r="60" spans="2:37" x14ac:dyDescent="0.35">
      <c r="B60" s="55" t="s">
        <v>56</v>
      </c>
      <c r="C60" s="53" t="s">
        <v>35</v>
      </c>
      <c r="D60" s="53" t="s">
        <v>53</v>
      </c>
      <c r="E60" s="53" t="s">
        <v>54</v>
      </c>
      <c r="F60" s="73">
        <f t="shared" si="4"/>
        <v>4.3865786812742662E-2</v>
      </c>
      <c r="G60" s="60">
        <f t="shared" si="4"/>
        <v>5.2937680095868314E-2</v>
      </c>
      <c r="H60" s="71">
        <f t="shared" si="4"/>
        <v>6.0387695054824803E-2</v>
      </c>
      <c r="I60" s="71">
        <f t="shared" si="4"/>
        <v>6.5020800306607035E-2</v>
      </c>
      <c r="J60" s="63">
        <f t="shared" si="4"/>
        <v>6.9436526722525857E-2</v>
      </c>
      <c r="K60" s="73">
        <f t="shared" si="5"/>
        <v>5.022969127426646E-4</v>
      </c>
      <c r="L60" s="60">
        <f t="shared" si="5"/>
        <v>9.7854743958683127E-3</v>
      </c>
      <c r="M60" s="71">
        <f t="shared" si="5"/>
        <v>1.7033192354824811E-2</v>
      </c>
      <c r="N60" s="71">
        <f t="shared" si="5"/>
        <v>2.0845382106607031E-2</v>
      </c>
      <c r="O60" s="63">
        <f t="shared" si="5"/>
        <v>2.3797614822525848E-2</v>
      </c>
      <c r="P60" s="57" t="s">
        <v>446</v>
      </c>
      <c r="Q60" s="67" t="s">
        <v>447</v>
      </c>
      <c r="R60" s="96" t="s">
        <v>32</v>
      </c>
      <c r="S60" s="76">
        <v>5.7704820000000004E-2</v>
      </c>
      <c r="T60" s="64">
        <f t="shared" si="6"/>
        <v>2.6828750548247987E-3</v>
      </c>
      <c r="V60" s="114">
        <v>1.13482718</v>
      </c>
      <c r="W60" s="72">
        <v>2.8657146099999999</v>
      </c>
      <c r="X60" s="72">
        <v>4.3566841600000004</v>
      </c>
      <c r="Y60" s="72">
        <v>5.5932182699999995</v>
      </c>
      <c r="Z60" s="115">
        <v>7.0653616700000006</v>
      </c>
      <c r="AB60" s="73">
        <v>4.3865786812742662E-2</v>
      </c>
      <c r="AC60" s="71">
        <v>5.2937680095868314E-2</v>
      </c>
      <c r="AD60" s="71">
        <v>6.0387695054824803E-2</v>
      </c>
      <c r="AE60" s="71">
        <v>6.5020800306607035E-2</v>
      </c>
      <c r="AF60" s="63">
        <v>6.9436526722525857E-2</v>
      </c>
      <c r="AG60" s="71">
        <v>5.022969127426646E-4</v>
      </c>
      <c r="AH60" s="71">
        <v>9.7854743958683127E-3</v>
      </c>
      <c r="AI60" s="71">
        <v>1.7033192354824811E-2</v>
      </c>
      <c r="AJ60" s="71">
        <v>2.0845382106607031E-2</v>
      </c>
      <c r="AK60" s="71">
        <v>2.3797614822525848E-2</v>
      </c>
    </row>
    <row r="61" spans="2:37" x14ac:dyDescent="0.35">
      <c r="B61" s="79" t="s">
        <v>59</v>
      </c>
      <c r="C61" s="78"/>
      <c r="D61" s="78"/>
      <c r="E61" s="78"/>
      <c r="F61" s="78" t="str">
        <f t="shared" si="4"/>
        <v/>
      </c>
      <c r="G61" s="78" t="str">
        <f t="shared" si="4"/>
        <v/>
      </c>
      <c r="H61" s="78" t="str">
        <f t="shared" si="4"/>
        <v/>
      </c>
      <c r="I61" s="78" t="str">
        <f t="shared" si="4"/>
        <v/>
      </c>
      <c r="J61" s="78" t="str">
        <f t="shared" si="4"/>
        <v/>
      </c>
      <c r="K61" s="78" t="str">
        <f t="shared" si="5"/>
        <v/>
      </c>
      <c r="L61" s="78" t="str">
        <f t="shared" si="5"/>
        <v/>
      </c>
      <c r="M61" s="78" t="str">
        <f t="shared" si="5"/>
        <v/>
      </c>
      <c r="N61" s="78" t="str">
        <f t="shared" si="5"/>
        <v/>
      </c>
      <c r="O61" s="77" t="str">
        <f t="shared" si="5"/>
        <v/>
      </c>
      <c r="P61" s="79"/>
      <c r="Q61" s="78"/>
      <c r="R61" s="95"/>
      <c r="S61" s="78"/>
      <c r="T61" s="77" t="str">
        <f t="shared" si="6"/>
        <v/>
      </c>
      <c r="V61" s="112"/>
      <c r="W61" s="107"/>
      <c r="X61" s="107"/>
      <c r="Y61" s="107"/>
      <c r="Z61" s="113"/>
      <c r="AB61" s="78"/>
      <c r="AC61" s="78"/>
      <c r="AD61" s="78"/>
      <c r="AE61" s="78"/>
      <c r="AF61" s="78"/>
      <c r="AG61" s="78"/>
      <c r="AH61" s="78"/>
      <c r="AI61" s="78"/>
      <c r="AJ61" s="78"/>
      <c r="AK61" s="78"/>
    </row>
    <row r="62" spans="2:37" x14ac:dyDescent="0.35">
      <c r="B62" s="56" t="s">
        <v>60</v>
      </c>
      <c r="C62" s="66" t="s">
        <v>61</v>
      </c>
      <c r="D62" s="66" t="s">
        <v>62</v>
      </c>
      <c r="E62" s="66" t="s">
        <v>181</v>
      </c>
      <c r="F62" s="75">
        <f t="shared" si="4"/>
        <v>4.3396763383610308E-2</v>
      </c>
      <c r="G62" s="80">
        <f t="shared" si="4"/>
        <v>4.9060444169903163E-2</v>
      </c>
      <c r="H62" s="80">
        <f t="shared" si="4"/>
        <v>5.324931523078226E-2</v>
      </c>
      <c r="I62" s="80">
        <f t="shared" si="4"/>
        <v>5.5594753299961913E-2</v>
      </c>
      <c r="J62" s="62">
        <f t="shared" si="4"/>
        <v>5.8540961539549449E-2</v>
      </c>
      <c r="K62" s="75">
        <f t="shared" si="5"/>
        <v>4.5838883610315427E-5</v>
      </c>
      <c r="L62" s="80">
        <f t="shared" si="5"/>
        <v>6.0612894699031625E-3</v>
      </c>
      <c r="M62" s="80">
        <f t="shared" si="5"/>
        <v>1.0206198430782255E-2</v>
      </c>
      <c r="N62" s="80">
        <f t="shared" si="5"/>
        <v>1.1855048599961903E-2</v>
      </c>
      <c r="O62" s="62">
        <f t="shared" si="5"/>
        <v>1.3384064139549425E-2</v>
      </c>
      <c r="P62" s="55" t="s">
        <v>448</v>
      </c>
      <c r="Q62" s="53" t="s">
        <v>449</v>
      </c>
      <c r="R62" s="94" t="s">
        <v>32</v>
      </c>
      <c r="S62" s="71">
        <v>0</v>
      </c>
      <c r="T62" s="63">
        <f t="shared" si="6"/>
        <v>5.324931523078226E-2</v>
      </c>
      <c r="V62" s="118">
        <v>1.13403012</v>
      </c>
      <c r="W62" s="61">
        <v>2.8765824799999997</v>
      </c>
      <c r="X62" s="61">
        <v>4.4124822100000003</v>
      </c>
      <c r="Y62" s="61">
        <v>5.7318186299999994</v>
      </c>
      <c r="Z62" s="119">
        <v>7.3704630600000005</v>
      </c>
      <c r="AB62" s="75">
        <v>4.3396763383610308E-2</v>
      </c>
      <c r="AC62" s="80">
        <v>4.9060444169903163E-2</v>
      </c>
      <c r="AD62" s="80">
        <v>5.324931523078226E-2</v>
      </c>
      <c r="AE62" s="80">
        <v>5.5594753299961913E-2</v>
      </c>
      <c r="AF62" s="62">
        <v>5.8540961539549449E-2</v>
      </c>
      <c r="AG62" s="71">
        <v>4.5838883610315427E-5</v>
      </c>
      <c r="AH62" s="71">
        <v>6.0612894699031625E-3</v>
      </c>
      <c r="AI62" s="71">
        <v>1.0206198430782255E-2</v>
      </c>
      <c r="AJ62" s="71">
        <v>1.1855048599961903E-2</v>
      </c>
      <c r="AK62" s="71">
        <v>1.3384064139549425E-2</v>
      </c>
    </row>
    <row r="63" spans="2:37" x14ac:dyDescent="0.35">
      <c r="B63" s="57" t="s">
        <v>60</v>
      </c>
      <c r="C63" s="67" t="s">
        <v>63</v>
      </c>
      <c r="D63" s="67" t="s">
        <v>62</v>
      </c>
      <c r="E63" s="67" t="s">
        <v>21</v>
      </c>
      <c r="F63" s="74">
        <f t="shared" si="4"/>
        <v>4.5338184071737106E-2</v>
      </c>
      <c r="G63" s="76">
        <f t="shared" si="4"/>
        <v>5.2623408142910187E-2</v>
      </c>
      <c r="H63" s="76">
        <f t="shared" si="4"/>
        <v>5.8222362501967904E-2</v>
      </c>
      <c r="I63" s="76">
        <f t="shared" si="4"/>
        <v>6.1564801066677347E-2</v>
      </c>
      <c r="J63" s="64">
        <f t="shared" si="4"/>
        <v>6.4571582304648892E-2</v>
      </c>
      <c r="K63" s="74">
        <f t="shared" si="5"/>
        <v>1.9299679717371043E-3</v>
      </c>
      <c r="L63" s="76">
        <f t="shared" si="5"/>
        <v>9.4979823429101797E-3</v>
      </c>
      <c r="M63" s="76">
        <f t="shared" si="5"/>
        <v>1.4993765201967912E-2</v>
      </c>
      <c r="N63" s="76">
        <f t="shared" si="5"/>
        <v>1.758957396667734E-2</v>
      </c>
      <c r="O63" s="64">
        <f t="shared" si="5"/>
        <v>1.9195164704648889E-2</v>
      </c>
      <c r="P63" s="55" t="s">
        <v>21</v>
      </c>
      <c r="Q63" s="53" t="s">
        <v>21</v>
      </c>
      <c r="R63" s="94" t="s">
        <v>21</v>
      </c>
      <c r="S63" s="71">
        <v>0</v>
      </c>
      <c r="T63" s="63">
        <f t="shared" si="6"/>
        <v>5.8222362501967904E-2</v>
      </c>
      <c r="V63" s="116">
        <v>1.1322801199999999</v>
      </c>
      <c r="W63" s="108">
        <v>2.8628361400000002</v>
      </c>
      <c r="X63" s="108">
        <v>4.3711791299999998</v>
      </c>
      <c r="Y63" s="108">
        <v>5.6461647500000005</v>
      </c>
      <c r="Z63" s="117">
        <v>7.2103712700000004</v>
      </c>
      <c r="AB63" s="74">
        <v>4.5338184071737106E-2</v>
      </c>
      <c r="AC63" s="76">
        <v>5.2623408142910187E-2</v>
      </c>
      <c r="AD63" s="76">
        <v>5.8222362501967904E-2</v>
      </c>
      <c r="AE63" s="76">
        <v>6.1564801066677347E-2</v>
      </c>
      <c r="AF63" s="64">
        <v>6.4571582304648892E-2</v>
      </c>
      <c r="AG63" s="71">
        <v>1.9299679717371043E-3</v>
      </c>
      <c r="AH63" s="71">
        <v>9.4979823429101797E-3</v>
      </c>
      <c r="AI63" s="71">
        <v>1.4993765201967912E-2</v>
      </c>
      <c r="AJ63" s="71">
        <v>1.758957396667734E-2</v>
      </c>
      <c r="AK63" s="71">
        <v>1.9195164704648889E-2</v>
      </c>
    </row>
    <row r="64" spans="2:37" x14ac:dyDescent="0.35">
      <c r="B64" s="56" t="s">
        <v>64</v>
      </c>
      <c r="C64" s="66" t="s">
        <v>65</v>
      </c>
      <c r="D64" s="66" t="s">
        <v>62</v>
      </c>
      <c r="E64" s="66" t="s">
        <v>181</v>
      </c>
      <c r="F64" s="75">
        <f t="shared" si="4"/>
        <v>4.2693859174548703E-2</v>
      </c>
      <c r="G64" s="80">
        <f t="shared" si="4"/>
        <v>4.945944011723237E-2</v>
      </c>
      <c r="H64" s="80">
        <f t="shared" si="4"/>
        <v>5.4852452540822209E-2</v>
      </c>
      <c r="I64" s="80">
        <f t="shared" si="4"/>
        <v>5.7756177333288139E-2</v>
      </c>
      <c r="J64" s="62">
        <f t="shared" si="4"/>
        <v>6.0725119631840588E-2</v>
      </c>
      <c r="K64" s="75" t="str">
        <f t="shared" si="5"/>
        <v/>
      </c>
      <c r="L64" s="80">
        <f t="shared" si="5"/>
        <v>6.4348157172323655E-3</v>
      </c>
      <c r="M64" s="80">
        <f t="shared" si="5"/>
        <v>1.1718143740822206E-2</v>
      </c>
      <c r="N64" s="80">
        <f t="shared" si="5"/>
        <v>1.3896443433288143E-2</v>
      </c>
      <c r="O64" s="62">
        <f t="shared" si="5"/>
        <v>1.546281973184058E-2</v>
      </c>
      <c r="P64" s="56" t="s">
        <v>21</v>
      </c>
      <c r="Q64" s="66" t="s">
        <v>21</v>
      </c>
      <c r="R64" s="100" t="s">
        <v>21</v>
      </c>
      <c r="S64" s="80">
        <v>0</v>
      </c>
      <c r="T64" s="62">
        <f t="shared" si="6"/>
        <v>5.4852452540822209E-2</v>
      </c>
      <c r="V64" s="118">
        <v>1.13541263</v>
      </c>
      <c r="W64" s="61">
        <v>2.87650133</v>
      </c>
      <c r="X64" s="61">
        <v>4.3956661800000001</v>
      </c>
      <c r="Y64" s="61">
        <v>5.6830768799999998</v>
      </c>
      <c r="Z64" s="119">
        <v>7.2656387499999999</v>
      </c>
      <c r="AB64" s="75">
        <v>4.2693859174548703E-2</v>
      </c>
      <c r="AC64" s="80">
        <v>4.945944011723237E-2</v>
      </c>
      <c r="AD64" s="80">
        <v>5.4852452540822209E-2</v>
      </c>
      <c r="AE64" s="80">
        <v>5.7756177333288139E-2</v>
      </c>
      <c r="AF64" s="62">
        <v>6.0725119631840588E-2</v>
      </c>
      <c r="AG64" s="80" t="s">
        <v>21</v>
      </c>
      <c r="AH64" s="80">
        <v>6.4348157172323655E-3</v>
      </c>
      <c r="AI64" s="80">
        <v>1.1718143740822206E-2</v>
      </c>
      <c r="AJ64" s="80">
        <v>1.3896443433288143E-2</v>
      </c>
      <c r="AK64" s="80">
        <v>1.546281973184058E-2</v>
      </c>
    </row>
    <row r="65" spans="2:37" x14ac:dyDescent="0.35">
      <c r="B65" s="57" t="s">
        <v>64</v>
      </c>
      <c r="C65" s="67" t="s">
        <v>66</v>
      </c>
      <c r="D65" s="67" t="s">
        <v>62</v>
      </c>
      <c r="E65" s="67" t="s">
        <v>21</v>
      </c>
      <c r="F65" s="74">
        <f t="shared" si="4"/>
        <v>4.3941668609583144E-2</v>
      </c>
      <c r="G65" s="76">
        <f t="shared" si="4"/>
        <v>5.2311300015725509E-2</v>
      </c>
      <c r="H65" s="76">
        <f t="shared" si="4"/>
        <v>5.9400383160021906E-2</v>
      </c>
      <c r="I65" s="76">
        <f t="shared" si="4"/>
        <v>6.2672148943045014E-2</v>
      </c>
      <c r="J65" s="64">
        <f t="shared" si="4"/>
        <v>6.655775182533108E-2</v>
      </c>
      <c r="K65" s="74">
        <f t="shared" si="5"/>
        <v>5.8222240958314027E-4</v>
      </c>
      <c r="L65" s="76">
        <f t="shared" si="5"/>
        <v>9.192570515725515E-3</v>
      </c>
      <c r="M65" s="76">
        <f t="shared" si="5"/>
        <v>1.6103349460021923E-2</v>
      </c>
      <c r="N65" s="76">
        <f t="shared" si="5"/>
        <v>1.8633349043045005E-2</v>
      </c>
      <c r="O65" s="64">
        <f t="shared" si="5"/>
        <v>2.1076736925331078E-2</v>
      </c>
      <c r="P65" s="57" t="s">
        <v>21</v>
      </c>
      <c r="Q65" s="67" t="s">
        <v>21</v>
      </c>
      <c r="R65" s="96" t="s">
        <v>21</v>
      </c>
      <c r="S65" s="76"/>
      <c r="T65" s="64" t="str">
        <f t="shared" si="6"/>
        <v/>
      </c>
      <c r="V65" s="116">
        <v>1.1346812100000001</v>
      </c>
      <c r="W65" s="108">
        <v>2.8683825699999996</v>
      </c>
      <c r="X65" s="108">
        <v>4.3677909499999998</v>
      </c>
      <c r="Y65" s="108">
        <v>5.6289785000000006</v>
      </c>
      <c r="Z65" s="117">
        <v>7.1564950500000002</v>
      </c>
      <c r="AB65" s="74">
        <v>4.3941668609583144E-2</v>
      </c>
      <c r="AC65" s="76">
        <v>5.2311300015725509E-2</v>
      </c>
      <c r="AD65" s="76">
        <v>5.9400383160021906E-2</v>
      </c>
      <c r="AE65" s="76">
        <v>6.2672148943045014E-2</v>
      </c>
      <c r="AF65" s="64">
        <v>6.655775182533108E-2</v>
      </c>
      <c r="AG65" s="76">
        <v>5.8222240958314027E-4</v>
      </c>
      <c r="AH65" s="76">
        <v>9.192570515725515E-3</v>
      </c>
      <c r="AI65" s="76">
        <v>1.6103349460021923E-2</v>
      </c>
      <c r="AJ65" s="76">
        <v>1.8633349043045005E-2</v>
      </c>
      <c r="AK65" s="76">
        <v>2.1076736925331078E-2</v>
      </c>
    </row>
    <row r="66" spans="2:37" x14ac:dyDescent="0.35">
      <c r="B66" s="79" t="s">
        <v>228</v>
      </c>
      <c r="C66" s="78"/>
      <c r="D66" s="78"/>
      <c r="E66" s="78"/>
      <c r="F66" s="78" t="str">
        <f t="shared" si="4"/>
        <v/>
      </c>
      <c r="G66" s="78" t="str">
        <f t="shared" si="4"/>
        <v/>
      </c>
      <c r="H66" s="78" t="str">
        <f t="shared" si="4"/>
        <v/>
      </c>
      <c r="I66" s="78" t="str">
        <f t="shared" si="4"/>
        <v/>
      </c>
      <c r="J66" s="78" t="str">
        <f t="shared" si="4"/>
        <v/>
      </c>
      <c r="K66" s="78" t="str">
        <f t="shared" si="5"/>
        <v/>
      </c>
      <c r="L66" s="78" t="str">
        <f t="shared" si="5"/>
        <v/>
      </c>
      <c r="M66" s="78" t="str">
        <f t="shared" si="5"/>
        <v/>
      </c>
      <c r="N66" s="78" t="str">
        <f t="shared" si="5"/>
        <v/>
      </c>
      <c r="O66" s="77" t="str">
        <f t="shared" si="5"/>
        <v/>
      </c>
      <c r="P66" s="79"/>
      <c r="Q66" s="78"/>
      <c r="R66" s="95"/>
      <c r="S66" s="78"/>
      <c r="T66" s="77" t="str">
        <f t="shared" si="6"/>
        <v/>
      </c>
      <c r="V66" s="112"/>
      <c r="W66" s="107"/>
      <c r="X66" s="107"/>
      <c r="Y66" s="107"/>
      <c r="Z66" s="113"/>
      <c r="AB66" s="78"/>
      <c r="AC66" s="78"/>
      <c r="AD66" s="78"/>
      <c r="AE66" s="78"/>
      <c r="AF66" s="78"/>
      <c r="AG66" s="78"/>
      <c r="AH66" s="78"/>
      <c r="AI66" s="78"/>
      <c r="AJ66" s="78"/>
      <c r="AK66" s="78"/>
    </row>
    <row r="67" spans="2:37" x14ac:dyDescent="0.35">
      <c r="B67" s="56" t="s">
        <v>229</v>
      </c>
      <c r="C67" s="66" t="s">
        <v>61</v>
      </c>
      <c r="D67" s="66" t="s">
        <v>97</v>
      </c>
      <c r="E67" s="66" t="s">
        <v>21</v>
      </c>
      <c r="F67" s="75">
        <f t="shared" si="4"/>
        <v>4.1689642519552324E-2</v>
      </c>
      <c r="G67" s="80">
        <f t="shared" si="4"/>
        <v>4.7109262544376328E-2</v>
      </c>
      <c r="H67" s="80">
        <f t="shared" si="4"/>
        <v>5.0688942701199266E-2</v>
      </c>
      <c r="I67" s="80">
        <f t="shared" si="4"/>
        <v>5.2628805031741527E-2</v>
      </c>
      <c r="J67" s="62">
        <f t="shared" si="4"/>
        <v>5.4695794213903935E-2</v>
      </c>
      <c r="K67" s="75" t="str">
        <f t="shared" si="5"/>
        <v/>
      </c>
      <c r="L67" s="80">
        <f t="shared" si="5"/>
        <v>4.2088796443763305E-3</v>
      </c>
      <c r="M67" s="80">
        <f t="shared" si="5"/>
        <v>7.7779057011992669E-3</v>
      </c>
      <c r="N67" s="80">
        <f t="shared" si="5"/>
        <v>9.039503931741532E-3</v>
      </c>
      <c r="O67" s="62">
        <f t="shared" si="5"/>
        <v>9.7106081139039322E-3</v>
      </c>
      <c r="P67" s="55" t="s">
        <v>21</v>
      </c>
      <c r="Q67" s="53" t="s">
        <v>21</v>
      </c>
      <c r="R67" s="94" t="s">
        <v>21</v>
      </c>
      <c r="S67" s="71"/>
      <c r="T67" s="63" t="str">
        <f t="shared" si="6"/>
        <v/>
      </c>
      <c r="V67" s="118">
        <v>1.1373086699999999</v>
      </c>
      <c r="W67" s="61">
        <v>2.8942767000000003</v>
      </c>
      <c r="X67" s="61">
        <v>4.4586669199999998</v>
      </c>
      <c r="Y67" s="61">
        <v>5.82096401</v>
      </c>
      <c r="Z67" s="119">
        <v>7.5541239499999993</v>
      </c>
      <c r="AB67" s="75">
        <v>4.1689642519552324E-2</v>
      </c>
      <c r="AC67" s="80">
        <v>4.7109262544376328E-2</v>
      </c>
      <c r="AD67" s="80">
        <v>5.0688942701199266E-2</v>
      </c>
      <c r="AE67" s="80">
        <v>5.2628805031741527E-2</v>
      </c>
      <c r="AF67" s="62">
        <v>5.4695794213903935E-2</v>
      </c>
      <c r="AG67" s="71" t="s">
        <v>21</v>
      </c>
      <c r="AH67" s="71">
        <v>4.2088796443763305E-3</v>
      </c>
      <c r="AI67" s="71">
        <v>7.7779057011992669E-3</v>
      </c>
      <c r="AJ67" s="71">
        <v>9.039503931741532E-3</v>
      </c>
      <c r="AK67" s="71">
        <v>9.7106081139039322E-3</v>
      </c>
    </row>
    <row r="68" spans="2:37" x14ac:dyDescent="0.35">
      <c r="B68" s="57" t="s">
        <v>229</v>
      </c>
      <c r="C68" s="67" t="s">
        <v>63</v>
      </c>
      <c r="D68" s="67" t="s">
        <v>97</v>
      </c>
      <c r="E68" s="67" t="s">
        <v>21</v>
      </c>
      <c r="F68" s="74">
        <f t="shared" si="4"/>
        <v>4.3137350609051411E-2</v>
      </c>
      <c r="G68" s="76">
        <f t="shared" si="4"/>
        <v>5.0039527439965537E-2</v>
      </c>
      <c r="H68" s="76">
        <f t="shared" si="4"/>
        <v>5.5013559753875216E-2</v>
      </c>
      <c r="I68" s="76">
        <f t="shared" si="4"/>
        <v>5.792109518424314E-2</v>
      </c>
      <c r="J68" s="64">
        <f t="shared" si="4"/>
        <v>6.0587173735003767E-2</v>
      </c>
      <c r="K68" s="74" t="str">
        <f t="shared" si="5"/>
        <v/>
      </c>
      <c r="L68" s="76">
        <f t="shared" si="5"/>
        <v>7.0285138399655382E-3</v>
      </c>
      <c r="M68" s="76">
        <f t="shared" si="5"/>
        <v>1.1938422053875221E-2</v>
      </c>
      <c r="N68" s="76">
        <f t="shared" si="5"/>
        <v>1.4128911284243142E-2</v>
      </c>
      <c r="O68" s="64">
        <f t="shared" si="5"/>
        <v>1.5397906835003765E-2</v>
      </c>
      <c r="P68" s="55" t="s">
        <v>21</v>
      </c>
      <c r="Q68" s="53" t="s">
        <v>21</v>
      </c>
      <c r="R68" s="94" t="s">
        <v>21</v>
      </c>
      <c r="S68" s="71"/>
      <c r="T68" s="63" t="str">
        <f t="shared" si="6"/>
        <v/>
      </c>
      <c r="V68" s="116">
        <v>1.13581321</v>
      </c>
      <c r="W68" s="72">
        <v>2.8809180799999998</v>
      </c>
      <c r="X68" s="108">
        <v>4.4163519600000001</v>
      </c>
      <c r="Y68" s="108">
        <v>5.7315758699999995</v>
      </c>
      <c r="Z68" s="117">
        <v>7.3715504400000009</v>
      </c>
      <c r="AB68" s="74">
        <v>4.3137350609051411E-2</v>
      </c>
      <c r="AC68" s="76">
        <v>5.0039527439965537E-2</v>
      </c>
      <c r="AD68" s="76">
        <v>5.5013559753875216E-2</v>
      </c>
      <c r="AE68" s="76">
        <v>5.792109518424314E-2</v>
      </c>
      <c r="AF68" s="64">
        <v>6.0587173735003767E-2</v>
      </c>
      <c r="AG68" s="71" t="s">
        <v>21</v>
      </c>
      <c r="AH68" s="71">
        <v>7.0285138399655382E-3</v>
      </c>
      <c r="AI68" s="71">
        <v>1.1938422053875221E-2</v>
      </c>
      <c r="AJ68" s="71">
        <v>1.4128911284243142E-2</v>
      </c>
      <c r="AK68" s="71">
        <v>1.5397906835003765E-2</v>
      </c>
    </row>
    <row r="69" spans="2:37" x14ac:dyDescent="0.35">
      <c r="B69" s="56" t="s">
        <v>230</v>
      </c>
      <c r="C69" s="66" t="s">
        <v>65</v>
      </c>
      <c r="D69" s="66" t="s">
        <v>97</v>
      </c>
      <c r="E69" s="66" t="s">
        <v>21</v>
      </c>
      <c r="F69" s="75">
        <f t="shared" si="4"/>
        <v>4.2547096491388894E-2</v>
      </c>
      <c r="G69" s="80">
        <f t="shared" si="4"/>
        <v>4.9454709939125707E-2</v>
      </c>
      <c r="H69" s="80">
        <f t="shared" si="4"/>
        <v>5.4900323711799641E-2</v>
      </c>
      <c r="I69" s="80">
        <f t="shared" si="4"/>
        <v>5.7756615850343737E-2</v>
      </c>
      <c r="J69" s="62">
        <f t="shared" si="4"/>
        <v>6.1090050139408499E-2</v>
      </c>
      <c r="K69" s="75" t="str">
        <f t="shared" si="5"/>
        <v/>
      </c>
      <c r="L69" s="80">
        <f t="shared" si="5"/>
        <v>6.4316069391257159E-3</v>
      </c>
      <c r="M69" s="80">
        <f t="shared" si="5"/>
        <v>1.1764217911799638E-2</v>
      </c>
      <c r="N69" s="80">
        <f t="shared" si="5"/>
        <v>1.3897686450343743E-2</v>
      </c>
      <c r="O69" s="62">
        <f t="shared" si="5"/>
        <v>1.5808437339408517E-2</v>
      </c>
      <c r="P69" s="56" t="s">
        <v>21</v>
      </c>
      <c r="Q69" s="66" t="s">
        <v>21</v>
      </c>
      <c r="R69" s="100" t="s">
        <v>21</v>
      </c>
      <c r="S69" s="80">
        <v>0</v>
      </c>
      <c r="T69" s="62">
        <f t="shared" si="6"/>
        <v>5.4900323711799641E-2</v>
      </c>
      <c r="V69" s="118">
        <v>1.1356737800000001</v>
      </c>
      <c r="W69" s="61">
        <v>2.8769683099999996</v>
      </c>
      <c r="X69" s="61">
        <v>4.39560175</v>
      </c>
      <c r="Y69" s="61">
        <v>5.68284023</v>
      </c>
      <c r="Z69" s="119">
        <v>7.2574691499999995</v>
      </c>
      <c r="AB69" s="75">
        <v>4.2547096491388894E-2</v>
      </c>
      <c r="AC69" s="80">
        <v>4.9454709939125707E-2</v>
      </c>
      <c r="AD69" s="80">
        <v>5.4900323711799641E-2</v>
      </c>
      <c r="AE69" s="80">
        <v>5.7756615850343737E-2</v>
      </c>
      <c r="AF69" s="62">
        <v>6.1090050139408499E-2</v>
      </c>
      <c r="AG69" s="80" t="s">
        <v>21</v>
      </c>
      <c r="AH69" s="80">
        <v>6.4316069391257159E-3</v>
      </c>
      <c r="AI69" s="80">
        <v>1.1764217911799638E-2</v>
      </c>
      <c r="AJ69" s="80">
        <v>1.3897686450343743E-2</v>
      </c>
      <c r="AK69" s="80">
        <v>1.5808437339408517E-2</v>
      </c>
    </row>
    <row r="70" spans="2:37" x14ac:dyDescent="0.35">
      <c r="B70" s="57" t="s">
        <v>230</v>
      </c>
      <c r="C70" s="67" t="s">
        <v>66</v>
      </c>
      <c r="D70" s="67" t="s">
        <v>97</v>
      </c>
      <c r="E70" s="67" t="s">
        <v>21</v>
      </c>
      <c r="F70" s="74">
        <f t="shared" si="4"/>
        <v>4.3934863519645741E-2</v>
      </c>
      <c r="G70" s="76">
        <f t="shared" si="4"/>
        <v>5.3119989413685745E-2</v>
      </c>
      <c r="H70" s="76">
        <f t="shared" si="4"/>
        <v>6.0680351155285479E-2</v>
      </c>
      <c r="I70" s="76">
        <f t="shared" si="4"/>
        <v>6.4952304339389005E-2</v>
      </c>
      <c r="J70" s="64">
        <f t="shared" si="4"/>
        <v>6.8856830584780496E-2</v>
      </c>
      <c r="K70" s="74">
        <f t="shared" si="5"/>
        <v>5.7260351964574449E-4</v>
      </c>
      <c r="L70" s="76">
        <f t="shared" si="5"/>
        <v>9.9608163136857414E-3</v>
      </c>
      <c r="M70" s="76">
        <f t="shared" si="5"/>
        <v>1.7310571555285481E-2</v>
      </c>
      <c r="N70" s="76">
        <f t="shared" si="5"/>
        <v>2.0781812339388996E-2</v>
      </c>
      <c r="O70" s="64">
        <f t="shared" si="5"/>
        <v>2.3251175584780483E-2</v>
      </c>
      <c r="P70" s="57" t="s">
        <v>21</v>
      </c>
      <c r="Q70" s="67" t="s">
        <v>21</v>
      </c>
      <c r="R70" s="96" t="s">
        <v>21</v>
      </c>
      <c r="S70" s="76">
        <v>0</v>
      </c>
      <c r="T70" s="64">
        <f t="shared" si="6"/>
        <v>6.0680351155285479E-2</v>
      </c>
      <c r="V70" s="114">
        <v>1.13470713</v>
      </c>
      <c r="W70" s="72">
        <v>2.86465003</v>
      </c>
      <c r="X70" s="108">
        <v>4.3531262100000001</v>
      </c>
      <c r="Y70" s="108">
        <v>5.5900187299999997</v>
      </c>
      <c r="Z70" s="115">
        <v>7.0728084200000003</v>
      </c>
      <c r="AB70" s="74">
        <v>4.3934863519645741E-2</v>
      </c>
      <c r="AC70" s="76">
        <v>5.3119989413685745E-2</v>
      </c>
      <c r="AD70" s="76">
        <v>6.0680351155285479E-2</v>
      </c>
      <c r="AE70" s="76">
        <v>6.4952304339389005E-2</v>
      </c>
      <c r="AF70" s="64">
        <v>6.8856830584780496E-2</v>
      </c>
      <c r="AG70" s="76">
        <v>5.7260351964574449E-4</v>
      </c>
      <c r="AH70" s="76">
        <v>9.9608163136857414E-3</v>
      </c>
      <c r="AI70" s="76">
        <v>1.7310571555285481E-2</v>
      </c>
      <c r="AJ70" s="76">
        <v>2.0781812339388996E-2</v>
      </c>
      <c r="AK70" s="76">
        <v>2.3251175584780483E-2</v>
      </c>
    </row>
    <row r="71" spans="2:37" x14ac:dyDescent="0.35">
      <c r="B71" s="57" t="s">
        <v>308</v>
      </c>
      <c r="C71" s="67" t="s">
        <v>61</v>
      </c>
      <c r="D71" s="67" t="s">
        <v>97</v>
      </c>
      <c r="E71" s="67" t="s">
        <v>21</v>
      </c>
      <c r="F71" s="74">
        <f t="shared" si="4"/>
        <v>4.1389135934041858E-2</v>
      </c>
      <c r="G71" s="76">
        <f t="shared" si="4"/>
        <v>4.6861930155517581E-2</v>
      </c>
      <c r="H71" s="76">
        <f t="shared" si="4"/>
        <v>5.0418184608437014E-2</v>
      </c>
      <c r="I71" s="76">
        <f t="shared" si="4"/>
        <v>5.2459410669020795E-2</v>
      </c>
      <c r="J71" s="64">
        <f t="shared" si="4"/>
        <v>5.4809331611333029E-2</v>
      </c>
      <c r="K71" s="74" t="str">
        <f t="shared" si="5"/>
        <v/>
      </c>
      <c r="L71" s="76">
        <f t="shared" si="5"/>
        <v>3.9749096555175816E-3</v>
      </c>
      <c r="M71" s="76">
        <f t="shared" si="5"/>
        <v>7.5213482084370165E-3</v>
      </c>
      <c r="N71" s="76">
        <f t="shared" si="5"/>
        <v>8.8789729690207965E-3</v>
      </c>
      <c r="O71" s="64">
        <f t="shared" si="5"/>
        <v>9.8202238113330297E-3</v>
      </c>
      <c r="P71" s="57" t="s">
        <v>21</v>
      </c>
      <c r="Q71" s="67" t="s">
        <v>21</v>
      </c>
      <c r="R71" s="96" t="s">
        <v>21</v>
      </c>
      <c r="S71" s="76">
        <v>0</v>
      </c>
      <c r="T71" s="64">
        <f t="shared" si="6"/>
        <v>5.0418184608437014E-2</v>
      </c>
      <c r="V71" s="118">
        <v>1.1378683999999999</v>
      </c>
      <c r="W71" s="61">
        <v>2.8967697600000002</v>
      </c>
      <c r="X71" s="61">
        <v>4.4642253099999998</v>
      </c>
      <c r="Y71" s="61">
        <v>5.8290651100000002</v>
      </c>
      <c r="Z71" s="119">
        <v>7.5594730799999992</v>
      </c>
      <c r="AB71" s="74">
        <v>4.1389135934041858E-2</v>
      </c>
      <c r="AC71" s="76">
        <v>4.6861930155517581E-2</v>
      </c>
      <c r="AD71" s="76">
        <v>5.0418184608437014E-2</v>
      </c>
      <c r="AE71" s="76">
        <v>5.2459410669020795E-2</v>
      </c>
      <c r="AF71" s="64">
        <v>5.4809331611333029E-2</v>
      </c>
      <c r="AG71" s="76" t="s">
        <v>21</v>
      </c>
      <c r="AH71" s="76">
        <v>3.9749096555175816E-3</v>
      </c>
      <c r="AI71" s="76">
        <v>7.5213482084370165E-3</v>
      </c>
      <c r="AJ71" s="76">
        <v>8.8789729690207965E-3</v>
      </c>
      <c r="AK71" s="76">
        <v>9.8202238113330297E-3</v>
      </c>
    </row>
    <row r="72" spans="2:37" x14ac:dyDescent="0.35">
      <c r="B72" s="79" t="s">
        <v>303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7"/>
      <c r="P72" s="79"/>
      <c r="Q72" s="78"/>
      <c r="R72" s="95"/>
      <c r="S72" s="78"/>
      <c r="T72" s="77"/>
      <c r="V72" s="112"/>
      <c r="W72" s="107"/>
      <c r="X72" s="107"/>
      <c r="Y72" s="107"/>
      <c r="Z72" s="113"/>
      <c r="AB72" s="78"/>
      <c r="AC72" s="78"/>
      <c r="AD72" s="78"/>
      <c r="AE72" s="78"/>
      <c r="AF72" s="78"/>
      <c r="AG72" s="78"/>
      <c r="AH72" s="78"/>
      <c r="AI72" s="78"/>
      <c r="AJ72" s="78"/>
      <c r="AK72" s="78"/>
    </row>
    <row r="73" spans="2:37" s="137" customFormat="1" x14ac:dyDescent="0.35">
      <c r="B73" s="56" t="s">
        <v>305</v>
      </c>
      <c r="C73" s="66" t="s">
        <v>30</v>
      </c>
      <c r="D73" s="66" t="s">
        <v>306</v>
      </c>
      <c r="E73" s="66" t="s">
        <v>21</v>
      </c>
      <c r="F73" s="75">
        <f t="shared" ref="F73:J75" si="7">IF(ISNUMBER(AB73),AB73-((C$4-C$3)/V73),"")</f>
        <v>4.1773813371598613E-2</v>
      </c>
      <c r="G73" s="80">
        <f t="shared" si="7"/>
        <v>4.7540863828269941E-2</v>
      </c>
      <c r="H73" s="80">
        <f t="shared" si="7"/>
        <v>5.1324952187264954E-2</v>
      </c>
      <c r="I73" s="80">
        <f t="shared" si="7"/>
        <v>5.3888788500996654E-2</v>
      </c>
      <c r="J73" s="62">
        <f t="shared" si="7"/>
        <v>5.6798519719473389E-2</v>
      </c>
      <c r="K73" s="75" t="str">
        <f t="shared" ref="K73:O75" si="8">IF(ISNUMBER(AG73),IF(AG73-((C$4-C$3)/V73)&lt;0,"",AG73-((C$4-C$3)/V73)),"")</f>
        <v/>
      </c>
      <c r="L73" s="80">
        <f t="shared" si="8"/>
        <v>4.6188483282699399E-3</v>
      </c>
      <c r="M73" s="80">
        <f t="shared" si="8"/>
        <v>8.3817897872649552E-3</v>
      </c>
      <c r="N73" s="80">
        <f t="shared" si="8"/>
        <v>1.0237264300996652E-2</v>
      </c>
      <c r="O73" s="62">
        <f t="shared" si="8"/>
        <v>1.1724652519473404E-2</v>
      </c>
      <c r="P73" s="55" t="s">
        <v>21</v>
      </c>
      <c r="Q73" s="53" t="s">
        <v>21</v>
      </c>
      <c r="R73" s="94" t="s">
        <v>21</v>
      </c>
      <c r="S73" s="71">
        <v>0</v>
      </c>
      <c r="T73" s="63">
        <f t="shared" si="6"/>
        <v>5.1324952187264954E-2</v>
      </c>
      <c r="U73" s="55"/>
      <c r="V73" s="118">
        <v>1.13714179</v>
      </c>
      <c r="W73" s="61">
        <v>2.8913080599999996</v>
      </c>
      <c r="X73" s="61">
        <v>4.4485568799999999</v>
      </c>
      <c r="Y73" s="61">
        <v>5.7927868399999998</v>
      </c>
      <c r="Z73" s="119">
        <v>7.4725114300000008</v>
      </c>
      <c r="AB73" s="75">
        <v>4.1773813371598613E-2</v>
      </c>
      <c r="AC73" s="80">
        <v>4.7540863828269941E-2</v>
      </c>
      <c r="AD73" s="80">
        <v>5.1324952187264954E-2</v>
      </c>
      <c r="AE73" s="80">
        <v>5.3888788500996654E-2</v>
      </c>
      <c r="AF73" s="62">
        <v>5.6798519719473389E-2</v>
      </c>
      <c r="AG73" s="71" t="s">
        <v>21</v>
      </c>
      <c r="AH73" s="71">
        <v>4.6188483282699399E-3</v>
      </c>
      <c r="AI73" s="71">
        <v>8.3817897872649552E-3</v>
      </c>
      <c r="AJ73" s="71">
        <v>1.0237264300996652E-2</v>
      </c>
      <c r="AK73" s="71">
        <v>1.1724652519473404E-2</v>
      </c>
    </row>
    <row r="74" spans="2:37" s="137" customFormat="1" x14ac:dyDescent="0.35">
      <c r="B74" s="55" t="s">
        <v>305</v>
      </c>
      <c r="C74" s="67" t="s">
        <v>35</v>
      </c>
      <c r="D74" s="53" t="s">
        <v>306</v>
      </c>
      <c r="E74" s="53" t="s">
        <v>21</v>
      </c>
      <c r="F74" s="73">
        <f t="shared" si="7"/>
        <v>4.4167986105064963E-2</v>
      </c>
      <c r="G74" s="60">
        <f t="shared" si="7"/>
        <v>5.3625531390477245E-2</v>
      </c>
      <c r="H74" s="71">
        <f t="shared" si="7"/>
        <v>6.1473081683513495E-2</v>
      </c>
      <c r="I74" s="71">
        <f t="shared" si="7"/>
        <v>6.6103440102184149E-2</v>
      </c>
      <c r="J74" s="63">
        <f t="shared" si="7"/>
        <v>6.967894122888886E-2</v>
      </c>
      <c r="K74" s="73">
        <f t="shared" si="8"/>
        <v>7.8796400506496878E-4</v>
      </c>
      <c r="L74" s="60">
        <f t="shared" si="8"/>
        <v>1.0437796190477248E-2</v>
      </c>
      <c r="M74" s="71">
        <f t="shared" si="8"/>
        <v>1.8054659583513492E-2</v>
      </c>
      <c r="N74" s="71">
        <f t="shared" si="8"/>
        <v>2.1860999002184148E-2</v>
      </c>
      <c r="O74" s="63">
        <f t="shared" si="8"/>
        <v>2.4025265728888856E-2</v>
      </c>
      <c r="P74" s="55" t="s">
        <v>21</v>
      </c>
      <c r="Q74" s="53" t="s">
        <v>21</v>
      </c>
      <c r="R74" s="94" t="s">
        <v>21</v>
      </c>
      <c r="S74" s="71">
        <v>0</v>
      </c>
      <c r="T74" s="63">
        <f t="shared" si="6"/>
        <v>6.1473081683513495E-2</v>
      </c>
      <c r="U74" s="55"/>
      <c r="V74" s="114">
        <v>1.1344166500000001</v>
      </c>
      <c r="W74" s="72">
        <v>2.86180441</v>
      </c>
      <c r="X74" s="72">
        <v>4.34362154</v>
      </c>
      <c r="Y74" s="72">
        <v>5.5682817599999996</v>
      </c>
      <c r="Z74" s="115">
        <v>7.0348914699999998</v>
      </c>
      <c r="AB74" s="73">
        <v>4.4167986105064963E-2</v>
      </c>
      <c r="AC74" s="71">
        <v>5.3625531390477245E-2</v>
      </c>
      <c r="AD74" s="71">
        <v>6.1473081683513495E-2</v>
      </c>
      <c r="AE74" s="71">
        <v>6.6103440102184149E-2</v>
      </c>
      <c r="AF74" s="63">
        <v>6.967894122888886E-2</v>
      </c>
      <c r="AG74" s="71">
        <v>7.8796400506496878E-4</v>
      </c>
      <c r="AH74" s="71">
        <v>1.0437796190477248E-2</v>
      </c>
      <c r="AI74" s="71">
        <v>1.8054659583513492E-2</v>
      </c>
      <c r="AJ74" s="71">
        <v>2.1860999002184148E-2</v>
      </c>
      <c r="AK74" s="71">
        <v>2.4025265728888856E-2</v>
      </c>
    </row>
    <row r="75" spans="2:37" s="137" customFormat="1" x14ac:dyDescent="0.35">
      <c r="B75" s="57" t="s">
        <v>305</v>
      </c>
      <c r="C75" s="53" t="s">
        <v>33</v>
      </c>
      <c r="D75" s="67" t="s">
        <v>306</v>
      </c>
      <c r="E75" s="54" t="s">
        <v>21</v>
      </c>
      <c r="F75" s="74">
        <f t="shared" si="7"/>
        <v>4.2610547260014765E-2</v>
      </c>
      <c r="G75" s="76">
        <f t="shared" si="7"/>
        <v>5.0235788535065884E-2</v>
      </c>
      <c r="H75" s="76">
        <f t="shared" si="7"/>
        <v>5.6004792274127448E-2</v>
      </c>
      <c r="I75" s="76">
        <f t="shared" si="7"/>
        <v>5.9367186265158238E-2</v>
      </c>
      <c r="J75" s="64">
        <f t="shared" si="7"/>
        <v>6.2839780432477024E-2</v>
      </c>
      <c r="K75" s="74" t="str">
        <f t="shared" si="8"/>
        <v/>
      </c>
      <c r="L75" s="76">
        <f t="shared" si="8"/>
        <v>7.1723779350658882E-3</v>
      </c>
      <c r="M75" s="76">
        <f t="shared" si="8"/>
        <v>1.2806985274127445E-2</v>
      </c>
      <c r="N75" s="76">
        <f t="shared" si="8"/>
        <v>1.5414819065158234E-2</v>
      </c>
      <c r="O75" s="64">
        <f t="shared" si="8"/>
        <v>1.7465592132476997E-2</v>
      </c>
      <c r="P75" s="55" t="s">
        <v>21</v>
      </c>
      <c r="Q75" s="53" t="s">
        <v>21</v>
      </c>
      <c r="R75" s="94" t="s">
        <v>21</v>
      </c>
      <c r="S75" s="71">
        <v>0</v>
      </c>
      <c r="T75" s="63">
        <f t="shared" si="6"/>
        <v>5.6004792274127448E-2</v>
      </c>
      <c r="U75" s="55"/>
      <c r="V75" s="116">
        <v>1.1355222599999999</v>
      </c>
      <c r="W75" s="72">
        <v>2.8718919000000001</v>
      </c>
      <c r="X75" s="108">
        <v>4.3783324700000001</v>
      </c>
      <c r="Y75" s="108">
        <v>5.6430435000000001</v>
      </c>
      <c r="Z75" s="117">
        <v>7.1750410900000006</v>
      </c>
      <c r="AB75" s="74">
        <v>4.2610547260014765E-2</v>
      </c>
      <c r="AC75" s="76">
        <v>5.0235788535065884E-2</v>
      </c>
      <c r="AD75" s="76">
        <v>5.6004792274127448E-2</v>
      </c>
      <c r="AE75" s="76">
        <v>5.9367186265158238E-2</v>
      </c>
      <c r="AF75" s="64">
        <v>6.2839780432477024E-2</v>
      </c>
      <c r="AG75" s="71" t="s">
        <v>21</v>
      </c>
      <c r="AH75" s="71">
        <v>7.1723779350658882E-3</v>
      </c>
      <c r="AI75" s="71">
        <v>1.2806985274127445E-2</v>
      </c>
      <c r="AJ75" s="71">
        <v>1.5414819065158234E-2</v>
      </c>
      <c r="AK75" s="71">
        <v>1.7465592132476997E-2</v>
      </c>
    </row>
    <row r="76" spans="2:37" s="137" customFormat="1" x14ac:dyDescent="0.35">
      <c r="B76" s="79" t="s">
        <v>304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9"/>
      <c r="Q76" s="78"/>
      <c r="R76" s="95"/>
      <c r="S76" s="78"/>
      <c r="T76" s="78"/>
      <c r="U76" s="55"/>
      <c r="V76" s="112"/>
      <c r="W76" s="107"/>
      <c r="X76" s="107"/>
      <c r="Y76" s="107"/>
      <c r="Z76" s="113"/>
      <c r="AB76" s="78"/>
      <c r="AC76" s="78"/>
      <c r="AD76" s="78"/>
      <c r="AE76" s="78"/>
      <c r="AF76" s="78"/>
      <c r="AG76" s="78"/>
      <c r="AH76" s="78"/>
      <c r="AI76" s="78"/>
      <c r="AJ76" s="78"/>
      <c r="AK76" s="78"/>
    </row>
    <row r="77" spans="2:37" s="137" customFormat="1" x14ac:dyDescent="0.35">
      <c r="B77" s="56" t="s">
        <v>307</v>
      </c>
      <c r="C77" s="66" t="s">
        <v>30</v>
      </c>
      <c r="D77" s="66" t="s">
        <v>131</v>
      </c>
      <c r="E77" s="66" t="s">
        <v>21</v>
      </c>
      <c r="F77" s="75">
        <f t="shared" ref="F77:J78" si="9">IF(ISNUMBER(AB77),AB77-((C$4-C$3)/V77),"")</f>
        <v>4.1889893989657014E-2</v>
      </c>
      <c r="G77" s="80">
        <f t="shared" si="9"/>
        <v>4.7584224884849334E-2</v>
      </c>
      <c r="H77" s="80">
        <f t="shared" si="9"/>
        <v>5.143028559964781E-2</v>
      </c>
      <c r="I77" s="80">
        <f t="shared" si="9"/>
        <v>5.3750784851582092E-2</v>
      </c>
      <c r="J77" s="62">
        <f t="shared" si="9"/>
        <v>5.6231891748979704E-2</v>
      </c>
      <c r="K77" s="75" t="str">
        <f t="shared" ref="K77:O78" si="10">IF(ISNUMBER(AG77),IF(AG77-((C$4-C$3)/V77)&lt;0,"",AG77-((C$4-C$3)/V77)),"")</f>
        <v/>
      </c>
      <c r="L77" s="80">
        <f t="shared" si="10"/>
        <v>4.6601768848493364E-3</v>
      </c>
      <c r="M77" s="80">
        <f t="shared" si="10"/>
        <v>8.4818590996478069E-3</v>
      </c>
      <c r="N77" s="80">
        <f t="shared" si="10"/>
        <v>1.0106318951582097E-2</v>
      </c>
      <c r="O77" s="62">
        <f t="shared" si="10"/>
        <v>1.1182766248979709E-2</v>
      </c>
      <c r="P77" s="56" t="s">
        <v>21</v>
      </c>
      <c r="Q77" s="66" t="s">
        <v>21</v>
      </c>
      <c r="R77" s="100" t="s">
        <v>21</v>
      </c>
      <c r="S77" s="80">
        <v>0</v>
      </c>
      <c r="T77" s="62">
        <f t="shared" si="6"/>
        <v>5.143028559964781E-2</v>
      </c>
      <c r="U77" s="55"/>
      <c r="V77" s="118">
        <v>1.1369186200000001</v>
      </c>
      <c r="W77" s="61">
        <v>2.8906558700000002</v>
      </c>
      <c r="X77" s="61">
        <v>4.4468098700000001</v>
      </c>
      <c r="Y77" s="61">
        <v>5.7927665299999997</v>
      </c>
      <c r="Z77" s="119">
        <v>7.4865999099999998</v>
      </c>
      <c r="AB77" s="75">
        <v>4.1889893989657014E-2</v>
      </c>
      <c r="AC77" s="80">
        <v>4.7584224884849334E-2</v>
      </c>
      <c r="AD77" s="80">
        <v>5.143028559964781E-2</v>
      </c>
      <c r="AE77" s="80">
        <v>5.3750784851582092E-2</v>
      </c>
      <c r="AF77" s="62">
        <v>5.6231891748979704E-2</v>
      </c>
      <c r="AG77" s="80" t="s">
        <v>21</v>
      </c>
      <c r="AH77" s="80">
        <v>4.6601768848493364E-3</v>
      </c>
      <c r="AI77" s="80">
        <v>8.4818590996478069E-3</v>
      </c>
      <c r="AJ77" s="80">
        <v>1.0106318951582097E-2</v>
      </c>
      <c r="AK77" s="80">
        <v>1.1182766248979709E-2</v>
      </c>
    </row>
    <row r="78" spans="2:37" s="137" customFormat="1" x14ac:dyDescent="0.35">
      <c r="B78" s="57" t="s">
        <v>307</v>
      </c>
      <c r="C78" s="67" t="s">
        <v>35</v>
      </c>
      <c r="D78" s="67" t="s">
        <v>131</v>
      </c>
      <c r="E78" s="67" t="s">
        <v>21</v>
      </c>
      <c r="F78" s="74">
        <f t="shared" si="9"/>
        <v>4.4184744077727295E-2</v>
      </c>
      <c r="G78" s="76">
        <f t="shared" si="9"/>
        <v>5.3632182939854091E-2</v>
      </c>
      <c r="H78" s="76">
        <f t="shared" si="9"/>
        <v>6.1477480286820992E-2</v>
      </c>
      <c r="I78" s="76">
        <f t="shared" si="9"/>
        <v>6.6106891436090526E-2</v>
      </c>
      <c r="J78" s="64">
        <f t="shared" si="9"/>
        <v>7.0019529453427515E-2</v>
      </c>
      <c r="K78" s="74">
        <f t="shared" si="10"/>
        <v>7.9749107772729508E-4</v>
      </c>
      <c r="L78" s="76">
        <f t="shared" si="10"/>
        <v>1.0441057239854093E-2</v>
      </c>
      <c r="M78" s="76">
        <f t="shared" si="10"/>
        <v>1.8056560586820987E-2</v>
      </c>
      <c r="N78" s="76">
        <f t="shared" si="10"/>
        <v>2.1862364536090518E-2</v>
      </c>
      <c r="O78" s="64">
        <f t="shared" si="10"/>
        <v>2.4343994553427523E-2</v>
      </c>
      <c r="P78" s="57" t="s">
        <v>21</v>
      </c>
      <c r="Q78" s="67" t="s">
        <v>21</v>
      </c>
      <c r="R78" s="96" t="s">
        <v>21</v>
      </c>
      <c r="S78" s="76">
        <v>0</v>
      </c>
      <c r="T78" s="64">
        <f t="shared" si="6"/>
        <v>6.1477480286820992E-2</v>
      </c>
      <c r="U78" s="55"/>
      <c r="V78" s="114">
        <v>1.1344267800000001</v>
      </c>
      <c r="W78" s="72">
        <v>2.8618011000000001</v>
      </c>
      <c r="X78" s="108">
        <v>4.3436077500000003</v>
      </c>
      <c r="Y78" s="108">
        <v>5.5682588700000002</v>
      </c>
      <c r="Z78" s="115">
        <v>7.0293645099999997</v>
      </c>
      <c r="AB78" s="74">
        <v>4.4184744077727295E-2</v>
      </c>
      <c r="AC78" s="76">
        <v>5.3632182939854091E-2</v>
      </c>
      <c r="AD78" s="76">
        <v>6.1477480286820992E-2</v>
      </c>
      <c r="AE78" s="76">
        <v>6.6106891436090526E-2</v>
      </c>
      <c r="AF78" s="64">
        <v>7.0019529453427515E-2</v>
      </c>
      <c r="AG78" s="76">
        <v>7.9749107772729508E-4</v>
      </c>
      <c r="AH78" s="76">
        <v>1.0441057239854093E-2</v>
      </c>
      <c r="AI78" s="76">
        <v>1.8056560586820987E-2</v>
      </c>
      <c r="AJ78" s="76">
        <v>2.1862364536090518E-2</v>
      </c>
      <c r="AK78" s="76">
        <v>2.4343994553427523E-2</v>
      </c>
    </row>
    <row r="79" spans="2:37" x14ac:dyDescent="0.35">
      <c r="B79" s="79" t="s">
        <v>67</v>
      </c>
      <c r="C79" s="78"/>
      <c r="D79" s="78"/>
      <c r="E79" s="78"/>
      <c r="F79" s="78" t="str">
        <f t="shared" si="4"/>
        <v/>
      </c>
      <c r="G79" s="78" t="str">
        <f t="shared" si="4"/>
        <v/>
      </c>
      <c r="H79" s="78" t="str">
        <f t="shared" si="4"/>
        <v/>
      </c>
      <c r="I79" s="78" t="str">
        <f t="shared" si="4"/>
        <v/>
      </c>
      <c r="J79" s="78" t="str">
        <f t="shared" si="4"/>
        <v/>
      </c>
      <c r="K79" s="78" t="str">
        <f t="shared" si="5"/>
        <v/>
      </c>
      <c r="L79" s="78" t="str">
        <f t="shared" si="5"/>
        <v/>
      </c>
      <c r="M79" s="78" t="str">
        <f t="shared" si="5"/>
        <v/>
      </c>
      <c r="N79" s="78" t="str">
        <f t="shared" si="5"/>
        <v/>
      </c>
      <c r="O79" s="77" t="str">
        <f t="shared" si="5"/>
        <v/>
      </c>
      <c r="P79" s="79"/>
      <c r="Q79" s="78"/>
      <c r="R79" s="95"/>
      <c r="S79" s="78"/>
      <c r="T79" s="77" t="str">
        <f t="shared" si="6"/>
        <v/>
      </c>
      <c r="V79" s="112"/>
      <c r="W79" s="107"/>
      <c r="X79" s="107"/>
      <c r="Y79" s="107"/>
      <c r="Z79" s="113"/>
      <c r="AB79" s="78"/>
      <c r="AC79" s="78"/>
      <c r="AD79" s="78"/>
      <c r="AE79" s="78"/>
      <c r="AF79" s="78"/>
      <c r="AG79" s="78"/>
      <c r="AH79" s="78"/>
      <c r="AI79" s="78"/>
      <c r="AJ79" s="78"/>
      <c r="AK79" s="78"/>
    </row>
    <row r="80" spans="2:37" x14ac:dyDescent="0.35">
      <c r="B80" s="56" t="s">
        <v>68</v>
      </c>
      <c r="C80" s="66" t="s">
        <v>61</v>
      </c>
      <c r="D80" s="66" t="s">
        <v>69</v>
      </c>
      <c r="E80" s="66" t="s">
        <v>21</v>
      </c>
      <c r="F80" s="75">
        <f t="shared" si="4"/>
        <v>4.469607457962594E-2</v>
      </c>
      <c r="G80" s="80">
        <f t="shared" si="4"/>
        <v>5.0737873812534688E-2</v>
      </c>
      <c r="H80" s="80">
        <f t="shared" si="4"/>
        <v>5.549077640501611E-2</v>
      </c>
      <c r="I80" s="80">
        <f t="shared" si="4"/>
        <v>5.8094483106493802E-2</v>
      </c>
      <c r="J80" s="62">
        <f t="shared" si="4"/>
        <v>6.1058924658946322E-2</v>
      </c>
      <c r="K80" s="75">
        <f t="shared" si="5"/>
        <v>1.2767435796259413E-3</v>
      </c>
      <c r="L80" s="80">
        <f t="shared" si="5"/>
        <v>7.6451829125346949E-3</v>
      </c>
      <c r="M80" s="80">
        <f t="shared" si="5"/>
        <v>1.2321169205016101E-2</v>
      </c>
      <c r="N80" s="80">
        <f t="shared" si="5"/>
        <v>1.4214222206493795E-2</v>
      </c>
      <c r="O80" s="62">
        <f t="shared" si="5"/>
        <v>1.5773488058946326E-2</v>
      </c>
      <c r="P80" s="56" t="s">
        <v>21</v>
      </c>
      <c r="Q80" s="66" t="s">
        <v>21</v>
      </c>
      <c r="R80" s="100" t="s">
        <v>21</v>
      </c>
      <c r="S80" s="80">
        <v>0</v>
      </c>
      <c r="T80" s="62">
        <f t="shared" si="6"/>
        <v>5.549077640501611E-2</v>
      </c>
      <c r="V80" s="118">
        <v>1.1315980300000001</v>
      </c>
      <c r="W80" s="61">
        <v>2.8621592299999996</v>
      </c>
      <c r="X80" s="61">
        <v>4.3735715500000003</v>
      </c>
      <c r="Y80" s="61">
        <v>5.6574965200000005</v>
      </c>
      <c r="Z80" s="119">
        <v>7.2356661500000001</v>
      </c>
      <c r="AB80" s="75">
        <v>4.469607457962594E-2</v>
      </c>
      <c r="AC80" s="80">
        <v>5.0737873812534688E-2</v>
      </c>
      <c r="AD80" s="80">
        <v>5.549077640501611E-2</v>
      </c>
      <c r="AE80" s="80">
        <v>5.8094483106493802E-2</v>
      </c>
      <c r="AF80" s="62">
        <v>6.1058924658946322E-2</v>
      </c>
      <c r="AG80" s="80">
        <v>1.2767435796259413E-3</v>
      </c>
      <c r="AH80" s="80">
        <v>7.6451829125346949E-3</v>
      </c>
      <c r="AI80" s="80">
        <v>1.2321169205016101E-2</v>
      </c>
      <c r="AJ80" s="80">
        <v>1.4214222206493795E-2</v>
      </c>
      <c r="AK80" s="80">
        <v>1.5773488058946326E-2</v>
      </c>
    </row>
    <row r="81" spans="2:37" x14ac:dyDescent="0.35">
      <c r="B81" s="57" t="s">
        <v>68</v>
      </c>
      <c r="C81" s="67" t="s">
        <v>63</v>
      </c>
      <c r="D81" s="67" t="s">
        <v>69</v>
      </c>
      <c r="E81" s="67" t="s">
        <v>81</v>
      </c>
      <c r="F81" s="74">
        <f t="shared" si="4"/>
        <v>4.631856955611155E-2</v>
      </c>
      <c r="G81" s="76">
        <f t="shared" si="4"/>
        <v>5.3648615602142062E-2</v>
      </c>
      <c r="H81" s="76">
        <f t="shared" si="4"/>
        <v>5.8964721966746687E-2</v>
      </c>
      <c r="I81" s="76">
        <f t="shared" si="4"/>
        <v>6.1855743675276326E-2</v>
      </c>
      <c r="J81" s="64">
        <f t="shared" si="4"/>
        <v>6.4765981420625493E-2</v>
      </c>
      <c r="K81" s="74">
        <f t="shared" si="5"/>
        <v>2.8357421561115504E-3</v>
      </c>
      <c r="L81" s="76">
        <f t="shared" si="5"/>
        <v>1.0464170202142064E-2</v>
      </c>
      <c r="M81" s="76">
        <f t="shared" si="5"/>
        <v>1.5689603166746693E-2</v>
      </c>
      <c r="N81" s="76">
        <f t="shared" si="5"/>
        <v>1.7857974875276329E-2</v>
      </c>
      <c r="O81" s="64">
        <f t="shared" si="5"/>
        <v>1.9371191620625498E-2</v>
      </c>
      <c r="P81" s="57" t="s">
        <v>21</v>
      </c>
      <c r="Q81" s="67" t="s">
        <v>21</v>
      </c>
      <c r="R81" s="96" t="s">
        <v>21</v>
      </c>
      <c r="S81" s="76">
        <v>0</v>
      </c>
      <c r="T81" s="64">
        <f t="shared" si="6"/>
        <v>5.8964721966746687E-2</v>
      </c>
      <c r="V81" s="116">
        <v>1.13058178</v>
      </c>
      <c r="W81" s="108">
        <v>2.85507249</v>
      </c>
      <c r="X81" s="108">
        <v>4.3566872700000001</v>
      </c>
      <c r="Y81" s="108">
        <v>5.6286827800000001</v>
      </c>
      <c r="Z81" s="117">
        <v>7.1914171700000002</v>
      </c>
      <c r="AB81" s="74">
        <v>4.631856955611155E-2</v>
      </c>
      <c r="AC81" s="76">
        <v>5.3648615602142062E-2</v>
      </c>
      <c r="AD81" s="76">
        <v>5.8964721966746687E-2</v>
      </c>
      <c r="AE81" s="76">
        <v>6.1855743675276326E-2</v>
      </c>
      <c r="AF81" s="64">
        <v>6.4765981420625493E-2</v>
      </c>
      <c r="AG81" s="76">
        <v>2.8357421561115504E-3</v>
      </c>
      <c r="AH81" s="76">
        <v>1.0464170202142064E-2</v>
      </c>
      <c r="AI81" s="76">
        <v>1.5689603166746693E-2</v>
      </c>
      <c r="AJ81" s="76">
        <v>1.7857974875276329E-2</v>
      </c>
      <c r="AK81" s="76">
        <v>1.9371191620625498E-2</v>
      </c>
    </row>
    <row r="82" spans="2:37" x14ac:dyDescent="0.35">
      <c r="B82" s="56" t="s">
        <v>70</v>
      </c>
      <c r="C82" s="66" t="s">
        <v>65</v>
      </c>
      <c r="D82" s="66" t="s">
        <v>69</v>
      </c>
      <c r="E82" s="66" t="s">
        <v>231</v>
      </c>
      <c r="F82" s="75">
        <f t="shared" si="4"/>
        <v>4.4982326258161197E-2</v>
      </c>
      <c r="G82" s="80">
        <f t="shared" si="4"/>
        <v>5.165190078427026E-2</v>
      </c>
      <c r="H82" s="80">
        <f t="shared" si="4"/>
        <v>5.67094950113783E-2</v>
      </c>
      <c r="I82" s="80">
        <f t="shared" si="4"/>
        <v>5.9818925596590702E-2</v>
      </c>
      <c r="J82" s="62">
        <f t="shared" si="4"/>
        <v>6.310853443287151E-2</v>
      </c>
      <c r="K82" s="75">
        <f t="shared" si="5"/>
        <v>1.5497324581611946E-3</v>
      </c>
      <c r="L82" s="80">
        <f t="shared" si="5"/>
        <v>8.5102102842702608E-3</v>
      </c>
      <c r="M82" s="80">
        <f t="shared" si="5"/>
        <v>1.3470555411378281E-2</v>
      </c>
      <c r="N82" s="80">
        <f t="shared" si="5"/>
        <v>1.5837012396590692E-2</v>
      </c>
      <c r="O82" s="62">
        <f t="shared" si="5"/>
        <v>1.7712709032871515E-2</v>
      </c>
      <c r="P82" s="55" t="s">
        <v>450</v>
      </c>
      <c r="Q82" s="53" t="s">
        <v>451</v>
      </c>
      <c r="R82" s="94">
        <v>47371</v>
      </c>
      <c r="S82" s="71">
        <v>5.4605029999999999E-2</v>
      </c>
      <c r="T82" s="63">
        <f t="shared" si="6"/>
        <v>2.1044650113783009E-3</v>
      </c>
      <c r="V82" s="118">
        <v>1.1308549699999999</v>
      </c>
      <c r="W82" s="61">
        <v>2.8553059799999998</v>
      </c>
      <c r="X82" s="61">
        <v>4.35339528</v>
      </c>
      <c r="Y82" s="61">
        <v>5.6134922600000001</v>
      </c>
      <c r="Z82" s="119">
        <v>7.1428033399999995</v>
      </c>
      <c r="AB82" s="75">
        <v>4.4982326258161197E-2</v>
      </c>
      <c r="AC82" s="80">
        <v>5.165190078427026E-2</v>
      </c>
      <c r="AD82" s="80">
        <v>5.67094950113783E-2</v>
      </c>
      <c r="AE82" s="80">
        <v>5.9818925596590702E-2</v>
      </c>
      <c r="AF82" s="62">
        <v>6.310853443287151E-2</v>
      </c>
      <c r="AG82" s="71">
        <v>1.5497324581611946E-3</v>
      </c>
      <c r="AH82" s="71">
        <v>8.5102102842702608E-3</v>
      </c>
      <c r="AI82" s="71">
        <v>1.3470555411378281E-2</v>
      </c>
      <c r="AJ82" s="71">
        <v>1.5837012396590692E-2</v>
      </c>
      <c r="AK82" s="71">
        <v>1.7712709032871515E-2</v>
      </c>
    </row>
    <row r="83" spans="2:37" x14ac:dyDescent="0.35">
      <c r="B83" s="55" t="s">
        <v>70</v>
      </c>
      <c r="C83" s="53" t="s">
        <v>66</v>
      </c>
      <c r="D83" s="53" t="s">
        <v>69</v>
      </c>
      <c r="E83" s="53" t="s">
        <v>81</v>
      </c>
      <c r="F83" s="73">
        <f t="shared" si="4"/>
        <v>4.6462930676378897E-2</v>
      </c>
      <c r="G83" s="60">
        <f t="shared" si="4"/>
        <v>5.5155647657512311E-2</v>
      </c>
      <c r="H83" s="60">
        <f t="shared" si="4"/>
        <v>6.242155362963233E-2</v>
      </c>
      <c r="I83" s="60">
        <f t="shared" si="4"/>
        <v>6.6956641235373676E-2</v>
      </c>
      <c r="J83" s="63">
        <f t="shared" si="4"/>
        <v>7.0697508245880086E-2</v>
      </c>
      <c r="K83" s="73">
        <f t="shared" si="5"/>
        <v>2.968120276378907E-3</v>
      </c>
      <c r="L83" s="60">
        <f t="shared" si="5"/>
        <v>1.1894218457512307E-2</v>
      </c>
      <c r="M83" s="60">
        <f t="shared" si="5"/>
        <v>1.8948035829632344E-2</v>
      </c>
      <c r="N83" s="60">
        <f t="shared" si="5"/>
        <v>2.2660317935373681E-2</v>
      </c>
      <c r="O83" s="63">
        <f t="shared" si="5"/>
        <v>2.4979533345880107E-2</v>
      </c>
      <c r="P83" s="55" t="s">
        <v>21</v>
      </c>
      <c r="Q83" s="53" t="s">
        <v>21</v>
      </c>
      <c r="R83" s="94" t="s">
        <v>21</v>
      </c>
      <c r="S83" s="71">
        <v>0</v>
      </c>
      <c r="T83" s="63">
        <f t="shared" si="6"/>
        <v>6.242155362963233E-2</v>
      </c>
      <c r="V83" s="116">
        <v>1.1303371099999999</v>
      </c>
      <c r="W83" s="108">
        <v>2.84769812</v>
      </c>
      <c r="X83" s="108">
        <v>4.3209481799999994</v>
      </c>
      <c r="Y83" s="108">
        <v>5.5376963999999997</v>
      </c>
      <c r="Z83" s="117">
        <v>6.9888267899999992</v>
      </c>
      <c r="AB83" s="73">
        <v>4.6462930676378897E-2</v>
      </c>
      <c r="AC83" s="71">
        <v>5.5155647657512311E-2</v>
      </c>
      <c r="AD83" s="71">
        <v>6.242155362963233E-2</v>
      </c>
      <c r="AE83" s="71">
        <v>6.6956641235373676E-2</v>
      </c>
      <c r="AF83" s="63">
        <v>7.0697508245880086E-2</v>
      </c>
      <c r="AG83" s="71">
        <v>2.968120276378907E-3</v>
      </c>
      <c r="AH83" s="71">
        <v>1.1894218457512307E-2</v>
      </c>
      <c r="AI83" s="71">
        <v>1.8948035829632344E-2</v>
      </c>
      <c r="AJ83" s="71">
        <v>2.2660317935373681E-2</v>
      </c>
      <c r="AK83" s="71">
        <v>2.4979533345880107E-2</v>
      </c>
    </row>
    <row r="84" spans="2:37" x14ac:dyDescent="0.35">
      <c r="B84" s="56" t="s">
        <v>71</v>
      </c>
      <c r="C84" s="66" t="s">
        <v>61</v>
      </c>
      <c r="D84" s="66" t="s">
        <v>69</v>
      </c>
      <c r="E84" s="66" t="s">
        <v>21</v>
      </c>
      <c r="F84" s="75">
        <f t="shared" si="4"/>
        <v>4.2620444817840171E-2</v>
      </c>
      <c r="G84" s="80">
        <f t="shared" si="4"/>
        <v>4.8127220691249729E-2</v>
      </c>
      <c r="H84" s="80">
        <f t="shared" si="4"/>
        <v>5.1711677727478186E-2</v>
      </c>
      <c r="I84" s="80">
        <f t="shared" si="4"/>
        <v>5.3881665780284117E-2</v>
      </c>
      <c r="J84" s="62">
        <f t="shared" si="4"/>
        <v>5.6267752077767866E-2</v>
      </c>
      <c r="K84" s="75" t="str">
        <f t="shared" si="5"/>
        <v/>
      </c>
      <c r="L84" s="80">
        <f t="shared" si="5"/>
        <v>5.1777761912497246E-3</v>
      </c>
      <c r="M84" s="80">
        <f t="shared" si="5"/>
        <v>8.7503985274781943E-3</v>
      </c>
      <c r="N84" s="80">
        <f t="shared" si="5"/>
        <v>1.0231227580284118E-2</v>
      </c>
      <c r="O84" s="62">
        <f t="shared" si="5"/>
        <v>1.1215753377767869E-2</v>
      </c>
      <c r="P84" s="56" t="s">
        <v>21</v>
      </c>
      <c r="Q84" s="66" t="s">
        <v>21</v>
      </c>
      <c r="R84" s="100" t="s">
        <v>21</v>
      </c>
      <c r="S84" s="80">
        <v>0</v>
      </c>
      <c r="T84" s="62">
        <f t="shared" si="6"/>
        <v>5.1711677727478186E-2</v>
      </c>
      <c r="V84" s="118">
        <v>1.1354947900000001</v>
      </c>
      <c r="W84" s="61">
        <v>2.8848414299999998</v>
      </c>
      <c r="X84" s="61">
        <v>4.43741319</v>
      </c>
      <c r="Y84" s="61">
        <v>5.7818266600000001</v>
      </c>
      <c r="Z84" s="119">
        <v>7.4759395199999998</v>
      </c>
      <c r="AB84" s="75">
        <v>4.2620444817840171E-2</v>
      </c>
      <c r="AC84" s="80">
        <v>4.8127220691249729E-2</v>
      </c>
      <c r="AD84" s="80">
        <v>5.1711677727478186E-2</v>
      </c>
      <c r="AE84" s="80">
        <v>5.3881665780284117E-2</v>
      </c>
      <c r="AF84" s="62">
        <v>5.6267752077767866E-2</v>
      </c>
      <c r="AG84" s="80" t="s">
        <v>21</v>
      </c>
      <c r="AH84" s="80">
        <v>5.1777761912497246E-3</v>
      </c>
      <c r="AI84" s="80">
        <v>8.7503985274781943E-3</v>
      </c>
      <c r="AJ84" s="80">
        <v>1.0231227580284118E-2</v>
      </c>
      <c r="AK84" s="80">
        <v>1.1215753377767869E-2</v>
      </c>
    </row>
    <row r="85" spans="2:37" x14ac:dyDescent="0.35">
      <c r="B85" s="57" t="s">
        <v>71</v>
      </c>
      <c r="C85" s="67" t="s">
        <v>63</v>
      </c>
      <c r="D85" s="67" t="s">
        <v>69</v>
      </c>
      <c r="E85" s="67" t="s">
        <v>21</v>
      </c>
      <c r="F85" s="74">
        <f t="shared" si="4"/>
        <v>4.4078133165397347E-2</v>
      </c>
      <c r="G85" s="76">
        <f t="shared" si="4"/>
        <v>5.0360536196229676E-2</v>
      </c>
      <c r="H85" s="76">
        <f t="shared" si="4"/>
        <v>5.4637397046741878E-2</v>
      </c>
      <c r="I85" s="76">
        <f t="shared" si="4"/>
        <v>5.7325822231276864E-2</v>
      </c>
      <c r="J85" s="64">
        <f t="shared" si="4"/>
        <v>5.9836108353341223E-2</v>
      </c>
      <c r="K85" s="74">
        <f t="shared" si="5"/>
        <v>7.2235436539733883E-4</v>
      </c>
      <c r="L85" s="76">
        <f t="shared" si="5"/>
        <v>7.3373881962296777E-3</v>
      </c>
      <c r="M85" s="76">
        <f t="shared" si="5"/>
        <v>1.1581120446741871E-2</v>
      </c>
      <c r="N85" s="76">
        <f t="shared" si="5"/>
        <v>1.356221723127686E-2</v>
      </c>
      <c r="O85" s="64">
        <f t="shared" si="5"/>
        <v>1.4677978053341218E-2</v>
      </c>
      <c r="P85" s="57" t="s">
        <v>21</v>
      </c>
      <c r="Q85" s="67" t="s">
        <v>21</v>
      </c>
      <c r="R85" s="96" t="s">
        <v>21</v>
      </c>
      <c r="S85" s="76">
        <v>0</v>
      </c>
      <c r="T85" s="64">
        <f t="shared" si="6"/>
        <v>5.4637397046741878E-2</v>
      </c>
      <c r="V85" s="116">
        <v>1.1344378100000001</v>
      </c>
      <c r="W85" s="108">
        <v>2.8773007400000004</v>
      </c>
      <c r="X85" s="108">
        <v>4.4159953999999999</v>
      </c>
      <c r="Y85" s="108">
        <v>5.7383420100000002</v>
      </c>
      <c r="Z85" s="117">
        <v>7.3939833299999993</v>
      </c>
      <c r="AB85" s="74">
        <v>4.4078133165397347E-2</v>
      </c>
      <c r="AC85" s="76">
        <v>5.0360536196229676E-2</v>
      </c>
      <c r="AD85" s="76">
        <v>5.4637397046741878E-2</v>
      </c>
      <c r="AE85" s="76">
        <v>5.7325822231276864E-2</v>
      </c>
      <c r="AF85" s="64">
        <v>5.9836108353341223E-2</v>
      </c>
      <c r="AG85" s="76">
        <v>7.2235436539733883E-4</v>
      </c>
      <c r="AH85" s="76">
        <v>7.3373881962296777E-3</v>
      </c>
      <c r="AI85" s="76">
        <v>1.1581120446741871E-2</v>
      </c>
      <c r="AJ85" s="76">
        <v>1.356221723127686E-2</v>
      </c>
      <c r="AK85" s="76">
        <v>1.4677978053341218E-2</v>
      </c>
    </row>
    <row r="86" spans="2:37" x14ac:dyDescent="0.35">
      <c r="B86" s="55" t="s">
        <v>72</v>
      </c>
      <c r="C86" s="53" t="s">
        <v>65</v>
      </c>
      <c r="D86" s="53" t="s">
        <v>69</v>
      </c>
      <c r="E86" s="53" t="s">
        <v>34</v>
      </c>
      <c r="F86" s="73">
        <f t="shared" si="4"/>
        <v>4.2565092977630115E-2</v>
      </c>
      <c r="G86" s="60">
        <f t="shared" si="4"/>
        <v>4.9030590260034465E-2</v>
      </c>
      <c r="H86" s="60">
        <f t="shared" si="4"/>
        <v>5.4167087824268982E-2</v>
      </c>
      <c r="I86" s="60">
        <f t="shared" si="4"/>
        <v>5.6984315563884155E-2</v>
      </c>
      <c r="J86" s="63">
        <f t="shared" si="4"/>
        <v>6.0343310365229524E-2</v>
      </c>
      <c r="K86" s="73" t="str">
        <f t="shared" si="5"/>
        <v/>
      </c>
      <c r="L86" s="60">
        <f t="shared" si="5"/>
        <v>6.029598960034464E-3</v>
      </c>
      <c r="M86" s="60">
        <f t="shared" si="5"/>
        <v>1.1071560024268977E-2</v>
      </c>
      <c r="N86" s="60">
        <f t="shared" si="5"/>
        <v>1.3168524063884149E-2</v>
      </c>
      <c r="O86" s="63">
        <f t="shared" si="5"/>
        <v>1.5099928465229513E-2</v>
      </c>
      <c r="P86" s="55" t="s">
        <v>21</v>
      </c>
      <c r="Q86" s="53" t="s">
        <v>21</v>
      </c>
      <c r="R86" s="94" t="s">
        <v>21</v>
      </c>
      <c r="S86" s="71">
        <v>0</v>
      </c>
      <c r="T86" s="63">
        <f t="shared" si="6"/>
        <v>5.4167087824268982E-2</v>
      </c>
      <c r="V86" s="118">
        <v>1.1356495799999999</v>
      </c>
      <c r="W86" s="61">
        <v>2.8795457399999997</v>
      </c>
      <c r="X86" s="61">
        <v>4.4061651799999995</v>
      </c>
      <c r="Y86" s="61">
        <v>5.7046785699999996</v>
      </c>
      <c r="Z86" s="119">
        <v>7.2973741900000002</v>
      </c>
      <c r="AB86" s="73">
        <v>4.2565092977630115E-2</v>
      </c>
      <c r="AC86" s="71">
        <v>4.9030590260034465E-2</v>
      </c>
      <c r="AD86" s="71">
        <v>5.4167087824268982E-2</v>
      </c>
      <c r="AE86" s="71">
        <v>5.6984315563884155E-2</v>
      </c>
      <c r="AF86" s="63">
        <v>6.0343310365229524E-2</v>
      </c>
      <c r="AG86" s="71" t="s">
        <v>21</v>
      </c>
      <c r="AH86" s="71">
        <v>6.029598960034464E-3</v>
      </c>
      <c r="AI86" s="71">
        <v>1.1071560024268977E-2</v>
      </c>
      <c r="AJ86" s="71">
        <v>1.3168524063884149E-2</v>
      </c>
      <c r="AK86" s="71">
        <v>1.5099928465229513E-2</v>
      </c>
    </row>
    <row r="87" spans="2:37" x14ac:dyDescent="0.35">
      <c r="B87" s="57" t="s">
        <v>72</v>
      </c>
      <c r="C87" s="67" t="s">
        <v>66</v>
      </c>
      <c r="D87" s="67" t="s">
        <v>69</v>
      </c>
      <c r="E87" s="67" t="s">
        <v>36</v>
      </c>
      <c r="F87" s="74">
        <f t="shared" si="4"/>
        <v>4.3768325515611335E-2</v>
      </c>
      <c r="G87" s="76">
        <f t="shared" si="4"/>
        <v>5.2684736047588041E-2</v>
      </c>
      <c r="H87" s="76">
        <f t="shared" si="4"/>
        <v>5.9797404327996871E-2</v>
      </c>
      <c r="I87" s="76">
        <f t="shared" si="4"/>
        <v>6.3934186634857545E-2</v>
      </c>
      <c r="J87" s="64">
        <f t="shared" si="4"/>
        <v>6.7533606345565989E-2</v>
      </c>
      <c r="K87" s="74">
        <f t="shared" si="5"/>
        <v>4.1627501561133842E-4</v>
      </c>
      <c r="L87" s="76">
        <f t="shared" si="5"/>
        <v>9.548229047588043E-3</v>
      </c>
      <c r="M87" s="76">
        <f t="shared" si="5"/>
        <v>1.6478418627996864E-2</v>
      </c>
      <c r="N87" s="76">
        <f t="shared" si="5"/>
        <v>1.982421193485755E-2</v>
      </c>
      <c r="O87" s="64">
        <f t="shared" si="5"/>
        <v>2.2002952245566001E-2</v>
      </c>
      <c r="P87" s="57" t="s">
        <v>21</v>
      </c>
      <c r="Q87" s="67" t="s">
        <v>21</v>
      </c>
      <c r="R87" s="96" t="s">
        <v>21</v>
      </c>
      <c r="S87" s="76">
        <v>0</v>
      </c>
      <c r="T87" s="64">
        <f t="shared" si="6"/>
        <v>5.9797404327996871E-2</v>
      </c>
      <c r="V87" s="116">
        <v>1.1349273900000001</v>
      </c>
      <c r="W87" s="108">
        <v>2.8670576999999997</v>
      </c>
      <c r="X87" s="108">
        <v>4.3628506300000005</v>
      </c>
      <c r="Y87" s="108">
        <v>5.6109749799999999</v>
      </c>
      <c r="Z87" s="117">
        <v>7.1176998199999995</v>
      </c>
      <c r="AB87" s="74">
        <v>4.3768325515611335E-2</v>
      </c>
      <c r="AC87" s="76">
        <v>5.2684736047588041E-2</v>
      </c>
      <c r="AD87" s="76">
        <v>5.9797404327996871E-2</v>
      </c>
      <c r="AE87" s="76">
        <v>6.3934186634857545E-2</v>
      </c>
      <c r="AF87" s="64">
        <v>6.7533606345565989E-2</v>
      </c>
      <c r="AG87" s="76">
        <v>4.1627501561133842E-4</v>
      </c>
      <c r="AH87" s="76">
        <v>9.548229047588043E-3</v>
      </c>
      <c r="AI87" s="76">
        <v>1.6478418627996864E-2</v>
      </c>
      <c r="AJ87" s="76">
        <v>1.982421193485755E-2</v>
      </c>
      <c r="AK87" s="76">
        <v>2.2002952245566001E-2</v>
      </c>
    </row>
    <row r="88" spans="2:37" x14ac:dyDescent="0.35">
      <c r="B88" s="57" t="s">
        <v>74</v>
      </c>
      <c r="C88" s="67" t="s">
        <v>61</v>
      </c>
      <c r="D88" s="67" t="s">
        <v>69</v>
      </c>
      <c r="E88" s="67" t="s">
        <v>314</v>
      </c>
      <c r="F88" s="74">
        <f t="shared" si="4"/>
        <v>4.3485715931250883E-2</v>
      </c>
      <c r="G88" s="76">
        <f t="shared" si="4"/>
        <v>4.9722004329461347E-2</v>
      </c>
      <c r="H88" s="76">
        <f t="shared" si="4"/>
        <v>5.4305793059780366E-2</v>
      </c>
      <c r="I88" s="76">
        <f t="shared" si="4"/>
        <v>5.7117667278641523E-2</v>
      </c>
      <c r="J88" s="64">
        <f t="shared" si="4"/>
        <v>6.0155209930464498E-2</v>
      </c>
      <c r="K88" s="74">
        <f t="shared" si="5"/>
        <v>1.2897883125089285E-4</v>
      </c>
      <c r="L88" s="76">
        <f t="shared" si="5"/>
        <v>6.6864435294613448E-3</v>
      </c>
      <c r="M88" s="76">
        <f t="shared" si="5"/>
        <v>1.1204105859780364E-2</v>
      </c>
      <c r="N88" s="76">
        <f t="shared" si="5"/>
        <v>1.329459117864154E-2</v>
      </c>
      <c r="O88" s="64">
        <f t="shared" si="5"/>
        <v>1.4920333330464487E-2</v>
      </c>
      <c r="P88" s="57" t="s">
        <v>21</v>
      </c>
      <c r="Q88" s="67" t="s">
        <v>21</v>
      </c>
      <c r="R88" s="96" t="s">
        <v>21</v>
      </c>
      <c r="S88" s="76">
        <v>0</v>
      </c>
      <c r="T88" s="64">
        <f t="shared" si="6"/>
        <v>5.4305793059780366E-2</v>
      </c>
      <c r="V88" s="118">
        <v>1.13387069</v>
      </c>
      <c r="W88" s="61">
        <v>2.8722435900000001</v>
      </c>
      <c r="X88" s="61">
        <v>4.3965873899999997</v>
      </c>
      <c r="Y88" s="61">
        <v>5.69419509</v>
      </c>
      <c r="Z88" s="119">
        <v>7.2921679800000003</v>
      </c>
      <c r="AB88" s="74">
        <v>4.3485715931250883E-2</v>
      </c>
      <c r="AC88" s="76">
        <v>4.9722004329461347E-2</v>
      </c>
      <c r="AD88" s="76">
        <v>5.4305793059780366E-2</v>
      </c>
      <c r="AE88" s="76">
        <v>5.7117667278641523E-2</v>
      </c>
      <c r="AF88" s="64">
        <v>6.0155209930464498E-2</v>
      </c>
      <c r="AG88" s="76">
        <v>1.2897883125089285E-4</v>
      </c>
      <c r="AH88" s="76">
        <v>6.6864435294613448E-3</v>
      </c>
      <c r="AI88" s="76">
        <v>1.1204105859780364E-2</v>
      </c>
      <c r="AJ88" s="76">
        <v>1.329459117864154E-2</v>
      </c>
      <c r="AK88" s="76">
        <v>1.4920333330464487E-2</v>
      </c>
    </row>
    <row r="89" spans="2:37" x14ac:dyDescent="0.35">
      <c r="B89" s="55" t="s">
        <v>76</v>
      </c>
      <c r="C89" s="53" t="s">
        <v>65</v>
      </c>
      <c r="D89" s="53" t="s">
        <v>69</v>
      </c>
      <c r="E89" s="53" t="s">
        <v>34</v>
      </c>
      <c r="F89" s="73">
        <f t="shared" si="4"/>
        <v>4.3693693716652257E-2</v>
      </c>
      <c r="G89" s="60">
        <f t="shared" si="4"/>
        <v>5.0425015818286893E-2</v>
      </c>
      <c r="H89" s="60">
        <f t="shared" si="4"/>
        <v>5.6278656112538551E-2</v>
      </c>
      <c r="I89" s="60">
        <f t="shared" si="4"/>
        <v>5.9401088689422905E-2</v>
      </c>
      <c r="J89" s="63">
        <f t="shared" si="4"/>
        <v>6.2689127145312079E-2</v>
      </c>
      <c r="K89" s="73">
        <f t="shared" si="5"/>
        <v>3.2819661665225985E-4</v>
      </c>
      <c r="L89" s="60">
        <f t="shared" si="5"/>
        <v>7.3514622182869003E-3</v>
      </c>
      <c r="M89" s="60">
        <f t="shared" si="5"/>
        <v>1.3065200512538552E-2</v>
      </c>
      <c r="N89" s="60">
        <f t="shared" si="5"/>
        <v>1.5446396889422911E-2</v>
      </c>
      <c r="O89" s="63">
        <f t="shared" si="5"/>
        <v>1.7321497545312068E-2</v>
      </c>
      <c r="P89" s="55" t="s">
        <v>21</v>
      </c>
      <c r="Q89" s="53" t="s">
        <v>21</v>
      </c>
      <c r="R89" s="94" t="s">
        <v>21</v>
      </c>
      <c r="S89" s="71">
        <v>0</v>
      </c>
      <c r="T89" s="63">
        <f t="shared" si="6"/>
        <v>5.6278656112538551E-2</v>
      </c>
      <c r="V89" s="118">
        <v>1.1334696</v>
      </c>
      <c r="W89" s="61">
        <v>2.8672426099999999</v>
      </c>
      <c r="X89" s="61">
        <v>4.3710863900000003</v>
      </c>
      <c r="Y89" s="61">
        <v>5.6354362599999996</v>
      </c>
      <c r="Z89" s="119">
        <v>7.172136430000001</v>
      </c>
      <c r="AB89" s="73">
        <v>4.3693693716652257E-2</v>
      </c>
      <c r="AC89" s="71">
        <v>5.0425015818286893E-2</v>
      </c>
      <c r="AD89" s="71">
        <v>5.6278656112538551E-2</v>
      </c>
      <c r="AE89" s="71">
        <v>5.9401088689422905E-2</v>
      </c>
      <c r="AF89" s="63">
        <v>6.2689127145312079E-2</v>
      </c>
      <c r="AG89" s="71">
        <v>3.2819661665225985E-4</v>
      </c>
      <c r="AH89" s="71">
        <v>7.3514622182869003E-3</v>
      </c>
      <c r="AI89" s="71">
        <v>1.3065200512538552E-2</v>
      </c>
      <c r="AJ89" s="71">
        <v>1.5446396889422911E-2</v>
      </c>
      <c r="AK89" s="71">
        <v>1.7321497545312068E-2</v>
      </c>
    </row>
    <row r="90" spans="2:37" x14ac:dyDescent="0.35">
      <c r="B90" s="57" t="s">
        <v>76</v>
      </c>
      <c r="C90" s="67" t="s">
        <v>66</v>
      </c>
      <c r="D90" s="67" t="s">
        <v>69</v>
      </c>
      <c r="E90" s="67" t="s">
        <v>21</v>
      </c>
      <c r="F90" s="74">
        <f t="shared" ref="F90:J110" si="11">IF(ISNUMBER(AB90),AB90-((C$4-C$3)/V90),"")</f>
        <v>4.4771041407765749E-2</v>
      </c>
      <c r="G90" s="76">
        <f t="shared" si="11"/>
        <v>5.3976671170181213E-2</v>
      </c>
      <c r="H90" s="76">
        <f t="shared" si="11"/>
        <v>6.2050845968737361E-2</v>
      </c>
      <c r="I90" s="76">
        <f t="shared" si="11"/>
        <v>6.6414394856871825E-2</v>
      </c>
      <c r="J90" s="64">
        <f t="shared" si="11"/>
        <v>6.9906005180147751E-2</v>
      </c>
      <c r="K90" s="74">
        <f t="shared" ref="K90:O110" si="12">IF(ISNUMBER(AG90),IF(AG90-((C$4-C$3)/V90)&lt;0,"",AG90-((C$4-C$3)/V90)),"")</f>
        <v>1.3903244077657492E-3</v>
      </c>
      <c r="L90" s="76">
        <f t="shared" si="12"/>
        <v>1.0783758070181214E-2</v>
      </c>
      <c r="M90" s="76">
        <f t="shared" si="12"/>
        <v>1.8607259868737361E-2</v>
      </c>
      <c r="N90" s="76">
        <f t="shared" si="12"/>
        <v>2.2159729256871836E-2</v>
      </c>
      <c r="O90" s="64">
        <f t="shared" si="12"/>
        <v>2.424350418014776E-2</v>
      </c>
      <c r="P90" s="57" t="s">
        <v>21</v>
      </c>
      <c r="Q90" s="67" t="s">
        <v>21</v>
      </c>
      <c r="R90" s="96" t="s">
        <v>21</v>
      </c>
      <c r="S90" s="76">
        <v>0</v>
      </c>
      <c r="T90" s="64">
        <f t="shared" si="6"/>
        <v>6.2050845968737361E-2</v>
      </c>
      <c r="V90" s="116">
        <v>1.13335936</v>
      </c>
      <c r="W90" s="108">
        <v>2.85831452</v>
      </c>
      <c r="X90" s="108">
        <v>4.3353060699999997</v>
      </c>
      <c r="Y90" s="108">
        <v>5.5563278700000005</v>
      </c>
      <c r="Z90" s="117">
        <v>7.0196384099999998</v>
      </c>
      <c r="AB90" s="74">
        <v>4.4771041407765749E-2</v>
      </c>
      <c r="AC90" s="76">
        <v>5.3976671170181213E-2</v>
      </c>
      <c r="AD90" s="76">
        <v>6.2050845968737361E-2</v>
      </c>
      <c r="AE90" s="76">
        <v>6.6414394856871825E-2</v>
      </c>
      <c r="AF90" s="64">
        <v>6.9906005180147751E-2</v>
      </c>
      <c r="AG90" s="76">
        <v>1.3903244077657492E-3</v>
      </c>
      <c r="AH90" s="76">
        <v>1.0783758070181214E-2</v>
      </c>
      <c r="AI90" s="76">
        <v>1.8607259868737361E-2</v>
      </c>
      <c r="AJ90" s="76">
        <v>2.2159729256871836E-2</v>
      </c>
      <c r="AK90" s="76">
        <v>2.424350418014776E-2</v>
      </c>
    </row>
    <row r="91" spans="2:37" x14ac:dyDescent="0.35">
      <c r="B91" s="55" t="s">
        <v>77</v>
      </c>
      <c r="C91" s="53" t="s">
        <v>61</v>
      </c>
      <c r="D91" s="53" t="s">
        <v>69</v>
      </c>
      <c r="E91" s="53" t="s">
        <v>21</v>
      </c>
      <c r="F91" s="73">
        <f t="shared" si="11"/>
        <v>4.2745031126640513E-2</v>
      </c>
      <c r="G91" s="60">
        <f t="shared" si="11"/>
        <v>4.844433698195473E-2</v>
      </c>
      <c r="H91" s="60">
        <f t="shared" si="11"/>
        <v>5.2192135120136304E-2</v>
      </c>
      <c r="I91" s="60">
        <f t="shared" si="11"/>
        <v>5.4597771787216018E-2</v>
      </c>
      <c r="J91" s="63">
        <f t="shared" si="11"/>
        <v>5.7005811119849953E-2</v>
      </c>
      <c r="K91" s="73" t="str">
        <f t="shared" si="12"/>
        <v/>
      </c>
      <c r="L91" s="60">
        <f t="shared" si="12"/>
        <v>5.4760218819547282E-3</v>
      </c>
      <c r="M91" s="60">
        <f t="shared" si="12"/>
        <v>9.2041715201363009E-3</v>
      </c>
      <c r="N91" s="60">
        <f t="shared" si="12"/>
        <v>1.0909471787216013E-2</v>
      </c>
      <c r="O91" s="63">
        <f t="shared" si="12"/>
        <v>1.1921158919849958E-2</v>
      </c>
      <c r="P91" s="55" t="s">
        <v>21</v>
      </c>
      <c r="Q91" s="53" t="s">
        <v>21</v>
      </c>
      <c r="R91" s="94" t="s">
        <v>21</v>
      </c>
      <c r="S91" s="71">
        <v>0</v>
      </c>
      <c r="T91" s="63">
        <f t="shared" si="6"/>
        <v>5.2192135120136304E-2</v>
      </c>
      <c r="V91" s="118">
        <v>1.13528885</v>
      </c>
      <c r="W91" s="61">
        <v>2.8825414199999999</v>
      </c>
      <c r="X91" s="61">
        <v>4.42982415</v>
      </c>
      <c r="Y91" s="61">
        <v>5.7639303599999998</v>
      </c>
      <c r="Z91" s="119">
        <v>7.4388129200000002</v>
      </c>
      <c r="AB91" s="73">
        <v>4.2745031126640513E-2</v>
      </c>
      <c r="AC91" s="71">
        <v>4.844433698195473E-2</v>
      </c>
      <c r="AD91" s="71">
        <v>5.2192135120136304E-2</v>
      </c>
      <c r="AE91" s="71">
        <v>5.4597771787216018E-2</v>
      </c>
      <c r="AF91" s="63">
        <v>5.7005811119849953E-2</v>
      </c>
      <c r="AG91" s="71" t="s">
        <v>21</v>
      </c>
      <c r="AH91" s="71">
        <v>5.4760218819547282E-3</v>
      </c>
      <c r="AI91" s="71">
        <v>9.2041715201363009E-3</v>
      </c>
      <c r="AJ91" s="71">
        <v>1.0909471787216013E-2</v>
      </c>
      <c r="AK91" s="71">
        <v>1.1921158919849958E-2</v>
      </c>
    </row>
    <row r="92" spans="2:37" x14ac:dyDescent="0.35">
      <c r="B92" s="57" t="s">
        <v>77</v>
      </c>
      <c r="C92" s="67" t="s">
        <v>63</v>
      </c>
      <c r="D92" s="67" t="s">
        <v>69</v>
      </c>
      <c r="E92" s="67" t="s">
        <v>21</v>
      </c>
      <c r="F92" s="74">
        <f t="shared" si="11"/>
        <v>4.4584866809315712E-2</v>
      </c>
      <c r="G92" s="76">
        <f t="shared" si="11"/>
        <v>5.0923358453896984E-2</v>
      </c>
      <c r="H92" s="76">
        <f t="shared" si="11"/>
        <v>5.5731130758236186E-2</v>
      </c>
      <c r="I92" s="76">
        <f t="shared" si="11"/>
        <v>5.8148219470223236E-2</v>
      </c>
      <c r="J92" s="64">
        <f t="shared" si="11"/>
        <v>6.0401592303088045E-2</v>
      </c>
      <c r="K92" s="74">
        <f t="shared" si="12"/>
        <v>1.2034239093157116E-3</v>
      </c>
      <c r="L92" s="76">
        <f t="shared" si="12"/>
        <v>7.8720734538969949E-3</v>
      </c>
      <c r="M92" s="76">
        <f t="shared" si="12"/>
        <v>1.262210485823618E-2</v>
      </c>
      <c r="N92" s="76">
        <f t="shared" si="12"/>
        <v>1.4343996570223224E-2</v>
      </c>
      <c r="O92" s="64">
        <f t="shared" si="12"/>
        <v>1.5216928703088044E-2</v>
      </c>
      <c r="P92" s="57" t="s">
        <v>21</v>
      </c>
      <c r="Q92" s="67" t="s">
        <v>21</v>
      </c>
      <c r="R92" s="96" t="s">
        <v>21</v>
      </c>
      <c r="S92" s="76">
        <v>0</v>
      </c>
      <c r="T92" s="64">
        <f t="shared" si="6"/>
        <v>5.5731130758236186E-2</v>
      </c>
      <c r="V92" s="116">
        <v>1.13373916</v>
      </c>
      <c r="W92" s="108">
        <v>2.8732238300000001</v>
      </c>
      <c r="X92" s="108">
        <v>4.4023817899999997</v>
      </c>
      <c r="Y92" s="108">
        <v>5.7149847899999999</v>
      </c>
      <c r="Z92" s="117">
        <v>7.3597037399999996</v>
      </c>
      <c r="AB92" s="74">
        <v>4.4584866809315712E-2</v>
      </c>
      <c r="AC92" s="76">
        <v>5.0923358453896984E-2</v>
      </c>
      <c r="AD92" s="76">
        <v>5.5731130758236186E-2</v>
      </c>
      <c r="AE92" s="76">
        <v>5.8148219470223236E-2</v>
      </c>
      <c r="AF92" s="64">
        <v>6.0401592303088045E-2</v>
      </c>
      <c r="AG92" s="76">
        <v>1.2034239093157116E-3</v>
      </c>
      <c r="AH92" s="76">
        <v>7.8720734538969949E-3</v>
      </c>
      <c r="AI92" s="76">
        <v>1.262210485823618E-2</v>
      </c>
      <c r="AJ92" s="76">
        <v>1.4343996570223224E-2</v>
      </c>
      <c r="AK92" s="76">
        <v>1.5216928703088044E-2</v>
      </c>
    </row>
    <row r="93" spans="2:37" x14ac:dyDescent="0.35">
      <c r="B93" s="55" t="s">
        <v>78</v>
      </c>
      <c r="C93" s="53" t="s">
        <v>65</v>
      </c>
      <c r="D93" s="53" t="s">
        <v>69</v>
      </c>
      <c r="E93" s="53" t="s">
        <v>79</v>
      </c>
      <c r="F93" s="73">
        <f t="shared" si="11"/>
        <v>4.2841191203667042E-2</v>
      </c>
      <c r="G93" s="60">
        <f t="shared" si="11"/>
        <v>4.9706468169495394E-2</v>
      </c>
      <c r="H93" s="60">
        <f t="shared" si="11"/>
        <v>5.5268667089252183E-2</v>
      </c>
      <c r="I93" s="60">
        <f t="shared" si="11"/>
        <v>5.8310542660770265E-2</v>
      </c>
      <c r="J93" s="63">
        <f t="shared" si="11"/>
        <v>6.170623774296783E-2</v>
      </c>
      <c r="K93" s="73" t="str">
        <f t="shared" si="12"/>
        <v/>
      </c>
      <c r="L93" s="60">
        <f t="shared" si="12"/>
        <v>6.6722218694953862E-3</v>
      </c>
      <c r="M93" s="60">
        <f t="shared" si="12"/>
        <v>1.2113428289252184E-2</v>
      </c>
      <c r="N93" s="60">
        <f t="shared" si="12"/>
        <v>1.4420957060770276E-2</v>
      </c>
      <c r="O93" s="63">
        <f t="shared" si="12"/>
        <v>1.6393284742967831E-2</v>
      </c>
      <c r="P93" s="55" t="s">
        <v>21</v>
      </c>
      <c r="Q93" s="53" t="s">
        <v>21</v>
      </c>
      <c r="R93" s="94" t="s">
        <v>21</v>
      </c>
      <c r="S93" s="71">
        <v>0</v>
      </c>
      <c r="T93" s="63">
        <f t="shared" si="6"/>
        <v>5.5268667089252183E-2</v>
      </c>
      <c r="V93" s="118">
        <v>1.1350832900000001</v>
      </c>
      <c r="W93" s="61">
        <v>2.8743997000000001</v>
      </c>
      <c r="X93" s="61">
        <v>4.3890549299999995</v>
      </c>
      <c r="Y93" s="61">
        <v>5.6685958200000002</v>
      </c>
      <c r="Z93" s="119">
        <v>7.2281944599999992</v>
      </c>
      <c r="AB93" s="73">
        <v>4.2841191203667042E-2</v>
      </c>
      <c r="AC93" s="71">
        <v>4.9706468169495394E-2</v>
      </c>
      <c r="AD93" s="71">
        <v>5.5268667089252183E-2</v>
      </c>
      <c r="AE93" s="71">
        <v>5.8310542660770265E-2</v>
      </c>
      <c r="AF93" s="63">
        <v>6.170623774296783E-2</v>
      </c>
      <c r="AG93" s="71" t="s">
        <v>21</v>
      </c>
      <c r="AH93" s="71">
        <v>6.6722218694953862E-3</v>
      </c>
      <c r="AI93" s="71">
        <v>1.2113428289252184E-2</v>
      </c>
      <c r="AJ93" s="71">
        <v>1.4420957060770276E-2</v>
      </c>
      <c r="AK93" s="71">
        <v>1.6393284742967831E-2</v>
      </c>
    </row>
    <row r="94" spans="2:37" x14ac:dyDescent="0.35">
      <c r="B94" s="57" t="s">
        <v>78</v>
      </c>
      <c r="C94" s="67" t="s">
        <v>66</v>
      </c>
      <c r="D94" s="67" t="s">
        <v>69</v>
      </c>
      <c r="E94" s="67" t="s">
        <v>133</v>
      </c>
      <c r="F94" s="74">
        <f t="shared" si="11"/>
        <v>4.4264997378786461E-2</v>
      </c>
      <c r="G94" s="76">
        <f t="shared" si="11"/>
        <v>5.3721885569510422E-2</v>
      </c>
      <c r="H94" s="76">
        <f t="shared" si="11"/>
        <v>6.1857534274354115E-2</v>
      </c>
      <c r="I94" s="76">
        <f t="shared" si="11"/>
        <v>6.6218806573134892E-2</v>
      </c>
      <c r="J94" s="64">
        <f t="shared" si="11"/>
        <v>7.0046188385420691E-2</v>
      </c>
      <c r="K94" s="74">
        <f t="shared" si="12"/>
        <v>8.8450607878646191E-4</v>
      </c>
      <c r="L94" s="76">
        <f t="shared" si="12"/>
        <v>1.053105976951042E-2</v>
      </c>
      <c r="M94" s="76">
        <f t="shared" si="12"/>
        <v>1.8417807274354107E-2</v>
      </c>
      <c r="N94" s="76">
        <f t="shared" si="12"/>
        <v>2.1970244073134901E-2</v>
      </c>
      <c r="O94" s="64">
        <f t="shared" si="12"/>
        <v>2.4370704485420693E-2</v>
      </c>
      <c r="P94" s="57" t="s">
        <v>21</v>
      </c>
      <c r="Q94" s="67" t="s">
        <v>21</v>
      </c>
      <c r="R94" s="96" t="s">
        <v>21</v>
      </c>
      <c r="S94" s="76">
        <v>0</v>
      </c>
      <c r="T94" s="64">
        <f t="shared" si="6"/>
        <v>6.1857534274354115E-2</v>
      </c>
      <c r="V94" s="116">
        <v>1.1342596</v>
      </c>
      <c r="W94" s="108">
        <v>2.8610801299999999</v>
      </c>
      <c r="X94" s="108">
        <v>4.3398411400000008</v>
      </c>
      <c r="Y94" s="108">
        <v>5.5628243900000003</v>
      </c>
      <c r="Z94" s="117">
        <v>7.0239117100000001</v>
      </c>
      <c r="AB94" s="74">
        <v>4.4264997378786461E-2</v>
      </c>
      <c r="AC94" s="76">
        <v>5.3721885569510422E-2</v>
      </c>
      <c r="AD94" s="76">
        <v>6.1857534274354115E-2</v>
      </c>
      <c r="AE94" s="76">
        <v>6.6218806573134892E-2</v>
      </c>
      <c r="AF94" s="64">
        <v>7.0046188385420691E-2</v>
      </c>
      <c r="AG94" s="76">
        <v>8.8450607878646191E-4</v>
      </c>
      <c r="AH94" s="76">
        <v>1.053105976951042E-2</v>
      </c>
      <c r="AI94" s="76">
        <v>1.8417807274354107E-2</v>
      </c>
      <c r="AJ94" s="76">
        <v>2.1970244073134901E-2</v>
      </c>
      <c r="AK94" s="76">
        <v>2.4370704485420693E-2</v>
      </c>
    </row>
    <row r="95" spans="2:37" x14ac:dyDescent="0.35">
      <c r="B95" s="55" t="s">
        <v>80</v>
      </c>
      <c r="C95" s="53" t="s">
        <v>61</v>
      </c>
      <c r="D95" s="53" t="s">
        <v>69</v>
      </c>
      <c r="E95" s="53" t="s">
        <v>21</v>
      </c>
      <c r="F95" s="73">
        <f t="shared" si="11"/>
        <v>4.2274175833273822E-2</v>
      </c>
      <c r="G95" s="60">
        <f t="shared" si="11"/>
        <v>4.8085148523374026E-2</v>
      </c>
      <c r="H95" s="71">
        <f t="shared" si="11"/>
        <v>5.2581881432959721E-2</v>
      </c>
      <c r="I95" s="71">
        <f t="shared" si="11"/>
        <v>5.4939282479483764E-2</v>
      </c>
      <c r="J95" s="63">
        <f t="shared" si="11"/>
        <v>5.7734418610806137E-2</v>
      </c>
      <c r="K95" s="73" t="str">
        <f t="shared" si="12"/>
        <v/>
      </c>
      <c r="L95" s="60">
        <f t="shared" si="12"/>
        <v>5.1377421233740356E-3</v>
      </c>
      <c r="M95" s="71">
        <f t="shared" si="12"/>
        <v>9.5750685329597188E-3</v>
      </c>
      <c r="N95" s="71">
        <f t="shared" si="12"/>
        <v>1.1235588679483766E-2</v>
      </c>
      <c r="O95" s="63">
        <f t="shared" si="12"/>
        <v>1.2618978010806144E-2</v>
      </c>
      <c r="P95" s="55" t="s">
        <v>21</v>
      </c>
      <c r="Q95" s="53" t="s">
        <v>21</v>
      </c>
      <c r="R95" s="94" t="s">
        <v>21</v>
      </c>
      <c r="S95" s="71">
        <v>0</v>
      </c>
      <c r="T95" s="63">
        <f t="shared" si="6"/>
        <v>5.2581881432959721E-2</v>
      </c>
      <c r="V95" s="118">
        <v>1.1361530200000001</v>
      </c>
      <c r="W95" s="61">
        <v>2.8862277000000001</v>
      </c>
      <c r="X95" s="61">
        <v>4.4300940099999995</v>
      </c>
      <c r="Y95" s="61">
        <v>5.75812144</v>
      </c>
      <c r="Z95" s="119">
        <v>7.41483325</v>
      </c>
      <c r="AB95" s="73">
        <v>4.2274175833273822E-2</v>
      </c>
      <c r="AC95" s="71">
        <v>4.8085148523374026E-2</v>
      </c>
      <c r="AD95" s="71">
        <v>5.2581881432959721E-2</v>
      </c>
      <c r="AE95" s="71">
        <v>5.4939282479483764E-2</v>
      </c>
      <c r="AF95" s="63">
        <v>5.7734418610806137E-2</v>
      </c>
      <c r="AG95" s="71" t="s">
        <v>21</v>
      </c>
      <c r="AH95" s="71">
        <v>5.1377421233740356E-3</v>
      </c>
      <c r="AI95" s="71">
        <v>9.5750685329597188E-3</v>
      </c>
      <c r="AJ95" s="71">
        <v>1.1235588679483766E-2</v>
      </c>
      <c r="AK95" s="71">
        <v>1.2618978010806144E-2</v>
      </c>
    </row>
    <row r="96" spans="2:37" x14ac:dyDescent="0.35">
      <c r="B96" s="55" t="s">
        <v>80</v>
      </c>
      <c r="C96" s="53" t="s">
        <v>63</v>
      </c>
      <c r="D96" s="53" t="s">
        <v>69</v>
      </c>
      <c r="E96" s="53" t="s">
        <v>36</v>
      </c>
      <c r="F96" s="73">
        <f t="shared" si="11"/>
        <v>4.4438694349414942E-2</v>
      </c>
      <c r="G96" s="60">
        <f t="shared" si="11"/>
        <v>5.1053191794106757E-2</v>
      </c>
      <c r="H96" s="71">
        <f t="shared" si="11"/>
        <v>5.5787322779444024E-2</v>
      </c>
      <c r="I96" s="71">
        <f t="shared" si="11"/>
        <v>5.8779864710223541E-2</v>
      </c>
      <c r="J96" s="63">
        <f t="shared" si="11"/>
        <v>6.1812166806114892E-2</v>
      </c>
      <c r="K96" s="73">
        <f t="shared" si="12"/>
        <v>1.0631897494149476E-3</v>
      </c>
      <c r="L96" s="60">
        <f t="shared" si="12"/>
        <v>7.9958173941067565E-3</v>
      </c>
      <c r="M96" s="71">
        <f t="shared" si="12"/>
        <v>1.2675535379444023E-2</v>
      </c>
      <c r="N96" s="71">
        <f t="shared" si="12"/>
        <v>1.4945176410223542E-2</v>
      </c>
      <c r="O96" s="63">
        <f t="shared" si="12"/>
        <v>1.6565855106114913E-2</v>
      </c>
      <c r="P96" s="55" t="s">
        <v>21</v>
      </c>
      <c r="Q96" s="53" t="s">
        <v>21</v>
      </c>
      <c r="R96" s="94" t="s">
        <v>21</v>
      </c>
      <c r="S96" s="71">
        <v>0</v>
      </c>
      <c r="T96" s="63">
        <f t="shared" si="6"/>
        <v>5.5787322779444024E-2</v>
      </c>
      <c r="V96" s="116">
        <v>1.1339483699999999</v>
      </c>
      <c r="W96" s="108">
        <v>2.8729515800000001</v>
      </c>
      <c r="X96" s="108">
        <v>4.4023436700000005</v>
      </c>
      <c r="Y96" s="108">
        <v>5.70834727</v>
      </c>
      <c r="Z96" s="117">
        <v>7.3258604099999998</v>
      </c>
      <c r="AB96" s="73">
        <v>4.4438694349414942E-2</v>
      </c>
      <c r="AC96" s="71">
        <v>5.1053191794106757E-2</v>
      </c>
      <c r="AD96" s="71">
        <v>5.5787322779444024E-2</v>
      </c>
      <c r="AE96" s="71">
        <v>5.8779864710223541E-2</v>
      </c>
      <c r="AF96" s="63">
        <v>6.1812166806114892E-2</v>
      </c>
      <c r="AG96" s="71">
        <v>1.0631897494149476E-3</v>
      </c>
      <c r="AH96" s="71">
        <v>7.9958173941067565E-3</v>
      </c>
      <c r="AI96" s="71">
        <v>1.2675535379444023E-2</v>
      </c>
      <c r="AJ96" s="71">
        <v>1.4945176410223542E-2</v>
      </c>
      <c r="AK96" s="71">
        <v>1.6565855106114913E-2</v>
      </c>
    </row>
    <row r="97" spans="2:37" x14ac:dyDescent="0.35">
      <c r="B97" s="56" t="s">
        <v>82</v>
      </c>
      <c r="C97" s="66" t="s">
        <v>65</v>
      </c>
      <c r="D97" s="66" t="s">
        <v>69</v>
      </c>
      <c r="E97" s="66" t="s">
        <v>34</v>
      </c>
      <c r="F97" s="75">
        <f t="shared" si="11"/>
        <v>4.3276631285870441E-2</v>
      </c>
      <c r="G97" s="80">
        <f t="shared" si="11"/>
        <v>5.0361800945164924E-2</v>
      </c>
      <c r="H97" s="80">
        <f t="shared" si="11"/>
        <v>5.6323745855319893E-2</v>
      </c>
      <c r="I97" s="80">
        <f t="shared" si="11"/>
        <v>5.9446165353860367E-2</v>
      </c>
      <c r="J97" s="62">
        <f t="shared" si="11"/>
        <v>6.2781367618532577E-2</v>
      </c>
      <c r="K97" s="75" t="str">
        <f t="shared" si="12"/>
        <v/>
      </c>
      <c r="L97" s="80">
        <f t="shared" si="12"/>
        <v>7.2903960451649319E-3</v>
      </c>
      <c r="M97" s="80">
        <f t="shared" si="12"/>
        <v>1.3106730355319871E-2</v>
      </c>
      <c r="N97" s="80">
        <f t="shared" si="12"/>
        <v>1.5488279353860364E-2</v>
      </c>
      <c r="O97" s="62">
        <f t="shared" si="12"/>
        <v>1.7408569618532578E-2</v>
      </c>
      <c r="P97" s="56" t="s">
        <v>21</v>
      </c>
      <c r="Q97" s="66" t="s">
        <v>21</v>
      </c>
      <c r="R97" s="100" t="s">
        <v>21</v>
      </c>
      <c r="S97" s="80">
        <v>0</v>
      </c>
      <c r="T97" s="62">
        <f t="shared" si="6"/>
        <v>5.6323745855319893E-2</v>
      </c>
      <c r="V97" s="114">
        <v>1.13427521</v>
      </c>
      <c r="W97" s="72">
        <v>2.8690054599999999</v>
      </c>
      <c r="X97" s="72">
        <v>4.3723723100000003</v>
      </c>
      <c r="Y97" s="72">
        <v>5.6358218500000001</v>
      </c>
      <c r="Z97" s="115">
        <v>7.1701267400000006</v>
      </c>
      <c r="AB97" s="75">
        <v>4.3276631285870441E-2</v>
      </c>
      <c r="AC97" s="80">
        <v>5.0361800945164924E-2</v>
      </c>
      <c r="AD97" s="80">
        <v>5.6323745855319893E-2</v>
      </c>
      <c r="AE97" s="80">
        <v>5.9446165353860367E-2</v>
      </c>
      <c r="AF97" s="62">
        <v>6.2781367618532577E-2</v>
      </c>
      <c r="AG97" s="80" t="s">
        <v>21</v>
      </c>
      <c r="AH97" s="80">
        <v>7.2903960451649319E-3</v>
      </c>
      <c r="AI97" s="80">
        <v>1.3106730355319871E-2</v>
      </c>
      <c r="AJ97" s="80">
        <v>1.5488279353860364E-2</v>
      </c>
      <c r="AK97" s="80">
        <v>1.7408569618532578E-2</v>
      </c>
    </row>
    <row r="98" spans="2:37" x14ac:dyDescent="0.35">
      <c r="B98" s="57" t="s">
        <v>82</v>
      </c>
      <c r="C98" s="67" t="s">
        <v>66</v>
      </c>
      <c r="D98" s="67" t="s">
        <v>69</v>
      </c>
      <c r="E98" s="67" t="s">
        <v>21</v>
      </c>
      <c r="F98" s="74">
        <f t="shared" si="11"/>
        <v>4.4324543945473124E-2</v>
      </c>
      <c r="G98" s="76">
        <f t="shared" si="11"/>
        <v>5.4049029603418515E-2</v>
      </c>
      <c r="H98" s="76">
        <f t="shared" si="11"/>
        <v>6.2153669047968471E-2</v>
      </c>
      <c r="I98" s="76">
        <f t="shared" si="11"/>
        <v>6.6605046413686544E-2</v>
      </c>
      <c r="J98" s="64">
        <f t="shared" si="11"/>
        <v>7.0435649711770312E-2</v>
      </c>
      <c r="K98" s="74">
        <f t="shared" si="12"/>
        <v>9.4942204547312451E-4</v>
      </c>
      <c r="L98" s="76">
        <f t="shared" si="12"/>
        <v>1.0845718703418512E-2</v>
      </c>
      <c r="M98" s="76">
        <f t="shared" si="12"/>
        <v>1.8698898347968465E-2</v>
      </c>
      <c r="N98" s="76">
        <f t="shared" si="12"/>
        <v>2.2334544613686558E-2</v>
      </c>
      <c r="O98" s="64">
        <f t="shared" si="12"/>
        <v>2.4738852211770315E-2</v>
      </c>
      <c r="P98" s="57" t="s">
        <v>21</v>
      </c>
      <c r="Q98" s="67" t="s">
        <v>21</v>
      </c>
      <c r="R98" s="96" t="s">
        <v>21</v>
      </c>
      <c r="S98" s="76">
        <v>0</v>
      </c>
      <c r="T98" s="64">
        <f t="shared" si="6"/>
        <v>6.2153669047968471E-2</v>
      </c>
      <c r="V98" s="114">
        <v>1.1341338400000001</v>
      </c>
      <c r="W98" s="72">
        <v>2.8593272600000001</v>
      </c>
      <c r="X98" s="72">
        <v>4.3353718899999993</v>
      </c>
      <c r="Y98" s="72">
        <v>5.5543291899999998</v>
      </c>
      <c r="Z98" s="115">
        <v>7.0084088700000002</v>
      </c>
      <c r="AB98" s="74">
        <v>4.4324543945473124E-2</v>
      </c>
      <c r="AC98" s="76">
        <v>5.4049029603418515E-2</v>
      </c>
      <c r="AD98" s="76">
        <v>6.2153669047968471E-2</v>
      </c>
      <c r="AE98" s="76">
        <v>6.6605046413686544E-2</v>
      </c>
      <c r="AF98" s="64">
        <v>7.0435649711770312E-2</v>
      </c>
      <c r="AG98" s="76">
        <v>9.4942204547312451E-4</v>
      </c>
      <c r="AH98" s="76">
        <v>1.0845718703418512E-2</v>
      </c>
      <c r="AI98" s="76">
        <v>1.8698898347968465E-2</v>
      </c>
      <c r="AJ98" s="76">
        <v>2.2334544613686558E-2</v>
      </c>
      <c r="AK98" s="76">
        <v>2.4738852211770315E-2</v>
      </c>
    </row>
    <row r="99" spans="2:37" x14ac:dyDescent="0.35">
      <c r="B99" s="79" t="s">
        <v>452</v>
      </c>
      <c r="C99" s="78"/>
      <c r="D99" s="78"/>
      <c r="E99" s="78"/>
      <c r="F99" s="78" t="str">
        <f t="shared" si="11"/>
        <v/>
      </c>
      <c r="G99" s="78" t="str">
        <f t="shared" si="11"/>
        <v/>
      </c>
      <c r="H99" s="78" t="str">
        <f t="shared" si="11"/>
        <v/>
      </c>
      <c r="I99" s="78" t="str">
        <f t="shared" si="11"/>
        <v/>
      </c>
      <c r="J99" s="78" t="str">
        <f t="shared" si="11"/>
        <v/>
      </c>
      <c r="K99" s="78" t="str">
        <f t="shared" si="12"/>
        <v/>
      </c>
      <c r="L99" s="78" t="str">
        <f t="shared" si="12"/>
        <v/>
      </c>
      <c r="M99" s="78" t="str">
        <f t="shared" si="12"/>
        <v/>
      </c>
      <c r="N99" s="78" t="str">
        <f t="shared" si="12"/>
        <v/>
      </c>
      <c r="O99" s="77" t="str">
        <f t="shared" si="12"/>
        <v/>
      </c>
      <c r="P99" s="79"/>
      <c r="Q99" s="78"/>
      <c r="R99" s="95"/>
      <c r="S99" s="78"/>
      <c r="T99" s="77" t="str">
        <f t="shared" si="6"/>
        <v/>
      </c>
      <c r="V99" s="112"/>
      <c r="W99" s="107"/>
      <c r="X99" s="107"/>
      <c r="Y99" s="107"/>
      <c r="Z99" s="113"/>
      <c r="AB99" s="78"/>
      <c r="AC99" s="78"/>
      <c r="AD99" s="78"/>
      <c r="AE99" s="78"/>
      <c r="AF99" s="78"/>
      <c r="AG99" s="78"/>
      <c r="AH99" s="78"/>
      <c r="AI99" s="78"/>
      <c r="AJ99" s="78"/>
      <c r="AK99" s="78"/>
    </row>
    <row r="100" spans="2:37" x14ac:dyDescent="0.35">
      <c r="B100" s="55" t="s">
        <v>84</v>
      </c>
      <c r="C100" s="53" t="s">
        <v>85</v>
      </c>
      <c r="D100" s="53" t="s">
        <v>20</v>
      </c>
      <c r="E100" s="53" t="s">
        <v>453</v>
      </c>
      <c r="F100" s="73">
        <f t="shared" si="11"/>
        <v>4.468501268221392E-2</v>
      </c>
      <c r="G100" s="60">
        <f t="shared" si="11"/>
        <v>5.0539450079672844E-2</v>
      </c>
      <c r="H100" s="71">
        <f t="shared" si="11"/>
        <v>5.5081674503555125E-2</v>
      </c>
      <c r="I100" s="71">
        <f t="shared" si="11"/>
        <v>5.7599808746537237E-2</v>
      </c>
      <c r="J100" s="63">
        <f t="shared" si="11"/>
        <v>6.0306776307617244E-2</v>
      </c>
      <c r="K100" s="73">
        <f t="shared" si="12"/>
        <v>1.265885282213928E-3</v>
      </c>
      <c r="L100" s="60">
        <f t="shared" si="12"/>
        <v>7.4576066796728487E-3</v>
      </c>
      <c r="M100" s="71">
        <f t="shared" si="12"/>
        <v>1.1935306703555124E-2</v>
      </c>
      <c r="N100" s="71">
        <f t="shared" si="12"/>
        <v>1.3748327046537223E-2</v>
      </c>
      <c r="O100" s="63">
        <f t="shared" si="12"/>
        <v>1.5061740107617252E-2</v>
      </c>
      <c r="P100" s="55" t="s">
        <v>21</v>
      </c>
      <c r="Q100" s="53" t="s">
        <v>21</v>
      </c>
      <c r="R100" s="94" t="s">
        <v>21</v>
      </c>
      <c r="S100" s="71">
        <v>0</v>
      </c>
      <c r="T100" s="63">
        <f t="shared" si="6"/>
        <v>5.5081674503555125E-2</v>
      </c>
      <c r="V100" s="114">
        <v>1.1316808700000001</v>
      </c>
      <c r="W100" s="72">
        <v>2.8634681799999999</v>
      </c>
      <c r="X100" s="72">
        <v>4.38032194</v>
      </c>
      <c r="Y100" s="72">
        <v>5.67056366</v>
      </c>
      <c r="Z100" s="115">
        <v>7.2654849400000003</v>
      </c>
      <c r="AB100" s="73">
        <v>4.468501268221392E-2</v>
      </c>
      <c r="AC100" s="71">
        <v>5.0539450079672844E-2</v>
      </c>
      <c r="AD100" s="71">
        <v>5.5081674503555125E-2</v>
      </c>
      <c r="AE100" s="71">
        <v>5.7599808746537237E-2</v>
      </c>
      <c r="AF100" s="63">
        <v>6.0306776307617244E-2</v>
      </c>
      <c r="AG100" s="71">
        <v>1.265885282213928E-3</v>
      </c>
      <c r="AH100" s="71">
        <v>7.4576066796728487E-3</v>
      </c>
      <c r="AI100" s="71">
        <v>1.1935306703555124E-2</v>
      </c>
      <c r="AJ100" s="71">
        <v>1.3748327046537223E-2</v>
      </c>
      <c r="AK100" s="71">
        <v>1.5061740107617252E-2</v>
      </c>
    </row>
    <row r="101" spans="2:37" x14ac:dyDescent="0.35">
      <c r="B101" s="55" t="s">
        <v>86</v>
      </c>
      <c r="C101" s="53" t="s">
        <v>85</v>
      </c>
      <c r="D101" s="53" t="s">
        <v>20</v>
      </c>
      <c r="E101" s="53" t="s">
        <v>453</v>
      </c>
      <c r="F101" s="73">
        <f t="shared" si="11"/>
        <v>4.4737804965175224E-2</v>
      </c>
      <c r="G101" s="60">
        <f t="shared" si="11"/>
        <v>5.0793597445640284E-2</v>
      </c>
      <c r="H101" s="71">
        <f t="shared" si="11"/>
        <v>5.5201450304529893E-2</v>
      </c>
      <c r="I101" s="71">
        <f t="shared" si="11"/>
        <v>5.7725634000072225E-2</v>
      </c>
      <c r="J101" s="63">
        <f t="shared" si="11"/>
        <v>6.0516219752760322E-2</v>
      </c>
      <c r="K101" s="73">
        <f t="shared" si="12"/>
        <v>1.3169354651752247E-3</v>
      </c>
      <c r="L101" s="60">
        <f t="shared" si="12"/>
        <v>7.6982443456402837E-3</v>
      </c>
      <c r="M101" s="71">
        <f t="shared" si="12"/>
        <v>1.2048559404529903E-2</v>
      </c>
      <c r="N101" s="71">
        <f t="shared" si="12"/>
        <v>1.3867552200072211E-2</v>
      </c>
      <c r="O101" s="63">
        <f t="shared" si="12"/>
        <v>1.5260116652760339E-2</v>
      </c>
      <c r="P101" s="55" t="s">
        <v>21</v>
      </c>
      <c r="Q101" s="53" t="s">
        <v>21</v>
      </c>
      <c r="R101" s="94" t="s">
        <v>21</v>
      </c>
      <c r="S101" s="71">
        <v>0</v>
      </c>
      <c r="T101" s="63">
        <f t="shared" si="6"/>
        <v>5.5201450304529893E-2</v>
      </c>
      <c r="V101" s="114">
        <v>1.13156703</v>
      </c>
      <c r="W101" s="72">
        <v>2.8624252299999999</v>
      </c>
      <c r="X101" s="72">
        <v>4.3781770099999999</v>
      </c>
      <c r="Y101" s="72">
        <v>5.6654493600000002</v>
      </c>
      <c r="Z101" s="115">
        <v>7.2560251199999994</v>
      </c>
      <c r="AB101" s="73">
        <v>4.4737804965175224E-2</v>
      </c>
      <c r="AC101" s="71">
        <v>5.0793597445640284E-2</v>
      </c>
      <c r="AD101" s="71">
        <v>5.5201450304529893E-2</v>
      </c>
      <c r="AE101" s="71">
        <v>5.7725634000072225E-2</v>
      </c>
      <c r="AF101" s="63">
        <v>6.0516219752760322E-2</v>
      </c>
      <c r="AG101" s="71">
        <v>1.3169354651752247E-3</v>
      </c>
      <c r="AH101" s="71">
        <v>7.6982443456402837E-3</v>
      </c>
      <c r="AI101" s="71">
        <v>1.2048559404529903E-2</v>
      </c>
      <c r="AJ101" s="71">
        <v>1.3867552200072211E-2</v>
      </c>
      <c r="AK101" s="71">
        <v>1.5260116652760339E-2</v>
      </c>
    </row>
    <row r="102" spans="2:37" x14ac:dyDescent="0.35">
      <c r="B102" s="55" t="s">
        <v>87</v>
      </c>
      <c r="C102" s="53" t="s">
        <v>85</v>
      </c>
      <c r="D102" s="53" t="s">
        <v>20</v>
      </c>
      <c r="E102" s="53" t="s">
        <v>88</v>
      </c>
      <c r="F102" s="73">
        <f t="shared" si="11"/>
        <v>4.4536168636394806E-2</v>
      </c>
      <c r="G102" s="60">
        <f t="shared" si="11"/>
        <v>5.0647044572153271E-2</v>
      </c>
      <c r="H102" s="71">
        <f t="shared" si="11"/>
        <v>5.535547011337718E-2</v>
      </c>
      <c r="I102" s="71">
        <f t="shared" si="11"/>
        <v>5.7604013123048775E-2</v>
      </c>
      <c r="J102" s="63">
        <f t="shared" si="11"/>
        <v>6.0360514947566453E-2</v>
      </c>
      <c r="K102" s="73">
        <f t="shared" si="12"/>
        <v>1.1273542363948105E-3</v>
      </c>
      <c r="L102" s="60">
        <f t="shared" si="12"/>
        <v>7.5604434721532662E-3</v>
      </c>
      <c r="M102" s="71">
        <f t="shared" si="12"/>
        <v>1.2194408913377183E-2</v>
      </c>
      <c r="N102" s="71">
        <f t="shared" si="12"/>
        <v>1.3752405223048767E-2</v>
      </c>
      <c r="O102" s="63">
        <f t="shared" si="12"/>
        <v>1.5112585447566447E-2</v>
      </c>
      <c r="P102" s="55" t="s">
        <v>21</v>
      </c>
      <c r="Q102" s="53" t="s">
        <v>21</v>
      </c>
      <c r="R102" s="94" t="s">
        <v>21</v>
      </c>
      <c r="S102" s="71">
        <v>0</v>
      </c>
      <c r="T102" s="63">
        <f t="shared" si="6"/>
        <v>5.535547011337718E-2</v>
      </c>
      <c r="V102" s="114">
        <v>1.1319305399999999</v>
      </c>
      <c r="W102" s="72">
        <v>2.8628021299999999</v>
      </c>
      <c r="X102" s="72">
        <v>4.3772478399999999</v>
      </c>
      <c r="Y102" s="72">
        <v>5.6692708000000005</v>
      </c>
      <c r="Z102" s="115">
        <v>7.2626330799999996</v>
      </c>
      <c r="AB102" s="73">
        <v>4.4536168636394806E-2</v>
      </c>
      <c r="AC102" s="71">
        <v>5.0647044572153271E-2</v>
      </c>
      <c r="AD102" s="71">
        <v>5.535547011337718E-2</v>
      </c>
      <c r="AE102" s="71">
        <v>5.7604013123048775E-2</v>
      </c>
      <c r="AF102" s="63">
        <v>6.0360514947566453E-2</v>
      </c>
      <c r="AG102" s="71">
        <v>1.1273542363948105E-3</v>
      </c>
      <c r="AH102" s="71">
        <v>7.5604434721532662E-3</v>
      </c>
      <c r="AI102" s="71">
        <v>1.2194408913377183E-2</v>
      </c>
      <c r="AJ102" s="71">
        <v>1.3752405223048767E-2</v>
      </c>
      <c r="AK102" s="71">
        <v>1.5112585447566447E-2</v>
      </c>
    </row>
    <row r="103" spans="2:37" x14ac:dyDescent="0.35">
      <c r="B103" s="55" t="s">
        <v>89</v>
      </c>
      <c r="C103" s="53" t="s">
        <v>85</v>
      </c>
      <c r="D103" s="53" t="s">
        <v>20</v>
      </c>
      <c r="E103" s="53" t="s">
        <v>314</v>
      </c>
      <c r="F103" s="73">
        <f t="shared" si="11"/>
        <v>4.3261353029952203E-2</v>
      </c>
      <c r="G103" s="60">
        <f t="shared" si="11"/>
        <v>4.9133298412533472E-2</v>
      </c>
      <c r="H103" s="71">
        <f t="shared" si="11"/>
        <v>5.307423080940183E-2</v>
      </c>
      <c r="I103" s="71">
        <f t="shared" si="11"/>
        <v>5.5494838801915615E-2</v>
      </c>
      <c r="J103" s="63">
        <f t="shared" si="11"/>
        <v>5.8144820927126445E-2</v>
      </c>
      <c r="K103" s="73" t="str">
        <f t="shared" si="12"/>
        <v/>
      </c>
      <c r="L103" s="60">
        <f t="shared" si="12"/>
        <v>6.1280164125334735E-3</v>
      </c>
      <c r="M103" s="71">
        <f t="shared" si="12"/>
        <v>1.0038961109401827E-2</v>
      </c>
      <c r="N103" s="71">
        <f t="shared" si="12"/>
        <v>1.1759310701915618E-2</v>
      </c>
      <c r="O103" s="63">
        <f t="shared" si="12"/>
        <v>1.3006481127126445E-2</v>
      </c>
      <c r="P103" s="55" t="s">
        <v>21</v>
      </c>
      <c r="Q103" s="53" t="s">
        <v>21</v>
      </c>
      <c r="R103" s="94" t="s">
        <v>21</v>
      </c>
      <c r="S103" s="71">
        <v>0</v>
      </c>
      <c r="T103" s="63">
        <f t="shared" si="6"/>
        <v>5.307423080940183E-2</v>
      </c>
      <c r="V103" s="114">
        <v>1.1343102900000002</v>
      </c>
      <c r="W103" s="72">
        <v>2.8763871600000002</v>
      </c>
      <c r="X103" s="72">
        <v>4.4145518600000004</v>
      </c>
      <c r="Y103" s="72">
        <v>5.7352806100000002</v>
      </c>
      <c r="Z103" s="115">
        <v>7.3832117700000008</v>
      </c>
      <c r="AB103" s="73">
        <v>4.3261353029952203E-2</v>
      </c>
      <c r="AC103" s="71">
        <v>4.9133298412533472E-2</v>
      </c>
      <c r="AD103" s="71">
        <v>5.307423080940183E-2</v>
      </c>
      <c r="AE103" s="71">
        <v>5.5494838801915615E-2</v>
      </c>
      <c r="AF103" s="63">
        <v>5.8144820927126445E-2</v>
      </c>
      <c r="AG103" s="71" t="s">
        <v>21</v>
      </c>
      <c r="AH103" s="71">
        <v>6.1280164125334735E-3</v>
      </c>
      <c r="AI103" s="71">
        <v>1.0038961109401827E-2</v>
      </c>
      <c r="AJ103" s="71">
        <v>1.1759310701915618E-2</v>
      </c>
      <c r="AK103" s="71">
        <v>1.3006481127126445E-2</v>
      </c>
    </row>
    <row r="104" spans="2:37" x14ac:dyDescent="0.35">
      <c r="B104" s="55" t="s">
        <v>90</v>
      </c>
      <c r="C104" s="53" t="s">
        <v>85</v>
      </c>
      <c r="D104" s="53" t="s">
        <v>20</v>
      </c>
      <c r="E104" s="53" t="s">
        <v>75</v>
      </c>
      <c r="F104" s="73">
        <f t="shared" si="11"/>
        <v>4.4619716189504686E-2</v>
      </c>
      <c r="G104" s="60">
        <f t="shared" si="11"/>
        <v>5.0916483400984501E-2</v>
      </c>
      <c r="H104" s="71">
        <f t="shared" si="11"/>
        <v>5.5656496183442275E-2</v>
      </c>
      <c r="I104" s="71">
        <f t="shared" si="11"/>
        <v>5.8271369054669508E-2</v>
      </c>
      <c r="J104" s="63">
        <f t="shared" si="11"/>
        <v>6.0901762879904509E-2</v>
      </c>
      <c r="K104" s="73">
        <f t="shared" si="12"/>
        <v>1.1991743895046758E-3</v>
      </c>
      <c r="L104" s="60">
        <f t="shared" si="12"/>
        <v>7.8115175009845069E-3</v>
      </c>
      <c r="M104" s="71">
        <f t="shared" si="12"/>
        <v>1.2475729283442274E-2</v>
      </c>
      <c r="N104" s="71">
        <f t="shared" si="12"/>
        <v>1.4380112854669509E-2</v>
      </c>
      <c r="O104" s="63">
        <f t="shared" si="12"/>
        <v>1.5625563979904524E-2</v>
      </c>
      <c r="P104" s="55" t="s">
        <v>21</v>
      </c>
      <c r="Q104" s="53" t="s">
        <v>21</v>
      </c>
      <c r="R104" s="94" t="s">
        <v>21</v>
      </c>
      <c r="S104" s="71">
        <v>0</v>
      </c>
      <c r="T104" s="63">
        <f t="shared" si="6"/>
        <v>5.5656496183442275E-2</v>
      </c>
      <c r="V104" s="114">
        <v>1.1317806500000001</v>
      </c>
      <c r="W104" s="72">
        <v>2.8619732299999998</v>
      </c>
      <c r="X104" s="72">
        <v>4.37232603</v>
      </c>
      <c r="Y104" s="72">
        <v>5.6529125000000002</v>
      </c>
      <c r="Z104" s="115">
        <v>7.2332486999999999</v>
      </c>
      <c r="AB104" s="73">
        <v>4.4619716189504686E-2</v>
      </c>
      <c r="AC104" s="71">
        <v>5.0916483400984501E-2</v>
      </c>
      <c r="AD104" s="71">
        <v>5.5656496183442275E-2</v>
      </c>
      <c r="AE104" s="71">
        <v>5.8271369054669508E-2</v>
      </c>
      <c r="AF104" s="63">
        <v>6.0901762879904509E-2</v>
      </c>
      <c r="AG104" s="71">
        <v>1.1991743895046758E-3</v>
      </c>
      <c r="AH104" s="71">
        <v>7.8115175009845069E-3</v>
      </c>
      <c r="AI104" s="71">
        <v>1.2475729283442274E-2</v>
      </c>
      <c r="AJ104" s="71">
        <v>1.4380112854669509E-2</v>
      </c>
      <c r="AK104" s="71">
        <v>1.5625563979904524E-2</v>
      </c>
    </row>
    <row r="105" spans="2:37" x14ac:dyDescent="0.35">
      <c r="B105" s="55" t="s">
        <v>91</v>
      </c>
      <c r="C105" s="53" t="s">
        <v>85</v>
      </c>
      <c r="D105" s="53" t="s">
        <v>20</v>
      </c>
      <c r="E105" s="53" t="s">
        <v>92</v>
      </c>
      <c r="F105" s="73">
        <f t="shared" si="11"/>
        <v>4.3907870243223117E-2</v>
      </c>
      <c r="G105" s="60">
        <f t="shared" si="11"/>
        <v>4.9856100799152404E-2</v>
      </c>
      <c r="H105" s="71">
        <f t="shared" si="11"/>
        <v>5.4400785601578253E-2</v>
      </c>
      <c r="I105" s="71">
        <f t="shared" si="11"/>
        <v>5.6824192048493975E-2</v>
      </c>
      <c r="J105" s="63">
        <f t="shared" si="11"/>
        <v>5.9537414556299177E-2</v>
      </c>
      <c r="K105" s="73">
        <f t="shared" si="12"/>
        <v>5.2253814322312468E-4</v>
      </c>
      <c r="L105" s="60">
        <f t="shared" si="12"/>
        <v>6.8097450991524075E-3</v>
      </c>
      <c r="M105" s="71">
        <f t="shared" si="12"/>
        <v>1.1291401401578253E-2</v>
      </c>
      <c r="N105" s="71">
        <f t="shared" si="12"/>
        <v>1.3016021648493976E-2</v>
      </c>
      <c r="O105" s="63">
        <f t="shared" si="12"/>
        <v>1.4331627256299169E-2</v>
      </c>
      <c r="P105" s="55" t="s">
        <v>21</v>
      </c>
      <c r="Q105" s="53" t="s">
        <v>21</v>
      </c>
      <c r="R105" s="94" t="s">
        <v>21</v>
      </c>
      <c r="S105" s="71">
        <v>0</v>
      </c>
      <c r="T105" s="63">
        <f t="shared" si="6"/>
        <v>5.4400785601578253E-2</v>
      </c>
      <c r="V105" s="114">
        <v>1.1331249700000001</v>
      </c>
      <c r="W105" s="72">
        <v>2.8703326200000001</v>
      </c>
      <c r="X105" s="72">
        <v>4.3942344599999998</v>
      </c>
      <c r="Y105" s="72">
        <v>5.69422593</v>
      </c>
      <c r="Z105" s="115">
        <v>7.3069576999999999</v>
      </c>
      <c r="AB105" s="73">
        <v>4.3907870243223117E-2</v>
      </c>
      <c r="AC105" s="71">
        <v>4.9856100799152404E-2</v>
      </c>
      <c r="AD105" s="71">
        <v>5.4400785601578253E-2</v>
      </c>
      <c r="AE105" s="71">
        <v>5.6824192048493975E-2</v>
      </c>
      <c r="AF105" s="63">
        <v>5.9537414556299177E-2</v>
      </c>
      <c r="AG105" s="71">
        <v>5.2253814322312468E-4</v>
      </c>
      <c r="AH105" s="71">
        <v>6.8097450991524075E-3</v>
      </c>
      <c r="AI105" s="71">
        <v>1.1291401401578253E-2</v>
      </c>
      <c r="AJ105" s="71">
        <v>1.3016021648493976E-2</v>
      </c>
      <c r="AK105" s="71">
        <v>1.4331627256299169E-2</v>
      </c>
    </row>
    <row r="106" spans="2:37" x14ac:dyDescent="0.35">
      <c r="B106" s="55" t="s">
        <v>309</v>
      </c>
      <c r="C106" s="53" t="s">
        <v>85</v>
      </c>
      <c r="D106" s="53" t="s">
        <v>20</v>
      </c>
      <c r="E106" s="53" t="s">
        <v>315</v>
      </c>
      <c r="F106" s="73">
        <f t="shared" si="11"/>
        <v>4.1961510693535597E-2</v>
      </c>
      <c r="G106" s="60">
        <f t="shared" si="11"/>
        <v>4.8136948061042753E-2</v>
      </c>
      <c r="H106" s="71">
        <f t="shared" si="11"/>
        <v>5.2370573639773522E-2</v>
      </c>
      <c r="I106" s="71">
        <f t="shared" si="11"/>
        <v>5.479782000241059E-2</v>
      </c>
      <c r="J106" s="63">
        <f t="shared" si="11"/>
        <v>5.7485678242286321E-2</v>
      </c>
      <c r="K106" s="73" t="str">
        <f t="shared" si="12"/>
        <v/>
      </c>
      <c r="L106" s="60">
        <f t="shared" si="12"/>
        <v>5.1815732610427517E-3</v>
      </c>
      <c r="M106" s="71">
        <f t="shared" si="12"/>
        <v>9.371220039773526E-3</v>
      </c>
      <c r="N106" s="71">
        <f t="shared" si="12"/>
        <v>1.1098915602410588E-2</v>
      </c>
      <c r="O106" s="63">
        <f t="shared" si="12"/>
        <v>1.2381931742286327E-2</v>
      </c>
      <c r="P106" s="55" t="s">
        <v>21</v>
      </c>
      <c r="Q106" s="53" t="s">
        <v>21</v>
      </c>
      <c r="R106" s="94" t="s">
        <v>21</v>
      </c>
      <c r="S106" s="71">
        <v>0</v>
      </c>
      <c r="T106" s="63">
        <f t="shared" si="6"/>
        <v>5.2370573639773522E-2</v>
      </c>
      <c r="V106" s="114">
        <v>1.1368211099999999</v>
      </c>
      <c r="W106" s="72">
        <v>2.8872195199999999</v>
      </c>
      <c r="X106" s="72">
        <v>4.4337217999999998</v>
      </c>
      <c r="Y106" s="72">
        <v>5.7632832199999999</v>
      </c>
      <c r="Z106" s="115">
        <v>7.4230155000000009</v>
      </c>
      <c r="AB106" s="73">
        <v>4.1961510693535597E-2</v>
      </c>
      <c r="AC106" s="71">
        <v>4.8136948061042753E-2</v>
      </c>
      <c r="AD106" s="71">
        <v>5.2370573639773522E-2</v>
      </c>
      <c r="AE106" s="71">
        <v>5.479782000241059E-2</v>
      </c>
      <c r="AF106" s="63">
        <v>5.7485678242286321E-2</v>
      </c>
      <c r="AG106" s="71" t="s">
        <v>21</v>
      </c>
      <c r="AH106" s="71">
        <v>5.1815732610427517E-3</v>
      </c>
      <c r="AI106" s="71">
        <v>9.371220039773526E-3</v>
      </c>
      <c r="AJ106" s="71">
        <v>1.1098915602410588E-2</v>
      </c>
      <c r="AK106" s="71">
        <v>1.2381931742286327E-2</v>
      </c>
    </row>
    <row r="107" spans="2:37" x14ac:dyDescent="0.35">
      <c r="B107" s="55" t="s">
        <v>310</v>
      </c>
      <c r="C107" s="53" t="s">
        <v>85</v>
      </c>
      <c r="D107" s="53" t="s">
        <v>20</v>
      </c>
      <c r="E107" s="53" t="s">
        <v>73</v>
      </c>
      <c r="F107" s="73">
        <f t="shared" si="11"/>
        <v>4.4479010798306656E-2</v>
      </c>
      <c r="G107" s="60">
        <f t="shared" si="11"/>
        <v>5.2103908462183053E-2</v>
      </c>
      <c r="H107" s="71">
        <f t="shared" si="11"/>
        <v>5.8554852096821021E-2</v>
      </c>
      <c r="I107" s="71">
        <f t="shared" si="11"/>
        <v>6.1611520583790533E-2</v>
      </c>
      <c r="J107" s="63">
        <f t="shared" si="11"/>
        <v>6.5246136116905037E-2</v>
      </c>
      <c r="K107" s="73">
        <f t="shared" si="12"/>
        <v>1.0635509983066525E-3</v>
      </c>
      <c r="L107" s="60">
        <f t="shared" si="12"/>
        <v>8.9305335621830545E-3</v>
      </c>
      <c r="M107" s="71">
        <f t="shared" si="12"/>
        <v>1.5198459996821024E-2</v>
      </c>
      <c r="N107" s="71">
        <f t="shared" si="12"/>
        <v>1.7515661483790534E-2</v>
      </c>
      <c r="O107" s="63">
        <f t="shared" si="12"/>
        <v>1.9728678316905036E-2</v>
      </c>
      <c r="P107" s="55" t="s">
        <v>21</v>
      </c>
      <c r="Q107" s="53" t="s">
        <v>21</v>
      </c>
      <c r="R107" s="94" t="s">
        <v>21</v>
      </c>
      <c r="S107" s="71">
        <v>0</v>
      </c>
      <c r="T107" s="63">
        <f t="shared" si="6"/>
        <v>5.8554852096821021E-2</v>
      </c>
      <c r="V107" s="114">
        <v>1.1320520299999999</v>
      </c>
      <c r="W107" s="72">
        <v>2.85503295</v>
      </c>
      <c r="X107" s="72">
        <v>4.3346488699999997</v>
      </c>
      <c r="Y107" s="72">
        <v>5.5662403100000004</v>
      </c>
      <c r="Z107" s="115">
        <v>7.0402192299999999</v>
      </c>
      <c r="AB107" s="73">
        <v>4.4479010798306656E-2</v>
      </c>
      <c r="AC107" s="71">
        <v>5.2103908462183053E-2</v>
      </c>
      <c r="AD107" s="71">
        <v>5.8554852096821021E-2</v>
      </c>
      <c r="AE107" s="71">
        <v>6.1611520583790533E-2</v>
      </c>
      <c r="AF107" s="63">
        <v>6.5246136116905037E-2</v>
      </c>
      <c r="AG107" s="71">
        <v>1.0635509983066525E-3</v>
      </c>
      <c r="AH107" s="71">
        <v>8.9305335621830545E-3</v>
      </c>
      <c r="AI107" s="71">
        <v>1.5198459996821024E-2</v>
      </c>
      <c r="AJ107" s="71">
        <v>1.7515661483790534E-2</v>
      </c>
      <c r="AK107" s="71">
        <v>1.9728678316905036E-2</v>
      </c>
    </row>
    <row r="108" spans="2:37" x14ac:dyDescent="0.35">
      <c r="B108" s="55" t="s">
        <v>311</v>
      </c>
      <c r="C108" s="53" t="s">
        <v>85</v>
      </c>
      <c r="D108" s="53" t="s">
        <v>20</v>
      </c>
      <c r="E108" s="53" t="s">
        <v>48</v>
      </c>
      <c r="F108" s="73">
        <f t="shared" si="11"/>
        <v>4.6433130434801496E-2</v>
      </c>
      <c r="G108" s="60">
        <f t="shared" si="11"/>
        <v>5.7988392145124759E-2</v>
      </c>
      <c r="H108" s="71">
        <f t="shared" si="11"/>
        <v>6.7052932040176025E-2</v>
      </c>
      <c r="I108" s="71">
        <f t="shared" si="11"/>
        <v>7.2626641884357593E-2</v>
      </c>
      <c r="J108" s="63">
        <f t="shared" si="11"/>
        <v>7.6629814297178245E-2</v>
      </c>
      <c r="K108" s="73">
        <f t="shared" si="12"/>
        <v>2.8885725348015041E-3</v>
      </c>
      <c r="L108" s="60">
        <f t="shared" si="12"/>
        <v>1.4443351345124752E-2</v>
      </c>
      <c r="M108" s="71">
        <f t="shared" si="12"/>
        <v>2.3079565140176023E-2</v>
      </c>
      <c r="N108" s="71">
        <f t="shared" si="12"/>
        <v>2.7713175284357596E-2</v>
      </c>
      <c r="O108" s="63">
        <f t="shared" si="12"/>
        <v>3.0311727797178244E-2</v>
      </c>
      <c r="P108" s="55" t="s">
        <v>21</v>
      </c>
      <c r="Q108" s="53" t="s">
        <v>21</v>
      </c>
      <c r="R108" s="94" t="s">
        <v>21</v>
      </c>
      <c r="S108" s="71">
        <v>0</v>
      </c>
      <c r="T108" s="63">
        <f t="shared" si="6"/>
        <v>6.7052932040176025E-2</v>
      </c>
      <c r="V108" s="114">
        <v>1.12739254</v>
      </c>
      <c r="W108" s="72">
        <v>2.8101363300000002</v>
      </c>
      <c r="X108" s="72">
        <v>4.2005800000000004</v>
      </c>
      <c r="Y108" s="72">
        <v>5.2892384000000003</v>
      </c>
      <c r="Z108" s="115">
        <v>6.5336790599999999</v>
      </c>
      <c r="AB108" s="73">
        <v>4.6433130434801496E-2</v>
      </c>
      <c r="AC108" s="71">
        <v>5.7988392145124759E-2</v>
      </c>
      <c r="AD108" s="71">
        <v>6.7052932040176025E-2</v>
      </c>
      <c r="AE108" s="71">
        <v>7.2626641884357593E-2</v>
      </c>
      <c r="AF108" s="63">
        <v>7.6629814297178245E-2</v>
      </c>
      <c r="AG108" s="71">
        <v>2.8885725348015041E-3</v>
      </c>
      <c r="AH108" s="71">
        <v>1.4443351345124752E-2</v>
      </c>
      <c r="AI108" s="71">
        <v>2.3079565140176023E-2</v>
      </c>
      <c r="AJ108" s="71">
        <v>2.7713175284357596E-2</v>
      </c>
      <c r="AK108" s="71">
        <v>3.0311727797178244E-2</v>
      </c>
    </row>
    <row r="109" spans="2:37" x14ac:dyDescent="0.35">
      <c r="B109" s="55" t="s">
        <v>312</v>
      </c>
      <c r="C109" s="53" t="s">
        <v>85</v>
      </c>
      <c r="D109" s="53" t="s">
        <v>20</v>
      </c>
      <c r="E109" s="53" t="s">
        <v>161</v>
      </c>
      <c r="F109" s="73">
        <f t="shared" si="11"/>
        <v>4.2079774915828247E-2</v>
      </c>
      <c r="G109" s="60">
        <f t="shared" si="11"/>
        <v>4.8546427157395565E-2</v>
      </c>
      <c r="H109" s="71">
        <f t="shared" si="11"/>
        <v>5.2929001232449896E-2</v>
      </c>
      <c r="I109" s="71">
        <f t="shared" si="11"/>
        <v>5.641783058471251E-2</v>
      </c>
      <c r="J109" s="63">
        <f t="shared" si="11"/>
        <v>5.8781121043072274E-2</v>
      </c>
      <c r="K109" s="73" t="str">
        <f t="shared" si="12"/>
        <v/>
      </c>
      <c r="L109" s="60">
        <f t="shared" si="12"/>
        <v>5.5715252573955718E-3</v>
      </c>
      <c r="M109" s="71">
        <f t="shared" si="12"/>
        <v>9.9011977324498894E-3</v>
      </c>
      <c r="N109" s="71">
        <f t="shared" si="12"/>
        <v>1.2633951784712515E-2</v>
      </c>
      <c r="O109" s="63">
        <f t="shared" si="12"/>
        <v>1.362172844307228E-2</v>
      </c>
      <c r="P109" s="55" t="s">
        <v>316</v>
      </c>
      <c r="Q109" s="53" t="s">
        <v>317</v>
      </c>
      <c r="R109" s="94">
        <v>47788</v>
      </c>
      <c r="S109" s="71">
        <v>5.192546E-2</v>
      </c>
      <c r="T109" s="63">
        <f t="shared" si="6"/>
        <v>1.0035412324498963E-3</v>
      </c>
      <c r="V109" s="114">
        <v>1.1365703700000001</v>
      </c>
      <c r="W109" s="72">
        <v>2.8840141699999999</v>
      </c>
      <c r="X109" s="72">
        <v>4.4234610299999995</v>
      </c>
      <c r="Y109" s="72">
        <v>5.7298921299999996</v>
      </c>
      <c r="Z109" s="115">
        <v>7.3551936100000006</v>
      </c>
      <c r="AB109" s="73">
        <v>4.2079774915828247E-2</v>
      </c>
      <c r="AC109" s="71">
        <v>4.8546427157395565E-2</v>
      </c>
      <c r="AD109" s="71">
        <v>5.2929001232449896E-2</v>
      </c>
      <c r="AE109" s="71">
        <v>5.641783058471251E-2</v>
      </c>
      <c r="AF109" s="63">
        <v>5.8781121043072274E-2</v>
      </c>
      <c r="AG109" s="71" t="s">
        <v>21</v>
      </c>
      <c r="AH109" s="71">
        <v>5.5715252573955718E-3</v>
      </c>
      <c r="AI109" s="71">
        <v>9.9011977324498894E-3</v>
      </c>
      <c r="AJ109" s="71">
        <v>1.2633951784712515E-2</v>
      </c>
      <c r="AK109" s="71">
        <v>1.362172844307228E-2</v>
      </c>
    </row>
    <row r="110" spans="2:37" x14ac:dyDescent="0.35">
      <c r="B110" s="57" t="s">
        <v>313</v>
      </c>
      <c r="C110" s="53" t="s">
        <v>85</v>
      </c>
      <c r="D110" s="67" t="s">
        <v>20</v>
      </c>
      <c r="E110" s="67" t="s">
        <v>276</v>
      </c>
      <c r="F110" s="74">
        <f t="shared" si="11"/>
        <v>4.3230924147371348E-2</v>
      </c>
      <c r="G110" s="76">
        <f t="shared" si="11"/>
        <v>5.0452015741060313E-2</v>
      </c>
      <c r="H110" s="76">
        <f t="shared" si="11"/>
        <v>5.6711821691062411E-2</v>
      </c>
      <c r="I110" s="76">
        <f t="shared" si="11"/>
        <v>6.0660518949756881E-2</v>
      </c>
      <c r="J110" s="64">
        <f t="shared" si="11"/>
        <v>6.4380413884721668E-2</v>
      </c>
      <c r="K110" s="74" t="str">
        <f t="shared" si="12"/>
        <v/>
      </c>
      <c r="L110" s="76">
        <f t="shared" si="12"/>
        <v>7.375048941060309E-3</v>
      </c>
      <c r="M110" s="76">
        <f t="shared" si="12"/>
        <v>1.3471750391062406E-2</v>
      </c>
      <c r="N110" s="76">
        <f t="shared" si="12"/>
        <v>1.6628780849756875E-2</v>
      </c>
      <c r="O110" s="64">
        <f t="shared" si="12"/>
        <v>1.8921487284721664E-2</v>
      </c>
      <c r="P110" s="57" t="s">
        <v>21</v>
      </c>
      <c r="Q110" s="67" t="s">
        <v>21</v>
      </c>
      <c r="R110" s="96" t="s">
        <v>21</v>
      </c>
      <c r="S110" s="76">
        <v>0</v>
      </c>
      <c r="T110" s="64">
        <f t="shared" si="6"/>
        <v>5.6711821691062411E-2</v>
      </c>
      <c r="V110" s="116">
        <v>1.1343715699999999</v>
      </c>
      <c r="W110" s="108">
        <v>2.8686275299999999</v>
      </c>
      <c r="X110" s="108">
        <v>4.3681145400000005</v>
      </c>
      <c r="Y110" s="108">
        <v>5.6133336300000005</v>
      </c>
      <c r="Z110" s="117">
        <v>7.1056686199999994</v>
      </c>
      <c r="AB110" s="74">
        <v>4.3230924147371348E-2</v>
      </c>
      <c r="AC110" s="76">
        <v>5.0452015741060313E-2</v>
      </c>
      <c r="AD110" s="76">
        <v>5.6711821691062411E-2</v>
      </c>
      <c r="AE110" s="76">
        <v>6.0660518949756881E-2</v>
      </c>
      <c r="AF110" s="64">
        <v>6.4380413884721668E-2</v>
      </c>
      <c r="AG110" s="76" t="s">
        <v>21</v>
      </c>
      <c r="AH110" s="76">
        <v>7.375048941060309E-3</v>
      </c>
      <c r="AI110" s="76">
        <v>1.3471750391062406E-2</v>
      </c>
      <c r="AJ110" s="76">
        <v>1.6628780849756875E-2</v>
      </c>
      <c r="AK110" s="76">
        <v>1.8921487284721664E-2</v>
      </c>
    </row>
    <row r="111" spans="2:37" x14ac:dyDescent="0.35">
      <c r="B111" s="53" t="s">
        <v>21</v>
      </c>
      <c r="C111" s="53" t="s">
        <v>21</v>
      </c>
      <c r="E111" s="53" t="s">
        <v>21</v>
      </c>
      <c r="F111" s="71" t="s">
        <v>21</v>
      </c>
      <c r="G111" s="71"/>
      <c r="H111" s="71" t="s">
        <v>21</v>
      </c>
      <c r="I111" s="71"/>
      <c r="J111" s="71" t="s">
        <v>21</v>
      </c>
      <c r="K111" s="71" t="s">
        <v>21</v>
      </c>
      <c r="L111" s="71"/>
      <c r="M111" s="71" t="s">
        <v>21</v>
      </c>
      <c r="N111" s="71"/>
      <c r="O111" s="71" t="s">
        <v>21</v>
      </c>
      <c r="R111" s="94"/>
      <c r="V111" s="72"/>
      <c r="W111" s="72"/>
      <c r="X111" s="72"/>
      <c r="Y111" s="72"/>
      <c r="Z111" s="72"/>
      <c r="AB111" s="71" t="s">
        <v>21</v>
      </c>
      <c r="AC111" s="71"/>
      <c r="AD111" s="71" t="s">
        <v>21</v>
      </c>
      <c r="AE111" s="71"/>
      <c r="AF111" s="71" t="s">
        <v>21</v>
      </c>
      <c r="AG111" s="71" t="s">
        <v>21</v>
      </c>
      <c r="AH111" s="71"/>
      <c r="AI111" s="71" t="s">
        <v>21</v>
      </c>
      <c r="AJ111" s="71"/>
      <c r="AK111" s="71" t="s">
        <v>21</v>
      </c>
    </row>
    <row r="112" spans="2:37" ht="15.5" x14ac:dyDescent="0.35">
      <c r="B112" s="122" t="s">
        <v>93</v>
      </c>
      <c r="C112" s="53" t="s">
        <v>21</v>
      </c>
      <c r="E112" s="53" t="s">
        <v>21</v>
      </c>
      <c r="F112" s="71" t="s">
        <v>21</v>
      </c>
      <c r="G112" s="71"/>
      <c r="H112" s="71" t="s">
        <v>21</v>
      </c>
      <c r="I112" s="71"/>
      <c r="J112" s="71" t="s">
        <v>21</v>
      </c>
      <c r="K112" s="71" t="s">
        <v>21</v>
      </c>
      <c r="L112" s="71"/>
      <c r="M112" s="71" t="s">
        <v>21</v>
      </c>
      <c r="N112" s="71"/>
      <c r="O112" s="71" t="s">
        <v>21</v>
      </c>
      <c r="R112" s="94"/>
      <c r="V112" s="72"/>
      <c r="W112" s="72"/>
      <c r="X112" s="72"/>
      <c r="Y112" s="72"/>
      <c r="Z112" s="72"/>
      <c r="AB112" s="71" t="s">
        <v>21</v>
      </c>
      <c r="AC112" s="71"/>
      <c r="AD112" s="71" t="s">
        <v>21</v>
      </c>
      <c r="AE112" s="71"/>
      <c r="AF112" s="71" t="s">
        <v>21</v>
      </c>
      <c r="AG112" s="71" t="s">
        <v>21</v>
      </c>
      <c r="AH112" s="71"/>
      <c r="AI112" s="71" t="s">
        <v>21</v>
      </c>
      <c r="AJ112" s="71"/>
      <c r="AK112" s="71" t="s">
        <v>21</v>
      </c>
    </row>
    <row r="113" spans="2:37" x14ac:dyDescent="0.35">
      <c r="B113" s="85" t="s">
        <v>5</v>
      </c>
      <c r="C113" s="84" t="s">
        <v>6</v>
      </c>
      <c r="D113" s="84" t="s">
        <v>7</v>
      </c>
      <c r="E113" s="84" t="s">
        <v>8</v>
      </c>
      <c r="F113" s="83" t="s">
        <v>9</v>
      </c>
      <c r="G113" s="82" t="s">
        <v>10</v>
      </c>
      <c r="H113" s="82" t="s">
        <v>11</v>
      </c>
      <c r="I113" s="82" t="s">
        <v>12</v>
      </c>
      <c r="J113" s="81" t="s">
        <v>13</v>
      </c>
      <c r="K113" s="83" t="s">
        <v>9</v>
      </c>
      <c r="L113" s="82" t="s">
        <v>10</v>
      </c>
      <c r="M113" s="82" t="s">
        <v>11</v>
      </c>
      <c r="N113" s="82" t="s">
        <v>12</v>
      </c>
      <c r="O113" s="81" t="s">
        <v>13</v>
      </c>
      <c r="P113" s="70" t="s">
        <v>14</v>
      </c>
      <c r="Q113" s="58" t="s">
        <v>15</v>
      </c>
      <c r="R113" s="58" t="s">
        <v>16</v>
      </c>
      <c r="S113" s="58" t="s">
        <v>407</v>
      </c>
      <c r="T113" s="58" t="s">
        <v>18</v>
      </c>
      <c r="V113" s="110" t="s">
        <v>9</v>
      </c>
      <c r="W113" s="106" t="s">
        <v>10</v>
      </c>
      <c r="X113" s="106" t="s">
        <v>11</v>
      </c>
      <c r="Y113" s="106" t="s">
        <v>12</v>
      </c>
      <c r="Z113" s="111" t="s">
        <v>13</v>
      </c>
      <c r="AB113" s="83" t="s">
        <v>9</v>
      </c>
      <c r="AC113" s="82" t="s">
        <v>10</v>
      </c>
      <c r="AD113" s="82" t="s">
        <v>11</v>
      </c>
      <c r="AE113" s="82" t="s">
        <v>12</v>
      </c>
      <c r="AF113" s="81" t="s">
        <v>13</v>
      </c>
      <c r="AG113" s="58" t="s">
        <v>9</v>
      </c>
      <c r="AH113" s="58" t="s">
        <v>10</v>
      </c>
      <c r="AI113" s="58" t="s">
        <v>11</v>
      </c>
      <c r="AJ113" s="58" t="s">
        <v>12</v>
      </c>
      <c r="AK113" s="58" t="s">
        <v>13</v>
      </c>
    </row>
    <row r="114" spans="2:37" x14ac:dyDescent="0.35">
      <c r="B114" s="79" t="s">
        <v>94</v>
      </c>
      <c r="C114" s="78"/>
      <c r="D114" s="78"/>
      <c r="E114" s="78"/>
      <c r="F114" s="79"/>
      <c r="G114" s="78"/>
      <c r="H114" s="78"/>
      <c r="I114" s="78"/>
      <c r="J114" s="78"/>
      <c r="K114" s="78"/>
      <c r="L114" s="78"/>
      <c r="M114" s="78"/>
      <c r="N114" s="78"/>
      <c r="O114" s="77"/>
      <c r="P114" s="79"/>
      <c r="Q114" s="78"/>
      <c r="R114" s="95"/>
      <c r="S114" s="78"/>
      <c r="T114" s="77"/>
      <c r="V114" s="112"/>
      <c r="W114" s="107"/>
      <c r="X114" s="107"/>
      <c r="Y114" s="107"/>
      <c r="Z114" s="113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</row>
    <row r="115" spans="2:37" x14ac:dyDescent="0.35">
      <c r="B115" s="56" t="s">
        <v>95</v>
      </c>
      <c r="C115" s="66" t="s">
        <v>85</v>
      </c>
      <c r="D115" s="66" t="s">
        <v>43</v>
      </c>
      <c r="E115" s="66" t="s">
        <v>232</v>
      </c>
      <c r="F115" s="75">
        <f t="shared" ref="F115:J130" si="13">IF(ISNUMBER(AB115),AB115-((C$4-C$3)/V115),"")</f>
        <v>4.2064069642776494E-2</v>
      </c>
      <c r="G115" s="80">
        <f t="shared" si="13"/>
        <v>4.8561965004629809E-2</v>
      </c>
      <c r="H115" s="80">
        <f t="shared" si="13"/>
        <v>5.3372151718524809E-2</v>
      </c>
      <c r="I115" s="80">
        <f t="shared" si="13"/>
        <v>5.576860981311392E-2</v>
      </c>
      <c r="J115" s="62">
        <f t="shared" si="13"/>
        <v>5.8353720599557853E-2</v>
      </c>
      <c r="K115" s="75" t="str">
        <f t="shared" ref="K115:O130" si="14">IF(ISNUMBER(AG115),IF(AG115-((C$4-C$3)/V115)&lt;0,"",AG115-((C$4-C$3)/V115)),"")</f>
        <v/>
      </c>
      <c r="L115" s="80">
        <f t="shared" si="14"/>
        <v>5.5878009046298194E-3</v>
      </c>
      <c r="M115" s="80">
        <f t="shared" si="14"/>
        <v>1.0321596418524809E-2</v>
      </c>
      <c r="N115" s="80">
        <f t="shared" si="14"/>
        <v>1.202024821311393E-2</v>
      </c>
      <c r="O115" s="62">
        <f t="shared" si="14"/>
        <v>1.3209412799557856E-2</v>
      </c>
      <c r="P115" s="56" t="s">
        <v>21</v>
      </c>
      <c r="Q115" s="66" t="s">
        <v>21</v>
      </c>
      <c r="R115" s="100" t="s">
        <v>21</v>
      </c>
      <c r="S115" s="80">
        <v>0</v>
      </c>
      <c r="T115" s="63">
        <f t="shared" ref="T115:T138" si="15">IF(S115="","",H115-S115)</f>
        <v>5.3372151718524809E-2</v>
      </c>
      <c r="V115" s="118">
        <v>1.13657425</v>
      </c>
      <c r="W115" s="61">
        <v>2.88400692</v>
      </c>
      <c r="X115" s="61">
        <v>4.4191181300000002</v>
      </c>
      <c r="Y115" s="61">
        <v>5.7348116099999995</v>
      </c>
      <c r="Z115" s="119">
        <v>7.3755387399999996</v>
      </c>
      <c r="AB115" s="75">
        <v>4.2064069642776494E-2</v>
      </c>
      <c r="AC115" s="80">
        <v>4.8561965004629809E-2</v>
      </c>
      <c r="AD115" s="80">
        <v>5.3372151718524809E-2</v>
      </c>
      <c r="AE115" s="80">
        <v>5.576860981311392E-2</v>
      </c>
      <c r="AF115" s="62">
        <v>5.8353720599557853E-2</v>
      </c>
      <c r="AG115" s="80" t="s">
        <v>21</v>
      </c>
      <c r="AH115" s="80">
        <v>5.5878009046298194E-3</v>
      </c>
      <c r="AI115" s="80">
        <v>1.0321596418524809E-2</v>
      </c>
      <c r="AJ115" s="80">
        <v>1.202024821311393E-2</v>
      </c>
      <c r="AK115" s="80">
        <v>1.3209412799557856E-2</v>
      </c>
    </row>
    <row r="116" spans="2:37" x14ac:dyDescent="0.35">
      <c r="B116" s="57" t="s">
        <v>95</v>
      </c>
      <c r="C116" s="67" t="s">
        <v>35</v>
      </c>
      <c r="D116" s="67" t="s">
        <v>43</v>
      </c>
      <c r="E116" s="67" t="s">
        <v>233</v>
      </c>
      <c r="F116" s="74">
        <f t="shared" si="13"/>
        <v>4.3537583738048384E-2</v>
      </c>
      <c r="G116" s="76">
        <f t="shared" si="13"/>
        <v>5.2187822584302657E-2</v>
      </c>
      <c r="H116" s="76">
        <f t="shared" si="13"/>
        <v>5.9202464880200714E-2</v>
      </c>
      <c r="I116" s="76">
        <f t="shared" si="13"/>
        <v>6.2564909237619523E-2</v>
      </c>
      <c r="J116" s="64">
        <f t="shared" si="13"/>
        <v>6.593341601636353E-2</v>
      </c>
      <c r="K116" s="74">
        <f t="shared" si="14"/>
        <v>1.9137863804838395E-4</v>
      </c>
      <c r="L116" s="76">
        <f t="shared" si="14"/>
        <v>9.0735261843026514E-3</v>
      </c>
      <c r="M116" s="76">
        <f t="shared" si="14"/>
        <v>1.5915170380200721E-2</v>
      </c>
      <c r="N116" s="76">
        <f t="shared" si="14"/>
        <v>1.8531376837619507E-2</v>
      </c>
      <c r="O116" s="64">
        <f t="shared" si="14"/>
        <v>2.048615961636352E-2</v>
      </c>
      <c r="P116" s="57" t="s">
        <v>21</v>
      </c>
      <c r="Q116" s="67" t="s">
        <v>21</v>
      </c>
      <c r="R116" s="96" t="s">
        <v>21</v>
      </c>
      <c r="S116" s="76">
        <v>0</v>
      </c>
      <c r="T116" s="64">
        <f t="shared" si="15"/>
        <v>5.9202464880200714E-2</v>
      </c>
      <c r="V116" s="116">
        <v>1.13527606</v>
      </c>
      <c r="W116" s="108">
        <v>2.8699890400000001</v>
      </c>
      <c r="X116" s="108">
        <v>4.3710068800000004</v>
      </c>
      <c r="Y116" s="108">
        <v>5.6334259800000002</v>
      </c>
      <c r="Z116" s="117">
        <v>7.1711440099999999</v>
      </c>
      <c r="AB116" s="74">
        <v>4.3537583738048384E-2</v>
      </c>
      <c r="AC116" s="76">
        <v>5.2187822584302657E-2</v>
      </c>
      <c r="AD116" s="76">
        <v>5.9202464880200714E-2</v>
      </c>
      <c r="AE116" s="76">
        <v>6.2564909237619523E-2</v>
      </c>
      <c r="AF116" s="64">
        <v>6.593341601636353E-2</v>
      </c>
      <c r="AG116" s="76">
        <v>1.9137863804838395E-4</v>
      </c>
      <c r="AH116" s="76">
        <v>9.0735261843026514E-3</v>
      </c>
      <c r="AI116" s="76">
        <v>1.5915170380200721E-2</v>
      </c>
      <c r="AJ116" s="76">
        <v>1.8531376837619507E-2</v>
      </c>
      <c r="AK116" s="76">
        <v>2.048615961636352E-2</v>
      </c>
    </row>
    <row r="117" spans="2:37" x14ac:dyDescent="0.35">
      <c r="B117" s="55" t="s">
        <v>96</v>
      </c>
      <c r="C117" s="53" t="s">
        <v>85</v>
      </c>
      <c r="D117" s="53" t="s">
        <v>97</v>
      </c>
      <c r="E117" s="53" t="s">
        <v>21</v>
      </c>
      <c r="F117" s="73">
        <f t="shared" si="13"/>
        <v>4.2474537890068505E-2</v>
      </c>
      <c r="G117" s="60">
        <f t="shared" si="13"/>
        <v>4.8909428190146251E-2</v>
      </c>
      <c r="H117" s="60">
        <f t="shared" si="13"/>
        <v>5.3644998544893047E-2</v>
      </c>
      <c r="I117" s="60">
        <f t="shared" si="13"/>
        <v>5.6420529810103204E-2</v>
      </c>
      <c r="J117" s="63">
        <f t="shared" si="13"/>
        <v>5.9259257182297964E-2</v>
      </c>
      <c r="K117" s="73" t="str">
        <f t="shared" si="14"/>
        <v/>
      </c>
      <c r="L117" s="60">
        <f t="shared" si="14"/>
        <v>5.9166538901462545E-3</v>
      </c>
      <c r="M117" s="60">
        <f t="shared" si="14"/>
        <v>1.0579346344893034E-2</v>
      </c>
      <c r="N117" s="60">
        <f t="shared" si="14"/>
        <v>1.2636527310103196E-2</v>
      </c>
      <c r="O117" s="63">
        <f t="shared" si="14"/>
        <v>1.4071642782297958E-2</v>
      </c>
      <c r="P117" s="55" t="s">
        <v>21</v>
      </c>
      <c r="Q117" s="53" t="s">
        <v>21</v>
      </c>
      <c r="R117" s="94" t="s">
        <v>21</v>
      </c>
      <c r="S117" s="71">
        <v>0</v>
      </c>
      <c r="T117" s="63">
        <f t="shared" si="15"/>
        <v>5.3644998544893047E-2</v>
      </c>
      <c r="V117" s="114">
        <v>1.1357976999999999</v>
      </c>
      <c r="W117" s="72">
        <v>2.8803722199999999</v>
      </c>
      <c r="X117" s="72">
        <v>4.4129119799999996</v>
      </c>
      <c r="Y117" s="72">
        <v>5.71979068</v>
      </c>
      <c r="Z117" s="115">
        <v>7.3379060200000001</v>
      </c>
      <c r="AB117" s="73">
        <v>4.2474537890068505E-2</v>
      </c>
      <c r="AC117" s="71">
        <v>4.8909428190146251E-2</v>
      </c>
      <c r="AD117" s="71">
        <v>5.3644998544893047E-2</v>
      </c>
      <c r="AE117" s="71">
        <v>5.6420529810103204E-2</v>
      </c>
      <c r="AF117" s="63">
        <v>5.9259257182297964E-2</v>
      </c>
      <c r="AG117" s="71" t="s">
        <v>21</v>
      </c>
      <c r="AH117" s="71">
        <v>5.9166538901462545E-3</v>
      </c>
      <c r="AI117" s="71">
        <v>1.0579346344893034E-2</v>
      </c>
      <c r="AJ117" s="71">
        <v>1.2636527310103196E-2</v>
      </c>
      <c r="AK117" s="71">
        <v>1.4071642782297958E-2</v>
      </c>
    </row>
    <row r="118" spans="2:37" x14ac:dyDescent="0.35">
      <c r="B118" s="57" t="s">
        <v>96</v>
      </c>
      <c r="C118" s="67" t="s">
        <v>35</v>
      </c>
      <c r="D118" s="67" t="s">
        <v>97</v>
      </c>
      <c r="E118" s="67" t="s">
        <v>44</v>
      </c>
      <c r="F118" s="74">
        <f t="shared" si="13"/>
        <v>4.4796376758618861E-2</v>
      </c>
      <c r="G118" s="76">
        <f t="shared" si="13"/>
        <v>5.2419712670206293E-2</v>
      </c>
      <c r="H118" s="76">
        <f t="shared" si="13"/>
        <v>5.8833013831298242E-2</v>
      </c>
      <c r="I118" s="76">
        <f t="shared" si="13"/>
        <v>6.2833282867080481E-2</v>
      </c>
      <c r="J118" s="64">
        <f t="shared" si="13"/>
        <v>6.6121469303269495E-2</v>
      </c>
      <c r="K118" s="74">
        <f t="shared" si="14"/>
        <v>1.4038249586188628E-3</v>
      </c>
      <c r="L118" s="76">
        <f t="shared" si="14"/>
        <v>9.2975181702062981E-3</v>
      </c>
      <c r="M118" s="76">
        <f t="shared" si="14"/>
        <v>1.5567738631298242E-2</v>
      </c>
      <c r="N118" s="76">
        <f t="shared" si="14"/>
        <v>1.8786050367080493E-2</v>
      </c>
      <c r="O118" s="64">
        <f t="shared" si="14"/>
        <v>2.0666335403269492E-2</v>
      </c>
      <c r="P118" s="57" t="s">
        <v>21</v>
      </c>
      <c r="Q118" s="67" t="s">
        <v>21</v>
      </c>
      <c r="R118" s="96" t="s">
        <v>21</v>
      </c>
      <c r="S118" s="76">
        <v>0</v>
      </c>
      <c r="T118" s="64">
        <f t="shared" si="15"/>
        <v>5.8833013831298242E-2</v>
      </c>
      <c r="V118" s="116">
        <v>1.1333796899999999</v>
      </c>
      <c r="W118" s="108">
        <v>2.8653693699999998</v>
      </c>
      <c r="X118" s="108">
        <v>4.3694561399999996</v>
      </c>
      <c r="Y118" s="108">
        <v>5.6303060399999998</v>
      </c>
      <c r="Z118" s="117">
        <v>7.1635287600000002</v>
      </c>
      <c r="AB118" s="74">
        <v>4.4796376758618861E-2</v>
      </c>
      <c r="AC118" s="76">
        <v>5.2419712670206293E-2</v>
      </c>
      <c r="AD118" s="76">
        <v>5.8833013831298242E-2</v>
      </c>
      <c r="AE118" s="76">
        <v>6.2833282867080481E-2</v>
      </c>
      <c r="AF118" s="64">
        <v>6.6121469303269495E-2</v>
      </c>
      <c r="AG118" s="76">
        <v>1.4038249586188628E-3</v>
      </c>
      <c r="AH118" s="76">
        <v>9.2975181702062981E-3</v>
      </c>
      <c r="AI118" s="76">
        <v>1.5567738631298242E-2</v>
      </c>
      <c r="AJ118" s="76">
        <v>1.8786050367080493E-2</v>
      </c>
      <c r="AK118" s="76">
        <v>2.0666335403269492E-2</v>
      </c>
    </row>
    <row r="119" spans="2:37" x14ac:dyDescent="0.35">
      <c r="B119" s="55" t="s">
        <v>98</v>
      </c>
      <c r="C119" s="53" t="s">
        <v>85</v>
      </c>
      <c r="D119" s="53" t="s">
        <v>47</v>
      </c>
      <c r="E119" s="53" t="s">
        <v>21</v>
      </c>
      <c r="F119" s="73">
        <f t="shared" si="13"/>
        <v>4.2697568827259821E-2</v>
      </c>
      <c r="G119" s="60">
        <f t="shared" si="13"/>
        <v>4.9451678677553602E-2</v>
      </c>
      <c r="H119" s="60">
        <f t="shared" si="13"/>
        <v>5.4847422416568432E-2</v>
      </c>
      <c r="I119" s="60">
        <f t="shared" si="13"/>
        <v>5.7657225701316844E-2</v>
      </c>
      <c r="J119" s="63">
        <f t="shared" si="13"/>
        <v>6.0668557032599109E-2</v>
      </c>
      <c r="K119" s="73" t="str">
        <f t="shared" si="14"/>
        <v/>
      </c>
      <c r="L119" s="60">
        <f t="shared" si="14"/>
        <v>6.4313000775536111E-3</v>
      </c>
      <c r="M119" s="60">
        <f t="shared" si="14"/>
        <v>1.1716107816568438E-2</v>
      </c>
      <c r="N119" s="60">
        <f t="shared" si="14"/>
        <v>1.3805313901316847E-2</v>
      </c>
      <c r="O119" s="63">
        <f t="shared" si="14"/>
        <v>1.5410407232599115E-2</v>
      </c>
      <c r="P119" s="55" t="s">
        <v>21</v>
      </c>
      <c r="Q119" s="53" t="s">
        <v>21</v>
      </c>
      <c r="R119" s="94" t="s">
        <v>21</v>
      </c>
      <c r="S119" s="71">
        <v>0</v>
      </c>
      <c r="T119" s="63">
        <f t="shared" si="15"/>
        <v>5.4847422416568432E-2</v>
      </c>
      <c r="V119" s="114">
        <v>1.1353546699999999</v>
      </c>
      <c r="W119" s="72">
        <v>2.87642993</v>
      </c>
      <c r="X119" s="72">
        <v>4.3956163799999999</v>
      </c>
      <c r="Y119" s="72">
        <v>5.6843087799999994</v>
      </c>
      <c r="Z119" s="115">
        <v>7.2686230199999997</v>
      </c>
      <c r="AB119" s="73">
        <v>4.2697568827259821E-2</v>
      </c>
      <c r="AC119" s="71">
        <v>4.9451678677553602E-2</v>
      </c>
      <c r="AD119" s="71">
        <v>5.4847422416568432E-2</v>
      </c>
      <c r="AE119" s="71">
        <v>5.7657225701316844E-2</v>
      </c>
      <c r="AF119" s="63">
        <v>6.0668557032599109E-2</v>
      </c>
      <c r="AG119" s="71" t="s">
        <v>21</v>
      </c>
      <c r="AH119" s="71">
        <v>6.4313000775536111E-3</v>
      </c>
      <c r="AI119" s="71">
        <v>1.1716107816568438E-2</v>
      </c>
      <c r="AJ119" s="71">
        <v>1.3805313901316847E-2</v>
      </c>
      <c r="AK119" s="71">
        <v>1.5410407232599115E-2</v>
      </c>
    </row>
    <row r="120" spans="2:37" x14ac:dyDescent="0.35">
      <c r="B120" s="57" t="s">
        <v>98</v>
      </c>
      <c r="C120" s="67" t="s">
        <v>35</v>
      </c>
      <c r="D120" s="67" t="s">
        <v>47</v>
      </c>
      <c r="E120" s="67" t="s">
        <v>454</v>
      </c>
      <c r="F120" s="74">
        <f t="shared" si="13"/>
        <v>4.4345066608090525E-2</v>
      </c>
      <c r="G120" s="76">
        <f t="shared" si="13"/>
        <v>5.2987740644356199E-2</v>
      </c>
      <c r="H120" s="76">
        <f t="shared" si="13"/>
        <v>6.0480015751773294E-2</v>
      </c>
      <c r="I120" s="76">
        <f t="shared" si="13"/>
        <v>6.4844203166551997E-2</v>
      </c>
      <c r="J120" s="64">
        <f t="shared" si="13"/>
        <v>6.8580246952435267E-2</v>
      </c>
      <c r="K120" s="74">
        <f t="shared" si="14"/>
        <v>9.7737970809052936E-4</v>
      </c>
      <c r="L120" s="76">
        <f t="shared" si="14"/>
        <v>9.8402589443561915E-3</v>
      </c>
      <c r="M120" s="76">
        <f t="shared" si="14"/>
        <v>1.7125509351773274E-2</v>
      </c>
      <c r="N120" s="76">
        <f t="shared" si="14"/>
        <v>2.0683297166551977E-2</v>
      </c>
      <c r="O120" s="64">
        <f t="shared" si="14"/>
        <v>2.2993281752435278E-2</v>
      </c>
      <c r="P120" s="57" t="s">
        <v>455</v>
      </c>
      <c r="Q120" s="67" t="s">
        <v>456</v>
      </c>
      <c r="R120" s="96" t="s">
        <v>32</v>
      </c>
      <c r="S120" s="76">
        <v>5.3233839999999998E-2</v>
      </c>
      <c r="T120" s="64">
        <f t="shared" si="15"/>
        <v>7.2461757517732969E-3</v>
      </c>
      <c r="V120" s="116">
        <v>1.1340615199999999</v>
      </c>
      <c r="W120" s="108">
        <v>2.86414138</v>
      </c>
      <c r="X120" s="108">
        <v>4.3543891800000001</v>
      </c>
      <c r="Y120" s="108">
        <v>5.5926408099999998</v>
      </c>
      <c r="Z120" s="117">
        <v>7.0799602300000002</v>
      </c>
      <c r="AB120" s="74">
        <v>4.4345066608090525E-2</v>
      </c>
      <c r="AC120" s="76">
        <v>5.2987740644356199E-2</v>
      </c>
      <c r="AD120" s="76">
        <v>6.0480015751773294E-2</v>
      </c>
      <c r="AE120" s="76">
        <v>6.4844203166551997E-2</v>
      </c>
      <c r="AF120" s="64">
        <v>6.8580246952435267E-2</v>
      </c>
      <c r="AG120" s="76">
        <v>9.7737970809052936E-4</v>
      </c>
      <c r="AH120" s="76">
        <v>9.8402589443561915E-3</v>
      </c>
      <c r="AI120" s="76">
        <v>1.7125509351773274E-2</v>
      </c>
      <c r="AJ120" s="76">
        <v>2.0683297166551977E-2</v>
      </c>
      <c r="AK120" s="76">
        <v>2.2993281752435278E-2</v>
      </c>
    </row>
    <row r="121" spans="2:37" x14ac:dyDescent="0.35">
      <c r="B121" s="55" t="s">
        <v>99</v>
      </c>
      <c r="C121" s="53" t="s">
        <v>85</v>
      </c>
      <c r="D121" s="53" t="s">
        <v>69</v>
      </c>
      <c r="E121" s="53" t="s">
        <v>100</v>
      </c>
      <c r="F121" s="73">
        <f t="shared" si="13"/>
        <v>4.2439551835518272E-2</v>
      </c>
      <c r="G121" s="60">
        <f t="shared" si="13"/>
        <v>4.9983594600635999E-2</v>
      </c>
      <c r="H121" s="60">
        <f t="shared" si="13"/>
        <v>5.5734264757518061E-2</v>
      </c>
      <c r="I121" s="60">
        <f t="shared" si="13"/>
        <v>5.8771090681770721E-2</v>
      </c>
      <c r="J121" s="63">
        <f t="shared" si="13"/>
        <v>6.2134129998941516E-2</v>
      </c>
      <c r="K121" s="73" t="str">
        <f t="shared" si="14"/>
        <v/>
      </c>
      <c r="L121" s="60">
        <f t="shared" si="14"/>
        <v>6.9359124006360068E-3</v>
      </c>
      <c r="M121" s="60">
        <f t="shared" si="14"/>
        <v>1.2553499257518062E-2</v>
      </c>
      <c r="N121" s="60">
        <f t="shared" si="14"/>
        <v>1.4855593881770726E-2</v>
      </c>
      <c r="O121" s="63">
        <f t="shared" si="14"/>
        <v>1.6799084898941524E-2</v>
      </c>
      <c r="P121" s="55" t="s">
        <v>21</v>
      </c>
      <c r="Q121" s="53" t="s">
        <v>21</v>
      </c>
      <c r="R121" s="94" t="s">
        <v>21</v>
      </c>
      <c r="S121" s="71">
        <v>0</v>
      </c>
      <c r="T121" s="63">
        <f t="shared" si="15"/>
        <v>5.5734264757518061E-2</v>
      </c>
      <c r="V121" s="114">
        <v>1.1358216399999999</v>
      </c>
      <c r="W121" s="72">
        <v>2.87394135</v>
      </c>
      <c r="X121" s="72">
        <v>4.3833800200000006</v>
      </c>
      <c r="Y121" s="72">
        <v>5.6560914900000006</v>
      </c>
      <c r="Z121" s="115">
        <v>7.2054019600000005</v>
      </c>
      <c r="AB121" s="73">
        <v>4.2439551835518272E-2</v>
      </c>
      <c r="AC121" s="71">
        <v>4.9983594600635999E-2</v>
      </c>
      <c r="AD121" s="71">
        <v>5.5734264757518061E-2</v>
      </c>
      <c r="AE121" s="71">
        <v>5.8771090681770721E-2</v>
      </c>
      <c r="AF121" s="63">
        <v>6.2134129998941516E-2</v>
      </c>
      <c r="AG121" s="71" t="s">
        <v>21</v>
      </c>
      <c r="AH121" s="71">
        <v>6.9359124006360068E-3</v>
      </c>
      <c r="AI121" s="71">
        <v>1.2553499257518062E-2</v>
      </c>
      <c r="AJ121" s="71">
        <v>1.4855593881770726E-2</v>
      </c>
      <c r="AK121" s="71">
        <v>1.6799084898941524E-2</v>
      </c>
    </row>
    <row r="122" spans="2:37" x14ac:dyDescent="0.35">
      <c r="B122" s="57" t="s">
        <v>99</v>
      </c>
      <c r="C122" s="67" t="s">
        <v>35</v>
      </c>
      <c r="D122" s="67" t="s">
        <v>69</v>
      </c>
      <c r="E122" s="67" t="s">
        <v>226</v>
      </c>
      <c r="F122" s="74">
        <f t="shared" si="13"/>
        <v>4.3227704031723713E-2</v>
      </c>
      <c r="G122" s="76">
        <f t="shared" si="13"/>
        <v>5.3023159662941369E-2</v>
      </c>
      <c r="H122" s="76">
        <f t="shared" si="13"/>
        <v>6.0668568730325348E-2</v>
      </c>
      <c r="I122" s="76">
        <f t="shared" si="13"/>
        <v>6.5122002274769483E-2</v>
      </c>
      <c r="J122" s="64">
        <f t="shared" si="13"/>
        <v>6.8563617608971103E-2</v>
      </c>
      <c r="K122" s="74" t="str">
        <f t="shared" si="14"/>
        <v/>
      </c>
      <c r="L122" s="76">
        <f t="shared" si="14"/>
        <v>9.8700723629413685E-3</v>
      </c>
      <c r="M122" s="76">
        <f t="shared" si="14"/>
        <v>1.7300497630325339E-2</v>
      </c>
      <c r="N122" s="76">
        <f t="shared" si="14"/>
        <v>2.0942659074769488E-2</v>
      </c>
      <c r="O122" s="64">
        <f t="shared" si="14"/>
        <v>2.2977351008971102E-2</v>
      </c>
      <c r="P122" s="57" t="s">
        <v>457</v>
      </c>
      <c r="Q122" s="67" t="s">
        <v>458</v>
      </c>
      <c r="R122" s="96" t="s">
        <v>32</v>
      </c>
      <c r="S122" s="76">
        <v>5.6815069999999995E-2</v>
      </c>
      <c r="T122" s="64">
        <f t="shared" si="15"/>
        <v>3.8534987303253526E-3</v>
      </c>
      <c r="V122" s="116">
        <v>1.13570379</v>
      </c>
      <c r="W122" s="108">
        <v>2.8668090100000003</v>
      </c>
      <c r="X122" s="108">
        <v>4.3553156800000004</v>
      </c>
      <c r="Y122" s="108">
        <v>5.5902637400000001</v>
      </c>
      <c r="Z122" s="117">
        <v>7.0766962200000005</v>
      </c>
      <c r="AB122" s="74">
        <v>4.3227704031723713E-2</v>
      </c>
      <c r="AC122" s="76">
        <v>5.3023159662941369E-2</v>
      </c>
      <c r="AD122" s="76">
        <v>6.0668568730325348E-2</v>
      </c>
      <c r="AE122" s="76">
        <v>6.5122002274769483E-2</v>
      </c>
      <c r="AF122" s="64">
        <v>6.8563617608971103E-2</v>
      </c>
      <c r="AG122" s="76" t="s">
        <v>21</v>
      </c>
      <c r="AH122" s="76">
        <v>9.8700723629413685E-3</v>
      </c>
      <c r="AI122" s="76">
        <v>1.7300497630325339E-2</v>
      </c>
      <c r="AJ122" s="76">
        <v>2.0942659074769488E-2</v>
      </c>
      <c r="AK122" s="76">
        <v>2.2977351008971102E-2</v>
      </c>
    </row>
    <row r="123" spans="2:37" x14ac:dyDescent="0.35">
      <c r="B123" s="55" t="s">
        <v>101</v>
      </c>
      <c r="C123" s="53" t="s">
        <v>85</v>
      </c>
      <c r="D123" s="53" t="s">
        <v>31</v>
      </c>
      <c r="E123" s="53" t="s">
        <v>21</v>
      </c>
      <c r="F123" s="73">
        <f t="shared" si="13"/>
        <v>4.2070814071984007E-2</v>
      </c>
      <c r="G123" s="60">
        <f t="shared" si="13"/>
        <v>4.9229097039442442E-2</v>
      </c>
      <c r="H123" s="60">
        <f t="shared" si="13"/>
        <v>5.447740123921592E-2</v>
      </c>
      <c r="I123" s="60">
        <f t="shared" si="13"/>
        <v>5.743406081914363E-2</v>
      </c>
      <c r="J123" s="63">
        <f t="shared" si="13"/>
        <v>6.057886520480929E-2</v>
      </c>
      <c r="K123" s="73" t="str">
        <f t="shared" si="14"/>
        <v/>
      </c>
      <c r="L123" s="60">
        <f t="shared" si="14"/>
        <v>6.2181855394424397E-3</v>
      </c>
      <c r="M123" s="60">
        <f t="shared" si="14"/>
        <v>1.1365037139215927E-2</v>
      </c>
      <c r="N123" s="60">
        <f t="shared" si="14"/>
        <v>1.3593598019143633E-2</v>
      </c>
      <c r="O123" s="63">
        <f t="shared" si="14"/>
        <v>1.5325297404809292E-2</v>
      </c>
      <c r="P123" s="55" t="s">
        <v>21</v>
      </c>
      <c r="Q123" s="53" t="s">
        <v>21</v>
      </c>
      <c r="R123" s="94" t="s">
        <v>21</v>
      </c>
      <c r="S123" s="71">
        <v>0</v>
      </c>
      <c r="T123" s="63">
        <f t="shared" si="15"/>
        <v>5.447740123921592E-2</v>
      </c>
      <c r="V123" s="114">
        <v>1.1365766799999999</v>
      </c>
      <c r="W123" s="72">
        <v>2.87989696</v>
      </c>
      <c r="X123" s="72">
        <v>4.4029166600000007</v>
      </c>
      <c r="Y123" s="72">
        <v>5.6948656399999997</v>
      </c>
      <c r="Z123" s="115">
        <v>7.2807419799999993</v>
      </c>
      <c r="AB123" s="73">
        <v>4.2070814071984007E-2</v>
      </c>
      <c r="AC123" s="71">
        <v>4.9229097039442442E-2</v>
      </c>
      <c r="AD123" s="71">
        <v>5.447740123921592E-2</v>
      </c>
      <c r="AE123" s="71">
        <v>5.743406081914363E-2</v>
      </c>
      <c r="AF123" s="63">
        <v>6.057886520480929E-2</v>
      </c>
      <c r="AG123" s="71" t="s">
        <v>21</v>
      </c>
      <c r="AH123" s="71">
        <v>6.2181855394424397E-3</v>
      </c>
      <c r="AI123" s="71">
        <v>1.1365037139215927E-2</v>
      </c>
      <c r="AJ123" s="71">
        <v>1.3593598019143633E-2</v>
      </c>
      <c r="AK123" s="71">
        <v>1.5325297404809292E-2</v>
      </c>
    </row>
    <row r="124" spans="2:37" x14ac:dyDescent="0.35">
      <c r="B124" s="57" t="s">
        <v>101</v>
      </c>
      <c r="C124" s="67" t="s">
        <v>35</v>
      </c>
      <c r="D124" s="67" t="s">
        <v>31</v>
      </c>
      <c r="E124" s="67" t="s">
        <v>21</v>
      </c>
      <c r="F124" s="74">
        <f t="shared" si="13"/>
        <v>4.3511114627512087E-2</v>
      </c>
      <c r="G124" s="76">
        <f t="shared" si="13"/>
        <v>5.2125680756102667E-2</v>
      </c>
      <c r="H124" s="76">
        <f t="shared" si="13"/>
        <v>5.9103852294249956E-2</v>
      </c>
      <c r="I124" s="76">
        <f t="shared" si="13"/>
        <v>6.2740169023497133E-2</v>
      </c>
      <c r="J124" s="64">
        <f t="shared" si="13"/>
        <v>6.6026314225304819E-2</v>
      </c>
      <c r="K124" s="74">
        <f t="shared" si="14"/>
        <v>1.6597042751208789E-4</v>
      </c>
      <c r="L124" s="76">
        <f t="shared" si="14"/>
        <v>9.0143437561026711E-3</v>
      </c>
      <c r="M124" s="76">
        <f t="shared" si="14"/>
        <v>1.5821934794249939E-2</v>
      </c>
      <c r="N124" s="76">
        <f t="shared" si="14"/>
        <v>1.8697069523497131E-2</v>
      </c>
      <c r="O124" s="64">
        <f t="shared" si="14"/>
        <v>2.0575393825304822E-2</v>
      </c>
      <c r="P124" s="57" t="s">
        <v>21</v>
      </c>
      <c r="Q124" s="67" t="s">
        <v>21</v>
      </c>
      <c r="R124" s="96" t="s">
        <v>21</v>
      </c>
      <c r="S124" s="76">
        <v>0</v>
      </c>
      <c r="T124" s="64">
        <f t="shared" si="15"/>
        <v>5.9103852294249956E-2</v>
      </c>
      <c r="V124" s="116">
        <v>1.1353139999999999</v>
      </c>
      <c r="W124" s="108">
        <v>2.8703454900000001</v>
      </c>
      <c r="X124" s="108">
        <v>4.3722032000000004</v>
      </c>
      <c r="Y124" s="108">
        <v>5.6329710500000001</v>
      </c>
      <c r="Z124" s="117">
        <v>7.1680343300000002</v>
      </c>
      <c r="AB124" s="74">
        <v>4.3511114627512087E-2</v>
      </c>
      <c r="AC124" s="76">
        <v>5.2125680756102667E-2</v>
      </c>
      <c r="AD124" s="76">
        <v>5.9103852294249956E-2</v>
      </c>
      <c r="AE124" s="76">
        <v>6.2740169023497133E-2</v>
      </c>
      <c r="AF124" s="64">
        <v>6.6026314225304819E-2</v>
      </c>
      <c r="AG124" s="76">
        <v>1.6597042751208789E-4</v>
      </c>
      <c r="AH124" s="76">
        <v>9.0143437561026711E-3</v>
      </c>
      <c r="AI124" s="76">
        <v>1.5821934794249939E-2</v>
      </c>
      <c r="AJ124" s="76">
        <v>1.8697069523497131E-2</v>
      </c>
      <c r="AK124" s="76">
        <v>2.0575393825304822E-2</v>
      </c>
    </row>
    <row r="125" spans="2:37" x14ac:dyDescent="0.35">
      <c r="B125" s="55" t="s">
        <v>102</v>
      </c>
      <c r="C125" s="53" t="s">
        <v>85</v>
      </c>
      <c r="D125" s="53" t="s">
        <v>69</v>
      </c>
      <c r="E125" s="53" t="s">
        <v>459</v>
      </c>
      <c r="F125" s="73">
        <f t="shared" si="13"/>
        <v>4.3015700995079335E-2</v>
      </c>
      <c r="G125" s="60">
        <f t="shared" si="13"/>
        <v>4.9995013067881205E-2</v>
      </c>
      <c r="H125" s="60">
        <f t="shared" si="13"/>
        <v>5.5743559992158305E-2</v>
      </c>
      <c r="I125" s="60">
        <f t="shared" si="13"/>
        <v>5.8826400952103938E-2</v>
      </c>
      <c r="J125" s="63">
        <f t="shared" si="13"/>
        <v>6.2009502997970277E-2</v>
      </c>
      <c r="K125" s="73" t="str">
        <f t="shared" si="14"/>
        <v/>
      </c>
      <c r="L125" s="60">
        <f t="shared" si="14"/>
        <v>6.9440850678812033E-3</v>
      </c>
      <c r="M125" s="60">
        <f t="shared" si="14"/>
        <v>1.2560437492158294E-2</v>
      </c>
      <c r="N125" s="60">
        <f t="shared" si="14"/>
        <v>1.4905915352103925E-2</v>
      </c>
      <c r="O125" s="63">
        <f t="shared" si="14"/>
        <v>1.6680071897970286E-2</v>
      </c>
      <c r="P125" s="55" t="s">
        <v>21</v>
      </c>
      <c r="Q125" s="53" t="s">
        <v>21</v>
      </c>
      <c r="R125" s="94" t="s">
        <v>21</v>
      </c>
      <c r="S125" s="71">
        <v>0</v>
      </c>
      <c r="T125" s="63">
        <f t="shared" si="15"/>
        <v>5.5743559992158305E-2</v>
      </c>
      <c r="V125" s="114">
        <v>1.1347651300000001</v>
      </c>
      <c r="W125" s="72">
        <v>2.8720890400000001</v>
      </c>
      <c r="X125" s="72">
        <v>4.3816615199999998</v>
      </c>
      <c r="Y125" s="72">
        <v>5.6538637300000003</v>
      </c>
      <c r="Z125" s="115">
        <v>7.2059015500000001</v>
      </c>
      <c r="AB125" s="73">
        <v>4.3015700995079335E-2</v>
      </c>
      <c r="AC125" s="71">
        <v>4.9995013067881205E-2</v>
      </c>
      <c r="AD125" s="71">
        <v>5.5743559992158305E-2</v>
      </c>
      <c r="AE125" s="71">
        <v>5.8826400952103938E-2</v>
      </c>
      <c r="AF125" s="63">
        <v>6.2009502997970277E-2</v>
      </c>
      <c r="AG125" s="71" t="s">
        <v>21</v>
      </c>
      <c r="AH125" s="71">
        <v>6.9440850678812033E-3</v>
      </c>
      <c r="AI125" s="71">
        <v>1.2560437492158294E-2</v>
      </c>
      <c r="AJ125" s="71">
        <v>1.4905915352103925E-2</v>
      </c>
      <c r="AK125" s="71">
        <v>1.6680071897970286E-2</v>
      </c>
    </row>
    <row r="126" spans="2:37" x14ac:dyDescent="0.35">
      <c r="B126" s="57" t="s">
        <v>102</v>
      </c>
      <c r="C126" s="67" t="s">
        <v>35</v>
      </c>
      <c r="D126" s="67" t="s">
        <v>69</v>
      </c>
      <c r="E126" s="67" t="s">
        <v>161</v>
      </c>
      <c r="F126" s="74">
        <f t="shared" si="13"/>
        <v>4.3923876677864265E-2</v>
      </c>
      <c r="G126" s="76">
        <f t="shared" si="13"/>
        <v>5.3026982352902804E-2</v>
      </c>
      <c r="H126" s="76">
        <f t="shared" si="13"/>
        <v>6.0673750004300656E-2</v>
      </c>
      <c r="I126" s="76">
        <f t="shared" si="13"/>
        <v>6.4765853244414737E-2</v>
      </c>
      <c r="J126" s="64">
        <f t="shared" si="13"/>
        <v>6.8498349660638724E-2</v>
      </c>
      <c r="K126" s="74">
        <f t="shared" si="14"/>
        <v>5.6633267786426484E-4</v>
      </c>
      <c r="L126" s="76">
        <f t="shared" si="14"/>
        <v>9.8743157529028007E-3</v>
      </c>
      <c r="M126" s="76">
        <f t="shared" si="14"/>
        <v>1.7305880504300646E-2</v>
      </c>
      <c r="N126" s="76">
        <f t="shared" si="14"/>
        <v>2.0607661144414733E-2</v>
      </c>
      <c r="O126" s="64">
        <f t="shared" si="14"/>
        <v>2.2913802360638738E-2</v>
      </c>
      <c r="P126" s="57" t="s">
        <v>21</v>
      </c>
      <c r="Q126" s="67" t="s">
        <v>21</v>
      </c>
      <c r="R126" s="96" t="s">
        <v>21</v>
      </c>
      <c r="S126" s="76">
        <v>0</v>
      </c>
      <c r="T126" s="64">
        <f t="shared" si="15"/>
        <v>6.0673750004300656E-2</v>
      </c>
      <c r="V126" s="114">
        <v>1.1347004900000002</v>
      </c>
      <c r="W126" s="72">
        <v>2.8650664300000002</v>
      </c>
      <c r="X126" s="72">
        <v>4.3536993199999996</v>
      </c>
      <c r="Y126" s="72">
        <v>5.5923624700000003</v>
      </c>
      <c r="Z126" s="115">
        <v>7.0817247900000009</v>
      </c>
      <c r="AB126" s="74">
        <v>4.3923876677864265E-2</v>
      </c>
      <c r="AC126" s="76">
        <v>5.3026982352902804E-2</v>
      </c>
      <c r="AD126" s="76">
        <v>6.0673750004300656E-2</v>
      </c>
      <c r="AE126" s="76">
        <v>6.4765853244414737E-2</v>
      </c>
      <c r="AF126" s="64">
        <v>6.8498349660638724E-2</v>
      </c>
      <c r="AG126" s="76">
        <v>5.6633267786426484E-4</v>
      </c>
      <c r="AH126" s="76">
        <v>9.8743157529028007E-3</v>
      </c>
      <c r="AI126" s="76">
        <v>1.7305880504300646E-2</v>
      </c>
      <c r="AJ126" s="76">
        <v>2.0607661144414733E-2</v>
      </c>
      <c r="AK126" s="76">
        <v>2.2913802360638738E-2</v>
      </c>
    </row>
    <row r="127" spans="2:37" x14ac:dyDescent="0.35">
      <c r="B127" s="56" t="s">
        <v>104</v>
      </c>
      <c r="C127" s="66" t="s">
        <v>85</v>
      </c>
      <c r="D127" s="66" t="s">
        <v>43</v>
      </c>
      <c r="E127" s="65" t="s">
        <v>417</v>
      </c>
      <c r="F127" s="80">
        <f t="shared" si="13"/>
        <v>4.2092695813974373E-2</v>
      </c>
      <c r="G127" s="80">
        <f t="shared" si="13"/>
        <v>4.8441711200055089E-2</v>
      </c>
      <c r="H127" s="80">
        <f t="shared" si="13"/>
        <v>5.3367597649327733E-2</v>
      </c>
      <c r="I127" s="80">
        <f t="shared" si="13"/>
        <v>5.57646440457992E-2</v>
      </c>
      <c r="J127" s="62">
        <f t="shared" si="13"/>
        <v>5.8396743128073463E-2</v>
      </c>
      <c r="K127" s="80" t="str">
        <f t="shared" si="14"/>
        <v/>
      </c>
      <c r="L127" s="80">
        <f t="shared" si="14"/>
        <v>5.4723452000551001E-3</v>
      </c>
      <c r="M127" s="80">
        <f t="shared" si="14"/>
        <v>1.0316274449327732E-2</v>
      </c>
      <c r="N127" s="80">
        <f t="shared" si="14"/>
        <v>1.2015842445799192E-2</v>
      </c>
      <c r="O127" s="62">
        <f t="shared" si="14"/>
        <v>1.3250049628073465E-2</v>
      </c>
      <c r="P127" s="56" t="s">
        <v>21</v>
      </c>
      <c r="Q127" s="66" t="s">
        <v>21</v>
      </c>
      <c r="R127" s="100" t="s">
        <v>21</v>
      </c>
      <c r="S127" s="80">
        <v>0</v>
      </c>
      <c r="T127" s="62">
        <f t="shared" si="15"/>
        <v>5.3367597649327733E-2</v>
      </c>
      <c r="V127" s="118">
        <v>1.1365415300000001</v>
      </c>
      <c r="W127" s="61">
        <v>2.8851571499999999</v>
      </c>
      <c r="X127" s="61">
        <v>4.4203189599999995</v>
      </c>
      <c r="Y127" s="61">
        <v>5.7359154300000004</v>
      </c>
      <c r="Z127" s="119">
        <v>7.3754876999999999</v>
      </c>
      <c r="AB127" s="80">
        <v>4.2092695813974373E-2</v>
      </c>
      <c r="AC127" s="80">
        <v>4.8441711200055089E-2</v>
      </c>
      <c r="AD127" s="80">
        <v>5.3367597649327733E-2</v>
      </c>
      <c r="AE127" s="80">
        <v>5.57646440457992E-2</v>
      </c>
      <c r="AF127" s="62">
        <v>5.8396743128073463E-2</v>
      </c>
      <c r="AG127" s="80" t="s">
        <v>21</v>
      </c>
      <c r="AH127" s="80">
        <v>5.4723452000551001E-3</v>
      </c>
      <c r="AI127" s="80">
        <v>1.0316274449327732E-2</v>
      </c>
      <c r="AJ127" s="80">
        <v>1.2015842445799192E-2</v>
      </c>
      <c r="AK127" s="80">
        <v>1.3250049628073465E-2</v>
      </c>
    </row>
    <row r="128" spans="2:37" x14ac:dyDescent="0.35">
      <c r="B128" s="57" t="s">
        <v>104</v>
      </c>
      <c r="C128" s="67" t="s">
        <v>35</v>
      </c>
      <c r="D128" s="67" t="s">
        <v>43</v>
      </c>
      <c r="E128" s="54" t="s">
        <v>417</v>
      </c>
      <c r="F128" s="76">
        <f t="shared" si="13"/>
        <v>4.3810621526345427E-2</v>
      </c>
      <c r="G128" s="76">
        <f t="shared" si="13"/>
        <v>5.281252387416302E-2</v>
      </c>
      <c r="H128" s="76">
        <f t="shared" si="13"/>
        <v>6.0190147952602656E-2</v>
      </c>
      <c r="I128" s="76">
        <f t="shared" si="13"/>
        <v>6.3826975244980169E-2</v>
      </c>
      <c r="J128" s="64">
        <f t="shared" si="13"/>
        <v>6.7033599121268855E-2</v>
      </c>
      <c r="K128" s="76">
        <f t="shared" si="14"/>
        <v>4.5022122634543523E-4</v>
      </c>
      <c r="L128" s="76">
        <f t="shared" si="14"/>
        <v>9.6667692741630191E-3</v>
      </c>
      <c r="M128" s="76">
        <f t="shared" si="14"/>
        <v>1.6847100352602645E-2</v>
      </c>
      <c r="N128" s="76">
        <f t="shared" si="14"/>
        <v>1.9721164244980174E-2</v>
      </c>
      <c r="O128" s="64">
        <f t="shared" si="14"/>
        <v>2.1527504921268856E-2</v>
      </c>
      <c r="P128" s="67" t="s">
        <v>21</v>
      </c>
      <c r="Q128" s="67" t="s">
        <v>21</v>
      </c>
      <c r="R128" s="96" t="s">
        <v>21</v>
      </c>
      <c r="S128" s="76">
        <v>0</v>
      </c>
      <c r="T128" s="64">
        <f t="shared" si="15"/>
        <v>6.0190147952602656E-2</v>
      </c>
      <c r="V128" s="116">
        <v>1.1349016999999999</v>
      </c>
      <c r="W128" s="108">
        <v>2.8664264500000001</v>
      </c>
      <c r="X128" s="108">
        <v>4.3590663000000003</v>
      </c>
      <c r="Y128" s="108">
        <v>5.6077389599999998</v>
      </c>
      <c r="Z128" s="117">
        <v>7.1242159200000001</v>
      </c>
      <c r="AB128" s="76">
        <v>4.3810621526345427E-2</v>
      </c>
      <c r="AC128" s="76">
        <v>5.281252387416302E-2</v>
      </c>
      <c r="AD128" s="76">
        <v>6.0190147952602656E-2</v>
      </c>
      <c r="AE128" s="76">
        <v>6.3826975244980169E-2</v>
      </c>
      <c r="AF128" s="64">
        <v>6.7033599121268855E-2</v>
      </c>
      <c r="AG128" s="76">
        <v>4.5022122634543523E-4</v>
      </c>
      <c r="AH128" s="76">
        <v>9.6667692741630191E-3</v>
      </c>
      <c r="AI128" s="76">
        <v>1.6847100352602645E-2</v>
      </c>
      <c r="AJ128" s="76">
        <v>1.9721164244980174E-2</v>
      </c>
      <c r="AK128" s="76">
        <v>2.1527504921268856E-2</v>
      </c>
    </row>
    <row r="129" spans="2:37" x14ac:dyDescent="0.35">
      <c r="B129" s="55" t="s">
        <v>105</v>
      </c>
      <c r="C129" s="53" t="s">
        <v>85</v>
      </c>
      <c r="D129" s="53" t="s">
        <v>43</v>
      </c>
      <c r="E129" s="53" t="s">
        <v>417</v>
      </c>
      <c r="F129" s="73">
        <f t="shared" si="13"/>
        <v>4.204427353708666E-2</v>
      </c>
      <c r="G129" s="60">
        <f t="shared" si="13"/>
        <v>4.8499124759764409E-2</v>
      </c>
      <c r="H129" s="60">
        <f t="shared" si="13"/>
        <v>5.3267193948180698E-2</v>
      </c>
      <c r="I129" s="60">
        <f t="shared" si="13"/>
        <v>5.5664708631519975E-2</v>
      </c>
      <c r="J129" s="63">
        <f t="shared" si="13"/>
        <v>5.8200409134154855E-2</v>
      </c>
      <c r="K129" s="73" t="str">
        <f t="shared" si="14"/>
        <v/>
      </c>
      <c r="L129" s="60">
        <f t="shared" si="14"/>
        <v>5.5279609597644035E-3</v>
      </c>
      <c r="M129" s="60">
        <f t="shared" si="14"/>
        <v>1.0222114648180699E-2</v>
      </c>
      <c r="N129" s="60">
        <f t="shared" si="14"/>
        <v>1.1921720531519986E-2</v>
      </c>
      <c r="O129" s="63">
        <f t="shared" si="14"/>
        <v>1.3063345034154867E-2</v>
      </c>
      <c r="P129" s="55" t="s">
        <v>21</v>
      </c>
      <c r="Q129" s="53" t="s">
        <v>21</v>
      </c>
      <c r="R129" s="94" t="s">
        <v>21</v>
      </c>
      <c r="S129" s="71">
        <v>0</v>
      </c>
      <c r="T129" s="63">
        <f t="shared" si="15"/>
        <v>5.3267193948180698E-2</v>
      </c>
      <c r="V129" s="114">
        <v>1.1366162000000002</v>
      </c>
      <c r="W129" s="72">
        <v>2.8844688600000001</v>
      </c>
      <c r="X129" s="72">
        <v>4.4207292899999997</v>
      </c>
      <c r="Y129" s="72">
        <v>5.7379618200000007</v>
      </c>
      <c r="Z129" s="115">
        <v>7.3823320999999993</v>
      </c>
      <c r="AB129" s="73">
        <v>4.204427353708666E-2</v>
      </c>
      <c r="AC129" s="71">
        <v>4.8499124759764409E-2</v>
      </c>
      <c r="AD129" s="71">
        <v>5.3267193948180698E-2</v>
      </c>
      <c r="AE129" s="71">
        <v>5.5664708631519975E-2</v>
      </c>
      <c r="AF129" s="63">
        <v>5.8200409134154855E-2</v>
      </c>
      <c r="AG129" s="71" t="s">
        <v>21</v>
      </c>
      <c r="AH129" s="71">
        <v>5.5279609597644035E-3</v>
      </c>
      <c r="AI129" s="71">
        <v>1.0222114648180699E-2</v>
      </c>
      <c r="AJ129" s="71">
        <v>1.1921720531519986E-2</v>
      </c>
      <c r="AK129" s="71">
        <v>1.3063345034154867E-2</v>
      </c>
    </row>
    <row r="130" spans="2:37" x14ac:dyDescent="0.35">
      <c r="B130" s="57" t="s">
        <v>105</v>
      </c>
      <c r="C130" s="67" t="s">
        <v>35</v>
      </c>
      <c r="D130" s="67" t="s">
        <v>43</v>
      </c>
      <c r="E130" s="67" t="s">
        <v>21</v>
      </c>
      <c r="F130" s="74">
        <f t="shared" si="13"/>
        <v>4.3720176475283375E-2</v>
      </c>
      <c r="G130" s="76">
        <f t="shared" si="13"/>
        <v>5.262173567095544E-2</v>
      </c>
      <c r="H130" s="76">
        <f t="shared" si="13"/>
        <v>5.9891731270830403E-2</v>
      </c>
      <c r="I130" s="76">
        <f t="shared" si="13"/>
        <v>6.3437826435201586E-2</v>
      </c>
      <c r="J130" s="64">
        <f t="shared" si="13"/>
        <v>6.6727364785297727E-2</v>
      </c>
      <c r="K130" s="74">
        <f t="shared" si="14"/>
        <v>3.6768507528338063E-4</v>
      </c>
      <c r="L130" s="76">
        <f t="shared" si="14"/>
        <v>9.4871553709554388E-3</v>
      </c>
      <c r="M130" s="76">
        <f t="shared" si="14"/>
        <v>1.6566802570830395E-2</v>
      </c>
      <c r="N130" s="76">
        <f t="shared" si="14"/>
        <v>1.9355473535201596E-2</v>
      </c>
      <c r="O130" s="64">
        <f t="shared" si="14"/>
        <v>2.1238526685297729E-2</v>
      </c>
      <c r="P130" s="57" t="s">
        <v>21</v>
      </c>
      <c r="Q130" s="67" t="s">
        <v>21</v>
      </c>
      <c r="R130" s="96" t="s">
        <v>21</v>
      </c>
      <c r="S130" s="76">
        <v>0</v>
      </c>
      <c r="T130" s="64">
        <f t="shared" si="15"/>
        <v>5.9891731270830403E-2</v>
      </c>
      <c r="V130" s="114">
        <v>1.1350088300000001</v>
      </c>
      <c r="W130" s="72">
        <v>2.86749622</v>
      </c>
      <c r="X130" s="72">
        <v>4.3626498600000003</v>
      </c>
      <c r="Y130" s="72">
        <v>5.6155271899999999</v>
      </c>
      <c r="Z130" s="115">
        <v>7.1379788799999995</v>
      </c>
      <c r="AB130" s="74">
        <v>4.3720176475283375E-2</v>
      </c>
      <c r="AC130" s="76">
        <v>5.262173567095544E-2</v>
      </c>
      <c r="AD130" s="76">
        <v>5.9891731270830403E-2</v>
      </c>
      <c r="AE130" s="76">
        <v>6.3437826435201586E-2</v>
      </c>
      <c r="AF130" s="64">
        <v>6.6727364785297727E-2</v>
      </c>
      <c r="AG130" s="76">
        <v>3.6768507528338063E-4</v>
      </c>
      <c r="AH130" s="76">
        <v>9.4871553709554388E-3</v>
      </c>
      <c r="AI130" s="76">
        <v>1.6566802570830395E-2</v>
      </c>
      <c r="AJ130" s="76">
        <v>1.9355473535201596E-2</v>
      </c>
      <c r="AK130" s="76">
        <v>2.1238526685297729E-2</v>
      </c>
    </row>
    <row r="131" spans="2:37" x14ac:dyDescent="0.35">
      <c r="B131" s="56" t="s">
        <v>106</v>
      </c>
      <c r="C131" s="66" t="s">
        <v>85</v>
      </c>
      <c r="D131" s="66" t="s">
        <v>62</v>
      </c>
      <c r="E131" s="66" t="s">
        <v>460</v>
      </c>
      <c r="F131" s="75">
        <f t="shared" ref="F131:J138" si="16">IF(ISNUMBER(AB131),AB131-((C$4-C$3)/V131),"")</f>
        <v>4.2468327973979238E-2</v>
      </c>
      <c r="G131" s="80">
        <f t="shared" si="16"/>
        <v>4.9389226967113328E-2</v>
      </c>
      <c r="H131" s="80">
        <f t="shared" si="16"/>
        <v>5.4742303700647157E-2</v>
      </c>
      <c r="I131" s="80">
        <f t="shared" si="16"/>
        <v>5.7505485350746281E-2</v>
      </c>
      <c r="J131" s="62">
        <f t="shared" si="16"/>
        <v>6.0374587528294152E-2</v>
      </c>
      <c r="K131" s="75" t="str">
        <f t="shared" ref="K131:O138" si="17">IF(ISNUMBER(AG131),IF(AG131-((C$4-C$3)/V131)&lt;0,"",AG131-((C$4-C$3)/V131)),"")</f>
        <v/>
      </c>
      <c r="L131" s="80">
        <f t="shared" si="17"/>
        <v>6.3706777671133329E-3</v>
      </c>
      <c r="M131" s="80">
        <f t="shared" si="17"/>
        <v>1.1615803100647153E-2</v>
      </c>
      <c r="N131" s="80">
        <f t="shared" si="17"/>
        <v>1.3661386750746272E-2</v>
      </c>
      <c r="O131" s="62">
        <f t="shared" si="17"/>
        <v>1.513121622829415E-2</v>
      </c>
      <c r="P131" s="56" t="s">
        <v>461</v>
      </c>
      <c r="Q131" s="66" t="s">
        <v>462</v>
      </c>
      <c r="R131" s="100" t="s">
        <v>32</v>
      </c>
      <c r="S131" s="80">
        <v>5.3478199999999997E-2</v>
      </c>
      <c r="T131" s="62">
        <f t="shared" si="15"/>
        <v>1.2641037006471609E-3</v>
      </c>
      <c r="V131" s="118">
        <v>1.1358095500000001</v>
      </c>
      <c r="W131" s="61">
        <v>2.8775975599999999</v>
      </c>
      <c r="X131" s="61">
        <v>4.3978608799999996</v>
      </c>
      <c r="Y131" s="61">
        <v>5.6886428000000002</v>
      </c>
      <c r="Z131" s="119">
        <v>7.2797914500000003</v>
      </c>
      <c r="AB131" s="75">
        <v>4.2468327973979238E-2</v>
      </c>
      <c r="AC131" s="80">
        <v>4.9389226967113328E-2</v>
      </c>
      <c r="AD131" s="80">
        <v>5.4742303700647157E-2</v>
      </c>
      <c r="AE131" s="80">
        <v>5.7505485350746281E-2</v>
      </c>
      <c r="AF131" s="62">
        <v>6.0374587528294152E-2</v>
      </c>
      <c r="AG131" s="80" t="s">
        <v>21</v>
      </c>
      <c r="AH131" s="80">
        <v>6.3706777671133329E-3</v>
      </c>
      <c r="AI131" s="80">
        <v>1.1615803100647153E-2</v>
      </c>
      <c r="AJ131" s="80">
        <v>1.3661386750746272E-2</v>
      </c>
      <c r="AK131" s="80">
        <v>1.513121622829415E-2</v>
      </c>
    </row>
    <row r="132" spans="2:37" x14ac:dyDescent="0.35">
      <c r="B132" s="57" t="s">
        <v>106</v>
      </c>
      <c r="C132" s="67" t="s">
        <v>35</v>
      </c>
      <c r="D132" s="67" t="s">
        <v>62</v>
      </c>
      <c r="E132" s="67" t="s">
        <v>463</v>
      </c>
      <c r="F132" s="74">
        <f t="shared" si="16"/>
        <v>4.3794390832898586E-2</v>
      </c>
      <c r="G132" s="76">
        <f t="shared" si="16"/>
        <v>5.3054094202640664E-2</v>
      </c>
      <c r="H132" s="76">
        <f t="shared" si="16"/>
        <v>6.0579029601133413E-2</v>
      </c>
      <c r="I132" s="76">
        <f t="shared" si="16"/>
        <v>6.41264545773194E-2</v>
      </c>
      <c r="J132" s="64">
        <f t="shared" si="16"/>
        <v>6.7677953151974266E-2</v>
      </c>
      <c r="K132" s="76">
        <f t="shared" si="17"/>
        <v>4.4075203289858748E-4</v>
      </c>
      <c r="L132" s="76">
        <f t="shared" si="17"/>
        <v>9.8994740026406691E-3</v>
      </c>
      <c r="M132" s="76">
        <f t="shared" si="17"/>
        <v>1.7215996901133415E-2</v>
      </c>
      <c r="N132" s="76">
        <f t="shared" si="17"/>
        <v>2.0004926577319407E-2</v>
      </c>
      <c r="O132" s="76">
        <f t="shared" si="17"/>
        <v>2.2136976951974252E-2</v>
      </c>
      <c r="P132" s="67" t="s">
        <v>21</v>
      </c>
      <c r="Q132" s="67" t="s">
        <v>21</v>
      </c>
      <c r="R132" s="96" t="s">
        <v>21</v>
      </c>
      <c r="S132" s="76">
        <v>0</v>
      </c>
      <c r="T132" s="76">
        <f t="shared" si="15"/>
        <v>6.0579029601133413E-2</v>
      </c>
      <c r="V132" s="116">
        <v>1.13489288</v>
      </c>
      <c r="W132" s="108">
        <v>2.86527222</v>
      </c>
      <c r="X132" s="108">
        <v>4.3545670100000002</v>
      </c>
      <c r="Y132" s="108">
        <v>5.5997699800000005</v>
      </c>
      <c r="Z132" s="117">
        <v>7.1053187599999994</v>
      </c>
      <c r="AB132" s="74">
        <v>4.3794390832898586E-2</v>
      </c>
      <c r="AC132" s="76">
        <v>5.3054094202640664E-2</v>
      </c>
      <c r="AD132" s="76">
        <v>6.0579029601133413E-2</v>
      </c>
      <c r="AE132" s="76">
        <v>6.41264545773194E-2</v>
      </c>
      <c r="AF132" s="64">
        <v>6.7677953151974266E-2</v>
      </c>
      <c r="AG132" s="76">
        <v>4.4075203289858748E-4</v>
      </c>
      <c r="AH132" s="76">
        <v>9.8994740026406691E-3</v>
      </c>
      <c r="AI132" s="76">
        <v>1.7215996901133415E-2</v>
      </c>
      <c r="AJ132" s="76">
        <v>2.0004926577319407E-2</v>
      </c>
      <c r="AK132" s="76">
        <v>2.2136976951974252E-2</v>
      </c>
    </row>
    <row r="133" spans="2:37" x14ac:dyDescent="0.35">
      <c r="B133" s="55" t="s">
        <v>107</v>
      </c>
      <c r="C133" s="53" t="s">
        <v>85</v>
      </c>
      <c r="D133" s="53" t="s">
        <v>62</v>
      </c>
      <c r="E133" s="53" t="s">
        <v>266</v>
      </c>
      <c r="F133" s="73">
        <f t="shared" si="16"/>
        <v>4.2664279124619765E-2</v>
      </c>
      <c r="G133" s="60">
        <f t="shared" si="16"/>
        <v>4.9327923689732815E-2</v>
      </c>
      <c r="H133" s="60">
        <f t="shared" si="16"/>
        <v>5.4639187511865875E-2</v>
      </c>
      <c r="I133" s="60">
        <f t="shared" si="16"/>
        <v>5.7546200272090342E-2</v>
      </c>
      <c r="J133" s="63">
        <f t="shared" si="16"/>
        <v>6.0372760450873759E-2</v>
      </c>
      <c r="K133" s="73" t="str">
        <f t="shared" si="17"/>
        <v/>
      </c>
      <c r="L133" s="60">
        <f t="shared" si="17"/>
        <v>6.3126582897328094E-3</v>
      </c>
      <c r="M133" s="60">
        <f t="shared" si="17"/>
        <v>1.1518486611865875E-2</v>
      </c>
      <c r="N133" s="60">
        <f t="shared" si="17"/>
        <v>1.3699721272090338E-2</v>
      </c>
      <c r="O133" s="63">
        <f t="shared" si="17"/>
        <v>1.5130107050873776E-2</v>
      </c>
      <c r="P133" s="55" t="s">
        <v>21</v>
      </c>
      <c r="Q133" s="53" t="s">
        <v>21</v>
      </c>
      <c r="R133" s="94" t="s">
        <v>21</v>
      </c>
      <c r="S133" s="71">
        <v>0</v>
      </c>
      <c r="T133" s="63">
        <f t="shared" si="15"/>
        <v>5.4639187511865875E-2</v>
      </c>
      <c r="V133" s="114">
        <v>1.1354387000000001</v>
      </c>
      <c r="W133" s="72">
        <v>2.87734391</v>
      </c>
      <c r="X133" s="72">
        <v>4.3988023399999996</v>
      </c>
      <c r="Y133" s="72">
        <v>5.6892450099999996</v>
      </c>
      <c r="Z133" s="115">
        <v>7.2798787899999997</v>
      </c>
      <c r="AB133" s="73">
        <v>4.2664279124619765E-2</v>
      </c>
      <c r="AC133" s="71">
        <v>4.9327923689732815E-2</v>
      </c>
      <c r="AD133" s="71">
        <v>5.4639187511865875E-2</v>
      </c>
      <c r="AE133" s="71">
        <v>5.7546200272090342E-2</v>
      </c>
      <c r="AF133" s="63">
        <v>6.0372760450873759E-2</v>
      </c>
      <c r="AG133" s="71" t="s">
        <v>21</v>
      </c>
      <c r="AH133" s="71">
        <v>6.3126582897328094E-3</v>
      </c>
      <c r="AI133" s="71">
        <v>1.1518486611865875E-2</v>
      </c>
      <c r="AJ133" s="71">
        <v>1.3699721272090338E-2</v>
      </c>
      <c r="AK133" s="71">
        <v>1.5130107050873776E-2</v>
      </c>
    </row>
    <row r="134" spans="2:37" x14ac:dyDescent="0.35">
      <c r="B134" s="55" t="s">
        <v>107</v>
      </c>
      <c r="C134" s="53" t="s">
        <v>35</v>
      </c>
      <c r="D134" s="53" t="s">
        <v>62</v>
      </c>
      <c r="E134" s="53" t="s">
        <v>291</v>
      </c>
      <c r="F134" s="73">
        <f t="shared" si="16"/>
        <v>4.3721155086172678E-2</v>
      </c>
      <c r="G134" s="60">
        <f t="shared" si="16"/>
        <v>5.2372218106969737E-2</v>
      </c>
      <c r="H134" s="60">
        <f t="shared" si="16"/>
        <v>5.9497290199167767E-2</v>
      </c>
      <c r="I134" s="60">
        <f t="shared" si="16"/>
        <v>6.2769277741681881E-2</v>
      </c>
      <c r="J134" s="63">
        <f t="shared" si="16"/>
        <v>6.6310797506075603E-2</v>
      </c>
      <c r="K134" s="73">
        <f t="shared" si="17"/>
        <v>3.7025288617267577E-4</v>
      </c>
      <c r="L134" s="60">
        <f t="shared" si="17"/>
        <v>9.2503748069697293E-3</v>
      </c>
      <c r="M134" s="60">
        <f t="shared" si="17"/>
        <v>1.6194777199167759E-2</v>
      </c>
      <c r="N134" s="60">
        <f t="shared" si="17"/>
        <v>1.8724986441681857E-2</v>
      </c>
      <c r="O134" s="63">
        <f t="shared" si="17"/>
        <v>2.0843401506075599E-2</v>
      </c>
      <c r="P134" s="55" t="s">
        <v>21</v>
      </c>
      <c r="Q134" s="53" t="s">
        <v>21</v>
      </c>
      <c r="R134" s="94" t="s">
        <v>21</v>
      </c>
      <c r="S134" s="71">
        <v>0</v>
      </c>
      <c r="T134" s="63">
        <f t="shared" si="15"/>
        <v>5.9497290199167767E-2</v>
      </c>
      <c r="V134" s="114">
        <v>1.1349988600000001</v>
      </c>
      <c r="W134" s="72">
        <v>2.8686443100000001</v>
      </c>
      <c r="X134" s="72">
        <v>4.3671695100000001</v>
      </c>
      <c r="Y134" s="72">
        <v>5.6272142199999999</v>
      </c>
      <c r="Z134" s="115">
        <v>7.1585758900000007</v>
      </c>
      <c r="AB134" s="73">
        <v>4.3721155086172678E-2</v>
      </c>
      <c r="AC134" s="71">
        <v>5.2372218106969737E-2</v>
      </c>
      <c r="AD134" s="71">
        <v>5.9497290199167767E-2</v>
      </c>
      <c r="AE134" s="71">
        <v>6.2769277741681881E-2</v>
      </c>
      <c r="AF134" s="63">
        <v>6.6310797506075603E-2</v>
      </c>
      <c r="AG134" s="71">
        <v>3.7025288617267577E-4</v>
      </c>
      <c r="AH134" s="71">
        <v>9.2503748069697293E-3</v>
      </c>
      <c r="AI134" s="71">
        <v>1.6194777199167759E-2</v>
      </c>
      <c r="AJ134" s="71">
        <v>1.8724986441681857E-2</v>
      </c>
      <c r="AK134" s="71">
        <v>2.0843401506075599E-2</v>
      </c>
    </row>
    <row r="135" spans="2:37" x14ac:dyDescent="0.35">
      <c r="B135" s="97" t="s">
        <v>83</v>
      </c>
      <c r="C135" s="98"/>
      <c r="D135" s="98"/>
      <c r="E135" s="98"/>
      <c r="F135" s="98" t="str">
        <f t="shared" si="16"/>
        <v/>
      </c>
      <c r="G135" s="98" t="str">
        <f t="shared" si="16"/>
        <v/>
      </c>
      <c r="H135" s="98" t="str">
        <f t="shared" si="16"/>
        <v/>
      </c>
      <c r="I135" s="98" t="str">
        <f t="shared" si="16"/>
        <v/>
      </c>
      <c r="J135" s="98" t="str">
        <f t="shared" si="16"/>
        <v/>
      </c>
      <c r="K135" s="98" t="str">
        <f t="shared" si="17"/>
        <v/>
      </c>
      <c r="L135" s="98" t="str">
        <f t="shared" si="17"/>
        <v/>
      </c>
      <c r="M135" s="98" t="str">
        <f t="shared" si="17"/>
        <v/>
      </c>
      <c r="N135" s="98" t="str">
        <f t="shared" si="17"/>
        <v/>
      </c>
      <c r="O135" s="77" t="str">
        <f t="shared" si="17"/>
        <v/>
      </c>
      <c r="P135" s="97"/>
      <c r="Q135" s="98"/>
      <c r="R135" s="101"/>
      <c r="S135" s="98"/>
      <c r="T135" s="99" t="str">
        <f t="shared" si="15"/>
        <v/>
      </c>
      <c r="V135" s="120"/>
      <c r="W135" s="109"/>
      <c r="X135" s="109"/>
      <c r="Y135" s="109"/>
      <c r="Z135" s="121"/>
      <c r="AB135" s="78"/>
      <c r="AC135" s="78"/>
      <c r="AD135" s="78"/>
      <c r="AE135" s="78"/>
      <c r="AF135" s="78"/>
      <c r="AG135" s="98"/>
      <c r="AH135" s="98"/>
      <c r="AI135" s="98"/>
      <c r="AJ135" s="98"/>
      <c r="AK135" s="98"/>
    </row>
    <row r="136" spans="2:37" x14ac:dyDescent="0.35">
      <c r="B136" s="56" t="s">
        <v>108</v>
      </c>
      <c r="C136" s="66" t="s">
        <v>85</v>
      </c>
      <c r="D136" s="66" t="s">
        <v>20</v>
      </c>
      <c r="E136" s="65" t="s">
        <v>58</v>
      </c>
      <c r="F136" s="80">
        <f t="shared" si="16"/>
        <v>4.2690621491025801E-2</v>
      </c>
      <c r="G136" s="80">
        <f t="shared" si="16"/>
        <v>4.9283159056526811E-2</v>
      </c>
      <c r="H136" s="80">
        <f t="shared" si="16"/>
        <v>5.4189543939075449E-2</v>
      </c>
      <c r="I136" s="80">
        <f t="shared" si="16"/>
        <v>5.7849332279782832E-2</v>
      </c>
      <c r="J136" s="62">
        <f t="shared" si="16"/>
        <v>6.1024144723707277E-2</v>
      </c>
      <c r="K136" s="80" t="str">
        <f t="shared" si="17"/>
        <v/>
      </c>
      <c r="L136" s="80">
        <f t="shared" si="17"/>
        <v>6.2710100565268132E-3</v>
      </c>
      <c r="M136" s="80">
        <f t="shared" si="17"/>
        <v>1.1094339339075448E-2</v>
      </c>
      <c r="N136" s="80">
        <f t="shared" si="17"/>
        <v>1.3986591279782825E-2</v>
      </c>
      <c r="O136" s="62">
        <f t="shared" si="17"/>
        <v>1.5751578523707271E-2</v>
      </c>
      <c r="P136" s="56" t="s">
        <v>464</v>
      </c>
      <c r="Q136" s="66" t="s">
        <v>465</v>
      </c>
      <c r="R136" s="100">
        <v>47580</v>
      </c>
      <c r="S136" s="80">
        <v>5.2708350000000001E-2</v>
      </c>
      <c r="T136" s="62">
        <f t="shared" si="15"/>
        <v>1.4811939390754481E-3</v>
      </c>
      <c r="V136" s="118">
        <v>1.1353629299999999</v>
      </c>
      <c r="W136" s="61">
        <v>2.8777989699999997</v>
      </c>
      <c r="X136" s="61">
        <v>4.4047388400000003</v>
      </c>
      <c r="Y136" s="61">
        <v>5.6906208500000002</v>
      </c>
      <c r="Z136" s="119">
        <v>7.2631784699999997</v>
      </c>
      <c r="AB136" s="80">
        <v>4.2690621491025801E-2</v>
      </c>
      <c r="AC136" s="80">
        <v>4.9283159056526811E-2</v>
      </c>
      <c r="AD136" s="80">
        <v>5.4189543939075449E-2</v>
      </c>
      <c r="AE136" s="80">
        <v>5.7849332279782832E-2</v>
      </c>
      <c r="AF136" s="62">
        <v>6.1024144723707277E-2</v>
      </c>
      <c r="AG136" s="80" t="s">
        <v>21</v>
      </c>
      <c r="AH136" s="80">
        <v>6.2710100565268132E-3</v>
      </c>
      <c r="AI136" s="80">
        <v>1.1094339339075448E-2</v>
      </c>
      <c r="AJ136" s="80">
        <v>1.3986591279782825E-2</v>
      </c>
      <c r="AK136" s="80">
        <v>1.5751578523707271E-2</v>
      </c>
    </row>
    <row r="137" spans="2:37" x14ac:dyDescent="0.35">
      <c r="B137" s="55" t="s">
        <v>109</v>
      </c>
      <c r="C137" s="53" t="s">
        <v>85</v>
      </c>
      <c r="D137" s="53" t="s">
        <v>20</v>
      </c>
      <c r="E137" s="59" t="s">
        <v>54</v>
      </c>
      <c r="F137" s="60">
        <f t="shared" si="16"/>
        <v>4.5622033916075749E-2</v>
      </c>
      <c r="G137" s="60">
        <f t="shared" si="16"/>
        <v>5.5679732359294035E-2</v>
      </c>
      <c r="H137" s="60">
        <f t="shared" si="16"/>
        <v>6.4841458144293859E-2</v>
      </c>
      <c r="I137" s="60">
        <f t="shared" si="16"/>
        <v>7.0712761088543338E-2</v>
      </c>
      <c r="J137" s="63">
        <f t="shared" si="16"/>
        <v>7.2699324269404772E-2</v>
      </c>
      <c r="K137" s="60">
        <f t="shared" si="17"/>
        <v>2.1614297160757441E-3</v>
      </c>
      <c r="L137" s="60">
        <f t="shared" si="17"/>
        <v>1.2305027559294031E-2</v>
      </c>
      <c r="M137" s="60">
        <f t="shared" si="17"/>
        <v>2.1048485544293862E-2</v>
      </c>
      <c r="N137" s="60">
        <f t="shared" si="17"/>
        <v>2.5959659688543347E-2</v>
      </c>
      <c r="O137" s="63">
        <f t="shared" si="17"/>
        <v>2.668859486940478E-2</v>
      </c>
      <c r="P137" s="55" t="s">
        <v>466</v>
      </c>
      <c r="Q137" s="53" t="s">
        <v>467</v>
      </c>
      <c r="R137" s="94">
        <v>47618</v>
      </c>
      <c r="S137" s="71">
        <v>5.5835100000000006E-2</v>
      </c>
      <c r="T137" s="63">
        <f t="shared" si="15"/>
        <v>9.0063581442938537E-3</v>
      </c>
      <c r="V137" s="114">
        <v>1.1292266400000002</v>
      </c>
      <c r="W137" s="72">
        <v>2.82973454</v>
      </c>
      <c r="X137" s="72">
        <v>4.2418307400000002</v>
      </c>
      <c r="Y137" s="72">
        <v>5.3534508699999996</v>
      </c>
      <c r="Z137" s="115">
        <v>6.6752797899999994</v>
      </c>
      <c r="AB137" s="71">
        <v>4.5622033916075749E-2</v>
      </c>
      <c r="AC137" s="71">
        <v>5.5679732359294035E-2</v>
      </c>
      <c r="AD137" s="71">
        <v>6.4841458144293859E-2</v>
      </c>
      <c r="AE137" s="71">
        <v>7.0712761088543338E-2</v>
      </c>
      <c r="AF137" s="63">
        <v>7.2699324269404772E-2</v>
      </c>
      <c r="AG137" s="71">
        <v>2.1614297160757441E-3</v>
      </c>
      <c r="AH137" s="71">
        <v>1.2305027559294031E-2</v>
      </c>
      <c r="AI137" s="71">
        <v>2.1048485544293862E-2</v>
      </c>
      <c r="AJ137" s="71">
        <v>2.5959659688543347E-2</v>
      </c>
      <c r="AK137" s="71">
        <v>2.668859486940478E-2</v>
      </c>
    </row>
    <row r="138" spans="2:37" x14ac:dyDescent="0.35">
      <c r="B138" s="57" t="s">
        <v>111</v>
      </c>
      <c r="C138" s="67" t="s">
        <v>85</v>
      </c>
      <c r="D138" s="67" t="s">
        <v>20</v>
      </c>
      <c r="E138" s="54" t="s">
        <v>112</v>
      </c>
      <c r="F138" s="76">
        <f t="shared" si="16"/>
        <v>4.3777599518429251E-2</v>
      </c>
      <c r="G138" s="76">
        <f t="shared" si="16"/>
        <v>5.1573306211570337E-2</v>
      </c>
      <c r="H138" s="76">
        <f t="shared" si="16"/>
        <v>5.7344575186910836E-2</v>
      </c>
      <c r="I138" s="76">
        <f t="shared" si="16"/>
        <v>6.0469707776980276E-2</v>
      </c>
      <c r="J138" s="64">
        <f t="shared" si="16"/>
        <v>6.3681018303844344E-2</v>
      </c>
      <c r="K138" s="76">
        <f t="shared" si="17"/>
        <v>3.9892071842925324E-4</v>
      </c>
      <c r="L138" s="76">
        <f t="shared" si="17"/>
        <v>8.4312009115703329E-3</v>
      </c>
      <c r="M138" s="76">
        <f t="shared" si="17"/>
        <v>1.4064388586910833E-2</v>
      </c>
      <c r="N138" s="76">
        <f t="shared" si="17"/>
        <v>1.6446813676980282E-2</v>
      </c>
      <c r="O138" s="64">
        <f t="shared" si="17"/>
        <v>1.8257731003844348E-2</v>
      </c>
      <c r="P138" s="57" t="s">
        <v>21</v>
      </c>
      <c r="Q138" s="67" t="s">
        <v>21</v>
      </c>
      <c r="R138" s="96" t="s">
        <v>21</v>
      </c>
      <c r="S138" s="76">
        <v>0</v>
      </c>
      <c r="T138" s="64">
        <f t="shared" si="15"/>
        <v>5.7344575186910836E-2</v>
      </c>
      <c r="V138" s="116">
        <v>1.1333823200000002</v>
      </c>
      <c r="W138" s="108">
        <v>2.8604907900000001</v>
      </c>
      <c r="X138" s="108">
        <v>4.3534214599999999</v>
      </c>
      <c r="Y138" s="108">
        <v>5.6022445100000002</v>
      </c>
      <c r="Z138" s="117">
        <v>7.1115494699999999</v>
      </c>
      <c r="AB138" s="76">
        <v>4.3777599518429251E-2</v>
      </c>
      <c r="AC138" s="76">
        <v>5.1573306211570337E-2</v>
      </c>
      <c r="AD138" s="76">
        <v>5.7344575186910836E-2</v>
      </c>
      <c r="AE138" s="76">
        <v>6.0469707776980276E-2</v>
      </c>
      <c r="AF138" s="64">
        <v>6.3681018303844344E-2</v>
      </c>
      <c r="AG138" s="76">
        <v>3.9892071842925324E-4</v>
      </c>
      <c r="AH138" s="76">
        <v>8.4312009115703329E-3</v>
      </c>
      <c r="AI138" s="76">
        <v>1.4064388586910833E-2</v>
      </c>
      <c r="AJ138" s="76">
        <v>1.6446813676980282E-2</v>
      </c>
      <c r="AK138" s="76">
        <v>1.8257731003844348E-2</v>
      </c>
    </row>
    <row r="139" spans="2:37" x14ac:dyDescent="0.35">
      <c r="P139" s="128"/>
      <c r="Q139" s="128"/>
      <c r="R139" s="44"/>
      <c r="S139" s="128"/>
      <c r="T139" s="128"/>
      <c r="V139" s="72"/>
      <c r="W139" s="72"/>
      <c r="X139" s="72"/>
      <c r="Y139" s="72"/>
      <c r="Z139" s="72"/>
    </row>
    <row r="140" spans="2:37" ht="15.5" x14ac:dyDescent="0.35">
      <c r="B140" s="122" t="s">
        <v>113</v>
      </c>
      <c r="R140" s="94"/>
      <c r="S140" s="71"/>
      <c r="T140" s="71"/>
      <c r="V140" s="72"/>
      <c r="W140" s="72"/>
      <c r="X140" s="72"/>
      <c r="Y140" s="72"/>
      <c r="Z140" s="72"/>
    </row>
    <row r="141" spans="2:37" x14ac:dyDescent="0.35">
      <c r="B141" s="85" t="s">
        <v>5</v>
      </c>
      <c r="C141" s="84" t="s">
        <v>6</v>
      </c>
      <c r="D141" s="84" t="s">
        <v>7</v>
      </c>
      <c r="E141" s="84" t="s">
        <v>8</v>
      </c>
      <c r="F141" s="83" t="s">
        <v>9</v>
      </c>
      <c r="G141" s="82" t="s">
        <v>10</v>
      </c>
      <c r="H141" s="82" t="s">
        <v>11</v>
      </c>
      <c r="I141" s="82" t="s">
        <v>12</v>
      </c>
      <c r="J141" s="81" t="s">
        <v>13</v>
      </c>
      <c r="K141" s="83" t="s">
        <v>9</v>
      </c>
      <c r="L141" s="82" t="s">
        <v>10</v>
      </c>
      <c r="M141" s="82" t="s">
        <v>11</v>
      </c>
      <c r="N141" s="82" t="s">
        <v>12</v>
      </c>
      <c r="O141" s="81" t="s">
        <v>13</v>
      </c>
      <c r="P141" s="70" t="s">
        <v>14</v>
      </c>
      <c r="Q141" s="58" t="s">
        <v>15</v>
      </c>
      <c r="R141" s="58" t="s">
        <v>16</v>
      </c>
      <c r="S141" s="58" t="s">
        <v>407</v>
      </c>
      <c r="T141" s="58" t="s">
        <v>18</v>
      </c>
      <c r="V141" s="110" t="s">
        <v>9</v>
      </c>
      <c r="W141" s="106" t="s">
        <v>10</v>
      </c>
      <c r="X141" s="106" t="s">
        <v>11</v>
      </c>
      <c r="Y141" s="106" t="s">
        <v>12</v>
      </c>
      <c r="Z141" s="111" t="s">
        <v>13</v>
      </c>
      <c r="AB141" s="83" t="s">
        <v>9</v>
      </c>
      <c r="AC141" s="82" t="s">
        <v>10</v>
      </c>
      <c r="AD141" s="82" t="s">
        <v>11</v>
      </c>
      <c r="AE141" s="82" t="s">
        <v>12</v>
      </c>
      <c r="AF141" s="81" t="s">
        <v>13</v>
      </c>
      <c r="AG141" s="58" t="s">
        <v>9</v>
      </c>
      <c r="AH141" s="58" t="s">
        <v>10</v>
      </c>
      <c r="AI141" s="58" t="s">
        <v>11</v>
      </c>
      <c r="AJ141" s="58" t="s">
        <v>12</v>
      </c>
      <c r="AK141" s="58" t="s">
        <v>13</v>
      </c>
    </row>
    <row r="142" spans="2:37" x14ac:dyDescent="0.35">
      <c r="B142" s="79" t="s">
        <v>114</v>
      </c>
      <c r="C142" s="9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7"/>
      <c r="P142" s="79"/>
      <c r="Q142" s="78"/>
      <c r="R142" s="95"/>
      <c r="S142" s="78"/>
      <c r="T142" s="77"/>
      <c r="V142" s="112"/>
      <c r="W142" s="107"/>
      <c r="X142" s="107"/>
      <c r="Y142" s="107"/>
      <c r="Z142" s="113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</row>
    <row r="143" spans="2:37" x14ac:dyDescent="0.35">
      <c r="B143" s="56" t="s">
        <v>319</v>
      </c>
      <c r="C143" s="66" t="s">
        <v>234</v>
      </c>
      <c r="D143" s="66" t="s">
        <v>20</v>
      </c>
      <c r="E143" s="66" t="s">
        <v>21</v>
      </c>
      <c r="F143" s="75">
        <f t="shared" ref="F143:J173" si="18">IF(ISNUMBER(AB143),AB143-((C$4-C$3)/V143),"")</f>
        <v>4.5250004781428245E-2</v>
      </c>
      <c r="G143" s="80">
        <f t="shared" si="18"/>
        <v>5.7836779851320394E-2</v>
      </c>
      <c r="H143" s="80">
        <f t="shared" si="18"/>
        <v>7.2363240182049343E-2</v>
      </c>
      <c r="I143" s="80">
        <f t="shared" si="18"/>
        <v>7.8590269108136657E-2</v>
      </c>
      <c r="J143" s="62">
        <f t="shared" si="18"/>
        <v>8.3575762999723205E-2</v>
      </c>
      <c r="K143" s="80">
        <f t="shared" ref="K143:O173" si="19">IF(ISNUMBER(AG143),IF(AG143-((C$4-C$3)/V143)&lt;0,"",AG143-((C$4-C$3)/V143)),"")</f>
        <v>1.782922481428242E-3</v>
      </c>
      <c r="L143" s="80">
        <f t="shared" si="19"/>
        <v>1.4301734351320381E-2</v>
      </c>
      <c r="M143" s="80">
        <f t="shared" si="19"/>
        <v>2.7955545982049315E-2</v>
      </c>
      <c r="N143" s="80">
        <f t="shared" si="19"/>
        <v>3.317345820813665E-2</v>
      </c>
      <c r="O143" s="62">
        <f t="shared" si="19"/>
        <v>3.6705622899723192E-2</v>
      </c>
      <c r="P143" s="56" t="s">
        <v>21</v>
      </c>
      <c r="Q143" s="66" t="s">
        <v>21</v>
      </c>
      <c r="R143" s="100" t="s">
        <v>21</v>
      </c>
      <c r="S143" s="80">
        <v>0</v>
      </c>
      <c r="T143" s="62">
        <f t="shared" ref="T143:T276" si="20">IF(S143="","",H143-S143)</f>
        <v>7.2363240182049343E-2</v>
      </c>
      <c r="V143" s="114">
        <v>1.1303779999999999</v>
      </c>
      <c r="W143" s="72">
        <v>2.8180332900000002</v>
      </c>
      <c r="X143" s="72">
        <v>4.1571210999999995</v>
      </c>
      <c r="Y143" s="72">
        <v>5.1655365900000003</v>
      </c>
      <c r="Z143" s="115">
        <v>6.2650035600000002</v>
      </c>
      <c r="AB143" s="80">
        <v>4.5250004781428245E-2</v>
      </c>
      <c r="AC143" s="80">
        <v>5.7836779851320394E-2</v>
      </c>
      <c r="AD143" s="80">
        <v>7.2363240182049343E-2</v>
      </c>
      <c r="AE143" s="80">
        <v>7.8590269108136657E-2</v>
      </c>
      <c r="AF143" s="62">
        <v>8.3575762999723205E-2</v>
      </c>
      <c r="AG143" s="80">
        <v>1.782922481428242E-3</v>
      </c>
      <c r="AH143" s="80">
        <v>1.4301734351320381E-2</v>
      </c>
      <c r="AI143" s="80">
        <v>2.7955545982049315E-2</v>
      </c>
      <c r="AJ143" s="80">
        <v>3.317345820813665E-2</v>
      </c>
      <c r="AK143" s="62">
        <v>3.6705622899723192E-2</v>
      </c>
    </row>
    <row r="144" spans="2:37" x14ac:dyDescent="0.35">
      <c r="B144" s="55" t="s">
        <v>177</v>
      </c>
      <c r="C144" s="53" t="s">
        <v>234</v>
      </c>
      <c r="D144" s="53" t="s">
        <v>43</v>
      </c>
      <c r="E144" s="53" t="s">
        <v>21</v>
      </c>
      <c r="F144" s="73">
        <f t="shared" si="18"/>
        <v>4.4879169756602715E-2</v>
      </c>
      <c r="G144" s="60">
        <f t="shared" si="18"/>
        <v>5.8554046116517475E-2</v>
      </c>
      <c r="H144" s="60">
        <f t="shared" si="18"/>
        <v>7.06285789717402E-2</v>
      </c>
      <c r="I144" s="60">
        <f t="shared" si="18"/>
        <v>7.8727475726531021E-2</v>
      </c>
      <c r="J144" s="63">
        <f t="shared" si="18"/>
        <v>8.2970391866956886E-2</v>
      </c>
      <c r="K144" s="60">
        <f t="shared" si="19"/>
        <v>1.4443852566027194E-3</v>
      </c>
      <c r="L144" s="60">
        <f t="shared" si="19"/>
        <v>1.4971825516517469E-2</v>
      </c>
      <c r="M144" s="60">
        <f t="shared" si="19"/>
        <v>2.6367496671740192E-2</v>
      </c>
      <c r="N144" s="60">
        <f t="shared" si="19"/>
        <v>3.3296654126531017E-2</v>
      </c>
      <c r="O144" s="63">
        <f t="shared" si="19"/>
        <v>3.615591806695688E-2</v>
      </c>
      <c r="P144" s="55" t="s">
        <v>21</v>
      </c>
      <c r="Q144" s="53" t="s">
        <v>21</v>
      </c>
      <c r="R144" s="94" t="s">
        <v>21</v>
      </c>
      <c r="S144" s="71">
        <v>0</v>
      </c>
      <c r="T144" s="63">
        <f t="shared" si="20"/>
        <v>7.06285789717402E-2</v>
      </c>
      <c r="V144" s="114">
        <v>1.13118765</v>
      </c>
      <c r="W144" s="72">
        <v>2.8131027199999998</v>
      </c>
      <c r="X144" s="72">
        <v>4.1664763599999999</v>
      </c>
      <c r="Y144" s="72">
        <v>5.1800011899999996</v>
      </c>
      <c r="Z144" s="115">
        <v>6.28845718</v>
      </c>
      <c r="AB144" s="71">
        <v>4.4879169756602715E-2</v>
      </c>
      <c r="AC144" s="71">
        <v>5.8554046116517475E-2</v>
      </c>
      <c r="AD144" s="71">
        <v>7.06285789717402E-2</v>
      </c>
      <c r="AE144" s="71">
        <v>7.8727475726531021E-2</v>
      </c>
      <c r="AF144" s="63">
        <v>8.2970391866956886E-2</v>
      </c>
      <c r="AG144" s="71">
        <v>1.4443852566027194E-3</v>
      </c>
      <c r="AH144" s="71">
        <v>1.4971825516517469E-2</v>
      </c>
      <c r="AI144" s="71">
        <v>2.6367496671740192E-2</v>
      </c>
      <c r="AJ144" s="71">
        <v>3.3296654126531017E-2</v>
      </c>
      <c r="AK144" s="63">
        <v>3.615591806695688E-2</v>
      </c>
    </row>
    <row r="145" spans="2:37" x14ac:dyDescent="0.35">
      <c r="B145" s="55" t="s">
        <v>122</v>
      </c>
      <c r="C145" s="53" t="s">
        <v>234</v>
      </c>
      <c r="D145" s="53" t="s">
        <v>97</v>
      </c>
      <c r="E145" s="53" t="s">
        <v>269</v>
      </c>
      <c r="F145" s="73">
        <f t="shared" si="18"/>
        <v>4.4363807367003752E-2</v>
      </c>
      <c r="G145" s="60">
        <f t="shared" si="18"/>
        <v>5.8033984806702021E-2</v>
      </c>
      <c r="H145" s="60">
        <f t="shared" si="18"/>
        <v>6.97780333715671E-2</v>
      </c>
      <c r="I145" s="60">
        <f t="shared" si="18"/>
        <v>7.767570367708751E-2</v>
      </c>
      <c r="J145" s="63">
        <f t="shared" si="18"/>
        <v>8.4098819531560343E-2</v>
      </c>
      <c r="K145" s="60">
        <f t="shared" si="19"/>
        <v>9.6676466700376055E-4</v>
      </c>
      <c r="L145" s="60">
        <f t="shared" si="19"/>
        <v>1.4493772906702016E-2</v>
      </c>
      <c r="M145" s="60">
        <f t="shared" si="19"/>
        <v>2.5591606071567095E-2</v>
      </c>
      <c r="N145" s="60">
        <f t="shared" si="19"/>
        <v>3.2342300477087513E-2</v>
      </c>
      <c r="O145" s="63">
        <f t="shared" si="19"/>
        <v>3.7187721231560347E-2</v>
      </c>
      <c r="P145" s="55" t="s">
        <v>21</v>
      </c>
      <c r="Q145" s="53" t="s">
        <v>21</v>
      </c>
      <c r="R145" s="94" t="s">
        <v>21</v>
      </c>
      <c r="S145" s="71">
        <v>0</v>
      </c>
      <c r="T145" s="63">
        <f t="shared" si="20"/>
        <v>6.97780333715671E-2</v>
      </c>
      <c r="V145" s="114">
        <v>1.1321964600000001</v>
      </c>
      <c r="W145" s="72">
        <v>2.8185774600000002</v>
      </c>
      <c r="X145" s="72">
        <v>4.1803059300000003</v>
      </c>
      <c r="Y145" s="72">
        <v>5.2061840900000007</v>
      </c>
      <c r="Z145" s="115">
        <v>6.2935759100000004</v>
      </c>
      <c r="AB145" s="71">
        <v>4.4363807367003752E-2</v>
      </c>
      <c r="AC145" s="71">
        <v>5.8033984806702021E-2</v>
      </c>
      <c r="AD145" s="71">
        <v>6.97780333715671E-2</v>
      </c>
      <c r="AE145" s="71">
        <v>7.767570367708751E-2</v>
      </c>
      <c r="AF145" s="63">
        <v>8.4098819531560343E-2</v>
      </c>
      <c r="AG145" s="71">
        <v>9.6676466700376055E-4</v>
      </c>
      <c r="AH145" s="71">
        <v>1.4493772906702016E-2</v>
      </c>
      <c r="AI145" s="71">
        <v>2.5591606071567095E-2</v>
      </c>
      <c r="AJ145" s="71">
        <v>3.2342300477087513E-2</v>
      </c>
      <c r="AK145" s="63">
        <v>3.7187721231560347E-2</v>
      </c>
    </row>
    <row r="146" spans="2:37" x14ac:dyDescent="0.35">
      <c r="B146" s="55" t="s">
        <v>170</v>
      </c>
      <c r="C146" s="53" t="s">
        <v>234</v>
      </c>
      <c r="D146" s="53" t="s">
        <v>20</v>
      </c>
      <c r="E146" s="53" t="s">
        <v>21</v>
      </c>
      <c r="F146" s="73">
        <f t="shared" si="18"/>
        <v>4.7625034300441231E-2</v>
      </c>
      <c r="G146" s="60">
        <f t="shared" si="18"/>
        <v>5.8557066731395213E-2</v>
      </c>
      <c r="H146" s="60">
        <f t="shared" si="18"/>
        <v>6.8624562045957405E-2</v>
      </c>
      <c r="I146" s="60">
        <f t="shared" si="18"/>
        <v>7.340897431675468E-2</v>
      </c>
      <c r="J146" s="63">
        <f t="shared" si="18"/>
        <v>7.8195469886236574E-2</v>
      </c>
      <c r="K146" s="60">
        <f t="shared" si="19"/>
        <v>4.0168906004412292E-3</v>
      </c>
      <c r="L146" s="60">
        <f t="shared" si="19"/>
        <v>1.4981106431395219E-2</v>
      </c>
      <c r="M146" s="60">
        <f t="shared" si="19"/>
        <v>2.4533290545957417E-2</v>
      </c>
      <c r="N146" s="60">
        <f t="shared" si="19"/>
        <v>2.8439522216754692E-2</v>
      </c>
      <c r="O146" s="63">
        <f t="shared" si="19"/>
        <v>3.1760102186236573E-2</v>
      </c>
      <c r="P146" s="55" t="s">
        <v>468</v>
      </c>
      <c r="Q146" s="53" t="s">
        <v>469</v>
      </c>
      <c r="R146" s="94">
        <v>47505</v>
      </c>
      <c r="S146" s="71">
        <v>6.2761090000000005E-2</v>
      </c>
      <c r="T146" s="63">
        <f t="shared" si="20"/>
        <v>5.8634720459573991E-3</v>
      </c>
      <c r="V146" s="114">
        <v>1.12436837</v>
      </c>
      <c r="W146" s="72">
        <v>2.8022332800000003</v>
      </c>
      <c r="X146" s="72">
        <v>4.1801492599999994</v>
      </c>
      <c r="Y146" s="72">
        <v>5.2506876099999999</v>
      </c>
      <c r="Z146" s="115">
        <v>6.4616041200000005</v>
      </c>
      <c r="AB146" s="71">
        <v>4.7625034300441231E-2</v>
      </c>
      <c r="AC146" s="71">
        <v>5.8557066731395213E-2</v>
      </c>
      <c r="AD146" s="71">
        <v>6.8624562045957405E-2</v>
      </c>
      <c r="AE146" s="71">
        <v>7.340897431675468E-2</v>
      </c>
      <c r="AF146" s="63">
        <v>7.8195469886236574E-2</v>
      </c>
      <c r="AG146" s="71">
        <v>4.0168906004412292E-3</v>
      </c>
      <c r="AH146" s="71">
        <v>1.4981106431395219E-2</v>
      </c>
      <c r="AI146" s="71">
        <v>2.4533290545957417E-2</v>
      </c>
      <c r="AJ146" s="71">
        <v>2.8439522216754692E-2</v>
      </c>
      <c r="AK146" s="63">
        <v>3.1760102186236573E-2</v>
      </c>
    </row>
    <row r="147" spans="2:37" x14ac:dyDescent="0.35">
      <c r="B147" s="55" t="s">
        <v>153</v>
      </c>
      <c r="C147" s="53" t="s">
        <v>234</v>
      </c>
      <c r="D147" s="53" t="s">
        <v>20</v>
      </c>
      <c r="E147" s="53" t="s">
        <v>123</v>
      </c>
      <c r="F147" s="73">
        <f t="shared" si="18"/>
        <v>4.6883242547009714E-2</v>
      </c>
      <c r="G147" s="60">
        <f t="shared" si="18"/>
        <v>6.0399183795596612E-2</v>
      </c>
      <c r="H147" s="60">
        <f t="shared" si="18"/>
        <v>6.8002741663308997E-2</v>
      </c>
      <c r="I147" s="60">
        <f t="shared" si="18"/>
        <v>7.277652407175611E-2</v>
      </c>
      <c r="J147" s="63">
        <f t="shared" si="18"/>
        <v>7.6228722666582038E-2</v>
      </c>
      <c r="K147" s="60">
        <f t="shared" si="19"/>
        <v>3.3205427470097146E-3</v>
      </c>
      <c r="L147" s="60">
        <f t="shared" si="19"/>
        <v>1.6684261495596611E-2</v>
      </c>
      <c r="M147" s="60">
        <f t="shared" si="19"/>
        <v>2.3952386363309014E-2</v>
      </c>
      <c r="N147" s="60">
        <f t="shared" si="19"/>
        <v>2.7844458871756114E-2</v>
      </c>
      <c r="O147" s="63">
        <f t="shared" si="19"/>
        <v>2.9931936866582035E-2</v>
      </c>
      <c r="P147" s="55" t="s">
        <v>470</v>
      </c>
      <c r="Q147" s="53" t="s">
        <v>471</v>
      </c>
      <c r="R147" s="94">
        <v>47484</v>
      </c>
      <c r="S147" s="71">
        <v>5.9648589999999994E-2</v>
      </c>
      <c r="T147" s="63">
        <f t="shared" si="20"/>
        <v>8.3541516633090021E-3</v>
      </c>
      <c r="V147" s="114">
        <v>1.12620126</v>
      </c>
      <c r="W147" s="72">
        <v>2.79433065</v>
      </c>
      <c r="X147" s="72">
        <v>4.1722306299999996</v>
      </c>
      <c r="Y147" s="72">
        <v>5.2590751300000003</v>
      </c>
      <c r="Z147" s="115">
        <v>6.5118469999999995</v>
      </c>
      <c r="AB147" s="71">
        <v>4.6883242547009714E-2</v>
      </c>
      <c r="AC147" s="71">
        <v>6.0399183795596612E-2</v>
      </c>
      <c r="AD147" s="71">
        <v>6.8002741663308997E-2</v>
      </c>
      <c r="AE147" s="71">
        <v>7.277652407175611E-2</v>
      </c>
      <c r="AF147" s="63">
        <v>7.6228722666582038E-2</v>
      </c>
      <c r="AG147" s="71">
        <v>3.3205427470097146E-3</v>
      </c>
      <c r="AH147" s="71">
        <v>1.6684261495596611E-2</v>
      </c>
      <c r="AI147" s="71">
        <v>2.3952386363309014E-2</v>
      </c>
      <c r="AJ147" s="71">
        <v>2.7844458871756114E-2</v>
      </c>
      <c r="AK147" s="63">
        <v>2.9931936866582035E-2</v>
      </c>
    </row>
    <row r="148" spans="2:37" x14ac:dyDescent="0.35">
      <c r="B148" s="55" t="s">
        <v>176</v>
      </c>
      <c r="C148" s="53" t="s">
        <v>234</v>
      </c>
      <c r="D148" s="53" t="s">
        <v>47</v>
      </c>
      <c r="E148" s="53" t="s">
        <v>21</v>
      </c>
      <c r="F148" s="73">
        <f t="shared" si="18"/>
        <v>4.7350647031175884E-2</v>
      </c>
      <c r="G148" s="60">
        <f t="shared" si="18"/>
        <v>5.6540862222603308E-2</v>
      </c>
      <c r="H148" s="60">
        <f t="shared" si="18"/>
        <v>6.4729249172422315E-2</v>
      </c>
      <c r="I148" s="60">
        <f t="shared" si="18"/>
        <v>6.7848873643783295E-2</v>
      </c>
      <c r="J148" s="63">
        <f t="shared" si="18"/>
        <v>7.1080983480022286E-2</v>
      </c>
      <c r="K148" s="60">
        <f t="shared" si="19"/>
        <v>3.7447275311758834E-3</v>
      </c>
      <c r="L148" s="60">
        <f t="shared" si="19"/>
        <v>1.3096027022603308E-2</v>
      </c>
      <c r="M148" s="60">
        <f t="shared" si="19"/>
        <v>2.093415707242231E-2</v>
      </c>
      <c r="N148" s="60">
        <f t="shared" si="19"/>
        <v>2.330695114378329E-2</v>
      </c>
      <c r="O148" s="63">
        <f t="shared" si="19"/>
        <v>2.5164577780022269E-2</v>
      </c>
      <c r="P148" s="55" t="s">
        <v>21</v>
      </c>
      <c r="Q148" s="53" t="s">
        <v>21</v>
      </c>
      <c r="R148" s="94" t="s">
        <v>21</v>
      </c>
      <c r="S148" s="71">
        <v>0</v>
      </c>
      <c r="T148" s="63">
        <f t="shared" si="20"/>
        <v>6.4729249172422315E-2</v>
      </c>
      <c r="V148" s="114">
        <v>1.1251501400000001</v>
      </c>
      <c r="W148" s="72">
        <v>2.8177444400000002</v>
      </c>
      <c r="X148" s="72">
        <v>4.2305739300000003</v>
      </c>
      <c r="Y148" s="72">
        <v>5.3811282499999997</v>
      </c>
      <c r="Z148" s="115">
        <v>6.7385911399999996</v>
      </c>
      <c r="AB148" s="71">
        <v>4.7350647031175884E-2</v>
      </c>
      <c r="AC148" s="71">
        <v>5.6540862222603308E-2</v>
      </c>
      <c r="AD148" s="71">
        <v>6.4729249172422315E-2</v>
      </c>
      <c r="AE148" s="71">
        <v>6.7848873643783295E-2</v>
      </c>
      <c r="AF148" s="63">
        <v>7.1080983480022286E-2</v>
      </c>
      <c r="AG148" s="71">
        <v>3.7447275311758834E-3</v>
      </c>
      <c r="AH148" s="71">
        <v>1.3096027022603308E-2</v>
      </c>
      <c r="AI148" s="71">
        <v>2.093415707242231E-2</v>
      </c>
      <c r="AJ148" s="71">
        <v>2.330695114378329E-2</v>
      </c>
      <c r="AK148" s="63">
        <v>2.5164577780022269E-2</v>
      </c>
    </row>
    <row r="149" spans="2:37" x14ac:dyDescent="0.35">
      <c r="B149" s="55" t="s">
        <v>325</v>
      </c>
      <c r="C149" s="53" t="s">
        <v>234</v>
      </c>
      <c r="D149" s="53" t="s">
        <v>69</v>
      </c>
      <c r="E149" s="53" t="s">
        <v>116</v>
      </c>
      <c r="F149" s="73">
        <f t="shared" si="18"/>
        <v>4.4728302444908573E-2</v>
      </c>
      <c r="G149" s="60">
        <f t="shared" si="18"/>
        <v>5.4504585861071077E-2</v>
      </c>
      <c r="H149" s="60">
        <f t="shared" si="18"/>
        <v>6.4357409455262832E-2</v>
      </c>
      <c r="I149" s="60">
        <f t="shared" si="18"/>
        <v>6.9755303416961054E-2</v>
      </c>
      <c r="J149" s="63">
        <f t="shared" si="18"/>
        <v>7.4409448433342601E-2</v>
      </c>
      <c r="K149" s="60">
        <f t="shared" si="19"/>
        <v>1.3070783449085684E-3</v>
      </c>
      <c r="L149" s="60">
        <f t="shared" si="19"/>
        <v>1.1192647561071068E-2</v>
      </c>
      <c r="M149" s="60">
        <f t="shared" si="19"/>
        <v>2.059435205526285E-2</v>
      </c>
      <c r="N149" s="60">
        <f t="shared" si="19"/>
        <v>2.5072393616961057E-2</v>
      </c>
      <c r="O149" s="63">
        <f t="shared" si="19"/>
        <v>2.8269229733342598E-2</v>
      </c>
      <c r="P149" s="55" t="s">
        <v>376</v>
      </c>
      <c r="Q149" s="53" t="s">
        <v>377</v>
      </c>
      <c r="R149" s="94" t="s">
        <v>32</v>
      </c>
      <c r="S149" s="71">
        <v>5.5257019999999997E-2</v>
      </c>
      <c r="T149" s="63">
        <f t="shared" si="20"/>
        <v>9.1003894552628348E-3</v>
      </c>
      <c r="V149" s="114">
        <v>1.1315172499999999</v>
      </c>
      <c r="W149" s="72">
        <v>2.8391164799999999</v>
      </c>
      <c r="X149" s="72">
        <v>4.2573699700000001</v>
      </c>
      <c r="Y149" s="72">
        <v>5.3806467900000001</v>
      </c>
      <c r="Z149" s="115">
        <v>6.6565967500000003</v>
      </c>
      <c r="AB149" s="71">
        <v>4.4728302444908573E-2</v>
      </c>
      <c r="AC149" s="71">
        <v>5.4504585861071077E-2</v>
      </c>
      <c r="AD149" s="71">
        <v>6.4357409455262832E-2</v>
      </c>
      <c r="AE149" s="71">
        <v>6.9755303416961054E-2</v>
      </c>
      <c r="AF149" s="63">
        <v>7.4409448433342601E-2</v>
      </c>
      <c r="AG149" s="71">
        <v>1.3070783449085684E-3</v>
      </c>
      <c r="AH149" s="71">
        <v>1.1192647561071068E-2</v>
      </c>
      <c r="AI149" s="71">
        <v>2.059435205526285E-2</v>
      </c>
      <c r="AJ149" s="71">
        <v>2.5072393616961057E-2</v>
      </c>
      <c r="AK149" s="63">
        <v>2.8269229733342598E-2</v>
      </c>
    </row>
    <row r="150" spans="2:37" x14ac:dyDescent="0.35">
      <c r="B150" s="55" t="s">
        <v>173</v>
      </c>
      <c r="C150" s="53" t="s">
        <v>234</v>
      </c>
      <c r="D150" s="53" t="s">
        <v>20</v>
      </c>
      <c r="E150" s="53" t="s">
        <v>290</v>
      </c>
      <c r="F150" s="73">
        <f t="shared" si="18"/>
        <v>4.5849290165448614E-2</v>
      </c>
      <c r="G150" s="60">
        <f t="shared" si="18"/>
        <v>5.5091814476115587E-2</v>
      </c>
      <c r="H150" s="60">
        <f t="shared" si="18"/>
        <v>6.3202519271620225E-2</v>
      </c>
      <c r="I150" s="60">
        <f t="shared" si="18"/>
        <v>6.7470174144544676E-2</v>
      </c>
      <c r="J150" s="63">
        <f t="shared" si="18"/>
        <v>7.1830954848333753E-2</v>
      </c>
      <c r="K150" s="60">
        <f t="shared" si="19"/>
        <v>2.3511049654486131E-3</v>
      </c>
      <c r="L150" s="60">
        <f t="shared" si="19"/>
        <v>1.1743563076115588E-2</v>
      </c>
      <c r="M150" s="60">
        <f t="shared" si="19"/>
        <v>1.9528029571620226E-2</v>
      </c>
      <c r="N150" s="60">
        <f t="shared" si="19"/>
        <v>2.2966685744544676E-2</v>
      </c>
      <c r="O150" s="63">
        <f t="shared" si="19"/>
        <v>2.5878176948333758E-2</v>
      </c>
      <c r="P150" s="55" t="s">
        <v>472</v>
      </c>
      <c r="Q150" s="53" t="s">
        <v>473</v>
      </c>
      <c r="R150" s="94">
        <v>47644</v>
      </c>
      <c r="S150" s="71">
        <v>5.6692819999999998E-2</v>
      </c>
      <c r="T150" s="63">
        <f t="shared" si="20"/>
        <v>6.509699271620227E-3</v>
      </c>
      <c r="V150" s="114">
        <v>1.12875415</v>
      </c>
      <c r="W150" s="72">
        <v>2.8332497999999999</v>
      </c>
      <c r="X150" s="72">
        <v>4.2627296699999997</v>
      </c>
      <c r="Y150" s="72">
        <v>5.4149534399999997</v>
      </c>
      <c r="Z150" s="115">
        <v>6.7498256400000001</v>
      </c>
      <c r="AB150" s="71">
        <v>4.5849290165448614E-2</v>
      </c>
      <c r="AC150" s="71">
        <v>5.5091814476115587E-2</v>
      </c>
      <c r="AD150" s="71">
        <v>6.3202519271620225E-2</v>
      </c>
      <c r="AE150" s="71">
        <v>6.7470174144544676E-2</v>
      </c>
      <c r="AF150" s="63">
        <v>7.1830954848333753E-2</v>
      </c>
      <c r="AG150" s="71">
        <v>2.3511049654486131E-3</v>
      </c>
      <c r="AH150" s="71">
        <v>1.1743563076115588E-2</v>
      </c>
      <c r="AI150" s="71">
        <v>1.9528029571620226E-2</v>
      </c>
      <c r="AJ150" s="71">
        <v>2.2966685744544676E-2</v>
      </c>
      <c r="AK150" s="63">
        <v>2.5878176948333758E-2</v>
      </c>
    </row>
    <row r="151" spans="2:37" x14ac:dyDescent="0.35">
      <c r="B151" s="55" t="s">
        <v>130</v>
      </c>
      <c r="C151" s="53" t="s">
        <v>234</v>
      </c>
      <c r="D151" s="53" t="s">
        <v>131</v>
      </c>
      <c r="E151" s="53" t="s">
        <v>21</v>
      </c>
      <c r="F151" s="73">
        <f t="shared" si="18"/>
        <v>4.4325855088754321E-2</v>
      </c>
      <c r="G151" s="60">
        <f t="shared" si="18"/>
        <v>5.3876771042543653E-2</v>
      </c>
      <c r="H151" s="60">
        <f t="shared" si="18"/>
        <v>6.2484731874490086E-2</v>
      </c>
      <c r="I151" s="60">
        <f t="shared" si="18"/>
        <v>6.8305131673417632E-2</v>
      </c>
      <c r="J151" s="63">
        <f t="shared" si="18"/>
        <v>7.2675334972785569E-2</v>
      </c>
      <c r="K151" s="60">
        <f t="shared" si="19"/>
        <v>9.2042058875431779E-4</v>
      </c>
      <c r="L151" s="60">
        <f t="shared" si="19"/>
        <v>1.0600298742543646E-2</v>
      </c>
      <c r="M151" s="60">
        <f t="shared" si="19"/>
        <v>1.885903167449008E-2</v>
      </c>
      <c r="N151" s="60">
        <f t="shared" si="19"/>
        <v>2.373310057341764E-2</v>
      </c>
      <c r="O151" s="63">
        <f t="shared" si="19"/>
        <v>2.6664840872785561E-2</v>
      </c>
      <c r="P151" s="55" t="s">
        <v>474</v>
      </c>
      <c r="Q151" s="53" t="s">
        <v>475</v>
      </c>
      <c r="R151" s="94">
        <v>47532</v>
      </c>
      <c r="S151" s="71">
        <v>5.4633209999999995E-2</v>
      </c>
      <c r="T151" s="63">
        <f t="shared" si="20"/>
        <v>7.8515218744900916E-3</v>
      </c>
      <c r="V151" s="114">
        <v>1.1323271100000001</v>
      </c>
      <c r="W151" s="72">
        <v>2.8442887399999996</v>
      </c>
      <c r="X151" s="72">
        <v>4.2816477200000005</v>
      </c>
      <c r="Y151" s="72">
        <v>5.4250483699999998</v>
      </c>
      <c r="Z151" s="115">
        <v>6.7345447000000007</v>
      </c>
      <c r="AB151" s="71">
        <v>4.4325855088754321E-2</v>
      </c>
      <c r="AC151" s="71">
        <v>5.3876771042543653E-2</v>
      </c>
      <c r="AD151" s="71">
        <v>6.2484731874490086E-2</v>
      </c>
      <c r="AE151" s="71">
        <v>6.8305131673417632E-2</v>
      </c>
      <c r="AF151" s="63">
        <v>7.2675334972785569E-2</v>
      </c>
      <c r="AG151" s="71">
        <v>9.2042058875431779E-4</v>
      </c>
      <c r="AH151" s="71">
        <v>1.0600298742543646E-2</v>
      </c>
      <c r="AI151" s="71">
        <v>1.885903167449008E-2</v>
      </c>
      <c r="AJ151" s="71">
        <v>2.373310057341764E-2</v>
      </c>
      <c r="AK151" s="63">
        <v>2.6664840872785561E-2</v>
      </c>
    </row>
    <row r="152" spans="2:37" x14ac:dyDescent="0.35">
      <c r="B152" s="55" t="s">
        <v>118</v>
      </c>
      <c r="C152" s="53" t="s">
        <v>234</v>
      </c>
      <c r="D152" s="53" t="s">
        <v>20</v>
      </c>
      <c r="E152" s="53" t="s">
        <v>21</v>
      </c>
      <c r="F152" s="73">
        <f t="shared" si="18"/>
        <v>4.4607046911876239E-2</v>
      </c>
      <c r="G152" s="60">
        <f t="shared" si="18"/>
        <v>5.3865597322446793E-2</v>
      </c>
      <c r="H152" s="60">
        <f t="shared" si="18"/>
        <v>6.2212477849726798E-2</v>
      </c>
      <c r="I152" s="60">
        <f t="shared" si="18"/>
        <v>6.7184520138165546E-2</v>
      </c>
      <c r="J152" s="63">
        <f t="shared" si="18"/>
        <v>7.0879676106534006E-2</v>
      </c>
      <c r="K152" s="60">
        <f t="shared" si="19"/>
        <v>1.1901935118762376E-3</v>
      </c>
      <c r="L152" s="60">
        <f t="shared" si="19"/>
        <v>1.0591447222446794E-2</v>
      </c>
      <c r="M152" s="60">
        <f t="shared" si="19"/>
        <v>1.861081314972679E-2</v>
      </c>
      <c r="N152" s="60">
        <f t="shared" si="19"/>
        <v>2.2703415038165548E-2</v>
      </c>
      <c r="O152" s="63">
        <f t="shared" si="19"/>
        <v>2.5000965306534024E-2</v>
      </c>
      <c r="P152" s="55" t="s">
        <v>476</v>
      </c>
      <c r="Q152" s="53" t="s">
        <v>477</v>
      </c>
      <c r="R152" s="94">
        <v>47557</v>
      </c>
      <c r="S152" s="71">
        <v>5.4977989999999997E-2</v>
      </c>
      <c r="T152" s="63">
        <f t="shared" si="20"/>
        <v>7.2344878497268006E-3</v>
      </c>
      <c r="V152" s="114">
        <v>1.13177891</v>
      </c>
      <c r="W152" s="72">
        <v>2.8435007400000001</v>
      </c>
      <c r="X152" s="72">
        <v>4.2835521199999995</v>
      </c>
      <c r="Y152" s="72">
        <v>5.4451148199999997</v>
      </c>
      <c r="Z152" s="115">
        <v>6.7968113199999998</v>
      </c>
      <c r="AB152" s="71">
        <v>4.4607046911876239E-2</v>
      </c>
      <c r="AC152" s="71">
        <v>5.3865597322446793E-2</v>
      </c>
      <c r="AD152" s="71">
        <v>6.2212477849726798E-2</v>
      </c>
      <c r="AE152" s="71">
        <v>6.7184520138165546E-2</v>
      </c>
      <c r="AF152" s="63">
        <v>7.0879676106534006E-2</v>
      </c>
      <c r="AG152" s="71">
        <v>1.1901935118762376E-3</v>
      </c>
      <c r="AH152" s="71">
        <v>1.0591447222446794E-2</v>
      </c>
      <c r="AI152" s="71">
        <v>1.861081314972679E-2</v>
      </c>
      <c r="AJ152" s="71">
        <v>2.2703415038165548E-2</v>
      </c>
      <c r="AK152" s="63">
        <v>2.5000965306534024E-2</v>
      </c>
    </row>
    <row r="153" spans="2:37" x14ac:dyDescent="0.35">
      <c r="B153" s="55" t="s">
        <v>320</v>
      </c>
      <c r="C153" s="53" t="s">
        <v>234</v>
      </c>
      <c r="D153" s="53" t="s">
        <v>20</v>
      </c>
      <c r="E153" s="53" t="s">
        <v>123</v>
      </c>
      <c r="F153" s="73">
        <f t="shared" si="18"/>
        <v>4.455636126197994E-2</v>
      </c>
      <c r="G153" s="60">
        <f t="shared" si="18"/>
        <v>5.4063583666421118E-2</v>
      </c>
      <c r="H153" s="60">
        <f t="shared" si="18"/>
        <v>6.1339664203524533E-2</v>
      </c>
      <c r="I153" s="60">
        <f t="shared" si="18"/>
        <v>6.517209406052811E-2</v>
      </c>
      <c r="J153" s="63">
        <f t="shared" si="18"/>
        <v>6.8634079506632056E-2</v>
      </c>
      <c r="K153" s="60">
        <f t="shared" si="19"/>
        <v>1.1437390619799407E-3</v>
      </c>
      <c r="L153" s="60">
        <f t="shared" si="19"/>
        <v>1.0777884166421121E-2</v>
      </c>
      <c r="M153" s="60">
        <f t="shared" si="19"/>
        <v>1.7797132403524547E-2</v>
      </c>
      <c r="N153" s="60">
        <f t="shared" si="19"/>
        <v>2.0834087360528136E-2</v>
      </c>
      <c r="O153" s="63">
        <f t="shared" si="19"/>
        <v>2.2899297206632051E-2</v>
      </c>
      <c r="P153" s="55" t="s">
        <v>21</v>
      </c>
      <c r="Q153" s="53" t="s">
        <v>21</v>
      </c>
      <c r="R153" s="94" t="s">
        <v>21</v>
      </c>
      <c r="S153" s="71">
        <v>0</v>
      </c>
      <c r="T153" s="63">
        <f t="shared" si="20"/>
        <v>6.1339664203524533E-2</v>
      </c>
      <c r="V153" s="114">
        <v>1.1318656300000001</v>
      </c>
      <c r="W153" s="72">
        <v>2.8411414699999997</v>
      </c>
      <c r="X153" s="72">
        <v>4.2900409100000001</v>
      </c>
      <c r="Y153" s="72">
        <v>5.4740115200000004</v>
      </c>
      <c r="Z153" s="115">
        <v>6.8759333199999997</v>
      </c>
      <c r="AB153" s="71">
        <v>4.455636126197994E-2</v>
      </c>
      <c r="AC153" s="71">
        <v>5.4063583666421118E-2</v>
      </c>
      <c r="AD153" s="71">
        <v>6.1339664203524533E-2</v>
      </c>
      <c r="AE153" s="71">
        <v>6.517209406052811E-2</v>
      </c>
      <c r="AF153" s="63">
        <v>6.8634079506632056E-2</v>
      </c>
      <c r="AG153" s="71">
        <v>1.1437390619799407E-3</v>
      </c>
      <c r="AH153" s="71">
        <v>1.0777884166421121E-2</v>
      </c>
      <c r="AI153" s="71">
        <v>1.7797132403524547E-2</v>
      </c>
      <c r="AJ153" s="71">
        <v>2.0834087360528136E-2</v>
      </c>
      <c r="AK153" s="63">
        <v>2.2899297206632051E-2</v>
      </c>
    </row>
    <row r="154" spans="2:37" x14ac:dyDescent="0.35">
      <c r="B154" s="55" t="s">
        <v>334</v>
      </c>
      <c r="C154" s="53" t="s">
        <v>234</v>
      </c>
      <c r="D154" s="53" t="s">
        <v>20</v>
      </c>
      <c r="E154" s="53" t="s">
        <v>318</v>
      </c>
      <c r="F154" s="73">
        <f t="shared" si="18"/>
        <v>4.3834081391187753E-2</v>
      </c>
      <c r="G154" s="60">
        <f t="shared" si="18"/>
        <v>5.2332330799333415E-2</v>
      </c>
      <c r="H154" s="60">
        <f t="shared" si="18"/>
        <v>6.0954053421453235E-2</v>
      </c>
      <c r="I154" s="60">
        <f t="shared" si="18"/>
        <v>6.4934458939600773E-2</v>
      </c>
      <c r="J154" s="63">
        <f t="shared" si="18"/>
        <v>6.9075734528325647E-2</v>
      </c>
      <c r="K154" s="60">
        <f t="shared" si="19"/>
        <v>4.4917479118775083E-4</v>
      </c>
      <c r="L154" s="60">
        <f t="shared" si="19"/>
        <v>9.144942899333413E-3</v>
      </c>
      <c r="M154" s="60">
        <f t="shared" si="19"/>
        <v>1.7437046121453227E-2</v>
      </c>
      <c r="N154" s="60">
        <f t="shared" si="19"/>
        <v>2.0615467239600782E-2</v>
      </c>
      <c r="O154" s="63">
        <f t="shared" si="19"/>
        <v>2.3314913928325649E-2</v>
      </c>
      <c r="P154" s="55" t="s">
        <v>21</v>
      </c>
      <c r="Q154" s="53" t="s">
        <v>21</v>
      </c>
      <c r="R154" s="94" t="s">
        <v>21</v>
      </c>
      <c r="S154" s="71">
        <v>0</v>
      </c>
      <c r="T154" s="63">
        <f t="shared" si="20"/>
        <v>6.0954053421453235E-2</v>
      </c>
      <c r="V154" s="114">
        <v>1.13333817</v>
      </c>
      <c r="W154" s="72">
        <v>2.8541833999999997</v>
      </c>
      <c r="X154" s="72">
        <v>4.3096629900000005</v>
      </c>
      <c r="Y154" s="72">
        <v>5.49166022</v>
      </c>
      <c r="Z154" s="115">
        <v>6.8820372399999998</v>
      </c>
      <c r="AB154" s="71">
        <v>4.3834081391187753E-2</v>
      </c>
      <c r="AC154" s="71">
        <v>5.2332330799333415E-2</v>
      </c>
      <c r="AD154" s="71">
        <v>6.0954053421453235E-2</v>
      </c>
      <c r="AE154" s="71">
        <v>6.4934458939600773E-2</v>
      </c>
      <c r="AF154" s="63">
        <v>6.9075734528325647E-2</v>
      </c>
      <c r="AG154" s="71">
        <v>4.4917479118775083E-4</v>
      </c>
      <c r="AH154" s="71">
        <v>9.144942899333413E-3</v>
      </c>
      <c r="AI154" s="71">
        <v>1.7437046121453227E-2</v>
      </c>
      <c r="AJ154" s="71">
        <v>2.0615467239600782E-2</v>
      </c>
      <c r="AK154" s="63">
        <v>2.3314913928325649E-2</v>
      </c>
    </row>
    <row r="155" spans="2:37" x14ac:dyDescent="0.35">
      <c r="B155" s="55" t="s">
        <v>119</v>
      </c>
      <c r="C155" s="53" t="s">
        <v>234</v>
      </c>
      <c r="D155" s="53" t="s">
        <v>120</v>
      </c>
      <c r="E155" s="53" t="s">
        <v>21</v>
      </c>
      <c r="F155" s="73">
        <f t="shared" si="18"/>
        <v>4.2993723979465492E-2</v>
      </c>
      <c r="G155" s="60">
        <f t="shared" si="18"/>
        <v>5.2263662900080513E-2</v>
      </c>
      <c r="H155" s="60">
        <f t="shared" si="18"/>
        <v>6.031493626876102E-2</v>
      </c>
      <c r="I155" s="60">
        <f t="shared" si="18"/>
        <v>6.5632661976791573E-2</v>
      </c>
      <c r="J155" s="63">
        <f t="shared" si="18"/>
        <v>7.1441559184514503E-2</v>
      </c>
      <c r="K155" s="60" t="str">
        <f t="shared" si="19"/>
        <v/>
      </c>
      <c r="L155" s="60">
        <f t="shared" si="19"/>
        <v>9.084765100080508E-3</v>
      </c>
      <c r="M155" s="60">
        <f t="shared" si="19"/>
        <v>1.6847035668761019E-2</v>
      </c>
      <c r="N155" s="60">
        <f t="shared" si="19"/>
        <v>2.1269218776791575E-2</v>
      </c>
      <c r="O155" s="63">
        <f t="shared" si="19"/>
        <v>2.5527124184514506E-2</v>
      </c>
      <c r="P155" s="55" t="s">
        <v>21</v>
      </c>
      <c r="Q155" s="53" t="s">
        <v>21</v>
      </c>
      <c r="R155" s="94" t="s">
        <v>21</v>
      </c>
      <c r="S155" s="71">
        <v>0</v>
      </c>
      <c r="T155" s="63">
        <f t="shared" si="20"/>
        <v>6.031493626876102E-2</v>
      </c>
      <c r="V155" s="114">
        <v>1.13481626</v>
      </c>
      <c r="W155" s="72">
        <v>2.8593452699999999</v>
      </c>
      <c r="X155" s="72">
        <v>4.3204034600000005</v>
      </c>
      <c r="Y155" s="72">
        <v>5.49957092</v>
      </c>
      <c r="Z155" s="115">
        <v>6.8383557799999997</v>
      </c>
      <c r="AB155" s="71">
        <v>4.2993723979465492E-2</v>
      </c>
      <c r="AC155" s="71">
        <v>5.2263662900080513E-2</v>
      </c>
      <c r="AD155" s="71">
        <v>6.031493626876102E-2</v>
      </c>
      <c r="AE155" s="71">
        <v>6.5632661976791573E-2</v>
      </c>
      <c r="AF155" s="63">
        <v>7.1441559184514503E-2</v>
      </c>
      <c r="AG155" s="71" t="s">
        <v>21</v>
      </c>
      <c r="AH155" s="71">
        <v>9.084765100080508E-3</v>
      </c>
      <c r="AI155" s="71">
        <v>1.6847035668761019E-2</v>
      </c>
      <c r="AJ155" s="71">
        <v>2.1269218776791575E-2</v>
      </c>
      <c r="AK155" s="63">
        <v>2.5527124184514506E-2</v>
      </c>
    </row>
    <row r="156" spans="2:37" x14ac:dyDescent="0.35">
      <c r="B156" s="55" t="s">
        <v>321</v>
      </c>
      <c r="C156" s="53" t="s">
        <v>234</v>
      </c>
      <c r="D156" s="53" t="s">
        <v>97</v>
      </c>
      <c r="E156" s="53" t="s">
        <v>21</v>
      </c>
      <c r="F156" s="73">
        <f t="shared" si="18"/>
        <v>4.3536569963962227E-2</v>
      </c>
      <c r="G156" s="60">
        <f t="shared" si="18"/>
        <v>5.2159132554527574E-2</v>
      </c>
      <c r="H156" s="60">
        <f t="shared" si="18"/>
        <v>6.0089547952877909E-2</v>
      </c>
      <c r="I156" s="60">
        <f t="shared" si="18"/>
        <v>6.4983039427998421E-2</v>
      </c>
      <c r="J156" s="63">
        <f t="shared" si="18"/>
        <v>7.0696894008978509E-2</v>
      </c>
      <c r="K156" s="60">
        <f t="shared" si="19"/>
        <v>1.7682066396223529E-4</v>
      </c>
      <c r="L156" s="60">
        <f t="shared" si="19"/>
        <v>8.9870410545275763E-3</v>
      </c>
      <c r="M156" s="60">
        <f t="shared" si="19"/>
        <v>1.6637529352877916E-2</v>
      </c>
      <c r="N156" s="60">
        <f t="shared" si="19"/>
        <v>2.0665959227998427E-2</v>
      </c>
      <c r="O156" s="63">
        <f t="shared" si="19"/>
        <v>2.4832354908978505E-2</v>
      </c>
      <c r="P156" s="55" t="s">
        <v>21</v>
      </c>
      <c r="Q156" s="53" t="s">
        <v>21</v>
      </c>
      <c r="R156" s="94" t="s">
        <v>21</v>
      </c>
      <c r="S156" s="71">
        <v>0</v>
      </c>
      <c r="T156" s="63">
        <f t="shared" si="20"/>
        <v>6.0089547952877909E-2</v>
      </c>
      <c r="V156" s="114">
        <v>1.1337777099999999</v>
      </c>
      <c r="W156" s="72">
        <v>2.8572559200000001</v>
      </c>
      <c r="X156" s="72">
        <v>4.32105008</v>
      </c>
      <c r="Y156" s="72">
        <v>5.5090530600000003</v>
      </c>
      <c r="Z156" s="115">
        <v>6.8655834600000007</v>
      </c>
      <c r="AB156" s="71">
        <v>4.3536569963962227E-2</v>
      </c>
      <c r="AC156" s="71">
        <v>5.2159132554527574E-2</v>
      </c>
      <c r="AD156" s="71">
        <v>6.0089547952877909E-2</v>
      </c>
      <c r="AE156" s="71">
        <v>6.4983039427998421E-2</v>
      </c>
      <c r="AF156" s="63">
        <v>7.0696894008978509E-2</v>
      </c>
      <c r="AG156" s="71">
        <v>1.7682066396223529E-4</v>
      </c>
      <c r="AH156" s="71">
        <v>8.9870410545275763E-3</v>
      </c>
      <c r="AI156" s="71">
        <v>1.6637529352877916E-2</v>
      </c>
      <c r="AJ156" s="71">
        <v>2.0665959227998427E-2</v>
      </c>
      <c r="AK156" s="63">
        <v>2.4832354908978505E-2</v>
      </c>
    </row>
    <row r="157" spans="2:37" x14ac:dyDescent="0.35">
      <c r="B157" s="55" t="s">
        <v>115</v>
      </c>
      <c r="C157" s="53" t="s">
        <v>234</v>
      </c>
      <c r="D157" s="53" t="s">
        <v>31</v>
      </c>
      <c r="E157" s="53" t="s">
        <v>36</v>
      </c>
      <c r="F157" s="73">
        <f t="shared" si="18"/>
        <v>4.3538502398574104E-2</v>
      </c>
      <c r="G157" s="60">
        <f t="shared" si="18"/>
        <v>5.1683237637270563E-2</v>
      </c>
      <c r="H157" s="60">
        <f t="shared" si="18"/>
        <v>5.9816218826643439E-2</v>
      </c>
      <c r="I157" s="60">
        <f t="shared" si="18"/>
        <v>6.4712392700482194E-2</v>
      </c>
      <c r="J157" s="63">
        <f t="shared" si="18"/>
        <v>6.9824428714533635E-2</v>
      </c>
      <c r="K157" s="60">
        <f t="shared" si="19"/>
        <v>1.8073609857410973E-4</v>
      </c>
      <c r="L157" s="60">
        <f t="shared" si="19"/>
        <v>8.5390617372705681E-3</v>
      </c>
      <c r="M157" s="60">
        <f t="shared" si="19"/>
        <v>1.6380930026643446E-2</v>
      </c>
      <c r="N157" s="60">
        <f t="shared" si="19"/>
        <v>2.0411055300482185E-2</v>
      </c>
      <c r="O157" s="63">
        <f t="shared" si="19"/>
        <v>2.4016968914533643E-2</v>
      </c>
      <c r="P157" s="55" t="s">
        <v>478</v>
      </c>
      <c r="Q157" s="53" t="s">
        <v>479</v>
      </c>
      <c r="R157" s="94">
        <v>47492</v>
      </c>
      <c r="S157" s="71">
        <v>5.2489590000000003E-2</v>
      </c>
      <c r="T157" s="63">
        <f t="shared" si="20"/>
        <v>7.326628826643436E-3</v>
      </c>
      <c r="V157" s="114">
        <v>1.13376191</v>
      </c>
      <c r="W157" s="72">
        <v>2.8603256699999999</v>
      </c>
      <c r="X157" s="72">
        <v>4.3270334400000001</v>
      </c>
      <c r="Y157" s="72">
        <v>5.5172395300000003</v>
      </c>
      <c r="Z157" s="115">
        <v>6.8885579099999994</v>
      </c>
      <c r="AB157" s="71">
        <v>4.3538502398574104E-2</v>
      </c>
      <c r="AC157" s="71">
        <v>5.1683237637270563E-2</v>
      </c>
      <c r="AD157" s="71">
        <v>5.9816218826643439E-2</v>
      </c>
      <c r="AE157" s="71">
        <v>6.4712392700482194E-2</v>
      </c>
      <c r="AF157" s="63">
        <v>6.9824428714533635E-2</v>
      </c>
      <c r="AG157" s="71">
        <v>1.8073609857410973E-4</v>
      </c>
      <c r="AH157" s="71">
        <v>8.5390617372705681E-3</v>
      </c>
      <c r="AI157" s="71">
        <v>1.6380930026643446E-2</v>
      </c>
      <c r="AJ157" s="71">
        <v>2.0411055300482185E-2</v>
      </c>
      <c r="AK157" s="63">
        <v>2.4016968914533643E-2</v>
      </c>
    </row>
    <row r="158" spans="2:37" x14ac:dyDescent="0.35">
      <c r="B158" s="55" t="s">
        <v>328</v>
      </c>
      <c r="C158" s="53" t="s">
        <v>234</v>
      </c>
      <c r="D158" s="53" t="s">
        <v>257</v>
      </c>
      <c r="E158" s="53" t="s">
        <v>480</v>
      </c>
      <c r="F158" s="73">
        <f t="shared" si="18"/>
        <v>4.4491750710368282E-2</v>
      </c>
      <c r="G158" s="60">
        <f t="shared" si="18"/>
        <v>5.250449213738121E-2</v>
      </c>
      <c r="H158" s="60">
        <f t="shared" si="18"/>
        <v>5.9390509368838038E-2</v>
      </c>
      <c r="I158" s="60">
        <f t="shared" si="18"/>
        <v>6.2797423404206992E-2</v>
      </c>
      <c r="J158" s="63">
        <f t="shared" si="18"/>
        <v>6.6532795688109339E-2</v>
      </c>
      <c r="K158" s="60">
        <f t="shared" si="19"/>
        <v>1.0831264103682795E-3</v>
      </c>
      <c r="L158" s="60">
        <f t="shared" si="19"/>
        <v>9.3112922373812176E-3</v>
      </c>
      <c r="M158" s="60">
        <f t="shared" si="19"/>
        <v>1.5981591168838034E-2</v>
      </c>
      <c r="N158" s="60">
        <f t="shared" si="19"/>
        <v>1.8624334104207007E-2</v>
      </c>
      <c r="O158" s="63">
        <f t="shared" si="19"/>
        <v>2.0933313788109337E-2</v>
      </c>
      <c r="P158" s="55" t="s">
        <v>21</v>
      </c>
      <c r="Q158" s="53" t="s">
        <v>21</v>
      </c>
      <c r="R158" s="94" t="s">
        <v>21</v>
      </c>
      <c r="S158" s="71">
        <v>0</v>
      </c>
      <c r="T158" s="63">
        <f t="shared" si="20"/>
        <v>5.9390509368838038E-2</v>
      </c>
      <c r="V158" s="114">
        <v>1.13198518</v>
      </c>
      <c r="W158" s="72">
        <v>2.8520357299999999</v>
      </c>
      <c r="X158" s="72">
        <v>4.3221281899999999</v>
      </c>
      <c r="Y158" s="72">
        <v>5.5393112699999998</v>
      </c>
      <c r="Z158" s="115">
        <v>6.9894084800000007</v>
      </c>
      <c r="AB158" s="71">
        <v>4.4491750710368282E-2</v>
      </c>
      <c r="AC158" s="71">
        <v>5.250449213738121E-2</v>
      </c>
      <c r="AD158" s="71">
        <v>5.9390509368838038E-2</v>
      </c>
      <c r="AE158" s="71">
        <v>6.2797423404206992E-2</v>
      </c>
      <c r="AF158" s="63">
        <v>6.6532795688109339E-2</v>
      </c>
      <c r="AG158" s="71">
        <v>1.0831264103682795E-3</v>
      </c>
      <c r="AH158" s="71">
        <v>9.3112922373812176E-3</v>
      </c>
      <c r="AI158" s="71">
        <v>1.5981591168838034E-2</v>
      </c>
      <c r="AJ158" s="71">
        <v>1.8624334104207007E-2</v>
      </c>
      <c r="AK158" s="63">
        <v>2.0933313788109337E-2</v>
      </c>
    </row>
    <row r="159" spans="2:37" x14ac:dyDescent="0.35">
      <c r="B159" s="55" t="s">
        <v>134</v>
      </c>
      <c r="C159" s="53" t="s">
        <v>234</v>
      </c>
      <c r="D159" s="53" t="s">
        <v>43</v>
      </c>
      <c r="E159" s="53" t="s">
        <v>21</v>
      </c>
      <c r="F159" s="73">
        <f t="shared" si="18"/>
        <v>4.3272338366867544E-2</v>
      </c>
      <c r="G159" s="60">
        <f t="shared" si="18"/>
        <v>5.1576888894765617E-2</v>
      </c>
      <c r="H159" s="60">
        <f t="shared" si="18"/>
        <v>5.9216773290308999E-2</v>
      </c>
      <c r="I159" s="60">
        <f t="shared" si="18"/>
        <v>6.3922671332032582E-2</v>
      </c>
      <c r="J159" s="63">
        <f t="shared" si="18"/>
        <v>6.926983604854936E-2</v>
      </c>
      <c r="K159" s="60" t="str">
        <f t="shared" si="19"/>
        <v/>
      </c>
      <c r="L159" s="60">
        <f t="shared" si="19"/>
        <v>8.4422323947656117E-3</v>
      </c>
      <c r="M159" s="60">
        <f t="shared" si="19"/>
        <v>1.5823711990308995E-2</v>
      </c>
      <c r="N159" s="60">
        <f t="shared" si="19"/>
        <v>1.9678414632032581E-2</v>
      </c>
      <c r="O159" s="63">
        <f t="shared" si="19"/>
        <v>2.3500490348549369E-2</v>
      </c>
      <c r="P159" s="55" t="s">
        <v>481</v>
      </c>
      <c r="Q159" s="53" t="s">
        <v>482</v>
      </c>
      <c r="R159" s="94" t="s">
        <v>32</v>
      </c>
      <c r="S159" s="71">
        <v>5.5592200000000001E-2</v>
      </c>
      <c r="T159" s="63">
        <f t="shared" si="20"/>
        <v>3.6245732903089981E-3</v>
      </c>
      <c r="V159" s="114">
        <v>1.13422106</v>
      </c>
      <c r="W159" s="72">
        <v>2.8620106199999999</v>
      </c>
      <c r="X159" s="72">
        <v>4.3346712400000005</v>
      </c>
      <c r="Y159" s="72">
        <v>5.5358105799999997</v>
      </c>
      <c r="Z159" s="115">
        <v>6.9201164899999998</v>
      </c>
      <c r="AB159" s="71">
        <v>4.3272338366867544E-2</v>
      </c>
      <c r="AC159" s="71">
        <v>5.1576888894765617E-2</v>
      </c>
      <c r="AD159" s="71">
        <v>5.9216773290308999E-2</v>
      </c>
      <c r="AE159" s="71">
        <v>6.3922671332032582E-2</v>
      </c>
      <c r="AF159" s="63">
        <v>6.926983604854936E-2</v>
      </c>
      <c r="AG159" s="71" t="s">
        <v>21</v>
      </c>
      <c r="AH159" s="71">
        <v>8.4422323947656117E-3</v>
      </c>
      <c r="AI159" s="71">
        <v>1.5823711990308995E-2</v>
      </c>
      <c r="AJ159" s="71">
        <v>1.9678414632032581E-2</v>
      </c>
      <c r="AK159" s="63">
        <v>2.3500490348549369E-2</v>
      </c>
    </row>
    <row r="160" spans="2:37" x14ac:dyDescent="0.35">
      <c r="B160" s="55" t="s">
        <v>132</v>
      </c>
      <c r="C160" s="53" t="s">
        <v>234</v>
      </c>
      <c r="D160" s="53" t="s">
        <v>20</v>
      </c>
      <c r="E160" s="53" t="s">
        <v>21</v>
      </c>
      <c r="F160" s="73">
        <f t="shared" si="18"/>
        <v>4.3466321039482066E-2</v>
      </c>
      <c r="G160" s="60">
        <f t="shared" si="18"/>
        <v>5.2463056942897553E-2</v>
      </c>
      <c r="H160" s="60">
        <f t="shared" si="18"/>
        <v>5.9570167683163019E-2</v>
      </c>
      <c r="I160" s="60">
        <f t="shared" si="18"/>
        <v>6.2532523735877726E-2</v>
      </c>
      <c r="J160" s="63">
        <f t="shared" si="18"/>
        <v>6.6337065593338823E-2</v>
      </c>
      <c r="K160" s="60">
        <f t="shared" si="19"/>
        <v>1.0269103948206716E-4</v>
      </c>
      <c r="L160" s="60">
        <f t="shared" si="19"/>
        <v>9.2697432428975567E-3</v>
      </c>
      <c r="M160" s="60">
        <f t="shared" si="19"/>
        <v>1.614775308316304E-2</v>
      </c>
      <c r="N160" s="60">
        <f t="shared" si="19"/>
        <v>1.8378428035877713E-2</v>
      </c>
      <c r="O160" s="63">
        <f t="shared" si="19"/>
        <v>2.0750178393338835E-2</v>
      </c>
      <c r="P160" s="55" t="s">
        <v>483</v>
      </c>
      <c r="Q160" s="53" t="s">
        <v>484</v>
      </c>
      <c r="R160" s="94">
        <v>47567</v>
      </c>
      <c r="S160" s="71">
        <v>5.4921970000000001E-2</v>
      </c>
      <c r="T160" s="63">
        <f t="shared" si="20"/>
        <v>4.648197683163019E-3</v>
      </c>
      <c r="V160" s="114">
        <v>1.1339950700000001</v>
      </c>
      <c r="W160" s="72">
        <v>2.8563053200000001</v>
      </c>
      <c r="X160" s="72">
        <v>4.3240433700000001</v>
      </c>
      <c r="Y160" s="72">
        <v>5.5386772899999999</v>
      </c>
      <c r="Z160" s="115">
        <v>6.9929437299999995</v>
      </c>
      <c r="AB160" s="71">
        <v>4.3466321039482066E-2</v>
      </c>
      <c r="AC160" s="71">
        <v>5.2463056942897553E-2</v>
      </c>
      <c r="AD160" s="71">
        <v>5.9570167683163019E-2</v>
      </c>
      <c r="AE160" s="71">
        <v>6.2532523735877726E-2</v>
      </c>
      <c r="AF160" s="63">
        <v>6.6337065593338823E-2</v>
      </c>
      <c r="AG160" s="71">
        <v>1.0269103948206716E-4</v>
      </c>
      <c r="AH160" s="71">
        <v>9.2697432428975567E-3</v>
      </c>
      <c r="AI160" s="71">
        <v>1.614775308316304E-2</v>
      </c>
      <c r="AJ160" s="71">
        <v>1.8378428035877713E-2</v>
      </c>
      <c r="AK160" s="63">
        <v>2.0750178393338835E-2</v>
      </c>
    </row>
    <row r="161" spans="2:37" x14ac:dyDescent="0.35">
      <c r="B161" s="55" t="s">
        <v>335</v>
      </c>
      <c r="C161" s="53" t="s">
        <v>234</v>
      </c>
      <c r="D161" s="53" t="s">
        <v>20</v>
      </c>
      <c r="E161" s="53" t="s">
        <v>133</v>
      </c>
      <c r="F161" s="73">
        <f t="shared" si="18"/>
        <v>4.3792674894113301E-2</v>
      </c>
      <c r="G161" s="60">
        <f t="shared" si="18"/>
        <v>5.2101154691235045E-2</v>
      </c>
      <c r="H161" s="60">
        <f t="shared" si="18"/>
        <v>5.9502273580556243E-2</v>
      </c>
      <c r="I161" s="60">
        <f t="shared" si="18"/>
        <v>6.2792060354642923E-2</v>
      </c>
      <c r="J161" s="63">
        <f t="shared" si="18"/>
        <v>6.6228808693372526E-2</v>
      </c>
      <c r="K161" s="60">
        <f t="shared" si="19"/>
        <v>4.2636589411330309E-4</v>
      </c>
      <c r="L161" s="60">
        <f t="shared" si="19"/>
        <v>8.9349331912350512E-3</v>
      </c>
      <c r="M161" s="60">
        <f t="shared" si="19"/>
        <v>1.6089185280556247E-2</v>
      </c>
      <c r="N161" s="60">
        <f t="shared" si="19"/>
        <v>1.8623935554642923E-2</v>
      </c>
      <c r="O161" s="63">
        <f t="shared" si="19"/>
        <v>2.0655525293372522E-2</v>
      </c>
      <c r="P161" s="55" t="s">
        <v>21</v>
      </c>
      <c r="Q161" s="53" t="s">
        <v>21</v>
      </c>
      <c r="R161" s="94" t="s">
        <v>21</v>
      </c>
      <c r="S161" s="71">
        <v>0</v>
      </c>
      <c r="T161" s="63">
        <f t="shared" si="20"/>
        <v>5.9502273580556243E-2</v>
      </c>
      <c r="V161" s="114">
        <v>1.1332734900000001</v>
      </c>
      <c r="W161" s="72">
        <v>2.85783436</v>
      </c>
      <c r="X161" s="72">
        <v>4.32794217</v>
      </c>
      <c r="Y161" s="72">
        <v>5.5421735399999994</v>
      </c>
      <c r="Z161" s="115">
        <v>6.9958292100000001</v>
      </c>
      <c r="AB161" s="71">
        <v>4.3792674894113301E-2</v>
      </c>
      <c r="AC161" s="71">
        <v>5.2101154691235045E-2</v>
      </c>
      <c r="AD161" s="71">
        <v>5.9502273580556243E-2</v>
      </c>
      <c r="AE161" s="71">
        <v>6.2792060354642923E-2</v>
      </c>
      <c r="AF161" s="63">
        <v>6.6228808693372526E-2</v>
      </c>
      <c r="AG161" s="71">
        <v>4.2636589411330309E-4</v>
      </c>
      <c r="AH161" s="71">
        <v>8.9349331912350512E-3</v>
      </c>
      <c r="AI161" s="71">
        <v>1.6089185280556247E-2</v>
      </c>
      <c r="AJ161" s="71">
        <v>1.8623935554642923E-2</v>
      </c>
      <c r="AK161" s="63">
        <v>2.0655525293372522E-2</v>
      </c>
    </row>
    <row r="162" spans="2:37" x14ac:dyDescent="0.35">
      <c r="B162" s="55" t="s">
        <v>126</v>
      </c>
      <c r="C162" s="53" t="s">
        <v>234</v>
      </c>
      <c r="D162" s="53" t="s">
        <v>69</v>
      </c>
      <c r="E162" s="53" t="s">
        <v>135</v>
      </c>
      <c r="F162" s="73">
        <f t="shared" si="18"/>
        <v>4.2544569307928305E-2</v>
      </c>
      <c r="G162" s="60">
        <f t="shared" si="18"/>
        <v>5.1455477938827716E-2</v>
      </c>
      <c r="H162" s="60">
        <f t="shared" si="18"/>
        <v>5.8924048416673369E-2</v>
      </c>
      <c r="I162" s="60">
        <f t="shared" si="18"/>
        <v>6.3593949266613742E-2</v>
      </c>
      <c r="J162" s="63">
        <f t="shared" si="18"/>
        <v>6.908072125941557E-2</v>
      </c>
      <c r="K162" s="60" t="str">
        <f t="shared" si="19"/>
        <v/>
      </c>
      <c r="L162" s="60">
        <f t="shared" si="19"/>
        <v>8.3247074388277213E-3</v>
      </c>
      <c r="M162" s="60">
        <f t="shared" si="19"/>
        <v>1.554999981667337E-2</v>
      </c>
      <c r="N162" s="60">
        <f t="shared" si="19"/>
        <v>1.9374869966613743E-2</v>
      </c>
      <c r="O162" s="63">
        <f t="shared" si="19"/>
        <v>2.3329373659415582E-2</v>
      </c>
      <c r="P162" s="55" t="s">
        <v>485</v>
      </c>
      <c r="Q162" s="53" t="s">
        <v>486</v>
      </c>
      <c r="R162" s="94">
        <v>47484</v>
      </c>
      <c r="S162" s="71">
        <v>5.4053829999999997E-2</v>
      </c>
      <c r="T162" s="63">
        <f t="shared" si="20"/>
        <v>4.870218416673372E-3</v>
      </c>
      <c r="V162" s="114">
        <v>1.1356446900000001</v>
      </c>
      <c r="W162" s="72">
        <v>2.8672132100000001</v>
      </c>
      <c r="X162" s="72">
        <v>4.3429136399999999</v>
      </c>
      <c r="Y162" s="72">
        <v>5.5491206100000001</v>
      </c>
      <c r="Z162" s="115">
        <v>6.9396741500000001</v>
      </c>
      <c r="AB162" s="71">
        <v>4.2544569307928305E-2</v>
      </c>
      <c r="AC162" s="71">
        <v>5.1455477938827716E-2</v>
      </c>
      <c r="AD162" s="71">
        <v>5.8924048416673369E-2</v>
      </c>
      <c r="AE162" s="71">
        <v>6.3593949266613742E-2</v>
      </c>
      <c r="AF162" s="63">
        <v>6.908072125941557E-2</v>
      </c>
      <c r="AG162" s="71" t="s">
        <v>21</v>
      </c>
      <c r="AH162" s="71">
        <v>8.3247074388277213E-3</v>
      </c>
      <c r="AI162" s="71">
        <v>1.554999981667337E-2</v>
      </c>
      <c r="AJ162" s="71">
        <v>1.9374869966613743E-2</v>
      </c>
      <c r="AK162" s="63">
        <v>2.3329373659415582E-2</v>
      </c>
    </row>
    <row r="163" spans="2:37" x14ac:dyDescent="0.35">
      <c r="B163" s="55" t="s">
        <v>127</v>
      </c>
      <c r="C163" s="53" t="s">
        <v>234</v>
      </c>
      <c r="D163" s="53" t="s">
        <v>62</v>
      </c>
      <c r="E163" s="53" t="s">
        <v>487</v>
      </c>
      <c r="F163" s="73">
        <f t="shared" si="18"/>
        <v>4.3350853565688879E-2</v>
      </c>
      <c r="G163" s="60">
        <f t="shared" si="18"/>
        <v>5.1362995411669714E-2</v>
      </c>
      <c r="H163" s="60">
        <f t="shared" si="18"/>
        <v>5.8691309009563493E-2</v>
      </c>
      <c r="I163" s="60">
        <f t="shared" si="18"/>
        <v>6.3044940911136632E-2</v>
      </c>
      <c r="J163" s="63">
        <f t="shared" si="18"/>
        <v>6.7895844772100616E-2</v>
      </c>
      <c r="K163" s="60">
        <f t="shared" si="19"/>
        <v>6.9850656888789664E-6</v>
      </c>
      <c r="L163" s="60">
        <f t="shared" si="19"/>
        <v>8.2396206116697075E-3</v>
      </c>
      <c r="M163" s="60">
        <f t="shared" si="19"/>
        <v>1.5333934509563489E-2</v>
      </c>
      <c r="N163" s="60">
        <f t="shared" si="19"/>
        <v>1.8863652811136639E-2</v>
      </c>
      <c r="O163" s="63">
        <f t="shared" si="19"/>
        <v>2.2222347172100615E-2</v>
      </c>
      <c r="P163" s="55" t="s">
        <v>488</v>
      </c>
      <c r="Q163" s="53" t="s">
        <v>489</v>
      </c>
      <c r="R163" s="94">
        <v>47635</v>
      </c>
      <c r="S163" s="71">
        <v>5.3819369999999998E-2</v>
      </c>
      <c r="T163" s="63">
        <f t="shared" si="20"/>
        <v>4.8719390095634946E-3</v>
      </c>
      <c r="V163" s="114">
        <v>1.1340885599999999</v>
      </c>
      <c r="W163" s="72">
        <v>2.8643679</v>
      </c>
      <c r="X163" s="72">
        <v>4.34291669</v>
      </c>
      <c r="Y163" s="72">
        <v>5.5568531800000001</v>
      </c>
      <c r="Z163" s="115">
        <v>6.9742173300000001</v>
      </c>
      <c r="AB163" s="71">
        <v>4.3350853565688879E-2</v>
      </c>
      <c r="AC163" s="71">
        <v>5.1362995411669714E-2</v>
      </c>
      <c r="AD163" s="71">
        <v>5.8691309009563493E-2</v>
      </c>
      <c r="AE163" s="71">
        <v>6.3044940911136632E-2</v>
      </c>
      <c r="AF163" s="63">
        <v>6.7895844772100616E-2</v>
      </c>
      <c r="AG163" s="71">
        <v>6.9850656888789664E-6</v>
      </c>
      <c r="AH163" s="71">
        <v>8.2396206116697075E-3</v>
      </c>
      <c r="AI163" s="71">
        <v>1.5333934509563489E-2</v>
      </c>
      <c r="AJ163" s="71">
        <v>1.8863652811136639E-2</v>
      </c>
      <c r="AK163" s="63">
        <v>2.2222347172100615E-2</v>
      </c>
    </row>
    <row r="164" spans="2:37" x14ac:dyDescent="0.35">
      <c r="B164" s="55" t="s">
        <v>330</v>
      </c>
      <c r="C164" s="53" t="s">
        <v>234</v>
      </c>
      <c r="D164" s="53" t="s">
        <v>31</v>
      </c>
      <c r="E164" s="53" t="s">
        <v>21</v>
      </c>
      <c r="F164" s="73">
        <f t="shared" si="18"/>
        <v>4.3324174667250012E-2</v>
      </c>
      <c r="G164" s="60">
        <f t="shared" si="18"/>
        <v>5.1818614614592515E-2</v>
      </c>
      <c r="H164" s="60">
        <f t="shared" si="18"/>
        <v>5.8410675490913652E-2</v>
      </c>
      <c r="I164" s="60">
        <f t="shared" si="18"/>
        <v>6.2267886888403054E-2</v>
      </c>
      <c r="J164" s="63">
        <f t="shared" si="18"/>
        <v>6.6438977392776086E-2</v>
      </c>
      <c r="K164" s="60" t="str">
        <f t="shared" si="19"/>
        <v/>
      </c>
      <c r="L164" s="60">
        <f t="shared" si="19"/>
        <v>8.663905314592513E-3</v>
      </c>
      <c r="M164" s="60">
        <f t="shared" si="19"/>
        <v>1.5065062590913647E-2</v>
      </c>
      <c r="N164" s="60">
        <f t="shared" si="19"/>
        <v>1.8130159988403057E-2</v>
      </c>
      <c r="O164" s="63">
        <f t="shared" si="19"/>
        <v>2.0848149292776081E-2</v>
      </c>
      <c r="P164" s="55" t="s">
        <v>21</v>
      </c>
      <c r="Q164" s="53" t="s">
        <v>21</v>
      </c>
      <c r="R164" s="94" t="s">
        <v>21</v>
      </c>
      <c r="S164" s="71">
        <v>0</v>
      </c>
      <c r="T164" s="63">
        <f t="shared" si="20"/>
        <v>5.8410675490913652E-2</v>
      </c>
      <c r="V164" s="114">
        <v>1.1342024399999999</v>
      </c>
      <c r="W164" s="72">
        <v>2.85996893</v>
      </c>
      <c r="X164" s="72">
        <v>4.3404659199999998</v>
      </c>
      <c r="Y164" s="72">
        <v>5.5649963900000001</v>
      </c>
      <c r="Z164" s="115">
        <v>7.0149651899999999</v>
      </c>
      <c r="AB164" s="71">
        <v>4.3324174667250012E-2</v>
      </c>
      <c r="AC164" s="71">
        <v>5.1818614614592515E-2</v>
      </c>
      <c r="AD164" s="71">
        <v>5.8410675490913652E-2</v>
      </c>
      <c r="AE164" s="71">
        <v>6.2267886888403054E-2</v>
      </c>
      <c r="AF164" s="63">
        <v>6.6438977392776086E-2</v>
      </c>
      <c r="AG164" s="71" t="s">
        <v>21</v>
      </c>
      <c r="AH164" s="71">
        <v>8.663905314592513E-3</v>
      </c>
      <c r="AI164" s="71">
        <v>1.5065062590913647E-2</v>
      </c>
      <c r="AJ164" s="71">
        <v>1.8130159988403057E-2</v>
      </c>
      <c r="AK164" s="63">
        <v>2.0848149292776081E-2</v>
      </c>
    </row>
    <row r="165" spans="2:37" x14ac:dyDescent="0.35">
      <c r="B165" s="55" t="s">
        <v>332</v>
      </c>
      <c r="C165" s="53" t="s">
        <v>234</v>
      </c>
      <c r="D165" s="53" t="s">
        <v>97</v>
      </c>
      <c r="E165" s="53" t="s">
        <v>21</v>
      </c>
      <c r="F165" s="73">
        <f t="shared" si="18"/>
        <v>4.40783200698718E-2</v>
      </c>
      <c r="G165" s="60">
        <f t="shared" si="18"/>
        <v>5.1392174938698909E-2</v>
      </c>
      <c r="H165" s="60">
        <f t="shared" si="18"/>
        <v>5.8339140303763477E-2</v>
      </c>
      <c r="I165" s="60">
        <f t="shared" si="18"/>
        <v>6.1827247388450329E-2</v>
      </c>
      <c r="J165" s="63">
        <f t="shared" si="18"/>
        <v>6.4924551841105585E-2</v>
      </c>
      <c r="K165" s="60">
        <f t="shared" si="19"/>
        <v>6.9035526987179779E-4</v>
      </c>
      <c r="L165" s="60">
        <f t="shared" si="19"/>
        <v>8.2629211386989129E-3</v>
      </c>
      <c r="M165" s="60">
        <f t="shared" si="19"/>
        <v>1.4999310403763478E-2</v>
      </c>
      <c r="N165" s="60">
        <f t="shared" si="19"/>
        <v>1.7719655288450327E-2</v>
      </c>
      <c r="O165" s="63">
        <f t="shared" si="19"/>
        <v>1.9429221141105582E-2</v>
      </c>
      <c r="P165" s="55" t="s">
        <v>380</v>
      </c>
      <c r="Q165" s="53" t="s">
        <v>381</v>
      </c>
      <c r="R165" s="94">
        <v>47497</v>
      </c>
      <c r="S165" s="71">
        <v>5.3321790000000001E-2</v>
      </c>
      <c r="T165" s="63">
        <f t="shared" si="20"/>
        <v>5.0173503037634765E-3</v>
      </c>
      <c r="V165" s="114">
        <v>1.13276413</v>
      </c>
      <c r="W165" s="72">
        <v>2.8612214699999998</v>
      </c>
      <c r="X165" s="72">
        <v>4.3432335899999996</v>
      </c>
      <c r="Y165" s="72">
        <v>5.5731552400000002</v>
      </c>
      <c r="Z165" s="115">
        <v>7.0566325999999995</v>
      </c>
      <c r="AB165" s="71">
        <v>4.40783200698718E-2</v>
      </c>
      <c r="AC165" s="71">
        <v>5.1392174938698909E-2</v>
      </c>
      <c r="AD165" s="71">
        <v>5.8339140303763477E-2</v>
      </c>
      <c r="AE165" s="71">
        <v>6.1827247388450329E-2</v>
      </c>
      <c r="AF165" s="63">
        <v>6.4924551841105585E-2</v>
      </c>
      <c r="AG165" s="71">
        <v>6.9035526987179779E-4</v>
      </c>
      <c r="AH165" s="71">
        <v>8.2629211386989129E-3</v>
      </c>
      <c r="AI165" s="71">
        <v>1.4999310403763478E-2</v>
      </c>
      <c r="AJ165" s="71">
        <v>1.7719655288450327E-2</v>
      </c>
      <c r="AK165" s="63">
        <v>1.9429221141105582E-2</v>
      </c>
    </row>
    <row r="166" spans="2:37" x14ac:dyDescent="0.35">
      <c r="B166" s="55" t="s">
        <v>121</v>
      </c>
      <c r="C166" s="53" t="s">
        <v>234</v>
      </c>
      <c r="D166" s="53" t="s">
        <v>69</v>
      </c>
      <c r="E166" s="53" t="s">
        <v>133</v>
      </c>
      <c r="F166" s="73">
        <f t="shared" si="18"/>
        <v>4.2803981800400882E-2</v>
      </c>
      <c r="G166" s="60">
        <f t="shared" si="18"/>
        <v>5.0751548785641969E-2</v>
      </c>
      <c r="H166" s="60">
        <f t="shared" si="18"/>
        <v>5.8224142640085616E-2</v>
      </c>
      <c r="I166" s="60">
        <f t="shared" si="18"/>
        <v>6.3664456610783668E-2</v>
      </c>
      <c r="J166" s="63">
        <f t="shared" si="18"/>
        <v>6.8051858117434791E-2</v>
      </c>
      <c r="K166" s="60" t="str">
        <f t="shared" si="19"/>
        <v/>
      </c>
      <c r="L166" s="60">
        <f t="shared" si="19"/>
        <v>7.6571524856419697E-3</v>
      </c>
      <c r="M166" s="60">
        <f t="shared" si="19"/>
        <v>1.4892995040085615E-2</v>
      </c>
      <c r="N166" s="60">
        <f t="shared" si="19"/>
        <v>1.9439574110783672E-2</v>
      </c>
      <c r="O166" s="63">
        <f t="shared" si="19"/>
        <v>2.2373159217434799E-2</v>
      </c>
      <c r="P166" s="55" t="s">
        <v>21</v>
      </c>
      <c r="Q166" s="53" t="s">
        <v>21</v>
      </c>
      <c r="R166" s="94" t="s">
        <v>21</v>
      </c>
      <c r="S166" s="71">
        <v>0</v>
      </c>
      <c r="T166" s="63">
        <f t="shared" si="20"/>
        <v>5.8224142640085616E-2</v>
      </c>
      <c r="V166" s="114">
        <v>1.1351903400000001</v>
      </c>
      <c r="W166" s="72">
        <v>2.8682548299999997</v>
      </c>
      <c r="X166" s="72">
        <v>4.3525406599999998</v>
      </c>
      <c r="Y166" s="72">
        <v>5.5587244499999997</v>
      </c>
      <c r="Z166" s="115">
        <v>6.96738195</v>
      </c>
      <c r="AB166" s="71">
        <v>4.2803981800400882E-2</v>
      </c>
      <c r="AC166" s="71">
        <v>5.0751548785641969E-2</v>
      </c>
      <c r="AD166" s="71">
        <v>5.8224142640085616E-2</v>
      </c>
      <c r="AE166" s="71">
        <v>6.3664456610783668E-2</v>
      </c>
      <c r="AF166" s="63">
        <v>6.8051858117434791E-2</v>
      </c>
      <c r="AG166" s="71" t="s">
        <v>21</v>
      </c>
      <c r="AH166" s="71">
        <v>7.6571524856419697E-3</v>
      </c>
      <c r="AI166" s="71">
        <v>1.4892995040085615E-2</v>
      </c>
      <c r="AJ166" s="71">
        <v>1.9439574110783672E-2</v>
      </c>
      <c r="AK166" s="63">
        <v>2.2373159217434799E-2</v>
      </c>
    </row>
    <row r="167" spans="2:37" x14ac:dyDescent="0.35">
      <c r="B167" s="55" t="s">
        <v>333</v>
      </c>
      <c r="C167" s="53" t="s">
        <v>234</v>
      </c>
      <c r="D167" s="53" t="s">
        <v>20</v>
      </c>
      <c r="E167" s="53" t="s">
        <v>238</v>
      </c>
      <c r="F167" s="73">
        <f t="shared" si="18"/>
        <v>4.3121735602792317E-2</v>
      </c>
      <c r="G167" s="60">
        <f t="shared" si="18"/>
        <v>5.1339410964688741E-2</v>
      </c>
      <c r="H167" s="60">
        <f t="shared" si="18"/>
        <v>5.8470005366131096E-2</v>
      </c>
      <c r="I167" s="60">
        <f t="shared" si="18"/>
        <v>6.23049773199583E-2</v>
      </c>
      <c r="J167" s="63">
        <f t="shared" si="18"/>
        <v>6.5707388536699371E-2</v>
      </c>
      <c r="K167" s="60" t="str">
        <f t="shared" si="19"/>
        <v/>
      </c>
      <c r="L167" s="60">
        <f t="shared" si="19"/>
        <v>8.2113153646887413E-3</v>
      </c>
      <c r="M167" s="60">
        <f t="shared" si="19"/>
        <v>1.5120735766131084E-2</v>
      </c>
      <c r="N167" s="60">
        <f t="shared" si="19"/>
        <v>1.8166564019958288E-2</v>
      </c>
      <c r="O167" s="63">
        <f t="shared" si="19"/>
        <v>2.0167777036699374E-2</v>
      </c>
      <c r="P167" s="55" t="s">
        <v>21</v>
      </c>
      <c r="Q167" s="53" t="s">
        <v>21</v>
      </c>
      <c r="R167" s="94" t="s">
        <v>21</v>
      </c>
      <c r="S167" s="71">
        <v>0</v>
      </c>
      <c r="T167" s="63">
        <f t="shared" si="20"/>
        <v>5.8470005366131096E-2</v>
      </c>
      <c r="V167" s="114">
        <v>1.13459668</v>
      </c>
      <c r="W167" s="72">
        <v>2.8641988899999999</v>
      </c>
      <c r="X167" s="72">
        <v>4.3447537199999999</v>
      </c>
      <c r="Y167" s="72">
        <v>5.5662547700000005</v>
      </c>
      <c r="Z167" s="115">
        <v>7.0289061500000001</v>
      </c>
      <c r="AB167" s="71">
        <v>4.3121735602792317E-2</v>
      </c>
      <c r="AC167" s="71">
        <v>5.1339410964688741E-2</v>
      </c>
      <c r="AD167" s="71">
        <v>5.8470005366131096E-2</v>
      </c>
      <c r="AE167" s="71">
        <v>6.23049773199583E-2</v>
      </c>
      <c r="AF167" s="63">
        <v>6.5707388536699371E-2</v>
      </c>
      <c r="AG167" s="71" t="s">
        <v>21</v>
      </c>
      <c r="AH167" s="71">
        <v>8.2113153646887413E-3</v>
      </c>
      <c r="AI167" s="71">
        <v>1.5120735766131084E-2</v>
      </c>
      <c r="AJ167" s="71">
        <v>1.8166564019958288E-2</v>
      </c>
      <c r="AK167" s="63">
        <v>2.0167777036699374E-2</v>
      </c>
    </row>
    <row r="168" spans="2:37" x14ac:dyDescent="0.35">
      <c r="B168" s="55" t="s">
        <v>329</v>
      </c>
      <c r="C168" s="53" t="s">
        <v>234</v>
      </c>
      <c r="D168" s="53" t="s">
        <v>43</v>
      </c>
      <c r="E168" s="53" t="s">
        <v>21</v>
      </c>
      <c r="F168" s="73">
        <f t="shared" si="18"/>
        <v>4.3129322186863842E-2</v>
      </c>
      <c r="G168" s="60">
        <f t="shared" si="18"/>
        <v>5.0966167900394252E-2</v>
      </c>
      <c r="H168" s="60">
        <f t="shared" si="18"/>
        <v>5.7653598328719045E-2</v>
      </c>
      <c r="I168" s="60">
        <f t="shared" si="18"/>
        <v>6.1815482928688117E-2</v>
      </c>
      <c r="J168" s="63">
        <f t="shared" si="18"/>
        <v>6.611581513576309E-2</v>
      </c>
      <c r="K168" s="60" t="str">
        <f t="shared" si="19"/>
        <v/>
      </c>
      <c r="L168" s="60">
        <f t="shared" si="19"/>
        <v>7.8599024003942562E-3</v>
      </c>
      <c r="M168" s="60">
        <f t="shared" si="19"/>
        <v>1.4357059028719039E-2</v>
      </c>
      <c r="N168" s="60">
        <f t="shared" si="19"/>
        <v>1.7711670728688123E-2</v>
      </c>
      <c r="O168" s="63">
        <f t="shared" si="19"/>
        <v>2.0552394835763085E-2</v>
      </c>
      <c r="P168" s="55" t="s">
        <v>21</v>
      </c>
      <c r="Q168" s="53" t="s">
        <v>21</v>
      </c>
      <c r="R168" s="94" t="s">
        <v>21</v>
      </c>
      <c r="S168" s="71">
        <v>0</v>
      </c>
      <c r="T168" s="63">
        <f t="shared" si="20"/>
        <v>5.7653598328719045E-2</v>
      </c>
      <c r="V168" s="114">
        <v>1.1345725900000001</v>
      </c>
      <c r="W168" s="72">
        <v>2.8658893500000002</v>
      </c>
      <c r="X168" s="72">
        <v>4.3554622399999996</v>
      </c>
      <c r="Y168" s="72">
        <v>5.5868829299999998</v>
      </c>
      <c r="Z168" s="115">
        <v>7.0441042899999999</v>
      </c>
      <c r="AB168" s="71">
        <v>4.3129322186863842E-2</v>
      </c>
      <c r="AC168" s="71">
        <v>5.0966167900394252E-2</v>
      </c>
      <c r="AD168" s="71">
        <v>5.7653598328719045E-2</v>
      </c>
      <c r="AE168" s="71">
        <v>6.1815482928688117E-2</v>
      </c>
      <c r="AF168" s="63">
        <v>6.611581513576309E-2</v>
      </c>
      <c r="AG168" s="71" t="s">
        <v>21</v>
      </c>
      <c r="AH168" s="71">
        <v>7.8599024003942562E-3</v>
      </c>
      <c r="AI168" s="71">
        <v>1.4357059028719039E-2</v>
      </c>
      <c r="AJ168" s="71">
        <v>1.7711670728688123E-2</v>
      </c>
      <c r="AK168" s="63">
        <v>2.0552394835763085E-2</v>
      </c>
    </row>
    <row r="169" spans="2:37" x14ac:dyDescent="0.35">
      <c r="B169" s="55" t="s">
        <v>242</v>
      </c>
      <c r="C169" s="53" t="s">
        <v>234</v>
      </c>
      <c r="D169" s="53" t="s">
        <v>20</v>
      </c>
      <c r="E169" s="53" t="s">
        <v>21</v>
      </c>
      <c r="F169" s="73">
        <f t="shared" si="18"/>
        <v>4.251152883703524E-2</v>
      </c>
      <c r="G169" s="60">
        <f t="shared" si="18"/>
        <v>5.0442680388832574E-2</v>
      </c>
      <c r="H169" s="60">
        <f t="shared" si="18"/>
        <v>5.7973506225966115E-2</v>
      </c>
      <c r="I169" s="60">
        <f t="shared" si="18"/>
        <v>6.1286310481462408E-2</v>
      </c>
      <c r="J169" s="63">
        <f t="shared" si="18"/>
        <v>6.5057053148146651E-2</v>
      </c>
      <c r="K169" s="60" t="str">
        <f t="shared" si="19"/>
        <v/>
      </c>
      <c r="L169" s="60">
        <f t="shared" si="19"/>
        <v>7.3661687888325784E-3</v>
      </c>
      <c r="M169" s="60">
        <f t="shared" si="19"/>
        <v>1.4657474425966103E-2</v>
      </c>
      <c r="N169" s="60">
        <f t="shared" si="19"/>
        <v>1.7216450181462409E-2</v>
      </c>
      <c r="O169" s="63">
        <f t="shared" si="19"/>
        <v>1.9558277248146641E-2</v>
      </c>
      <c r="P169" s="55" t="s">
        <v>21</v>
      </c>
      <c r="Q169" s="53" t="s">
        <v>21</v>
      </c>
      <c r="R169" s="94" t="s">
        <v>21</v>
      </c>
      <c r="S169" s="71">
        <v>0</v>
      </c>
      <c r="T169" s="63">
        <f t="shared" si="20"/>
        <v>5.7973506225966115E-2</v>
      </c>
      <c r="V169" s="114">
        <v>1.13573075</v>
      </c>
      <c r="W169" s="72">
        <v>2.8715843599999999</v>
      </c>
      <c r="X169" s="72">
        <v>4.3594592199999997</v>
      </c>
      <c r="Y169" s="72">
        <v>5.5938678899999994</v>
      </c>
      <c r="Z169" s="115">
        <v>7.0714054200000005</v>
      </c>
      <c r="AB169" s="71">
        <v>4.251152883703524E-2</v>
      </c>
      <c r="AC169" s="71">
        <v>5.0442680388832574E-2</v>
      </c>
      <c r="AD169" s="71">
        <v>5.7973506225966115E-2</v>
      </c>
      <c r="AE169" s="71">
        <v>6.1286310481462408E-2</v>
      </c>
      <c r="AF169" s="63">
        <v>6.5057053148146651E-2</v>
      </c>
      <c r="AG169" s="71" t="s">
        <v>21</v>
      </c>
      <c r="AH169" s="71">
        <v>7.3661687888325784E-3</v>
      </c>
      <c r="AI169" s="71">
        <v>1.4657474425966103E-2</v>
      </c>
      <c r="AJ169" s="71">
        <v>1.7216450181462409E-2</v>
      </c>
      <c r="AK169" s="63">
        <v>1.9558277248146641E-2</v>
      </c>
    </row>
    <row r="170" spans="2:37" x14ac:dyDescent="0.35">
      <c r="B170" s="55" t="s">
        <v>237</v>
      </c>
      <c r="C170" s="53" t="s">
        <v>234</v>
      </c>
      <c r="D170" s="53" t="s">
        <v>31</v>
      </c>
      <c r="E170" s="53" t="s">
        <v>143</v>
      </c>
      <c r="F170" s="73">
        <f t="shared" si="18"/>
        <v>4.2792829764603385E-2</v>
      </c>
      <c r="G170" s="60">
        <f t="shared" si="18"/>
        <v>5.106483864403176E-2</v>
      </c>
      <c r="H170" s="60">
        <f t="shared" si="18"/>
        <v>5.7473183075559812E-2</v>
      </c>
      <c r="I170" s="60">
        <f t="shared" si="18"/>
        <v>6.1886298281004559E-2</v>
      </c>
      <c r="J170" s="63">
        <f t="shared" si="18"/>
        <v>6.6755823108225254E-2</v>
      </c>
      <c r="K170" s="60" t="str">
        <f t="shared" si="19"/>
        <v/>
      </c>
      <c r="L170" s="60">
        <f t="shared" si="19"/>
        <v>7.9494203440317567E-3</v>
      </c>
      <c r="M170" s="60">
        <f t="shared" si="19"/>
        <v>1.4183990875559802E-2</v>
      </c>
      <c r="N170" s="60">
        <f t="shared" si="19"/>
        <v>1.7772340581004555E-2</v>
      </c>
      <c r="O170" s="63">
        <f t="shared" si="19"/>
        <v>2.1146178808225238E-2</v>
      </c>
      <c r="P170" s="55" t="s">
        <v>21</v>
      </c>
      <c r="Q170" s="53" t="s">
        <v>21</v>
      </c>
      <c r="R170" s="94" t="s">
        <v>21</v>
      </c>
      <c r="S170" s="71">
        <v>0</v>
      </c>
      <c r="T170" s="63">
        <f t="shared" si="20"/>
        <v>5.7473183075559812E-2</v>
      </c>
      <c r="V170" s="114">
        <v>1.1352531100000001</v>
      </c>
      <c r="W170" s="72">
        <v>2.8667864700000001</v>
      </c>
      <c r="X170" s="72">
        <v>4.3575574000000001</v>
      </c>
      <c r="Y170" s="72">
        <v>5.5875775900000004</v>
      </c>
      <c r="Z170" s="115">
        <v>7.0282589199999999</v>
      </c>
      <c r="AB170" s="71">
        <v>4.2792829764603385E-2</v>
      </c>
      <c r="AC170" s="71">
        <v>5.106483864403176E-2</v>
      </c>
      <c r="AD170" s="71">
        <v>5.7473183075559812E-2</v>
      </c>
      <c r="AE170" s="71">
        <v>6.1886298281004559E-2</v>
      </c>
      <c r="AF170" s="63">
        <v>6.6755823108225254E-2</v>
      </c>
      <c r="AG170" s="71" t="s">
        <v>21</v>
      </c>
      <c r="AH170" s="71">
        <v>7.9494203440317567E-3</v>
      </c>
      <c r="AI170" s="71">
        <v>1.4183990875559802E-2</v>
      </c>
      <c r="AJ170" s="71">
        <v>1.7772340581004555E-2</v>
      </c>
      <c r="AK170" s="63">
        <v>2.1146178808225238E-2</v>
      </c>
    </row>
    <row r="171" spans="2:37" x14ac:dyDescent="0.35">
      <c r="B171" s="55" t="s">
        <v>237</v>
      </c>
      <c r="C171" s="53" t="s">
        <v>234</v>
      </c>
      <c r="D171" s="53" t="s">
        <v>31</v>
      </c>
      <c r="E171" s="53" t="s">
        <v>21</v>
      </c>
      <c r="F171" s="73">
        <f t="shared" si="18"/>
        <v>4.2792829764603385E-2</v>
      </c>
      <c r="G171" s="60">
        <f t="shared" si="18"/>
        <v>5.106483864403176E-2</v>
      </c>
      <c r="H171" s="60">
        <f t="shared" si="18"/>
        <v>5.7473183075559812E-2</v>
      </c>
      <c r="I171" s="60">
        <f t="shared" si="18"/>
        <v>6.1886298281004559E-2</v>
      </c>
      <c r="J171" s="63">
        <f t="shared" si="18"/>
        <v>6.6755823108225254E-2</v>
      </c>
      <c r="K171" s="60" t="str">
        <f t="shared" si="19"/>
        <v/>
      </c>
      <c r="L171" s="60">
        <f t="shared" si="19"/>
        <v>7.9494203440317567E-3</v>
      </c>
      <c r="M171" s="60">
        <f t="shared" si="19"/>
        <v>1.4183990875559802E-2</v>
      </c>
      <c r="N171" s="60">
        <f t="shared" si="19"/>
        <v>1.7772340581004555E-2</v>
      </c>
      <c r="O171" s="63">
        <f t="shared" si="19"/>
        <v>2.1146178808225238E-2</v>
      </c>
      <c r="P171" s="55" t="s">
        <v>21</v>
      </c>
      <c r="Q171" s="53" t="s">
        <v>21</v>
      </c>
      <c r="R171" s="94" t="s">
        <v>21</v>
      </c>
      <c r="S171" s="71">
        <v>0</v>
      </c>
      <c r="T171" s="63">
        <f t="shared" si="20"/>
        <v>5.7473183075559812E-2</v>
      </c>
      <c r="V171" s="114">
        <v>1.1352531100000001</v>
      </c>
      <c r="W171" s="72">
        <v>2.8667864700000001</v>
      </c>
      <c r="X171" s="72">
        <v>4.3575574000000001</v>
      </c>
      <c r="Y171" s="72">
        <v>5.5875775900000004</v>
      </c>
      <c r="Z171" s="115">
        <v>7.0282589199999999</v>
      </c>
      <c r="AB171" s="71">
        <v>4.2792829764603385E-2</v>
      </c>
      <c r="AC171" s="71">
        <v>5.106483864403176E-2</v>
      </c>
      <c r="AD171" s="71">
        <v>5.7473183075559812E-2</v>
      </c>
      <c r="AE171" s="71">
        <v>6.1886298281004559E-2</v>
      </c>
      <c r="AF171" s="63">
        <v>6.6755823108225254E-2</v>
      </c>
      <c r="AG171" s="71" t="s">
        <v>21</v>
      </c>
      <c r="AH171" s="71">
        <v>7.9494203440317567E-3</v>
      </c>
      <c r="AI171" s="71">
        <v>1.4183990875559802E-2</v>
      </c>
      <c r="AJ171" s="71">
        <v>1.7772340581004555E-2</v>
      </c>
      <c r="AK171" s="63">
        <v>2.1146178808225238E-2</v>
      </c>
    </row>
    <row r="172" spans="2:37" x14ac:dyDescent="0.35">
      <c r="B172" s="55" t="s">
        <v>239</v>
      </c>
      <c r="C172" s="53" t="s">
        <v>234</v>
      </c>
      <c r="D172" s="53" t="s">
        <v>43</v>
      </c>
      <c r="E172" s="53" t="s">
        <v>110</v>
      </c>
      <c r="F172" s="73">
        <f t="shared" si="18"/>
        <v>4.2688017857158304E-2</v>
      </c>
      <c r="G172" s="60">
        <f t="shared" si="18"/>
        <v>5.0751063269483733E-2</v>
      </c>
      <c r="H172" s="60">
        <f t="shared" si="18"/>
        <v>5.7303098973903899E-2</v>
      </c>
      <c r="I172" s="60">
        <f t="shared" si="18"/>
        <v>6.1349190410229376E-2</v>
      </c>
      <c r="J172" s="63">
        <f t="shared" si="18"/>
        <v>6.5329590541692892E-2</v>
      </c>
      <c r="K172" s="60" t="str">
        <f t="shared" si="19"/>
        <v/>
      </c>
      <c r="L172" s="60">
        <f t="shared" si="19"/>
        <v>7.6559651694837342E-3</v>
      </c>
      <c r="M172" s="60">
        <f t="shared" si="19"/>
        <v>1.4026393173903881E-2</v>
      </c>
      <c r="N172" s="60">
        <f t="shared" si="19"/>
        <v>1.7272028510229367E-2</v>
      </c>
      <c r="O172" s="63">
        <f t="shared" si="19"/>
        <v>1.9811120241692886E-2</v>
      </c>
      <c r="P172" s="55" t="s">
        <v>21</v>
      </c>
      <c r="Q172" s="53" t="s">
        <v>21</v>
      </c>
      <c r="R172" s="94" t="s">
        <v>21</v>
      </c>
      <c r="S172" s="71">
        <v>0</v>
      </c>
      <c r="T172" s="63">
        <f t="shared" si="20"/>
        <v>5.7303098973903899E-2</v>
      </c>
      <c r="V172" s="114">
        <v>1.1354159500000001</v>
      </c>
      <c r="W172" s="72">
        <v>2.86856372</v>
      </c>
      <c r="X172" s="72">
        <v>4.3615093700000003</v>
      </c>
      <c r="Y172" s="72">
        <v>5.5984370300000004</v>
      </c>
      <c r="Z172" s="115">
        <v>7.0711223599999995</v>
      </c>
      <c r="AB172" s="71">
        <v>4.2688017857158304E-2</v>
      </c>
      <c r="AC172" s="71">
        <v>5.0751063269483733E-2</v>
      </c>
      <c r="AD172" s="71">
        <v>5.7303098973903899E-2</v>
      </c>
      <c r="AE172" s="71">
        <v>6.1349190410229376E-2</v>
      </c>
      <c r="AF172" s="63">
        <v>6.5329590541692892E-2</v>
      </c>
      <c r="AG172" s="71" t="s">
        <v>21</v>
      </c>
      <c r="AH172" s="71">
        <v>7.6559651694837342E-3</v>
      </c>
      <c r="AI172" s="71">
        <v>1.4026393173903881E-2</v>
      </c>
      <c r="AJ172" s="71">
        <v>1.7272028510229367E-2</v>
      </c>
      <c r="AK172" s="63">
        <v>1.9811120241692886E-2</v>
      </c>
    </row>
    <row r="173" spans="2:37" x14ac:dyDescent="0.35">
      <c r="B173" s="55" t="s">
        <v>331</v>
      </c>
      <c r="C173" s="53" t="s">
        <v>234</v>
      </c>
      <c r="D173" s="53" t="s">
        <v>62</v>
      </c>
      <c r="E173" s="53" t="s">
        <v>21</v>
      </c>
      <c r="F173" s="73">
        <f t="shared" si="18"/>
        <v>4.3019475105133903E-2</v>
      </c>
      <c r="G173" s="60">
        <f t="shared" si="18"/>
        <v>5.0585728824443961E-2</v>
      </c>
      <c r="H173" s="60">
        <f t="shared" si="18"/>
        <v>5.709580971565522E-2</v>
      </c>
      <c r="I173" s="60">
        <f t="shared" si="18"/>
        <v>6.0807601533626895E-2</v>
      </c>
      <c r="J173" s="63">
        <f t="shared" si="18"/>
        <v>6.5338652083874849E-2</v>
      </c>
      <c r="K173" s="60" t="str">
        <f t="shared" si="19"/>
        <v/>
      </c>
      <c r="L173" s="60">
        <f t="shared" si="19"/>
        <v>7.4996669244439661E-3</v>
      </c>
      <c r="M173" s="60">
        <f t="shared" si="19"/>
        <v>1.3831555815655205E-2</v>
      </c>
      <c r="N173" s="60">
        <f t="shared" si="19"/>
        <v>1.6766970133626893E-2</v>
      </c>
      <c r="O173" s="63">
        <f t="shared" si="19"/>
        <v>1.9835321383874858E-2</v>
      </c>
      <c r="P173" s="55" t="s">
        <v>21</v>
      </c>
      <c r="Q173" s="53" t="s">
        <v>21</v>
      </c>
      <c r="R173" s="94" t="s">
        <v>21</v>
      </c>
      <c r="S173" s="71">
        <v>0</v>
      </c>
      <c r="T173" s="63">
        <f t="shared" si="20"/>
        <v>5.709580971565522E-2</v>
      </c>
      <c r="V173" s="114">
        <v>1.13479072</v>
      </c>
      <c r="W173" s="72">
        <v>2.86851828</v>
      </c>
      <c r="X173" s="72">
        <v>4.3638913500000003</v>
      </c>
      <c r="Y173" s="72">
        <v>5.601648</v>
      </c>
      <c r="Z173" s="115">
        <v>7.0504043200000002</v>
      </c>
      <c r="AB173" s="71">
        <v>4.3019475105133903E-2</v>
      </c>
      <c r="AC173" s="71">
        <v>5.0585728824443961E-2</v>
      </c>
      <c r="AD173" s="71">
        <v>5.709580971565522E-2</v>
      </c>
      <c r="AE173" s="71">
        <v>6.0807601533626895E-2</v>
      </c>
      <c r="AF173" s="63">
        <v>6.5338652083874849E-2</v>
      </c>
      <c r="AG173" s="71" t="s">
        <v>21</v>
      </c>
      <c r="AH173" s="71">
        <v>7.4996669244439661E-3</v>
      </c>
      <c r="AI173" s="71">
        <v>1.3831555815655205E-2</v>
      </c>
      <c r="AJ173" s="71">
        <v>1.6766970133626893E-2</v>
      </c>
      <c r="AK173" s="63">
        <v>1.9835321383874858E-2</v>
      </c>
    </row>
    <row r="174" spans="2:37" x14ac:dyDescent="0.35">
      <c r="B174" s="55" t="s">
        <v>373</v>
      </c>
      <c r="C174" s="53" t="s">
        <v>234</v>
      </c>
      <c r="D174" s="53" t="s">
        <v>20</v>
      </c>
      <c r="E174" s="53" t="s">
        <v>21</v>
      </c>
      <c r="F174" s="73">
        <f t="shared" ref="F174:J224" si="21">IF(ISNUMBER(AB174),AB174-((C$4-C$3)/V174),"")</f>
        <v>4.139777228491235E-2</v>
      </c>
      <c r="G174" s="60">
        <f t="shared" si="21"/>
        <v>4.6727589873256058E-2</v>
      </c>
      <c r="H174" s="60">
        <f t="shared" si="21"/>
        <v>5.0069575830776696E-2</v>
      </c>
      <c r="I174" s="60">
        <f t="shared" si="21"/>
        <v>5.1995405478294697E-2</v>
      </c>
      <c r="J174" s="63">
        <f t="shared" si="21"/>
        <v>5.4229858678536191E-2</v>
      </c>
      <c r="K174" s="60" t="str">
        <f t="shared" ref="K174:O224" si="22">IF(ISNUMBER(AG174),IF(AG174-((C$4-C$3)/V174)&lt;0,"",AG174-((C$4-C$3)/V174)),"")</f>
        <v/>
      </c>
      <c r="L174" s="60">
        <f t="shared" si="22"/>
        <v>3.8467771732560632E-3</v>
      </c>
      <c r="M174" s="60">
        <f t="shared" si="22"/>
        <v>7.1896915307767002E-3</v>
      </c>
      <c r="N174" s="60">
        <f t="shared" si="22"/>
        <v>8.4367496782946898E-3</v>
      </c>
      <c r="O174" s="63">
        <f t="shared" si="22"/>
        <v>9.2644032785361968E-3</v>
      </c>
      <c r="P174" s="55" t="s">
        <v>21</v>
      </c>
      <c r="Q174" s="53" t="s">
        <v>21</v>
      </c>
      <c r="R174" s="94" t="s">
        <v>21</v>
      </c>
      <c r="S174" s="71">
        <v>0</v>
      </c>
      <c r="T174" s="63">
        <f t="shared" si="20"/>
        <v>5.0069575830776696E-2</v>
      </c>
      <c r="V174" s="114">
        <v>1.13785892</v>
      </c>
      <c r="W174" s="72">
        <v>2.8975174999999997</v>
      </c>
      <c r="X174" s="72">
        <v>4.4687574699999999</v>
      </c>
      <c r="Y174" s="72">
        <v>5.8407679799999999</v>
      </c>
      <c r="Z174" s="115">
        <v>7.585059750000001</v>
      </c>
      <c r="AB174" s="71">
        <v>4.139777228491235E-2</v>
      </c>
      <c r="AC174" s="71">
        <v>4.6727589873256058E-2</v>
      </c>
      <c r="AD174" s="71">
        <v>5.0069575830776696E-2</v>
      </c>
      <c r="AE174" s="71">
        <v>5.1995405478294697E-2</v>
      </c>
      <c r="AF174" s="63">
        <v>5.4229858678536191E-2</v>
      </c>
      <c r="AG174" s="71" t="s">
        <v>21</v>
      </c>
      <c r="AH174" s="71">
        <v>3.8467771732560632E-3</v>
      </c>
      <c r="AI174" s="71">
        <v>7.1896915307767002E-3</v>
      </c>
      <c r="AJ174" s="71">
        <v>8.4367496782946898E-3</v>
      </c>
      <c r="AK174" s="63">
        <v>9.2644032785361968E-3</v>
      </c>
    </row>
    <row r="175" spans="2:37" x14ac:dyDescent="0.35">
      <c r="B175" s="55" t="s">
        <v>137</v>
      </c>
      <c r="C175" s="53" t="s">
        <v>234</v>
      </c>
      <c r="D175" s="53" t="s">
        <v>31</v>
      </c>
      <c r="E175" s="53" t="s">
        <v>81</v>
      </c>
      <c r="F175" s="73">
        <f t="shared" si="21"/>
        <v>4.2780234333868308E-2</v>
      </c>
      <c r="G175" s="60">
        <f t="shared" si="21"/>
        <v>4.9731944176075377E-2</v>
      </c>
      <c r="H175" s="60">
        <f t="shared" si="21"/>
        <v>5.5725862256672011E-2</v>
      </c>
      <c r="I175" s="60">
        <f t="shared" si="21"/>
        <v>5.9047283061276372E-2</v>
      </c>
      <c r="J175" s="63">
        <f t="shared" si="21"/>
        <v>6.3230013896980977E-2</v>
      </c>
      <c r="K175" s="60" t="str">
        <f t="shared" si="22"/>
        <v/>
      </c>
      <c r="L175" s="60">
        <f t="shared" si="22"/>
        <v>6.6974645760753768E-3</v>
      </c>
      <c r="M175" s="60">
        <f t="shared" si="22"/>
        <v>1.2545432656672021E-2</v>
      </c>
      <c r="N175" s="60">
        <f t="shared" si="22"/>
        <v>1.5115461961276373E-2</v>
      </c>
      <c r="O175" s="63">
        <f t="shared" si="22"/>
        <v>1.783375309698098E-2</v>
      </c>
      <c r="P175" s="55" t="s">
        <v>490</v>
      </c>
      <c r="Q175" s="53" t="s">
        <v>491</v>
      </c>
      <c r="R175" s="94" t="s">
        <v>32</v>
      </c>
      <c r="S175" s="71">
        <v>5.1266199999999998E-2</v>
      </c>
      <c r="T175" s="63">
        <f t="shared" si="20"/>
        <v>4.4596622566720132E-3</v>
      </c>
      <c r="V175" s="114">
        <v>1.1351834000000001</v>
      </c>
      <c r="W175" s="72">
        <v>2.8744071099999999</v>
      </c>
      <c r="X175" s="72">
        <v>4.3844922500000001</v>
      </c>
      <c r="Y175" s="72">
        <v>5.6533703900000001</v>
      </c>
      <c r="Z175" s="115">
        <v>7.17709829</v>
      </c>
      <c r="AB175" s="71">
        <v>4.2780234333868308E-2</v>
      </c>
      <c r="AC175" s="71">
        <v>4.9731944176075377E-2</v>
      </c>
      <c r="AD175" s="71">
        <v>5.5725862256672011E-2</v>
      </c>
      <c r="AE175" s="71">
        <v>5.9047283061276372E-2</v>
      </c>
      <c r="AF175" s="63">
        <v>6.3230013896980977E-2</v>
      </c>
      <c r="AG175" s="71" t="s">
        <v>21</v>
      </c>
      <c r="AH175" s="71">
        <v>6.6974645760753768E-3</v>
      </c>
      <c r="AI175" s="71">
        <v>1.2545432656672021E-2</v>
      </c>
      <c r="AJ175" s="71">
        <v>1.5115461961276373E-2</v>
      </c>
      <c r="AK175" s="63">
        <v>1.783375309698098E-2</v>
      </c>
    </row>
    <row r="176" spans="2:37" x14ac:dyDescent="0.35">
      <c r="B176" s="55" t="s">
        <v>242</v>
      </c>
      <c r="C176" s="53" t="s">
        <v>234</v>
      </c>
      <c r="D176" s="53" t="s">
        <v>20</v>
      </c>
      <c r="E176" s="53" t="s">
        <v>21</v>
      </c>
      <c r="F176" s="73">
        <f t="shared" si="21"/>
        <v>4.251152883703524E-2</v>
      </c>
      <c r="G176" s="60">
        <f t="shared" si="21"/>
        <v>5.0442680388832574E-2</v>
      </c>
      <c r="H176" s="60">
        <f t="shared" si="21"/>
        <v>5.7973506225966115E-2</v>
      </c>
      <c r="I176" s="60">
        <f t="shared" si="21"/>
        <v>6.1286310481462408E-2</v>
      </c>
      <c r="J176" s="63">
        <f t="shared" si="21"/>
        <v>6.5057053148146651E-2</v>
      </c>
      <c r="K176" s="60" t="str">
        <f t="shared" si="22"/>
        <v/>
      </c>
      <c r="L176" s="60">
        <f t="shared" si="22"/>
        <v>7.3661687888325784E-3</v>
      </c>
      <c r="M176" s="60">
        <f t="shared" si="22"/>
        <v>1.4657474425966103E-2</v>
      </c>
      <c r="N176" s="60">
        <f t="shared" si="22"/>
        <v>1.7216450181462409E-2</v>
      </c>
      <c r="O176" s="63">
        <f t="shared" si="22"/>
        <v>1.9558277248146641E-2</v>
      </c>
      <c r="P176" s="55" t="s">
        <v>21</v>
      </c>
      <c r="Q176" s="53" t="s">
        <v>21</v>
      </c>
      <c r="R176" s="94" t="s">
        <v>21</v>
      </c>
      <c r="S176" s="71">
        <v>0</v>
      </c>
      <c r="T176" s="63">
        <f t="shared" si="20"/>
        <v>5.7973506225966115E-2</v>
      </c>
      <c r="V176" s="114">
        <v>1.13573075</v>
      </c>
      <c r="W176" s="72">
        <v>2.8715843599999999</v>
      </c>
      <c r="X176" s="72">
        <v>4.3594592199999997</v>
      </c>
      <c r="Y176" s="72">
        <v>5.5938678899999994</v>
      </c>
      <c r="Z176" s="115">
        <v>7.0714054200000005</v>
      </c>
      <c r="AB176" s="71">
        <v>4.251152883703524E-2</v>
      </c>
      <c r="AC176" s="71">
        <v>5.0442680388832574E-2</v>
      </c>
      <c r="AD176" s="71">
        <v>5.7973506225966115E-2</v>
      </c>
      <c r="AE176" s="71">
        <v>6.1286310481462408E-2</v>
      </c>
      <c r="AF176" s="63">
        <v>6.5057053148146651E-2</v>
      </c>
      <c r="AG176" s="71" t="s">
        <v>21</v>
      </c>
      <c r="AH176" s="71">
        <v>7.3661687888325784E-3</v>
      </c>
      <c r="AI176" s="71">
        <v>1.4657474425966103E-2</v>
      </c>
      <c r="AJ176" s="71">
        <v>1.7216450181462409E-2</v>
      </c>
      <c r="AK176" s="63">
        <v>1.9558277248146641E-2</v>
      </c>
    </row>
    <row r="177" spans="2:37" x14ac:dyDescent="0.35">
      <c r="B177" s="55" t="s">
        <v>151</v>
      </c>
      <c r="C177" s="53" t="s">
        <v>234</v>
      </c>
      <c r="D177" s="53" t="s">
        <v>43</v>
      </c>
      <c r="E177" s="53" t="s">
        <v>21</v>
      </c>
      <c r="F177" s="73">
        <f t="shared" si="21"/>
        <v>4.300676150411422E-2</v>
      </c>
      <c r="G177" s="60">
        <f t="shared" si="21"/>
        <v>4.9890033732839623E-2</v>
      </c>
      <c r="H177" s="60">
        <f t="shared" si="21"/>
        <v>5.5438825286027109E-2</v>
      </c>
      <c r="I177" s="60">
        <f t="shared" si="21"/>
        <v>5.8948948956921196E-2</v>
      </c>
      <c r="J177" s="63">
        <f t="shared" si="21"/>
        <v>6.3661682952171908E-2</v>
      </c>
      <c r="K177" s="60" t="str">
        <f t="shared" si="22"/>
        <v/>
      </c>
      <c r="L177" s="60">
        <f t="shared" si="22"/>
        <v>6.8400525328396189E-3</v>
      </c>
      <c r="M177" s="60">
        <f t="shared" si="22"/>
        <v>1.2269750186027105E-2</v>
      </c>
      <c r="N177" s="60">
        <f t="shared" si="22"/>
        <v>1.5018342256921204E-2</v>
      </c>
      <c r="O177" s="63">
        <f t="shared" si="22"/>
        <v>1.8235883752171916E-2</v>
      </c>
      <c r="P177" s="55" t="s">
        <v>21</v>
      </c>
      <c r="Q177" s="53" t="s">
        <v>21</v>
      </c>
      <c r="R177" s="94" t="s">
        <v>21</v>
      </c>
      <c r="S177" s="71">
        <v>0</v>
      </c>
      <c r="T177" s="63">
        <f t="shared" si="20"/>
        <v>5.5438825286027109E-2</v>
      </c>
      <c r="V177" s="114">
        <v>1.13484539</v>
      </c>
      <c r="W177" s="72">
        <v>2.8728963699999999</v>
      </c>
      <c r="X177" s="72">
        <v>4.38568873</v>
      </c>
      <c r="Y177" s="72">
        <v>5.6567845600000002</v>
      </c>
      <c r="Z177" s="115">
        <v>7.1712881300000006</v>
      </c>
      <c r="AB177" s="71">
        <v>4.300676150411422E-2</v>
      </c>
      <c r="AC177" s="71">
        <v>4.9890033732839623E-2</v>
      </c>
      <c r="AD177" s="71">
        <v>5.5438825286027109E-2</v>
      </c>
      <c r="AE177" s="71">
        <v>5.8948948956921196E-2</v>
      </c>
      <c r="AF177" s="63">
        <v>6.3661682952171908E-2</v>
      </c>
      <c r="AG177" s="71" t="s">
        <v>21</v>
      </c>
      <c r="AH177" s="71">
        <v>6.8400525328396189E-3</v>
      </c>
      <c r="AI177" s="71">
        <v>1.2269750186027105E-2</v>
      </c>
      <c r="AJ177" s="71">
        <v>1.5018342256921204E-2</v>
      </c>
      <c r="AK177" s="63">
        <v>1.8235883752171916E-2</v>
      </c>
    </row>
    <row r="178" spans="2:37" x14ac:dyDescent="0.35">
      <c r="B178" s="55" t="s">
        <v>142</v>
      </c>
      <c r="C178" s="53" t="s">
        <v>234</v>
      </c>
      <c r="D178" s="53" t="s">
        <v>53</v>
      </c>
      <c r="E178" s="53" t="s">
        <v>123</v>
      </c>
      <c r="F178" s="73">
        <f t="shared" si="21"/>
        <v>4.2412668916701132E-2</v>
      </c>
      <c r="G178" s="60">
        <f t="shared" si="21"/>
        <v>4.9733533775393517E-2</v>
      </c>
      <c r="H178" s="60">
        <f t="shared" si="21"/>
        <v>5.5372433036604218E-2</v>
      </c>
      <c r="I178" s="60">
        <f t="shared" si="21"/>
        <v>5.8979557926120162E-2</v>
      </c>
      <c r="J178" s="63">
        <f t="shared" si="21"/>
        <v>6.3518483914749943E-2</v>
      </c>
      <c r="K178" s="60" t="str">
        <f t="shared" si="22"/>
        <v/>
      </c>
      <c r="L178" s="60">
        <f t="shared" si="22"/>
        <v>6.6968436753935094E-3</v>
      </c>
      <c r="M178" s="60">
        <f t="shared" si="22"/>
        <v>1.2210600336604214E-2</v>
      </c>
      <c r="N178" s="60">
        <f t="shared" si="22"/>
        <v>1.5050267126120148E-2</v>
      </c>
      <c r="O178" s="63">
        <f t="shared" si="22"/>
        <v>1.8104909114749934E-2</v>
      </c>
      <c r="P178" s="55" t="s">
        <v>492</v>
      </c>
      <c r="Q178" s="53" t="s">
        <v>493</v>
      </c>
      <c r="R178" s="94" t="s">
        <v>32</v>
      </c>
      <c r="S178" s="71">
        <v>5.6607869999999998E-2</v>
      </c>
      <c r="T178" s="63">
        <f t="shared" si="20"/>
        <v>-1.2354369633957793E-3</v>
      </c>
      <c r="V178" s="114">
        <v>1.1359073000000002</v>
      </c>
      <c r="W178" s="72">
        <v>2.8750062700000001</v>
      </c>
      <c r="X178" s="72">
        <v>4.3885433000000003</v>
      </c>
      <c r="Y178" s="72">
        <v>5.6590019600000003</v>
      </c>
      <c r="Z178" s="115">
        <v>7.1757583700000005</v>
      </c>
      <c r="AB178" s="71">
        <v>4.2412668916701132E-2</v>
      </c>
      <c r="AC178" s="71">
        <v>4.9733533775393517E-2</v>
      </c>
      <c r="AD178" s="71">
        <v>5.5372433036604218E-2</v>
      </c>
      <c r="AE178" s="71">
        <v>5.8979557926120162E-2</v>
      </c>
      <c r="AF178" s="63">
        <v>6.3518483914749943E-2</v>
      </c>
      <c r="AG178" s="71" t="s">
        <v>21</v>
      </c>
      <c r="AH178" s="71">
        <v>6.6968436753935094E-3</v>
      </c>
      <c r="AI178" s="71">
        <v>1.2210600336604214E-2</v>
      </c>
      <c r="AJ178" s="71">
        <v>1.5050267126120148E-2</v>
      </c>
      <c r="AK178" s="63">
        <v>1.8104909114749934E-2</v>
      </c>
    </row>
    <row r="179" spans="2:37" x14ac:dyDescent="0.35">
      <c r="B179" s="55" t="s">
        <v>341</v>
      </c>
      <c r="C179" s="53" t="s">
        <v>234</v>
      </c>
      <c r="D179" s="53" t="s">
        <v>69</v>
      </c>
      <c r="E179" s="53" t="s">
        <v>21</v>
      </c>
      <c r="F179" s="73">
        <f t="shared" si="21"/>
        <v>4.2398522426664358E-2</v>
      </c>
      <c r="G179" s="60">
        <f t="shared" si="21"/>
        <v>4.9690760415384824E-2</v>
      </c>
      <c r="H179" s="60">
        <f t="shared" si="21"/>
        <v>5.5322204370344685E-2</v>
      </c>
      <c r="I179" s="60">
        <f t="shared" si="21"/>
        <v>5.8362292381242478E-2</v>
      </c>
      <c r="J179" s="63">
        <f t="shared" si="21"/>
        <v>6.2434419058232167E-2</v>
      </c>
      <c r="K179" s="60" t="str">
        <f t="shared" si="22"/>
        <v/>
      </c>
      <c r="L179" s="60">
        <f t="shared" si="22"/>
        <v>6.6512014153848244E-3</v>
      </c>
      <c r="M179" s="60">
        <f t="shared" si="22"/>
        <v>1.2159528670344684E-2</v>
      </c>
      <c r="N179" s="60">
        <f t="shared" si="22"/>
        <v>1.4466388081242471E-2</v>
      </c>
      <c r="O179" s="63">
        <f t="shared" si="22"/>
        <v>1.7077873558232166E-2</v>
      </c>
      <c r="P179" s="55" t="s">
        <v>494</v>
      </c>
      <c r="Q179" s="53" t="s">
        <v>495</v>
      </c>
      <c r="R179" s="94" t="s">
        <v>32</v>
      </c>
      <c r="S179" s="71">
        <v>5.3774930000000006E-2</v>
      </c>
      <c r="T179" s="63">
        <f t="shared" si="20"/>
        <v>1.5472743703446798E-3</v>
      </c>
      <c r="V179" s="114">
        <v>1.1360036</v>
      </c>
      <c r="W179" s="72">
        <v>2.8760951299999999</v>
      </c>
      <c r="X179" s="72">
        <v>4.390155</v>
      </c>
      <c r="Y179" s="72">
        <v>5.6687826299999999</v>
      </c>
      <c r="Z179" s="115">
        <v>7.2122277600000011</v>
      </c>
      <c r="AB179" s="71">
        <v>4.2398522426664358E-2</v>
      </c>
      <c r="AC179" s="71">
        <v>4.9690760415384824E-2</v>
      </c>
      <c r="AD179" s="71">
        <v>5.5322204370344685E-2</v>
      </c>
      <c r="AE179" s="71">
        <v>5.8362292381242478E-2</v>
      </c>
      <c r="AF179" s="63">
        <v>6.2434419058232167E-2</v>
      </c>
      <c r="AG179" s="71" t="s">
        <v>21</v>
      </c>
      <c r="AH179" s="71">
        <v>6.6512014153848244E-3</v>
      </c>
      <c r="AI179" s="71">
        <v>1.2159528670344684E-2</v>
      </c>
      <c r="AJ179" s="71">
        <v>1.4466388081242471E-2</v>
      </c>
      <c r="AK179" s="63">
        <v>1.7077873558232166E-2</v>
      </c>
    </row>
    <row r="180" spans="2:37" x14ac:dyDescent="0.35">
      <c r="B180" s="55" t="s">
        <v>343</v>
      </c>
      <c r="C180" s="53" t="s">
        <v>234</v>
      </c>
      <c r="D180" s="53" t="s">
        <v>20</v>
      </c>
      <c r="E180" s="53" t="s">
        <v>339</v>
      </c>
      <c r="F180" s="73">
        <f t="shared" si="21"/>
        <v>4.2614000611648752E-2</v>
      </c>
      <c r="G180" s="60">
        <f t="shared" si="21"/>
        <v>4.9847508241643967E-2</v>
      </c>
      <c r="H180" s="60">
        <f t="shared" si="21"/>
        <v>5.5616734030639985E-2</v>
      </c>
      <c r="I180" s="60">
        <f t="shared" si="21"/>
        <v>5.886224296942405E-2</v>
      </c>
      <c r="J180" s="63">
        <f t="shared" si="21"/>
        <v>6.2936587197686633E-2</v>
      </c>
      <c r="K180" s="60" t="str">
        <f t="shared" si="22"/>
        <v/>
      </c>
      <c r="L180" s="60">
        <f t="shared" si="22"/>
        <v>6.8058673416439711E-3</v>
      </c>
      <c r="M180" s="60">
        <f t="shared" si="22"/>
        <v>1.2441901930639985E-2</v>
      </c>
      <c r="N180" s="60">
        <f t="shared" si="22"/>
        <v>1.4941505169424052E-2</v>
      </c>
      <c r="O180" s="63">
        <f t="shared" si="22"/>
        <v>1.7556555397686635E-2</v>
      </c>
      <c r="P180" s="55" t="s">
        <v>21</v>
      </c>
      <c r="Q180" s="53" t="s">
        <v>21</v>
      </c>
      <c r="R180" s="94" t="s">
        <v>21</v>
      </c>
      <c r="S180" s="71">
        <v>0</v>
      </c>
      <c r="T180" s="63">
        <f t="shared" si="20"/>
        <v>5.5616734030639985E-2</v>
      </c>
      <c r="V180" s="114">
        <v>1.1355156399999999</v>
      </c>
      <c r="W180" s="72">
        <v>2.8742153199999998</v>
      </c>
      <c r="X180" s="72">
        <v>4.3859233700000004</v>
      </c>
      <c r="Y180" s="72">
        <v>5.6562450100000001</v>
      </c>
      <c r="Z180" s="115">
        <v>7.1877151799999996</v>
      </c>
      <c r="AB180" s="71">
        <v>4.2614000611648752E-2</v>
      </c>
      <c r="AC180" s="71">
        <v>4.9847508241643967E-2</v>
      </c>
      <c r="AD180" s="71">
        <v>5.5616734030639985E-2</v>
      </c>
      <c r="AE180" s="71">
        <v>5.886224296942405E-2</v>
      </c>
      <c r="AF180" s="63">
        <v>6.2936587197686633E-2</v>
      </c>
      <c r="AG180" s="71" t="s">
        <v>21</v>
      </c>
      <c r="AH180" s="71">
        <v>6.8058673416439711E-3</v>
      </c>
      <c r="AI180" s="71">
        <v>1.2441901930639985E-2</v>
      </c>
      <c r="AJ180" s="71">
        <v>1.4941505169424052E-2</v>
      </c>
      <c r="AK180" s="63">
        <v>1.7556555397686635E-2</v>
      </c>
    </row>
    <row r="181" spans="2:37" x14ac:dyDescent="0.35">
      <c r="B181" s="55" t="s">
        <v>150</v>
      </c>
      <c r="C181" s="53" t="s">
        <v>234</v>
      </c>
      <c r="D181" s="53" t="s">
        <v>53</v>
      </c>
      <c r="E181" s="53" t="s">
        <v>21</v>
      </c>
      <c r="F181" s="73">
        <f t="shared" si="21"/>
        <v>4.280096819585387E-2</v>
      </c>
      <c r="G181" s="60">
        <f t="shared" si="21"/>
        <v>4.9694500321531609E-2</v>
      </c>
      <c r="H181" s="60">
        <f t="shared" si="21"/>
        <v>5.5066477049955417E-2</v>
      </c>
      <c r="I181" s="60">
        <f t="shared" si="21"/>
        <v>5.839388438491773E-2</v>
      </c>
      <c r="J181" s="63">
        <f t="shared" si="21"/>
        <v>6.2470213375041786E-2</v>
      </c>
      <c r="K181" s="60" t="str">
        <f t="shared" si="22"/>
        <v/>
      </c>
      <c r="L181" s="60">
        <f t="shared" si="22"/>
        <v>6.6587982215316113E-3</v>
      </c>
      <c r="M181" s="60">
        <f t="shared" si="22"/>
        <v>1.1921160149955423E-2</v>
      </c>
      <c r="N181" s="60">
        <f t="shared" si="22"/>
        <v>1.4498090084917733E-2</v>
      </c>
      <c r="O181" s="63">
        <f t="shared" si="22"/>
        <v>1.7114127075041792E-2</v>
      </c>
      <c r="P181" s="55" t="s">
        <v>496</v>
      </c>
      <c r="Q181" s="53" t="s">
        <v>497</v>
      </c>
      <c r="R181" s="94">
        <v>47498</v>
      </c>
      <c r="S181" s="71">
        <v>4.9827429999999999E-2</v>
      </c>
      <c r="T181" s="63">
        <f t="shared" si="20"/>
        <v>5.2390470499554184E-3</v>
      </c>
      <c r="V181" s="114">
        <v>1.13518735</v>
      </c>
      <c r="W181" s="72">
        <v>2.8746616400000002</v>
      </c>
      <c r="X181" s="72">
        <v>4.3913338500000005</v>
      </c>
      <c r="Y181" s="72">
        <v>5.6701693799999999</v>
      </c>
      <c r="Z181" s="115">
        <v>7.2120445500000008</v>
      </c>
      <c r="AB181" s="71">
        <v>4.280096819585387E-2</v>
      </c>
      <c r="AC181" s="71">
        <v>4.9694500321531609E-2</v>
      </c>
      <c r="AD181" s="71">
        <v>5.5066477049955417E-2</v>
      </c>
      <c r="AE181" s="71">
        <v>5.839388438491773E-2</v>
      </c>
      <c r="AF181" s="63">
        <v>6.2470213375041786E-2</v>
      </c>
      <c r="AG181" s="71" t="s">
        <v>21</v>
      </c>
      <c r="AH181" s="71">
        <v>6.6587982215316113E-3</v>
      </c>
      <c r="AI181" s="71">
        <v>1.1921160149955423E-2</v>
      </c>
      <c r="AJ181" s="71">
        <v>1.4498090084917733E-2</v>
      </c>
      <c r="AK181" s="63">
        <v>1.7114127075041792E-2</v>
      </c>
    </row>
    <row r="182" spans="2:37" x14ac:dyDescent="0.35">
      <c r="B182" s="55" t="s">
        <v>138</v>
      </c>
      <c r="C182" s="53" t="s">
        <v>234</v>
      </c>
      <c r="D182" s="53" t="s">
        <v>20</v>
      </c>
      <c r="E182" s="53" t="s">
        <v>21</v>
      </c>
      <c r="F182" s="73">
        <f t="shared" si="21"/>
        <v>4.3802967085075625E-2</v>
      </c>
      <c r="G182" s="60">
        <f t="shared" si="21"/>
        <v>5.070246456397786E-2</v>
      </c>
      <c r="H182" s="60">
        <f t="shared" si="21"/>
        <v>5.5572551657085134E-2</v>
      </c>
      <c r="I182" s="60">
        <f t="shared" si="21"/>
        <v>5.8117030626270626E-2</v>
      </c>
      <c r="J182" s="63">
        <f t="shared" si="21"/>
        <v>6.1168796088271381E-2</v>
      </c>
      <c r="K182" s="60">
        <f t="shared" si="22"/>
        <v>4.2666638507562939E-4</v>
      </c>
      <c r="L182" s="60">
        <f t="shared" si="22"/>
        <v>7.6110657639778551E-3</v>
      </c>
      <c r="M182" s="60">
        <f t="shared" si="22"/>
        <v>1.2397813757085145E-2</v>
      </c>
      <c r="N182" s="60">
        <f t="shared" si="22"/>
        <v>1.4236962226270635E-2</v>
      </c>
      <c r="O182" s="63">
        <f t="shared" si="22"/>
        <v>1.588857578827137E-2</v>
      </c>
      <c r="P182" s="55" t="s">
        <v>498</v>
      </c>
      <c r="Q182" s="53" t="s">
        <v>499</v>
      </c>
      <c r="R182" s="94">
        <v>47423</v>
      </c>
      <c r="S182" s="71">
        <v>5.2746890000000005E-2</v>
      </c>
      <c r="T182" s="63">
        <f t="shared" si="20"/>
        <v>2.8256616570851295E-3</v>
      </c>
      <c r="V182" s="114">
        <v>1.1333136500000001</v>
      </c>
      <c r="W182" s="72">
        <v>2.8654048899999998</v>
      </c>
      <c r="X182" s="72">
        <v>4.3772923800000001</v>
      </c>
      <c r="Y182" s="72">
        <v>5.6572557899999998</v>
      </c>
      <c r="Z182" s="115">
        <v>7.2180935000000002</v>
      </c>
      <c r="AB182" s="71">
        <v>4.3802967085075625E-2</v>
      </c>
      <c r="AC182" s="71">
        <v>5.070246456397786E-2</v>
      </c>
      <c r="AD182" s="71">
        <v>5.5572551657085134E-2</v>
      </c>
      <c r="AE182" s="71">
        <v>5.8117030626270626E-2</v>
      </c>
      <c r="AF182" s="63">
        <v>6.1168796088271381E-2</v>
      </c>
      <c r="AG182" s="71">
        <v>4.2666638507562939E-4</v>
      </c>
      <c r="AH182" s="71">
        <v>7.6110657639778551E-3</v>
      </c>
      <c r="AI182" s="71">
        <v>1.2397813757085145E-2</v>
      </c>
      <c r="AJ182" s="71">
        <v>1.4236962226270635E-2</v>
      </c>
      <c r="AK182" s="63">
        <v>1.588857578827137E-2</v>
      </c>
    </row>
    <row r="183" spans="2:37" x14ac:dyDescent="0.35">
      <c r="B183" s="55" t="s">
        <v>159</v>
      </c>
      <c r="C183" s="53" t="s">
        <v>234</v>
      </c>
      <c r="D183" s="53" t="s">
        <v>20</v>
      </c>
      <c r="E183" s="53" t="s">
        <v>290</v>
      </c>
      <c r="F183" s="73">
        <f t="shared" si="21"/>
        <v>4.3122617932438982E-2</v>
      </c>
      <c r="G183" s="60">
        <f t="shared" si="21"/>
        <v>5.0263632882167029E-2</v>
      </c>
      <c r="H183" s="60">
        <f t="shared" si="21"/>
        <v>5.5548891622804498E-2</v>
      </c>
      <c r="I183" s="60">
        <f t="shared" si="21"/>
        <v>5.8126003450174976E-2</v>
      </c>
      <c r="J183" s="63">
        <f t="shared" si="21"/>
        <v>6.1207693872614481E-2</v>
      </c>
      <c r="K183" s="60" t="str">
        <f t="shared" si="22"/>
        <v/>
      </c>
      <c r="L183" s="60">
        <f t="shared" si="22"/>
        <v>7.1958087821670262E-3</v>
      </c>
      <c r="M183" s="60">
        <f t="shared" si="22"/>
        <v>1.2375222122804496E-2</v>
      </c>
      <c r="N183" s="60">
        <f t="shared" si="22"/>
        <v>1.4246521150174975E-2</v>
      </c>
      <c r="O183" s="63">
        <f t="shared" si="22"/>
        <v>1.5918801772614483E-2</v>
      </c>
      <c r="P183" s="55" t="s">
        <v>500</v>
      </c>
      <c r="Q183" s="53" t="s">
        <v>501</v>
      </c>
      <c r="R183" s="94">
        <v>47543</v>
      </c>
      <c r="S183" s="71">
        <v>5.3156689999999999E-2</v>
      </c>
      <c r="T183" s="63">
        <f t="shared" si="20"/>
        <v>2.392201622804499E-3</v>
      </c>
      <c r="V183" s="114">
        <v>1.1346028500000001</v>
      </c>
      <c r="W183" s="72">
        <v>2.87082389</v>
      </c>
      <c r="X183" s="72">
        <v>4.3829177399999999</v>
      </c>
      <c r="Y183" s="72">
        <v>5.6603899499999999</v>
      </c>
      <c r="Z183" s="115">
        <v>7.2325411600000002</v>
      </c>
      <c r="AB183" s="71">
        <v>4.3122617932438982E-2</v>
      </c>
      <c r="AC183" s="71">
        <v>5.0263632882167029E-2</v>
      </c>
      <c r="AD183" s="71">
        <v>5.5548891622804498E-2</v>
      </c>
      <c r="AE183" s="71">
        <v>5.8126003450174976E-2</v>
      </c>
      <c r="AF183" s="63">
        <v>6.1207693872614481E-2</v>
      </c>
      <c r="AG183" s="71" t="s">
        <v>21</v>
      </c>
      <c r="AH183" s="71">
        <v>7.1958087821670262E-3</v>
      </c>
      <c r="AI183" s="71">
        <v>1.2375222122804496E-2</v>
      </c>
      <c r="AJ183" s="71">
        <v>1.4246521150174975E-2</v>
      </c>
      <c r="AK183" s="63">
        <v>1.5918801772614483E-2</v>
      </c>
    </row>
    <row r="184" spans="2:37" x14ac:dyDescent="0.35">
      <c r="B184" s="55" t="s">
        <v>367</v>
      </c>
      <c r="C184" s="53" t="s">
        <v>234</v>
      </c>
      <c r="D184" s="53" t="s">
        <v>20</v>
      </c>
      <c r="E184" s="53" t="s">
        <v>21</v>
      </c>
      <c r="F184" s="73">
        <f t="shared" si="21"/>
        <v>4.227596199929267E-2</v>
      </c>
      <c r="G184" s="60">
        <f t="shared" si="21"/>
        <v>4.8002231770992193E-2</v>
      </c>
      <c r="H184" s="60">
        <f t="shared" si="21"/>
        <v>5.1771147672733081E-2</v>
      </c>
      <c r="I184" s="60">
        <f t="shared" si="21"/>
        <v>5.3868206180971628E-2</v>
      </c>
      <c r="J184" s="63">
        <f t="shared" si="21"/>
        <v>5.6170843083115068E-2</v>
      </c>
      <c r="K184" s="60" t="str">
        <f t="shared" si="22"/>
        <v/>
      </c>
      <c r="L184" s="60">
        <f t="shared" si="22"/>
        <v>5.0561426709921937E-3</v>
      </c>
      <c r="M184" s="60">
        <f t="shared" si="22"/>
        <v>8.8046964727330826E-3</v>
      </c>
      <c r="N184" s="60">
        <f t="shared" si="22"/>
        <v>1.0217556580971626E-2</v>
      </c>
      <c r="O184" s="63">
        <f t="shared" si="22"/>
        <v>1.1123624883115074E-2</v>
      </c>
      <c r="P184" s="55" t="s">
        <v>394</v>
      </c>
      <c r="Q184" s="53" t="s">
        <v>395</v>
      </c>
      <c r="R184" s="94">
        <v>47270</v>
      </c>
      <c r="S184" s="71">
        <v>4.8289200000000004E-2</v>
      </c>
      <c r="T184" s="63">
        <f t="shared" si="20"/>
        <v>3.4819476727330767E-3</v>
      </c>
      <c r="V184" s="114">
        <v>1.1361872</v>
      </c>
      <c r="W184" s="72">
        <v>2.8871886899999999</v>
      </c>
      <c r="X184" s="72">
        <v>4.4396230899999996</v>
      </c>
      <c r="Y184" s="72">
        <v>5.7830903899999999</v>
      </c>
      <c r="Z184" s="115">
        <v>7.4780909000000007</v>
      </c>
      <c r="AB184" s="71">
        <v>4.227596199929267E-2</v>
      </c>
      <c r="AC184" s="71">
        <v>4.8002231770992193E-2</v>
      </c>
      <c r="AD184" s="71">
        <v>5.1771147672733081E-2</v>
      </c>
      <c r="AE184" s="71">
        <v>5.3868206180971628E-2</v>
      </c>
      <c r="AF184" s="63">
        <v>5.6170843083115068E-2</v>
      </c>
      <c r="AG184" s="71" t="s">
        <v>21</v>
      </c>
      <c r="AH184" s="71">
        <v>5.0561426709921937E-3</v>
      </c>
      <c r="AI184" s="71">
        <v>8.8046964727330826E-3</v>
      </c>
      <c r="AJ184" s="71">
        <v>1.0217556580971626E-2</v>
      </c>
      <c r="AK184" s="63">
        <v>1.1123624883115074E-2</v>
      </c>
    </row>
    <row r="185" spans="2:37" x14ac:dyDescent="0.35">
      <c r="B185" s="55" t="s">
        <v>359</v>
      </c>
      <c r="C185" s="53" t="s">
        <v>234</v>
      </c>
      <c r="D185" s="53" t="s">
        <v>20</v>
      </c>
      <c r="E185" s="53" t="s">
        <v>128</v>
      </c>
      <c r="F185" s="73">
        <f t="shared" si="21"/>
        <v>4.2726259968664915E-2</v>
      </c>
      <c r="G185" s="60">
        <f t="shared" si="21"/>
        <v>4.960050984334969E-2</v>
      </c>
      <c r="H185" s="60">
        <f t="shared" si="21"/>
        <v>5.5107651167445329E-2</v>
      </c>
      <c r="I185" s="60">
        <f t="shared" si="21"/>
        <v>5.755889435895617E-2</v>
      </c>
      <c r="J185" s="63">
        <f t="shared" si="21"/>
        <v>6.0620830656973893E-2</v>
      </c>
      <c r="K185" s="60" t="str">
        <f t="shared" si="22"/>
        <v/>
      </c>
      <c r="L185" s="60">
        <f t="shared" si="22"/>
        <v>6.5693580433496884E-3</v>
      </c>
      <c r="M185" s="60">
        <f t="shared" si="22"/>
        <v>1.1959730967445327E-2</v>
      </c>
      <c r="N185" s="60">
        <f t="shared" si="22"/>
        <v>1.3711937258956166E-2</v>
      </c>
      <c r="O185" s="63">
        <f t="shared" si="22"/>
        <v>1.5364774456973887E-2</v>
      </c>
      <c r="P185" s="55" t="s">
        <v>21</v>
      </c>
      <c r="Q185" s="53" t="s">
        <v>21</v>
      </c>
      <c r="R185" s="94" t="s">
        <v>21</v>
      </c>
      <c r="S185" s="71">
        <v>0</v>
      </c>
      <c r="T185" s="63">
        <f t="shared" si="20"/>
        <v>5.5107651167445329E-2</v>
      </c>
      <c r="V185" s="114">
        <v>1.1353393999999999</v>
      </c>
      <c r="W185" s="72">
        <v>2.8767094499999999</v>
      </c>
      <c r="X185" s="72">
        <v>4.3947766700000006</v>
      </c>
      <c r="Y185" s="72">
        <v>5.6832024500000005</v>
      </c>
      <c r="Z185" s="115">
        <v>7.2677253100000003</v>
      </c>
      <c r="AB185" s="71">
        <v>4.2726259968664915E-2</v>
      </c>
      <c r="AC185" s="71">
        <v>4.960050984334969E-2</v>
      </c>
      <c r="AD185" s="71">
        <v>5.5107651167445329E-2</v>
      </c>
      <c r="AE185" s="71">
        <v>5.755889435895617E-2</v>
      </c>
      <c r="AF185" s="63">
        <v>6.0620830656973893E-2</v>
      </c>
      <c r="AG185" s="71" t="s">
        <v>21</v>
      </c>
      <c r="AH185" s="71">
        <v>6.5693580433496884E-3</v>
      </c>
      <c r="AI185" s="71">
        <v>1.1959730967445327E-2</v>
      </c>
      <c r="AJ185" s="71">
        <v>1.3711937258956166E-2</v>
      </c>
      <c r="AK185" s="63">
        <v>1.5364774456973887E-2</v>
      </c>
    </row>
    <row r="186" spans="2:37" x14ac:dyDescent="0.35">
      <c r="B186" s="55" t="s">
        <v>155</v>
      </c>
      <c r="C186" s="53" t="s">
        <v>234</v>
      </c>
      <c r="D186" s="53" t="s">
        <v>43</v>
      </c>
      <c r="E186" s="53" t="s">
        <v>21</v>
      </c>
      <c r="F186" s="73">
        <f t="shared" si="21"/>
        <v>4.2632922390555106E-2</v>
      </c>
      <c r="G186" s="60">
        <f t="shared" si="21"/>
        <v>4.910175121201947E-2</v>
      </c>
      <c r="H186" s="60">
        <f t="shared" si="21"/>
        <v>5.4576421370101554E-2</v>
      </c>
      <c r="I186" s="60">
        <f t="shared" si="21"/>
        <v>5.7818073187017476E-2</v>
      </c>
      <c r="J186" s="63">
        <f t="shared" si="21"/>
        <v>6.1341720675044648E-2</v>
      </c>
      <c r="K186" s="60" t="str">
        <f t="shared" si="22"/>
        <v/>
      </c>
      <c r="L186" s="60">
        <f t="shared" si="22"/>
        <v>6.0993514120194735E-3</v>
      </c>
      <c r="M186" s="60">
        <f t="shared" si="22"/>
        <v>1.1459888070101558E-2</v>
      </c>
      <c r="N186" s="60">
        <f t="shared" si="22"/>
        <v>1.3956900687017475E-2</v>
      </c>
      <c r="O186" s="63">
        <f t="shared" si="22"/>
        <v>1.6049589975044652E-2</v>
      </c>
      <c r="P186" s="55" t="s">
        <v>502</v>
      </c>
      <c r="Q186" s="53" t="s">
        <v>503</v>
      </c>
      <c r="R186" s="94">
        <v>47536</v>
      </c>
      <c r="S186" s="71">
        <v>4.7832630000000001E-2</v>
      </c>
      <c r="T186" s="63">
        <f t="shared" si="20"/>
        <v>6.7437913701015526E-3</v>
      </c>
      <c r="V186" s="114">
        <v>1.1354887899999999</v>
      </c>
      <c r="W186" s="72">
        <v>2.87881973</v>
      </c>
      <c r="X186" s="72">
        <v>4.4012718099999999</v>
      </c>
      <c r="Y186" s="72">
        <v>5.6879209499999996</v>
      </c>
      <c r="Z186" s="115">
        <v>7.2551646200000004</v>
      </c>
      <c r="AB186" s="71">
        <v>4.2632922390555106E-2</v>
      </c>
      <c r="AC186" s="71">
        <v>4.910175121201947E-2</v>
      </c>
      <c r="AD186" s="71">
        <v>5.4576421370101554E-2</v>
      </c>
      <c r="AE186" s="71">
        <v>5.7818073187017476E-2</v>
      </c>
      <c r="AF186" s="63">
        <v>6.1341720675044648E-2</v>
      </c>
      <c r="AG186" s="71" t="s">
        <v>21</v>
      </c>
      <c r="AH186" s="71">
        <v>6.0993514120194735E-3</v>
      </c>
      <c r="AI186" s="71">
        <v>1.1459888070101558E-2</v>
      </c>
      <c r="AJ186" s="71">
        <v>1.3956900687017475E-2</v>
      </c>
      <c r="AK186" s="63">
        <v>1.6049589975044652E-2</v>
      </c>
    </row>
    <row r="187" spans="2:37" x14ac:dyDescent="0.35">
      <c r="B187" s="55" t="s">
        <v>136</v>
      </c>
      <c r="C187" s="53" t="s">
        <v>234</v>
      </c>
      <c r="D187" s="53" t="s">
        <v>47</v>
      </c>
      <c r="E187" s="53" t="s">
        <v>21</v>
      </c>
      <c r="F187" s="73">
        <f t="shared" si="21"/>
        <v>4.2661865757464598E-2</v>
      </c>
      <c r="G187" s="60">
        <f t="shared" si="21"/>
        <v>4.9123480144412639E-2</v>
      </c>
      <c r="H187" s="60">
        <f t="shared" si="21"/>
        <v>5.4519962821907103E-2</v>
      </c>
      <c r="I187" s="60">
        <f t="shared" si="21"/>
        <v>5.7573367380857519E-2</v>
      </c>
      <c r="J187" s="63">
        <f t="shared" si="21"/>
        <v>6.1270306486938368E-2</v>
      </c>
      <c r="K187" s="60" t="str">
        <f t="shared" si="22"/>
        <v/>
      </c>
      <c r="L187" s="60">
        <f t="shared" si="22"/>
        <v>6.1228132444126424E-3</v>
      </c>
      <c r="M187" s="60">
        <f t="shared" si="22"/>
        <v>1.1408574621907107E-2</v>
      </c>
      <c r="N187" s="60">
        <f t="shared" si="22"/>
        <v>1.3727714880857512E-2</v>
      </c>
      <c r="O187" s="63">
        <f t="shared" si="22"/>
        <v>1.5981960786938365E-2</v>
      </c>
      <c r="P187" s="55" t="s">
        <v>504</v>
      </c>
      <c r="Q187" s="53" t="s">
        <v>505</v>
      </c>
      <c r="R187" s="94">
        <v>47559</v>
      </c>
      <c r="S187" s="71">
        <v>4.8509330000000003E-2</v>
      </c>
      <c r="T187" s="63">
        <f t="shared" si="20"/>
        <v>6.0106328219070998E-3</v>
      </c>
      <c r="V187" s="114">
        <v>1.1353956199999999</v>
      </c>
      <c r="W187" s="72">
        <v>2.8791031500000002</v>
      </c>
      <c r="X187" s="72">
        <v>4.4019629999999994</v>
      </c>
      <c r="Y187" s="72">
        <v>5.69191425</v>
      </c>
      <c r="Z187" s="115">
        <v>7.2618840700000007</v>
      </c>
      <c r="AB187" s="71">
        <v>4.2661865757464598E-2</v>
      </c>
      <c r="AC187" s="71">
        <v>4.9123480144412639E-2</v>
      </c>
      <c r="AD187" s="71">
        <v>5.4519962821907103E-2</v>
      </c>
      <c r="AE187" s="71">
        <v>5.7573367380857519E-2</v>
      </c>
      <c r="AF187" s="63">
        <v>6.1270306486938368E-2</v>
      </c>
      <c r="AG187" s="71" t="s">
        <v>21</v>
      </c>
      <c r="AH187" s="71">
        <v>6.1228132444126424E-3</v>
      </c>
      <c r="AI187" s="71">
        <v>1.1408574621907107E-2</v>
      </c>
      <c r="AJ187" s="71">
        <v>1.3727714880857512E-2</v>
      </c>
      <c r="AK187" s="63">
        <v>1.5981960786938365E-2</v>
      </c>
    </row>
    <row r="188" spans="2:37" x14ac:dyDescent="0.35">
      <c r="B188" s="55" t="s">
        <v>322</v>
      </c>
      <c r="C188" s="53" t="s">
        <v>234</v>
      </c>
      <c r="D188" s="53" t="s">
        <v>69</v>
      </c>
      <c r="E188" s="53" t="s">
        <v>423</v>
      </c>
      <c r="F188" s="73">
        <f t="shared" si="21"/>
        <v>4.2334128191386808E-2</v>
      </c>
      <c r="G188" s="60">
        <f t="shared" si="21"/>
        <v>4.9136247318887015E-2</v>
      </c>
      <c r="H188" s="60">
        <f t="shared" si="21"/>
        <v>5.4424945807587957E-2</v>
      </c>
      <c r="I188" s="60">
        <f t="shared" si="21"/>
        <v>5.8046554883082142E-2</v>
      </c>
      <c r="J188" s="63">
        <f t="shared" si="21"/>
        <v>6.1490064547239175E-2</v>
      </c>
      <c r="K188" s="60" t="str">
        <f t="shared" si="22"/>
        <v/>
      </c>
      <c r="L188" s="60">
        <f t="shared" si="22"/>
        <v>6.1298615188870144E-3</v>
      </c>
      <c r="M188" s="60">
        <f t="shared" si="22"/>
        <v>1.1315258907587954E-2</v>
      </c>
      <c r="N188" s="60">
        <f t="shared" si="22"/>
        <v>1.4170936683082148E-2</v>
      </c>
      <c r="O188" s="63">
        <f t="shared" si="22"/>
        <v>1.6190985747239171E-2</v>
      </c>
      <c r="P188" s="55" t="s">
        <v>21</v>
      </c>
      <c r="Q188" s="53" t="s">
        <v>21</v>
      </c>
      <c r="R188" s="94" t="s">
        <v>21</v>
      </c>
      <c r="S188" s="71">
        <v>0</v>
      </c>
      <c r="T188" s="63">
        <f t="shared" si="20"/>
        <v>5.4424945807587957E-2</v>
      </c>
      <c r="V188" s="114">
        <v>1.13608357</v>
      </c>
      <c r="W188" s="72">
        <v>2.8796321300000001</v>
      </c>
      <c r="X188" s="72">
        <v>4.4034333299999995</v>
      </c>
      <c r="Y188" s="72">
        <v>5.6873125800000004</v>
      </c>
      <c r="Z188" s="115">
        <v>7.2494835599999998</v>
      </c>
      <c r="AB188" s="71">
        <v>4.2334128191386808E-2</v>
      </c>
      <c r="AC188" s="71">
        <v>4.9136247318887015E-2</v>
      </c>
      <c r="AD188" s="71">
        <v>5.4424945807587957E-2</v>
      </c>
      <c r="AE188" s="71">
        <v>5.8046554883082142E-2</v>
      </c>
      <c r="AF188" s="63">
        <v>6.1490064547239175E-2</v>
      </c>
      <c r="AG188" s="71" t="s">
        <v>21</v>
      </c>
      <c r="AH188" s="71">
        <v>6.1298615188870144E-3</v>
      </c>
      <c r="AI188" s="71">
        <v>1.1315258907587954E-2</v>
      </c>
      <c r="AJ188" s="71">
        <v>1.4170936683082148E-2</v>
      </c>
      <c r="AK188" s="63">
        <v>1.6190985747239171E-2</v>
      </c>
    </row>
    <row r="189" spans="2:37" x14ac:dyDescent="0.35">
      <c r="B189" s="55" t="s">
        <v>156</v>
      </c>
      <c r="C189" s="53" t="s">
        <v>234</v>
      </c>
      <c r="D189" s="53" t="s">
        <v>131</v>
      </c>
      <c r="E189" s="53" t="s">
        <v>75</v>
      </c>
      <c r="F189" s="73">
        <f t="shared" si="21"/>
        <v>4.2497820289096988E-2</v>
      </c>
      <c r="G189" s="60">
        <f t="shared" si="21"/>
        <v>4.9115204475414134E-2</v>
      </c>
      <c r="H189" s="60">
        <f t="shared" si="21"/>
        <v>5.4425175875923666E-2</v>
      </c>
      <c r="I189" s="60">
        <f t="shared" si="21"/>
        <v>5.7762710933159718E-2</v>
      </c>
      <c r="J189" s="63">
        <f t="shared" si="21"/>
        <v>6.1646844195198579E-2</v>
      </c>
      <c r="K189" s="60" t="str">
        <f t="shared" si="22"/>
        <v/>
      </c>
      <c r="L189" s="60">
        <f t="shared" si="22"/>
        <v>6.1101383754141314E-3</v>
      </c>
      <c r="M189" s="60">
        <f t="shared" si="22"/>
        <v>1.1315641375923665E-2</v>
      </c>
      <c r="N189" s="60">
        <f t="shared" si="22"/>
        <v>1.3903453833159716E-2</v>
      </c>
      <c r="O189" s="63">
        <f t="shared" si="22"/>
        <v>1.6336969395198582E-2</v>
      </c>
      <c r="P189" s="55" t="s">
        <v>506</v>
      </c>
      <c r="Q189" s="53" t="s">
        <v>507</v>
      </c>
      <c r="R189" s="94">
        <v>47534</v>
      </c>
      <c r="S189" s="71">
        <v>5.2007820000000003E-2</v>
      </c>
      <c r="T189" s="63">
        <f t="shared" si="20"/>
        <v>2.417355875923663E-3</v>
      </c>
      <c r="V189" s="114">
        <v>1.13577079</v>
      </c>
      <c r="W189" s="72">
        <v>2.8792278800000002</v>
      </c>
      <c r="X189" s="72">
        <v>4.4031212700000006</v>
      </c>
      <c r="Y189" s="72">
        <v>5.6908057900000006</v>
      </c>
      <c r="Z189" s="115">
        <v>7.2512241300000007</v>
      </c>
      <c r="AB189" s="71">
        <v>4.2497820289096988E-2</v>
      </c>
      <c r="AC189" s="71">
        <v>4.9115204475414134E-2</v>
      </c>
      <c r="AD189" s="71">
        <v>5.4425175875923666E-2</v>
      </c>
      <c r="AE189" s="71">
        <v>5.7762710933159718E-2</v>
      </c>
      <c r="AF189" s="63">
        <v>6.1646844195198579E-2</v>
      </c>
      <c r="AG189" s="71" t="s">
        <v>21</v>
      </c>
      <c r="AH189" s="71">
        <v>6.1101383754141314E-3</v>
      </c>
      <c r="AI189" s="71">
        <v>1.1315641375923665E-2</v>
      </c>
      <c r="AJ189" s="71">
        <v>1.3903453833159716E-2</v>
      </c>
      <c r="AK189" s="63">
        <v>1.6336969395198582E-2</v>
      </c>
    </row>
    <row r="190" spans="2:37" x14ac:dyDescent="0.35">
      <c r="B190" s="55" t="s">
        <v>326</v>
      </c>
      <c r="C190" s="53" t="s">
        <v>234</v>
      </c>
      <c r="D190" s="53" t="s">
        <v>20</v>
      </c>
      <c r="E190" s="53" t="s">
        <v>21</v>
      </c>
      <c r="F190" s="73">
        <f t="shared" si="21"/>
        <v>4.2017058829981566E-2</v>
      </c>
      <c r="G190" s="60">
        <f t="shared" si="21"/>
        <v>4.913456067353561E-2</v>
      </c>
      <c r="H190" s="60">
        <f t="shared" si="21"/>
        <v>5.4891914430454436E-2</v>
      </c>
      <c r="I190" s="60">
        <f t="shared" si="21"/>
        <v>5.8208203645028073E-2</v>
      </c>
      <c r="J190" s="63">
        <f t="shared" si="21"/>
        <v>6.152062978812959E-2</v>
      </c>
      <c r="K190" s="60" t="str">
        <f t="shared" si="22"/>
        <v/>
      </c>
      <c r="L190" s="60">
        <f t="shared" si="22"/>
        <v>6.1290080735356082E-3</v>
      </c>
      <c r="M190" s="60">
        <f t="shared" si="22"/>
        <v>1.1756755630454432E-2</v>
      </c>
      <c r="N190" s="60">
        <f t="shared" si="22"/>
        <v>1.432509134502807E-2</v>
      </c>
      <c r="O190" s="63">
        <f t="shared" si="22"/>
        <v>1.6222433988129593E-2</v>
      </c>
      <c r="P190" s="55" t="s">
        <v>21</v>
      </c>
      <c r="Q190" s="53" t="s">
        <v>21</v>
      </c>
      <c r="R190" s="94" t="s">
        <v>21</v>
      </c>
      <c r="S190" s="71">
        <v>0</v>
      </c>
      <c r="T190" s="63">
        <f t="shared" si="20"/>
        <v>5.4891914430454436E-2</v>
      </c>
      <c r="V190" s="114">
        <v>1.1367080200000002</v>
      </c>
      <c r="W190" s="72">
        <v>2.8813407899999999</v>
      </c>
      <c r="X190" s="72">
        <v>4.40035094</v>
      </c>
      <c r="Y190" s="72">
        <v>5.6795864800000002</v>
      </c>
      <c r="Z190" s="115">
        <v>7.239299270000001</v>
      </c>
      <c r="AB190" s="71">
        <v>4.2017058829981566E-2</v>
      </c>
      <c r="AC190" s="71">
        <v>4.913456067353561E-2</v>
      </c>
      <c r="AD190" s="71">
        <v>5.4891914430454436E-2</v>
      </c>
      <c r="AE190" s="71">
        <v>5.8208203645028073E-2</v>
      </c>
      <c r="AF190" s="63">
        <v>6.152062978812959E-2</v>
      </c>
      <c r="AG190" s="71" t="s">
        <v>21</v>
      </c>
      <c r="AH190" s="71">
        <v>6.1290080735356082E-3</v>
      </c>
      <c r="AI190" s="71">
        <v>1.1756755630454432E-2</v>
      </c>
      <c r="AJ190" s="71">
        <v>1.432509134502807E-2</v>
      </c>
      <c r="AK190" s="63">
        <v>1.6222433988129593E-2</v>
      </c>
    </row>
    <row r="191" spans="2:37" x14ac:dyDescent="0.35">
      <c r="B191" s="55" t="s">
        <v>267</v>
      </c>
      <c r="C191" s="53" t="s">
        <v>234</v>
      </c>
      <c r="D191" s="53" t="s">
        <v>31</v>
      </c>
      <c r="E191" s="53" t="s">
        <v>21</v>
      </c>
      <c r="F191" s="73">
        <f t="shared" si="21"/>
        <v>4.2326962817075368E-2</v>
      </c>
      <c r="G191" s="60">
        <f t="shared" si="21"/>
        <v>4.9280081992880413E-2</v>
      </c>
      <c r="H191" s="60">
        <f t="shared" si="21"/>
        <v>5.4381766061801631E-2</v>
      </c>
      <c r="I191" s="60">
        <f t="shared" si="21"/>
        <v>5.7147875904163217E-2</v>
      </c>
      <c r="J191" s="63">
        <f t="shared" si="21"/>
        <v>5.9545587173302779E-2</v>
      </c>
      <c r="K191" s="60" t="str">
        <f t="shared" si="22"/>
        <v/>
      </c>
      <c r="L191" s="60">
        <f t="shared" si="22"/>
        <v>6.264947292880409E-3</v>
      </c>
      <c r="M191" s="60">
        <f t="shared" si="22"/>
        <v>1.1273646061801626E-2</v>
      </c>
      <c r="N191" s="60">
        <f t="shared" si="22"/>
        <v>1.3322392004163221E-2</v>
      </c>
      <c r="O191" s="63">
        <f t="shared" si="22"/>
        <v>1.434385057330278E-2</v>
      </c>
      <c r="P191" s="55" t="s">
        <v>508</v>
      </c>
      <c r="Q191" s="53" t="s">
        <v>509</v>
      </c>
      <c r="R191" s="94">
        <v>47679</v>
      </c>
      <c r="S191" s="71">
        <v>5.4451219999999995E-2</v>
      </c>
      <c r="T191" s="63">
        <f t="shared" si="20"/>
        <v>-6.9453938198363319E-5</v>
      </c>
      <c r="V191" s="114">
        <v>1.13611061</v>
      </c>
      <c r="W191" s="72">
        <v>2.87879649</v>
      </c>
      <c r="X191" s="72">
        <v>4.40278101</v>
      </c>
      <c r="Y191" s="72">
        <v>5.6989071899999999</v>
      </c>
      <c r="Z191" s="115">
        <v>7.3091230600000001</v>
      </c>
      <c r="AB191" s="71">
        <v>4.2326962817075368E-2</v>
      </c>
      <c r="AC191" s="71">
        <v>4.9280081992880413E-2</v>
      </c>
      <c r="AD191" s="71">
        <v>5.4381766061801631E-2</v>
      </c>
      <c r="AE191" s="71">
        <v>5.7147875904163217E-2</v>
      </c>
      <c r="AF191" s="63">
        <v>5.9545587173302779E-2</v>
      </c>
      <c r="AG191" s="71" t="s">
        <v>21</v>
      </c>
      <c r="AH191" s="71">
        <v>6.264947292880409E-3</v>
      </c>
      <c r="AI191" s="71">
        <v>1.1273646061801626E-2</v>
      </c>
      <c r="AJ191" s="71">
        <v>1.3322392004163221E-2</v>
      </c>
      <c r="AK191" s="63">
        <v>1.434385057330278E-2</v>
      </c>
    </row>
    <row r="192" spans="2:37" x14ac:dyDescent="0.35">
      <c r="B192" s="55" t="s">
        <v>243</v>
      </c>
      <c r="C192" s="53" t="s">
        <v>234</v>
      </c>
      <c r="D192" s="53" t="s">
        <v>43</v>
      </c>
      <c r="E192" s="53" t="s">
        <v>112</v>
      </c>
      <c r="F192" s="73">
        <f t="shared" si="21"/>
        <v>4.2453663977114635E-2</v>
      </c>
      <c r="G192" s="60">
        <f t="shared" si="21"/>
        <v>4.9055250642487849E-2</v>
      </c>
      <c r="H192" s="60">
        <f t="shared" si="21"/>
        <v>5.4317047922714086E-2</v>
      </c>
      <c r="I192" s="60">
        <f t="shared" si="21"/>
        <v>5.7751350879932203E-2</v>
      </c>
      <c r="J192" s="63">
        <f t="shared" si="21"/>
        <v>6.1546778238000789E-2</v>
      </c>
      <c r="K192" s="60" t="str">
        <f t="shared" si="22"/>
        <v/>
      </c>
      <c r="L192" s="60">
        <f t="shared" si="22"/>
        <v>6.0536698424878523E-3</v>
      </c>
      <c r="M192" s="60">
        <f t="shared" si="22"/>
        <v>1.1213710522714084E-2</v>
      </c>
      <c r="N192" s="60">
        <f t="shared" si="22"/>
        <v>1.3892960179932206E-2</v>
      </c>
      <c r="O192" s="63">
        <f t="shared" si="22"/>
        <v>1.6243260338000803E-2</v>
      </c>
      <c r="P192" s="55" t="s">
        <v>510</v>
      </c>
      <c r="Q192" s="53" t="s">
        <v>511</v>
      </c>
      <c r="R192" s="94" t="s">
        <v>32</v>
      </c>
      <c r="S192" s="71">
        <v>5.2905499999999994E-2</v>
      </c>
      <c r="T192" s="63">
        <f t="shared" si="20"/>
        <v>1.4115479227140917E-3</v>
      </c>
      <c r="V192" s="114">
        <v>1.13585128</v>
      </c>
      <c r="W192" s="72">
        <v>2.88021518</v>
      </c>
      <c r="X192" s="72">
        <v>4.4051893500000006</v>
      </c>
      <c r="Y192" s="72">
        <v>5.6930863499999997</v>
      </c>
      <c r="Z192" s="115">
        <v>7.2552280700000003</v>
      </c>
      <c r="AB192" s="71">
        <v>4.2453663977114635E-2</v>
      </c>
      <c r="AC192" s="71">
        <v>4.9055250642487849E-2</v>
      </c>
      <c r="AD192" s="71">
        <v>5.4317047922714086E-2</v>
      </c>
      <c r="AE192" s="71">
        <v>5.7751350879932203E-2</v>
      </c>
      <c r="AF192" s="63">
        <v>6.1546778238000789E-2</v>
      </c>
      <c r="AG192" s="71" t="s">
        <v>21</v>
      </c>
      <c r="AH192" s="71">
        <v>6.0536698424878523E-3</v>
      </c>
      <c r="AI192" s="71">
        <v>1.1213710522714084E-2</v>
      </c>
      <c r="AJ192" s="71">
        <v>1.3892960179932206E-2</v>
      </c>
      <c r="AK192" s="63">
        <v>1.6243260338000803E-2</v>
      </c>
    </row>
    <row r="193" spans="2:37" x14ac:dyDescent="0.35">
      <c r="B193" s="55" t="s">
        <v>244</v>
      </c>
      <c r="C193" s="53" t="s">
        <v>234</v>
      </c>
      <c r="D193" s="53" t="s">
        <v>43</v>
      </c>
      <c r="E193" s="53" t="s">
        <v>245</v>
      </c>
      <c r="F193" s="73">
        <f t="shared" si="21"/>
        <v>4.2402839502569477E-2</v>
      </c>
      <c r="G193" s="60">
        <f t="shared" si="21"/>
        <v>4.9049374949013055E-2</v>
      </c>
      <c r="H193" s="60">
        <f t="shared" si="21"/>
        <v>5.4267467823723971E-2</v>
      </c>
      <c r="I193" s="60">
        <f t="shared" si="21"/>
        <v>5.789527082907666E-2</v>
      </c>
      <c r="J193" s="63">
        <f t="shared" si="21"/>
        <v>6.169580215962777E-2</v>
      </c>
      <c r="K193" s="60" t="str">
        <f t="shared" si="22"/>
        <v/>
      </c>
      <c r="L193" s="60">
        <f t="shared" si="22"/>
        <v>6.0492408490130517E-3</v>
      </c>
      <c r="M193" s="60">
        <f t="shared" si="22"/>
        <v>1.1167672723723977E-2</v>
      </c>
      <c r="N193" s="60">
        <f t="shared" si="22"/>
        <v>1.4029431029076653E-2</v>
      </c>
      <c r="O193" s="63">
        <f t="shared" si="22"/>
        <v>1.6385470059627771E-2</v>
      </c>
      <c r="P193" s="55" t="s">
        <v>512</v>
      </c>
      <c r="Q193" s="53" t="s">
        <v>513</v>
      </c>
      <c r="R193" s="94">
        <v>47492</v>
      </c>
      <c r="S193" s="71">
        <v>5.3505820000000003E-2</v>
      </c>
      <c r="T193" s="63">
        <f t="shared" si="20"/>
        <v>7.6164782372396822E-4</v>
      </c>
      <c r="V193" s="114">
        <v>1.1359323100000001</v>
      </c>
      <c r="W193" s="72">
        <v>2.8802731000000001</v>
      </c>
      <c r="X193" s="72">
        <v>4.4051858300000006</v>
      </c>
      <c r="Y193" s="72">
        <v>5.6906133199999998</v>
      </c>
      <c r="Z193" s="115">
        <v>7.24878892</v>
      </c>
      <c r="AB193" s="71">
        <v>4.2402839502569477E-2</v>
      </c>
      <c r="AC193" s="71">
        <v>4.9049374949013055E-2</v>
      </c>
      <c r="AD193" s="71">
        <v>5.4267467823723971E-2</v>
      </c>
      <c r="AE193" s="71">
        <v>5.789527082907666E-2</v>
      </c>
      <c r="AF193" s="63">
        <v>6.169580215962777E-2</v>
      </c>
      <c r="AG193" s="71" t="s">
        <v>21</v>
      </c>
      <c r="AH193" s="71">
        <v>6.0492408490130517E-3</v>
      </c>
      <c r="AI193" s="71">
        <v>1.1167672723723977E-2</v>
      </c>
      <c r="AJ193" s="71">
        <v>1.4029431029076653E-2</v>
      </c>
      <c r="AK193" s="63">
        <v>1.6385470059627771E-2</v>
      </c>
    </row>
    <row r="194" spans="2:37" x14ac:dyDescent="0.35">
      <c r="B194" s="55" t="s">
        <v>124</v>
      </c>
      <c r="C194" s="53" t="s">
        <v>234</v>
      </c>
      <c r="D194" s="53" t="s">
        <v>69</v>
      </c>
      <c r="E194" s="53" t="s">
        <v>81</v>
      </c>
      <c r="F194" s="73">
        <f t="shared" si="21"/>
        <v>4.2168917632021657E-2</v>
      </c>
      <c r="G194" s="60">
        <f t="shared" si="21"/>
        <v>4.8791041165250321E-2</v>
      </c>
      <c r="H194" s="60">
        <f t="shared" si="21"/>
        <v>5.4253875071710721E-2</v>
      </c>
      <c r="I194" s="60">
        <f t="shared" si="21"/>
        <v>5.7690072718709205E-2</v>
      </c>
      <c r="J194" s="63">
        <f t="shared" si="21"/>
        <v>6.1665708086008346E-2</v>
      </c>
      <c r="K194" s="60" t="str">
        <f t="shared" si="22"/>
        <v/>
      </c>
      <c r="L194" s="60">
        <f t="shared" si="22"/>
        <v>5.8035200652503177E-3</v>
      </c>
      <c r="M194" s="60">
        <f t="shared" si="22"/>
        <v>1.1154197271710721E-2</v>
      </c>
      <c r="N194" s="60">
        <f t="shared" si="22"/>
        <v>1.3835613918709206E-2</v>
      </c>
      <c r="O194" s="63">
        <f t="shared" si="22"/>
        <v>1.6356360586008346E-2</v>
      </c>
      <c r="P194" s="55" t="s">
        <v>21</v>
      </c>
      <c r="Q194" s="53" t="s">
        <v>21</v>
      </c>
      <c r="R194" s="94" t="s">
        <v>21</v>
      </c>
      <c r="S194" s="71">
        <v>0</v>
      </c>
      <c r="T194" s="63">
        <f t="shared" si="20"/>
        <v>5.4253875071710721E-2</v>
      </c>
      <c r="V194" s="114">
        <v>1.1363915099999999</v>
      </c>
      <c r="W194" s="72">
        <v>2.8822859999999997</v>
      </c>
      <c r="X194" s="72">
        <v>4.4083164100000003</v>
      </c>
      <c r="Y194" s="72">
        <v>5.6967905200000004</v>
      </c>
      <c r="Z194" s="115">
        <v>7.2560062600000004</v>
      </c>
      <c r="AB194" s="71">
        <v>4.2168917632021657E-2</v>
      </c>
      <c r="AC194" s="71">
        <v>4.8791041165250321E-2</v>
      </c>
      <c r="AD194" s="71">
        <v>5.4253875071710721E-2</v>
      </c>
      <c r="AE194" s="71">
        <v>5.7690072718709205E-2</v>
      </c>
      <c r="AF194" s="63">
        <v>6.1665708086008346E-2</v>
      </c>
      <c r="AG194" s="71" t="s">
        <v>21</v>
      </c>
      <c r="AH194" s="71">
        <v>5.8035200652503177E-3</v>
      </c>
      <c r="AI194" s="71">
        <v>1.1154197271710721E-2</v>
      </c>
      <c r="AJ194" s="71">
        <v>1.3835613918709206E-2</v>
      </c>
      <c r="AK194" s="63">
        <v>1.6356360586008346E-2</v>
      </c>
    </row>
    <row r="195" spans="2:37" x14ac:dyDescent="0.35">
      <c r="B195" s="55" t="s">
        <v>246</v>
      </c>
      <c r="C195" s="53" t="s">
        <v>234</v>
      </c>
      <c r="D195" s="53" t="s">
        <v>31</v>
      </c>
      <c r="E195" s="53" t="s">
        <v>255</v>
      </c>
      <c r="F195" s="73">
        <f t="shared" si="21"/>
        <v>4.2438825684080257E-2</v>
      </c>
      <c r="G195" s="60">
        <f t="shared" si="21"/>
        <v>4.9132535214811937E-2</v>
      </c>
      <c r="H195" s="60">
        <f t="shared" si="21"/>
        <v>5.4170530133853895E-2</v>
      </c>
      <c r="I195" s="60">
        <f t="shared" si="21"/>
        <v>5.6939478356355655E-2</v>
      </c>
      <c r="J195" s="63">
        <f t="shared" si="21"/>
        <v>6.0341828711526803E-2</v>
      </c>
      <c r="K195" s="60" t="str">
        <f t="shared" si="22"/>
        <v/>
      </c>
      <c r="L195" s="60">
        <f t="shared" si="22"/>
        <v>6.1262035148119424E-3</v>
      </c>
      <c r="M195" s="60">
        <f t="shared" si="22"/>
        <v>1.1074811233853902E-2</v>
      </c>
      <c r="N195" s="60">
        <f t="shared" si="22"/>
        <v>1.3126115956355646E-2</v>
      </c>
      <c r="O195" s="63">
        <f t="shared" si="22"/>
        <v>1.5098014111526802E-2</v>
      </c>
      <c r="P195" s="55" t="s">
        <v>514</v>
      </c>
      <c r="Q195" s="53" t="s">
        <v>515</v>
      </c>
      <c r="R195" s="94">
        <v>47491</v>
      </c>
      <c r="S195" s="71">
        <v>5.2183609999999998E-2</v>
      </c>
      <c r="T195" s="63">
        <f t="shared" si="20"/>
        <v>1.9869201338538964E-3</v>
      </c>
      <c r="V195" s="114">
        <v>1.1358870700000001</v>
      </c>
      <c r="W195" s="72">
        <v>2.8793209499999999</v>
      </c>
      <c r="X195" s="72">
        <v>4.4056800999999997</v>
      </c>
      <c r="Y195" s="72">
        <v>5.7048695500000006</v>
      </c>
      <c r="Z195" s="115">
        <v>7.2979818599999993</v>
      </c>
      <c r="AB195" s="71">
        <v>4.2438825684080257E-2</v>
      </c>
      <c r="AC195" s="71">
        <v>4.9132535214811937E-2</v>
      </c>
      <c r="AD195" s="71">
        <v>5.4170530133853895E-2</v>
      </c>
      <c r="AE195" s="71">
        <v>5.6939478356355655E-2</v>
      </c>
      <c r="AF195" s="63">
        <v>6.0341828711526803E-2</v>
      </c>
      <c r="AG195" s="71" t="s">
        <v>21</v>
      </c>
      <c r="AH195" s="71">
        <v>6.1262035148119424E-3</v>
      </c>
      <c r="AI195" s="71">
        <v>1.1074811233853902E-2</v>
      </c>
      <c r="AJ195" s="71">
        <v>1.3126115956355646E-2</v>
      </c>
      <c r="AK195" s="63">
        <v>1.5098014111526802E-2</v>
      </c>
    </row>
    <row r="196" spans="2:37" x14ac:dyDescent="0.35">
      <c r="B196" s="55" t="s">
        <v>336</v>
      </c>
      <c r="C196" s="53" t="s">
        <v>234</v>
      </c>
      <c r="D196" s="53" t="s">
        <v>20</v>
      </c>
      <c r="E196" s="53" t="s">
        <v>123</v>
      </c>
      <c r="F196" s="73">
        <f t="shared" si="21"/>
        <v>4.3905392476881508E-2</v>
      </c>
      <c r="G196" s="60">
        <f t="shared" si="21"/>
        <v>4.9865638041079276E-2</v>
      </c>
      <c r="H196" s="60">
        <f t="shared" si="21"/>
        <v>5.4581022798676784E-2</v>
      </c>
      <c r="I196" s="60">
        <f t="shared" si="21"/>
        <v>5.7267362427418103E-2</v>
      </c>
      <c r="J196" s="63">
        <f t="shared" si="21"/>
        <v>6.0683682364555395E-2</v>
      </c>
      <c r="K196" s="60">
        <f t="shared" si="22"/>
        <v>5.1372627688150898E-4</v>
      </c>
      <c r="L196" s="60">
        <f t="shared" si="22"/>
        <v>6.8159444410792781E-3</v>
      </c>
      <c r="M196" s="60">
        <f t="shared" si="22"/>
        <v>1.1459638398676787E-2</v>
      </c>
      <c r="N196" s="60">
        <f t="shared" si="22"/>
        <v>1.3432974227418116E-2</v>
      </c>
      <c r="O196" s="63">
        <f t="shared" si="22"/>
        <v>1.5417602764555387E-2</v>
      </c>
      <c r="P196" s="55" t="s">
        <v>21</v>
      </c>
      <c r="Q196" s="53" t="s">
        <v>21</v>
      </c>
      <c r="R196" s="94" t="s">
        <v>21</v>
      </c>
      <c r="S196" s="71">
        <v>0</v>
      </c>
      <c r="T196" s="63">
        <f t="shared" si="20"/>
        <v>5.4581022798676784E-2</v>
      </c>
      <c r="V196" s="114">
        <v>1.1331940899999999</v>
      </c>
      <c r="W196" s="72">
        <v>2.87063055</v>
      </c>
      <c r="X196" s="72">
        <v>4.3923938699999994</v>
      </c>
      <c r="Y196" s="72">
        <v>5.6864317999999994</v>
      </c>
      <c r="Z196" s="115">
        <v>7.2733180100000006</v>
      </c>
      <c r="AB196" s="71">
        <v>4.3905392476881508E-2</v>
      </c>
      <c r="AC196" s="71">
        <v>4.9865638041079276E-2</v>
      </c>
      <c r="AD196" s="71">
        <v>5.4581022798676784E-2</v>
      </c>
      <c r="AE196" s="71">
        <v>5.7267362427418103E-2</v>
      </c>
      <c r="AF196" s="63">
        <v>6.0683682364555395E-2</v>
      </c>
      <c r="AG196" s="71">
        <v>5.1372627688150898E-4</v>
      </c>
      <c r="AH196" s="71">
        <v>6.8159444410792781E-3</v>
      </c>
      <c r="AI196" s="71">
        <v>1.1459638398676787E-2</v>
      </c>
      <c r="AJ196" s="71">
        <v>1.3432974227418116E-2</v>
      </c>
      <c r="AK196" s="63">
        <v>1.5417602764555387E-2</v>
      </c>
    </row>
    <row r="197" spans="2:37" x14ac:dyDescent="0.35">
      <c r="B197" s="55" t="s">
        <v>337</v>
      </c>
      <c r="C197" s="53" t="s">
        <v>234</v>
      </c>
      <c r="D197" s="53" t="s">
        <v>20</v>
      </c>
      <c r="E197" s="53" t="s">
        <v>251</v>
      </c>
      <c r="F197" s="73">
        <f t="shared" si="21"/>
        <v>4.2338985701334472E-2</v>
      </c>
      <c r="G197" s="60">
        <f t="shared" si="21"/>
        <v>4.9326894014707301E-2</v>
      </c>
      <c r="H197" s="60">
        <f t="shared" si="21"/>
        <v>5.4521051369389187E-2</v>
      </c>
      <c r="I197" s="60">
        <f t="shared" si="21"/>
        <v>5.7835148188899989E-2</v>
      </c>
      <c r="J197" s="63">
        <f t="shared" si="21"/>
        <v>6.0993469834546468E-2</v>
      </c>
      <c r="K197" s="60" t="str">
        <f t="shared" si="22"/>
        <v/>
      </c>
      <c r="L197" s="60">
        <f t="shared" si="22"/>
        <v>6.3110683147073084E-3</v>
      </c>
      <c r="M197" s="60">
        <f t="shared" si="22"/>
        <v>1.1406504769389189E-2</v>
      </c>
      <c r="N197" s="60">
        <f t="shared" si="22"/>
        <v>1.397264818889999E-2</v>
      </c>
      <c r="O197" s="63">
        <f t="shared" si="22"/>
        <v>1.5723381334546465E-2</v>
      </c>
      <c r="P197" s="55" t="s">
        <v>382</v>
      </c>
      <c r="Q197" s="53" t="s">
        <v>383</v>
      </c>
      <c r="R197" s="94">
        <v>47624</v>
      </c>
      <c r="S197" s="71">
        <v>5.3227219999999999E-2</v>
      </c>
      <c r="T197" s="63">
        <f t="shared" si="20"/>
        <v>1.2938313693891881E-3</v>
      </c>
      <c r="V197" s="114">
        <v>1.1360515799999999</v>
      </c>
      <c r="W197" s="72">
        <v>2.8790636899999997</v>
      </c>
      <c r="X197" s="72">
        <v>4.4022539900000002</v>
      </c>
      <c r="Y197" s="72">
        <v>5.6880202899999999</v>
      </c>
      <c r="Z197" s="115">
        <v>7.2586388099999999</v>
      </c>
      <c r="AB197" s="71">
        <v>4.2338985701334472E-2</v>
      </c>
      <c r="AC197" s="71">
        <v>4.9326894014707301E-2</v>
      </c>
      <c r="AD197" s="71">
        <v>5.4521051369389187E-2</v>
      </c>
      <c r="AE197" s="71">
        <v>5.7835148188899989E-2</v>
      </c>
      <c r="AF197" s="63">
        <v>6.0993469834546468E-2</v>
      </c>
      <c r="AG197" s="71" t="s">
        <v>21</v>
      </c>
      <c r="AH197" s="71">
        <v>6.3110683147073084E-3</v>
      </c>
      <c r="AI197" s="71">
        <v>1.1406504769389189E-2</v>
      </c>
      <c r="AJ197" s="71">
        <v>1.397264818889999E-2</v>
      </c>
      <c r="AK197" s="63">
        <v>1.5723381334546465E-2</v>
      </c>
    </row>
    <row r="198" spans="2:37" x14ac:dyDescent="0.35">
      <c r="B198" s="55" t="s">
        <v>146</v>
      </c>
      <c r="C198" s="53" t="s">
        <v>234</v>
      </c>
      <c r="D198" s="53" t="s">
        <v>69</v>
      </c>
      <c r="E198" s="53" t="s">
        <v>348</v>
      </c>
      <c r="F198" s="73">
        <f t="shared" si="21"/>
        <v>4.2523940186418897E-2</v>
      </c>
      <c r="G198" s="60">
        <f t="shared" si="21"/>
        <v>4.897267356500478E-2</v>
      </c>
      <c r="H198" s="60">
        <f t="shared" si="21"/>
        <v>5.401115087903223E-2</v>
      </c>
      <c r="I198" s="60">
        <f t="shared" si="21"/>
        <v>5.7068489381702198E-2</v>
      </c>
      <c r="J198" s="63">
        <f t="shared" si="21"/>
        <v>6.1384654042477144E-2</v>
      </c>
      <c r="K198" s="60" t="str">
        <f t="shared" si="22"/>
        <v/>
      </c>
      <c r="L198" s="60">
        <f t="shared" si="22"/>
        <v>5.9751430650047789E-3</v>
      </c>
      <c r="M198" s="60">
        <f t="shared" si="22"/>
        <v>1.092449727903223E-2</v>
      </c>
      <c r="N198" s="60">
        <f t="shared" si="22"/>
        <v>1.3248163381702191E-2</v>
      </c>
      <c r="O198" s="63">
        <f t="shared" si="22"/>
        <v>1.6086044742477153E-2</v>
      </c>
      <c r="P198" s="55" t="s">
        <v>516</v>
      </c>
      <c r="Q198" s="53" t="s">
        <v>517</v>
      </c>
      <c r="R198" s="94" t="s">
        <v>32</v>
      </c>
      <c r="S198" s="71">
        <v>5.3895920000000007E-2</v>
      </c>
      <c r="T198" s="63">
        <f t="shared" si="20"/>
        <v>1.152308790322229E-4</v>
      </c>
      <c r="V198" s="114">
        <v>1.1357226</v>
      </c>
      <c r="W198" s="72">
        <v>2.8798639800000001</v>
      </c>
      <c r="X198" s="72">
        <v>4.4081309800000001</v>
      </c>
      <c r="Y198" s="72">
        <v>5.7057778599999995</v>
      </c>
      <c r="Z198" s="115">
        <v>7.2745209500000003</v>
      </c>
      <c r="AB198" s="71">
        <v>4.2523940186418897E-2</v>
      </c>
      <c r="AC198" s="71">
        <v>4.897267356500478E-2</v>
      </c>
      <c r="AD198" s="71">
        <v>5.401115087903223E-2</v>
      </c>
      <c r="AE198" s="71">
        <v>5.7068489381702198E-2</v>
      </c>
      <c r="AF198" s="63">
        <v>6.1384654042477144E-2</v>
      </c>
      <c r="AG198" s="71" t="s">
        <v>21</v>
      </c>
      <c r="AH198" s="71">
        <v>5.9751430650047789E-3</v>
      </c>
      <c r="AI198" s="71">
        <v>1.092449727903223E-2</v>
      </c>
      <c r="AJ198" s="71">
        <v>1.3248163381702191E-2</v>
      </c>
      <c r="AK198" s="63">
        <v>1.6086044742477153E-2</v>
      </c>
    </row>
    <row r="199" spans="2:37" x14ac:dyDescent="0.35">
      <c r="B199" s="55" t="s">
        <v>145</v>
      </c>
      <c r="C199" s="53" t="s">
        <v>234</v>
      </c>
      <c r="D199" s="53" t="s">
        <v>20</v>
      </c>
      <c r="E199" s="53" t="s">
        <v>21</v>
      </c>
      <c r="F199" s="73">
        <f t="shared" si="21"/>
        <v>4.3928261543989836E-2</v>
      </c>
      <c r="G199" s="60">
        <f t="shared" si="21"/>
        <v>5.0077116414337958E-2</v>
      </c>
      <c r="H199" s="60">
        <f t="shared" si="21"/>
        <v>5.4519696203243172E-2</v>
      </c>
      <c r="I199" s="60">
        <f t="shared" si="21"/>
        <v>5.7265281281866427E-2</v>
      </c>
      <c r="J199" s="63">
        <f t="shared" si="21"/>
        <v>6.0450106278855262E-2</v>
      </c>
      <c r="K199" s="60">
        <f t="shared" si="22"/>
        <v>5.431218439898378E-4</v>
      </c>
      <c r="L199" s="60">
        <f t="shared" si="22"/>
        <v>7.0191569143379607E-3</v>
      </c>
      <c r="M199" s="60">
        <f t="shared" si="22"/>
        <v>1.1403912803243177E-2</v>
      </c>
      <c r="N199" s="60">
        <f t="shared" si="22"/>
        <v>1.3432214581866418E-2</v>
      </c>
      <c r="O199" s="63">
        <f t="shared" si="22"/>
        <v>1.519891727885528E-2</v>
      </c>
      <c r="P199" s="55" t="s">
        <v>518</v>
      </c>
      <c r="Q199" s="53" t="s">
        <v>519</v>
      </c>
      <c r="R199" s="94" t="s">
        <v>32</v>
      </c>
      <c r="S199" s="71">
        <v>5.0713609999999992E-2</v>
      </c>
      <c r="T199" s="63">
        <f t="shared" si="20"/>
        <v>3.8060862032431794E-3</v>
      </c>
      <c r="V199" s="114">
        <v>1.1330972099999999</v>
      </c>
      <c r="W199" s="72">
        <v>2.8685931600000001</v>
      </c>
      <c r="X199" s="72">
        <v>4.39101125</v>
      </c>
      <c r="Y199" s="72">
        <v>5.6861649999999999</v>
      </c>
      <c r="Z199" s="115">
        <v>7.2759587799999998</v>
      </c>
      <c r="AB199" s="71">
        <v>4.3928261543989836E-2</v>
      </c>
      <c r="AC199" s="71">
        <v>5.0077116414337958E-2</v>
      </c>
      <c r="AD199" s="71">
        <v>5.4519696203243172E-2</v>
      </c>
      <c r="AE199" s="71">
        <v>5.7265281281866427E-2</v>
      </c>
      <c r="AF199" s="63">
        <v>6.0450106278855262E-2</v>
      </c>
      <c r="AG199" s="71">
        <v>5.431218439898378E-4</v>
      </c>
      <c r="AH199" s="71">
        <v>7.0191569143379607E-3</v>
      </c>
      <c r="AI199" s="71">
        <v>1.1403912803243177E-2</v>
      </c>
      <c r="AJ199" s="71">
        <v>1.3432214581866418E-2</v>
      </c>
      <c r="AK199" s="63">
        <v>1.519891727885528E-2</v>
      </c>
    </row>
    <row r="200" spans="2:37" x14ac:dyDescent="0.35">
      <c r="B200" s="55" t="s">
        <v>152</v>
      </c>
      <c r="C200" s="53" t="s">
        <v>234</v>
      </c>
      <c r="D200" s="53" t="s">
        <v>47</v>
      </c>
      <c r="E200" s="53" t="s">
        <v>141</v>
      </c>
      <c r="F200" s="73">
        <f t="shared" si="21"/>
        <v>4.2661182241424837E-2</v>
      </c>
      <c r="G200" s="60">
        <f t="shared" si="21"/>
        <v>4.9083798163960551E-2</v>
      </c>
      <c r="H200" s="60">
        <f t="shared" si="21"/>
        <v>5.3964538259159464E-2</v>
      </c>
      <c r="I200" s="60">
        <f t="shared" si="21"/>
        <v>5.7021945130872408E-2</v>
      </c>
      <c r="J200" s="63">
        <f t="shared" si="21"/>
        <v>6.0975215816305939E-2</v>
      </c>
      <c r="K200" s="60" t="str">
        <f t="shared" si="22"/>
        <v/>
      </c>
      <c r="L200" s="60">
        <f t="shared" si="22"/>
        <v>6.0810327639605581E-3</v>
      </c>
      <c r="M200" s="60">
        <f t="shared" si="22"/>
        <v>1.0880861659159455E-2</v>
      </c>
      <c r="N200" s="60">
        <f t="shared" si="22"/>
        <v>1.3204340630872412E-2</v>
      </c>
      <c r="O200" s="63">
        <f t="shared" si="22"/>
        <v>1.5698786916305954E-2</v>
      </c>
      <c r="P200" s="55" t="s">
        <v>520</v>
      </c>
      <c r="Q200" s="53" t="s">
        <v>521</v>
      </c>
      <c r="R200" s="94" t="s">
        <v>32</v>
      </c>
      <c r="S200" s="71">
        <v>4.9592400000000002E-2</v>
      </c>
      <c r="T200" s="63">
        <f t="shared" si="20"/>
        <v>4.3721382591594624E-3</v>
      </c>
      <c r="V200" s="114">
        <v>1.1354530899999999</v>
      </c>
      <c r="W200" s="72">
        <v>2.8788767900000001</v>
      </c>
      <c r="X200" s="72">
        <v>4.4074262199999996</v>
      </c>
      <c r="Y200" s="72">
        <v>5.7059504400000005</v>
      </c>
      <c r="Z200" s="115">
        <v>7.2840422700000005</v>
      </c>
      <c r="AB200" s="71">
        <v>4.2661182241424837E-2</v>
      </c>
      <c r="AC200" s="71">
        <v>4.9083798163960551E-2</v>
      </c>
      <c r="AD200" s="71">
        <v>5.3964538259159464E-2</v>
      </c>
      <c r="AE200" s="71">
        <v>5.7021945130872408E-2</v>
      </c>
      <c r="AF200" s="63">
        <v>6.0975215816305939E-2</v>
      </c>
      <c r="AG200" s="71" t="s">
        <v>21</v>
      </c>
      <c r="AH200" s="71">
        <v>6.0810327639605581E-3</v>
      </c>
      <c r="AI200" s="71">
        <v>1.0880861659159455E-2</v>
      </c>
      <c r="AJ200" s="71">
        <v>1.3204340630872412E-2</v>
      </c>
      <c r="AK200" s="63">
        <v>1.5698786916305954E-2</v>
      </c>
    </row>
    <row r="201" spans="2:37" x14ac:dyDescent="0.35">
      <c r="B201" s="55" t="s">
        <v>241</v>
      </c>
      <c r="C201" s="53" t="s">
        <v>234</v>
      </c>
      <c r="D201" s="53" t="s">
        <v>69</v>
      </c>
      <c r="E201" s="53" t="s">
        <v>342</v>
      </c>
      <c r="F201" s="73">
        <f t="shared" si="21"/>
        <v>4.2107003864665295E-2</v>
      </c>
      <c r="G201" s="60">
        <f t="shared" si="21"/>
        <v>4.8664917987795757E-2</v>
      </c>
      <c r="H201" s="60">
        <f t="shared" si="21"/>
        <v>5.3887619841398622E-2</v>
      </c>
      <c r="I201" s="60">
        <f t="shared" si="21"/>
        <v>5.7186809032484624E-2</v>
      </c>
      <c r="J201" s="63">
        <f t="shared" si="21"/>
        <v>6.0651148124177143E-2</v>
      </c>
      <c r="K201" s="60" t="str">
        <f t="shared" si="22"/>
        <v/>
      </c>
      <c r="L201" s="60">
        <f t="shared" si="22"/>
        <v>5.6860920877957492E-3</v>
      </c>
      <c r="M201" s="60">
        <f t="shared" si="22"/>
        <v>1.0809556141398616E-2</v>
      </c>
      <c r="N201" s="60">
        <f t="shared" si="22"/>
        <v>1.3361793632484627E-2</v>
      </c>
      <c r="O201" s="63">
        <f t="shared" si="22"/>
        <v>1.5396522724177139E-2</v>
      </c>
      <c r="P201" s="55" t="s">
        <v>522</v>
      </c>
      <c r="Q201" s="53" t="s">
        <v>523</v>
      </c>
      <c r="R201" s="94" t="s">
        <v>32</v>
      </c>
      <c r="S201" s="71">
        <v>5.7555880000000004E-2</v>
      </c>
      <c r="T201" s="63">
        <f t="shared" si="20"/>
        <v>-3.6682601586013816E-3</v>
      </c>
      <c r="V201" s="114">
        <v>1.13648203</v>
      </c>
      <c r="W201" s="72">
        <v>2.8832088200000001</v>
      </c>
      <c r="X201" s="72">
        <v>4.4130382199999998</v>
      </c>
      <c r="Y201" s="72">
        <v>5.7087859099999996</v>
      </c>
      <c r="Z201" s="115">
        <v>7.2918510500000009</v>
      </c>
      <c r="AB201" s="71">
        <v>4.2107003864665295E-2</v>
      </c>
      <c r="AC201" s="71">
        <v>4.8664917987795757E-2</v>
      </c>
      <c r="AD201" s="71">
        <v>5.3887619841398622E-2</v>
      </c>
      <c r="AE201" s="71">
        <v>5.7186809032484624E-2</v>
      </c>
      <c r="AF201" s="63">
        <v>6.0651148124177143E-2</v>
      </c>
      <c r="AG201" s="71" t="s">
        <v>21</v>
      </c>
      <c r="AH201" s="71">
        <v>5.6860920877957492E-3</v>
      </c>
      <c r="AI201" s="71">
        <v>1.0809556141398616E-2</v>
      </c>
      <c r="AJ201" s="71">
        <v>1.3361793632484627E-2</v>
      </c>
      <c r="AK201" s="63">
        <v>1.5396522724177139E-2</v>
      </c>
    </row>
    <row r="202" spans="2:37" x14ac:dyDescent="0.35">
      <c r="B202" s="55" t="s">
        <v>340</v>
      </c>
      <c r="C202" s="53" t="s">
        <v>234</v>
      </c>
      <c r="D202" s="53" t="s">
        <v>20</v>
      </c>
      <c r="E202" s="53" t="s">
        <v>123</v>
      </c>
      <c r="F202" s="73">
        <f t="shared" si="21"/>
        <v>4.2823246579861966E-2</v>
      </c>
      <c r="G202" s="60">
        <f t="shared" si="21"/>
        <v>4.9440560408634676E-2</v>
      </c>
      <c r="H202" s="60">
        <f t="shared" si="21"/>
        <v>5.4392279168359384E-2</v>
      </c>
      <c r="I202" s="60">
        <f t="shared" si="21"/>
        <v>5.7011615317750217E-2</v>
      </c>
      <c r="J202" s="63">
        <f t="shared" si="21"/>
        <v>6.008832146794163E-2</v>
      </c>
      <c r="K202" s="60" t="str">
        <f t="shared" si="22"/>
        <v/>
      </c>
      <c r="L202" s="60">
        <f t="shared" si="22"/>
        <v>6.4123196086346736E-3</v>
      </c>
      <c r="M202" s="60">
        <f t="shared" si="22"/>
        <v>1.1280405268359378E-2</v>
      </c>
      <c r="N202" s="60">
        <f t="shared" si="22"/>
        <v>1.319187551775022E-2</v>
      </c>
      <c r="O202" s="63">
        <f t="shared" si="22"/>
        <v>1.4856089667941632E-2</v>
      </c>
      <c r="P202" s="55" t="s">
        <v>21</v>
      </c>
      <c r="Q202" s="53" t="s">
        <v>21</v>
      </c>
      <c r="R202" s="94" t="s">
        <v>21</v>
      </c>
      <c r="S202" s="71">
        <v>0</v>
      </c>
      <c r="T202" s="63">
        <f t="shared" si="20"/>
        <v>5.4392279168359384E-2</v>
      </c>
      <c r="V202" s="114">
        <v>1.1352513799999999</v>
      </c>
      <c r="W202" s="72">
        <v>2.87727311</v>
      </c>
      <c r="X202" s="72">
        <v>4.40140756</v>
      </c>
      <c r="Y202" s="72">
        <v>5.6974033000000004</v>
      </c>
      <c r="Z202" s="115">
        <v>7.2952035100000003</v>
      </c>
      <c r="AB202" s="71">
        <v>4.2823246579861966E-2</v>
      </c>
      <c r="AC202" s="71">
        <v>4.9440560408634676E-2</v>
      </c>
      <c r="AD202" s="71">
        <v>5.4392279168359384E-2</v>
      </c>
      <c r="AE202" s="71">
        <v>5.7011615317750217E-2</v>
      </c>
      <c r="AF202" s="63">
        <v>6.008832146794163E-2</v>
      </c>
      <c r="AG202" s="71" t="s">
        <v>21</v>
      </c>
      <c r="AH202" s="71">
        <v>6.4123196086346736E-3</v>
      </c>
      <c r="AI202" s="71">
        <v>1.1280405268359378E-2</v>
      </c>
      <c r="AJ202" s="71">
        <v>1.319187551775022E-2</v>
      </c>
      <c r="AK202" s="63">
        <v>1.4856089667941632E-2</v>
      </c>
    </row>
    <row r="203" spans="2:37" x14ac:dyDescent="0.35">
      <c r="B203" s="55" t="s">
        <v>240</v>
      </c>
      <c r="C203" s="53" t="s">
        <v>234</v>
      </c>
      <c r="D203" s="53" t="s">
        <v>20</v>
      </c>
      <c r="E203" s="53" t="s">
        <v>245</v>
      </c>
      <c r="F203" s="73">
        <f t="shared" si="21"/>
        <v>4.2417922473103241E-2</v>
      </c>
      <c r="G203" s="60">
        <f t="shared" si="21"/>
        <v>4.9456233585519413E-2</v>
      </c>
      <c r="H203" s="60">
        <f t="shared" si="21"/>
        <v>5.4378268872165236E-2</v>
      </c>
      <c r="I203" s="60">
        <f t="shared" si="21"/>
        <v>5.7890413546938087E-2</v>
      </c>
      <c r="J203" s="63">
        <f t="shared" si="21"/>
        <v>6.1398176561722688E-2</v>
      </c>
      <c r="K203" s="60" t="str">
        <f t="shared" si="22"/>
        <v/>
      </c>
      <c r="L203" s="60">
        <f t="shared" si="22"/>
        <v>6.4291401855194087E-3</v>
      </c>
      <c r="M203" s="60">
        <f t="shared" si="22"/>
        <v>1.1268982772165245E-2</v>
      </c>
      <c r="N203" s="60">
        <f t="shared" si="22"/>
        <v>1.4023795946938079E-2</v>
      </c>
      <c r="O203" s="63">
        <f t="shared" si="22"/>
        <v>1.610542076172268E-2</v>
      </c>
      <c r="P203" s="55" t="s">
        <v>524</v>
      </c>
      <c r="Q203" s="53" t="s">
        <v>525</v>
      </c>
      <c r="R203" s="94">
        <v>47515</v>
      </c>
      <c r="S203" s="71">
        <v>5.3725660000000001E-2</v>
      </c>
      <c r="T203" s="63">
        <f t="shared" si="20"/>
        <v>6.5260887216523483E-4</v>
      </c>
      <c r="V203" s="114">
        <v>1.1359601699999999</v>
      </c>
      <c r="W203" s="72">
        <v>2.8771617799999998</v>
      </c>
      <c r="X203" s="72">
        <v>4.4011563900000006</v>
      </c>
      <c r="Y203" s="72">
        <v>5.6865809299999999</v>
      </c>
      <c r="Z203" s="115">
        <v>7.2495893899999997</v>
      </c>
      <c r="AB203" s="71">
        <v>4.2417922473103241E-2</v>
      </c>
      <c r="AC203" s="71">
        <v>4.9456233585519413E-2</v>
      </c>
      <c r="AD203" s="71">
        <v>5.4378268872165236E-2</v>
      </c>
      <c r="AE203" s="71">
        <v>5.7890413546938087E-2</v>
      </c>
      <c r="AF203" s="63">
        <v>6.1398176561722688E-2</v>
      </c>
      <c r="AG203" s="71" t="s">
        <v>21</v>
      </c>
      <c r="AH203" s="71">
        <v>6.4291401855194087E-3</v>
      </c>
      <c r="AI203" s="71">
        <v>1.1268982772165245E-2</v>
      </c>
      <c r="AJ203" s="71">
        <v>1.4023795946938079E-2</v>
      </c>
      <c r="AK203" s="63">
        <v>1.610542076172268E-2</v>
      </c>
    </row>
    <row r="204" spans="2:37" x14ac:dyDescent="0.35">
      <c r="B204" s="55" t="s">
        <v>147</v>
      </c>
      <c r="C204" s="53" t="s">
        <v>234</v>
      </c>
      <c r="D204" s="53" t="s">
        <v>69</v>
      </c>
      <c r="E204" s="53" t="s">
        <v>21</v>
      </c>
      <c r="F204" s="73">
        <f t="shared" si="21"/>
        <v>4.2074992382028074E-2</v>
      </c>
      <c r="G204" s="60">
        <f t="shared" si="21"/>
        <v>4.8611909402509215E-2</v>
      </c>
      <c r="H204" s="60">
        <f t="shared" si="21"/>
        <v>5.3784813534263246E-2</v>
      </c>
      <c r="I204" s="60">
        <f t="shared" si="21"/>
        <v>5.6894593666833443E-2</v>
      </c>
      <c r="J204" s="63">
        <f t="shared" si="21"/>
        <v>6.0621624393330853E-2</v>
      </c>
      <c r="K204" s="60" t="str">
        <f t="shared" si="22"/>
        <v/>
      </c>
      <c r="L204" s="60">
        <f t="shared" si="22"/>
        <v>5.6342300025092207E-3</v>
      </c>
      <c r="M204" s="60">
        <f t="shared" si="22"/>
        <v>1.0711228734263245E-2</v>
      </c>
      <c r="N204" s="60">
        <f t="shared" si="22"/>
        <v>1.3084904466833433E-2</v>
      </c>
      <c r="O204" s="63">
        <f t="shared" si="22"/>
        <v>1.536623839333086E-2</v>
      </c>
      <c r="P204" s="55" t="s">
        <v>526</v>
      </c>
      <c r="Q204" s="53" t="s">
        <v>527</v>
      </c>
      <c r="R204" s="94" t="s">
        <v>32</v>
      </c>
      <c r="S204" s="71">
        <v>5.189535E-2</v>
      </c>
      <c r="T204" s="63">
        <f t="shared" si="20"/>
        <v>1.8894635342632457E-3</v>
      </c>
      <c r="V204" s="114">
        <v>1.1365653200000001</v>
      </c>
      <c r="W204" s="72">
        <v>2.8836876899999999</v>
      </c>
      <c r="X204" s="72">
        <v>4.4146359300000002</v>
      </c>
      <c r="Y204" s="72">
        <v>5.7144419800000001</v>
      </c>
      <c r="Z204" s="115">
        <v>7.2994849799999999</v>
      </c>
      <c r="AB204" s="71">
        <v>4.2074992382028074E-2</v>
      </c>
      <c r="AC204" s="71">
        <v>4.8611909402509215E-2</v>
      </c>
      <c r="AD204" s="71">
        <v>5.3784813534263246E-2</v>
      </c>
      <c r="AE204" s="71">
        <v>5.6894593666833443E-2</v>
      </c>
      <c r="AF204" s="63">
        <v>6.0621624393330853E-2</v>
      </c>
      <c r="AG204" s="71" t="s">
        <v>21</v>
      </c>
      <c r="AH204" s="71">
        <v>5.6342300025092207E-3</v>
      </c>
      <c r="AI204" s="71">
        <v>1.0711228734263245E-2</v>
      </c>
      <c r="AJ204" s="71">
        <v>1.3084904466833433E-2</v>
      </c>
      <c r="AK204" s="63">
        <v>1.536623839333086E-2</v>
      </c>
    </row>
    <row r="205" spans="2:37" x14ac:dyDescent="0.35">
      <c r="B205" s="55" t="s">
        <v>178</v>
      </c>
      <c r="C205" s="53" t="s">
        <v>234</v>
      </c>
      <c r="D205" s="53" t="s">
        <v>47</v>
      </c>
      <c r="E205" s="53" t="s">
        <v>128</v>
      </c>
      <c r="F205" s="73">
        <f t="shared" si="21"/>
        <v>4.2196252622304191E-2</v>
      </c>
      <c r="G205" s="60">
        <f t="shared" si="21"/>
        <v>4.8418101632787112E-2</v>
      </c>
      <c r="H205" s="60">
        <f t="shared" si="21"/>
        <v>5.3734331182177977E-2</v>
      </c>
      <c r="I205" s="60">
        <f t="shared" si="21"/>
        <v>5.712096802680651E-2</v>
      </c>
      <c r="J205" s="63">
        <f t="shared" si="21"/>
        <v>6.1280334375977658E-2</v>
      </c>
      <c r="K205" s="60" t="str">
        <f t="shared" si="22"/>
        <v/>
      </c>
      <c r="L205" s="60">
        <f t="shared" si="22"/>
        <v>5.4505821327871188E-3</v>
      </c>
      <c r="M205" s="60">
        <f t="shared" si="22"/>
        <v>1.0664068582177975E-2</v>
      </c>
      <c r="N205" s="60">
        <f t="shared" si="22"/>
        <v>1.3300768426806503E-2</v>
      </c>
      <c r="O205" s="63">
        <f t="shared" si="22"/>
        <v>1.5994028075977648E-2</v>
      </c>
      <c r="P205" s="55" t="s">
        <v>21</v>
      </c>
      <c r="Q205" s="53" t="s">
        <v>21</v>
      </c>
      <c r="R205" s="94" t="s">
        <v>21</v>
      </c>
      <c r="S205" s="71">
        <v>0</v>
      </c>
      <c r="T205" s="63">
        <f t="shared" si="20"/>
        <v>5.3734331182177977E-2</v>
      </c>
      <c r="V205" s="114">
        <v>1.13633852</v>
      </c>
      <c r="W205" s="72">
        <v>2.8847416099999998</v>
      </c>
      <c r="X205" s="72">
        <v>4.4166938399999998</v>
      </c>
      <c r="Y205" s="72">
        <v>5.7138887300000007</v>
      </c>
      <c r="Z205" s="115">
        <v>7.2842762899999993</v>
      </c>
      <c r="AB205" s="71">
        <v>4.2196252622304191E-2</v>
      </c>
      <c r="AC205" s="71">
        <v>4.8418101632787112E-2</v>
      </c>
      <c r="AD205" s="71">
        <v>5.3734331182177977E-2</v>
      </c>
      <c r="AE205" s="71">
        <v>5.712096802680651E-2</v>
      </c>
      <c r="AF205" s="63">
        <v>6.1280334375977658E-2</v>
      </c>
      <c r="AG205" s="71" t="s">
        <v>21</v>
      </c>
      <c r="AH205" s="71">
        <v>5.4505821327871188E-3</v>
      </c>
      <c r="AI205" s="71">
        <v>1.0664068582177975E-2</v>
      </c>
      <c r="AJ205" s="71">
        <v>1.3300768426806503E-2</v>
      </c>
      <c r="AK205" s="63">
        <v>1.5994028075977648E-2</v>
      </c>
    </row>
    <row r="206" spans="2:37" x14ac:dyDescent="0.35">
      <c r="B206" s="55" t="s">
        <v>327</v>
      </c>
      <c r="C206" s="53" t="s">
        <v>234</v>
      </c>
      <c r="D206" s="53" t="s">
        <v>169</v>
      </c>
      <c r="E206" s="53" t="s">
        <v>81</v>
      </c>
      <c r="F206" s="73">
        <f t="shared" si="21"/>
        <v>4.2161356347153692E-2</v>
      </c>
      <c r="G206" s="60">
        <f t="shared" si="21"/>
        <v>4.8722086208236086E-2</v>
      </c>
      <c r="H206" s="60">
        <f t="shared" si="21"/>
        <v>5.4069879668571248E-2</v>
      </c>
      <c r="I206" s="60">
        <f t="shared" si="21"/>
        <v>5.8195472938696771E-2</v>
      </c>
      <c r="J206" s="63">
        <f t="shared" si="21"/>
        <v>6.1595899242926973E-2</v>
      </c>
      <c r="K206" s="60" t="str">
        <f t="shared" si="22"/>
        <v/>
      </c>
      <c r="L206" s="60">
        <f t="shared" si="22"/>
        <v>5.739300808236085E-3</v>
      </c>
      <c r="M206" s="60">
        <f t="shared" si="22"/>
        <v>1.0981665668571252E-2</v>
      </c>
      <c r="N206" s="60">
        <f t="shared" si="22"/>
        <v>1.431588023869676E-2</v>
      </c>
      <c r="O206" s="63">
        <f t="shared" si="22"/>
        <v>1.6299870642926956E-2</v>
      </c>
      <c r="P206" s="55" t="s">
        <v>378</v>
      </c>
      <c r="Q206" s="53" t="s">
        <v>379</v>
      </c>
      <c r="R206" s="94">
        <v>47588</v>
      </c>
      <c r="S206" s="71">
        <v>5.0941400000000005E-2</v>
      </c>
      <c r="T206" s="63">
        <f t="shared" si="20"/>
        <v>3.1284796685712435E-3</v>
      </c>
      <c r="V206" s="114">
        <v>1.13641557</v>
      </c>
      <c r="W206" s="72">
        <v>2.8830969299999998</v>
      </c>
      <c r="X206" s="72">
        <v>4.4110228100000004</v>
      </c>
      <c r="Y206" s="72">
        <v>5.6917335500000004</v>
      </c>
      <c r="Z206" s="115">
        <v>7.2480327500000001</v>
      </c>
      <c r="AB206" s="71">
        <v>4.2161356347153692E-2</v>
      </c>
      <c r="AC206" s="71">
        <v>4.8722086208236086E-2</v>
      </c>
      <c r="AD206" s="71">
        <v>5.4069879668571248E-2</v>
      </c>
      <c r="AE206" s="71">
        <v>5.8195472938696771E-2</v>
      </c>
      <c r="AF206" s="63">
        <v>6.1595899242926973E-2</v>
      </c>
      <c r="AG206" s="71" t="s">
        <v>21</v>
      </c>
      <c r="AH206" s="71">
        <v>5.739300808236085E-3</v>
      </c>
      <c r="AI206" s="71">
        <v>1.0981665668571252E-2</v>
      </c>
      <c r="AJ206" s="71">
        <v>1.431588023869676E-2</v>
      </c>
      <c r="AK206" s="63">
        <v>1.6299870642926956E-2</v>
      </c>
    </row>
    <row r="207" spans="2:37" x14ac:dyDescent="0.35">
      <c r="B207" s="55" t="s">
        <v>338</v>
      </c>
      <c r="C207" s="53" t="s">
        <v>234</v>
      </c>
      <c r="D207" s="53" t="s">
        <v>69</v>
      </c>
      <c r="E207" s="53" t="s">
        <v>21</v>
      </c>
      <c r="F207" s="73">
        <f t="shared" si="21"/>
        <v>4.221160884101053E-2</v>
      </c>
      <c r="G207" s="60">
        <f t="shared" si="21"/>
        <v>4.8815840504391458E-2</v>
      </c>
      <c r="H207" s="60">
        <f t="shared" si="21"/>
        <v>5.3387229416670713E-2</v>
      </c>
      <c r="I207" s="60">
        <f t="shared" si="21"/>
        <v>5.6117004912084045E-2</v>
      </c>
      <c r="J207" s="63">
        <f t="shared" si="21"/>
        <v>6.0001560145315519E-2</v>
      </c>
      <c r="K207" s="60" t="str">
        <f t="shared" si="22"/>
        <v/>
      </c>
      <c r="L207" s="60">
        <f t="shared" si="22"/>
        <v>5.8261446043914519E-3</v>
      </c>
      <c r="M207" s="60">
        <f t="shared" si="22"/>
        <v>1.0334247416670717E-2</v>
      </c>
      <c r="N207" s="60">
        <f t="shared" si="22"/>
        <v>1.2348300112084052E-2</v>
      </c>
      <c r="O207" s="63">
        <f t="shared" si="22"/>
        <v>1.4773454145315532E-2</v>
      </c>
      <c r="P207" s="55" t="s">
        <v>21</v>
      </c>
      <c r="Q207" s="53" t="s">
        <v>21</v>
      </c>
      <c r="R207" s="94" t="s">
        <v>21</v>
      </c>
      <c r="S207" s="71">
        <v>0</v>
      </c>
      <c r="T207" s="63">
        <f t="shared" si="20"/>
        <v>5.3387229416670713E-2</v>
      </c>
      <c r="V207" s="114">
        <v>1.1363220699999999</v>
      </c>
      <c r="W207" s="72">
        <v>2.88201902</v>
      </c>
      <c r="X207" s="72">
        <v>4.4166059500000001</v>
      </c>
      <c r="Y207" s="72">
        <v>5.7279789299999999</v>
      </c>
      <c r="Z207" s="115">
        <v>7.3305596200000007</v>
      </c>
      <c r="AB207" s="71">
        <v>4.221160884101053E-2</v>
      </c>
      <c r="AC207" s="71">
        <v>4.8815840504391458E-2</v>
      </c>
      <c r="AD207" s="71">
        <v>5.3387229416670713E-2</v>
      </c>
      <c r="AE207" s="71">
        <v>5.6117004912084045E-2</v>
      </c>
      <c r="AF207" s="63">
        <v>6.0001560145315519E-2</v>
      </c>
      <c r="AG207" s="71" t="s">
        <v>21</v>
      </c>
      <c r="AH207" s="71">
        <v>5.8261446043914519E-3</v>
      </c>
      <c r="AI207" s="71">
        <v>1.0334247416670717E-2</v>
      </c>
      <c r="AJ207" s="71">
        <v>1.2348300112084052E-2</v>
      </c>
      <c r="AK207" s="63">
        <v>1.4773454145315532E-2</v>
      </c>
    </row>
    <row r="208" spans="2:37" x14ac:dyDescent="0.35">
      <c r="B208" s="55" t="s">
        <v>354</v>
      </c>
      <c r="C208" s="53" t="s">
        <v>234</v>
      </c>
      <c r="D208" s="53" t="s">
        <v>20</v>
      </c>
      <c r="E208" s="53" t="s">
        <v>128</v>
      </c>
      <c r="F208" s="73">
        <f t="shared" si="21"/>
        <v>4.2926814177196834E-2</v>
      </c>
      <c r="G208" s="60">
        <f t="shared" si="21"/>
        <v>4.9374951007025346E-2</v>
      </c>
      <c r="H208" s="60">
        <f t="shared" si="21"/>
        <v>5.3726459002034592E-2</v>
      </c>
      <c r="I208" s="60">
        <f t="shared" si="21"/>
        <v>5.6324488627106026E-2</v>
      </c>
      <c r="J208" s="63">
        <f t="shared" si="21"/>
        <v>5.9286025452247468E-2</v>
      </c>
      <c r="K208" s="60" t="str">
        <f t="shared" si="22"/>
        <v/>
      </c>
      <c r="L208" s="60">
        <f t="shared" si="22"/>
        <v>6.3488908070253479E-3</v>
      </c>
      <c r="M208" s="60">
        <f t="shared" si="22"/>
        <v>1.0650310002034594E-2</v>
      </c>
      <c r="N208" s="60">
        <f t="shared" si="22"/>
        <v>1.2540897727106041E-2</v>
      </c>
      <c r="O208" s="63">
        <f t="shared" si="22"/>
        <v>1.4090730052247475E-2</v>
      </c>
      <c r="P208" s="55" t="s">
        <v>388</v>
      </c>
      <c r="Q208" s="53" t="s">
        <v>389</v>
      </c>
      <c r="R208" s="94" t="s">
        <v>32</v>
      </c>
      <c r="S208" s="71">
        <v>5.1273119999999998E-2</v>
      </c>
      <c r="T208" s="63">
        <f t="shared" si="20"/>
        <v>2.4533390020345935E-3</v>
      </c>
      <c r="V208" s="114">
        <v>1.13502787</v>
      </c>
      <c r="W208" s="72">
        <v>2.87735115</v>
      </c>
      <c r="X208" s="72">
        <v>4.4080786700000001</v>
      </c>
      <c r="Y208" s="72">
        <v>5.7154271000000003</v>
      </c>
      <c r="Z208" s="115">
        <v>7.3351939800000006</v>
      </c>
      <c r="AB208" s="71">
        <v>4.2926814177196834E-2</v>
      </c>
      <c r="AC208" s="71">
        <v>4.9374951007025346E-2</v>
      </c>
      <c r="AD208" s="71">
        <v>5.3726459002034592E-2</v>
      </c>
      <c r="AE208" s="71">
        <v>5.6324488627106026E-2</v>
      </c>
      <c r="AF208" s="63">
        <v>5.9286025452247468E-2</v>
      </c>
      <c r="AG208" s="71" t="s">
        <v>21</v>
      </c>
      <c r="AH208" s="71">
        <v>6.3488908070253479E-3</v>
      </c>
      <c r="AI208" s="71">
        <v>1.0650310002034594E-2</v>
      </c>
      <c r="AJ208" s="71">
        <v>1.2540897727106041E-2</v>
      </c>
      <c r="AK208" s="63">
        <v>1.4090730052247475E-2</v>
      </c>
    </row>
    <row r="209" spans="2:37" x14ac:dyDescent="0.35">
      <c r="B209" s="55" t="s">
        <v>349</v>
      </c>
      <c r="C209" s="53" t="s">
        <v>234</v>
      </c>
      <c r="D209" s="53" t="s">
        <v>20</v>
      </c>
      <c r="E209" s="53" t="s">
        <v>528</v>
      </c>
      <c r="F209" s="73">
        <f t="shared" si="21"/>
        <v>4.2313050978465161E-2</v>
      </c>
      <c r="G209" s="60">
        <f t="shared" si="21"/>
        <v>4.8477047394743282E-2</v>
      </c>
      <c r="H209" s="60">
        <f t="shared" si="21"/>
        <v>5.3310712970929805E-2</v>
      </c>
      <c r="I209" s="60">
        <f t="shared" si="21"/>
        <v>5.6375513364783088E-2</v>
      </c>
      <c r="J209" s="63">
        <f t="shared" si="21"/>
        <v>5.9298040526029758E-2</v>
      </c>
      <c r="K209" s="60" t="str">
        <f t="shared" si="22"/>
        <v/>
      </c>
      <c r="L209" s="60">
        <f t="shared" si="22"/>
        <v>5.5057914947432771E-3</v>
      </c>
      <c r="M209" s="60">
        <f t="shared" si="22"/>
        <v>1.0262492370929806E-2</v>
      </c>
      <c r="N209" s="60">
        <f t="shared" si="22"/>
        <v>1.2593687964783086E-2</v>
      </c>
      <c r="O209" s="63">
        <f t="shared" si="22"/>
        <v>1.4112038226029754E-2</v>
      </c>
      <c r="P209" s="55" t="s">
        <v>384</v>
      </c>
      <c r="Q209" s="53" t="s">
        <v>385</v>
      </c>
      <c r="R209" s="94">
        <v>47529</v>
      </c>
      <c r="S209" s="71">
        <v>5.2024220000000003E-2</v>
      </c>
      <c r="T209" s="63">
        <f t="shared" si="20"/>
        <v>1.286492970929802E-3</v>
      </c>
      <c r="V209" s="114">
        <v>1.1361277300000001</v>
      </c>
      <c r="W209" s="72">
        <v>2.8842235500000002</v>
      </c>
      <c r="X209" s="72">
        <v>4.4207199399999997</v>
      </c>
      <c r="Y209" s="72">
        <v>5.7292303200000001</v>
      </c>
      <c r="Z209" s="115">
        <v>7.3427392600000001</v>
      </c>
      <c r="AB209" s="71">
        <v>4.2313050978465161E-2</v>
      </c>
      <c r="AC209" s="71">
        <v>4.8477047394743282E-2</v>
      </c>
      <c r="AD209" s="71">
        <v>5.3310712970929805E-2</v>
      </c>
      <c r="AE209" s="71">
        <v>5.6375513364783088E-2</v>
      </c>
      <c r="AF209" s="63">
        <v>5.9298040526029758E-2</v>
      </c>
      <c r="AG209" s="71" t="s">
        <v>21</v>
      </c>
      <c r="AH209" s="71">
        <v>5.5057914947432771E-3</v>
      </c>
      <c r="AI209" s="71">
        <v>1.0262492370929806E-2</v>
      </c>
      <c r="AJ209" s="71">
        <v>1.2593687964783086E-2</v>
      </c>
      <c r="AK209" s="63">
        <v>1.4112038226029754E-2</v>
      </c>
    </row>
    <row r="210" spans="2:37" x14ac:dyDescent="0.35">
      <c r="B210" s="55" t="s">
        <v>253</v>
      </c>
      <c r="C210" s="53" t="s">
        <v>234</v>
      </c>
      <c r="D210" s="53" t="s">
        <v>53</v>
      </c>
      <c r="E210" s="53" t="s">
        <v>125</v>
      </c>
      <c r="F210" s="73">
        <f t="shared" si="21"/>
        <v>4.1908100011057103E-2</v>
      </c>
      <c r="G210" s="60">
        <f t="shared" si="21"/>
        <v>4.8217962828213806E-2</v>
      </c>
      <c r="H210" s="60">
        <f t="shared" si="21"/>
        <v>5.2791961045766382E-2</v>
      </c>
      <c r="I210" s="60">
        <f t="shared" si="21"/>
        <v>5.5579215346392749E-2</v>
      </c>
      <c r="J210" s="63">
        <f t="shared" si="21"/>
        <v>5.8950927522316621E-2</v>
      </c>
      <c r="K210" s="60" t="str">
        <f t="shared" si="22"/>
        <v/>
      </c>
      <c r="L210" s="60">
        <f t="shared" si="22"/>
        <v>5.2606206282138097E-3</v>
      </c>
      <c r="M210" s="60">
        <f t="shared" si="22"/>
        <v>9.7717959457663886E-3</v>
      </c>
      <c r="N210" s="60">
        <f t="shared" si="22"/>
        <v>1.1840321646392746E-2</v>
      </c>
      <c r="O210" s="63">
        <f t="shared" si="22"/>
        <v>1.3777865822316621E-2</v>
      </c>
      <c r="P210" s="55" t="s">
        <v>529</v>
      </c>
      <c r="Q210" s="53" t="s">
        <v>530</v>
      </c>
      <c r="R210" s="94" t="s">
        <v>32</v>
      </c>
      <c r="S210" s="71">
        <v>5.3784760000000001E-2</v>
      </c>
      <c r="T210" s="63">
        <f t="shared" si="20"/>
        <v>-9.927989542336188E-4</v>
      </c>
      <c r="V210" s="114">
        <v>1.1368884100000001</v>
      </c>
      <c r="W210" s="72">
        <v>2.88705232</v>
      </c>
      <c r="X210" s="72">
        <v>4.42844221</v>
      </c>
      <c r="Y210" s="72">
        <v>5.7474130300000006</v>
      </c>
      <c r="Z210" s="115">
        <v>7.3736462599999992</v>
      </c>
      <c r="AB210" s="71">
        <v>4.1908100011057103E-2</v>
      </c>
      <c r="AC210" s="71">
        <v>4.8217962828213806E-2</v>
      </c>
      <c r="AD210" s="71">
        <v>5.2791961045766382E-2</v>
      </c>
      <c r="AE210" s="71">
        <v>5.5579215346392749E-2</v>
      </c>
      <c r="AF210" s="63">
        <v>5.8950927522316621E-2</v>
      </c>
      <c r="AG210" s="71" t="s">
        <v>21</v>
      </c>
      <c r="AH210" s="71">
        <v>5.2606206282138097E-3</v>
      </c>
      <c r="AI210" s="71">
        <v>9.7717959457663886E-3</v>
      </c>
      <c r="AJ210" s="71">
        <v>1.1840321646392746E-2</v>
      </c>
      <c r="AK210" s="63">
        <v>1.3777865822316621E-2</v>
      </c>
    </row>
    <row r="211" spans="2:37" x14ac:dyDescent="0.35">
      <c r="B211" s="55" t="s">
        <v>144</v>
      </c>
      <c r="C211" s="53" t="s">
        <v>234</v>
      </c>
      <c r="D211" s="53" t="s">
        <v>20</v>
      </c>
      <c r="E211" s="53" t="s">
        <v>57</v>
      </c>
      <c r="F211" s="73">
        <f t="shared" si="21"/>
        <v>4.2484218103981813E-2</v>
      </c>
      <c r="G211" s="60">
        <f t="shared" si="21"/>
        <v>4.8505560150067163E-2</v>
      </c>
      <c r="H211" s="60">
        <f t="shared" si="21"/>
        <v>5.3198133228759784E-2</v>
      </c>
      <c r="I211" s="60">
        <f t="shared" si="21"/>
        <v>5.5952265976406922E-2</v>
      </c>
      <c r="J211" s="63">
        <f t="shared" si="21"/>
        <v>5.9325905996715653E-2</v>
      </c>
      <c r="K211" s="60" t="str">
        <f t="shared" si="22"/>
        <v/>
      </c>
      <c r="L211" s="60">
        <f t="shared" si="22"/>
        <v>5.5359292500671634E-3</v>
      </c>
      <c r="M211" s="60">
        <f t="shared" si="22"/>
        <v>1.0158509028759786E-2</v>
      </c>
      <c r="N211" s="60">
        <f t="shared" si="22"/>
        <v>1.2196820176406917E-2</v>
      </c>
      <c r="O211" s="63">
        <f t="shared" si="22"/>
        <v>1.413876309671565E-2</v>
      </c>
      <c r="P211" s="55" t="s">
        <v>531</v>
      </c>
      <c r="Q211" s="53" t="s">
        <v>532</v>
      </c>
      <c r="R211" s="94">
        <v>47498</v>
      </c>
      <c r="S211" s="71">
        <v>5.2373000000000003E-2</v>
      </c>
      <c r="T211" s="63">
        <f t="shared" si="20"/>
        <v>8.2513322875978068E-4</v>
      </c>
      <c r="V211" s="114">
        <v>1.13575132</v>
      </c>
      <c r="W211" s="72">
        <v>2.88328987</v>
      </c>
      <c r="X211" s="72">
        <v>4.4207945100000003</v>
      </c>
      <c r="Y211" s="72">
        <v>5.7329613400000001</v>
      </c>
      <c r="Z211" s="115">
        <v>7.3490358100000002</v>
      </c>
      <c r="AB211" s="71">
        <v>4.2484218103981813E-2</v>
      </c>
      <c r="AC211" s="71">
        <v>4.8505560150067163E-2</v>
      </c>
      <c r="AD211" s="71">
        <v>5.3198133228759784E-2</v>
      </c>
      <c r="AE211" s="71">
        <v>5.5952265976406922E-2</v>
      </c>
      <c r="AF211" s="63">
        <v>5.9325905996715653E-2</v>
      </c>
      <c r="AG211" s="71" t="s">
        <v>21</v>
      </c>
      <c r="AH211" s="71">
        <v>5.5359292500671634E-3</v>
      </c>
      <c r="AI211" s="71">
        <v>1.0158509028759786E-2</v>
      </c>
      <c r="AJ211" s="71">
        <v>1.2196820176406917E-2</v>
      </c>
      <c r="AK211" s="63">
        <v>1.413876309671565E-2</v>
      </c>
    </row>
    <row r="212" spans="2:37" x14ac:dyDescent="0.35">
      <c r="B212" s="55" t="s">
        <v>344</v>
      </c>
      <c r="C212" s="53" t="s">
        <v>234</v>
      </c>
      <c r="D212" s="53" t="s">
        <v>31</v>
      </c>
      <c r="E212" s="53" t="s">
        <v>21</v>
      </c>
      <c r="F212" s="73">
        <f t="shared" si="21"/>
        <v>4.2344813334919497E-2</v>
      </c>
      <c r="G212" s="60">
        <f t="shared" si="21"/>
        <v>4.8003734167024026E-2</v>
      </c>
      <c r="H212" s="60">
        <f t="shared" si="21"/>
        <v>5.2527435868930675E-2</v>
      </c>
      <c r="I212" s="60">
        <f t="shared" si="21"/>
        <v>5.5222806599888236E-2</v>
      </c>
      <c r="J212" s="63">
        <f t="shared" si="21"/>
        <v>5.8400951734897198E-2</v>
      </c>
      <c r="K212" s="60" t="str">
        <f t="shared" si="22"/>
        <v/>
      </c>
      <c r="L212" s="60">
        <f t="shared" si="22"/>
        <v>5.060700567024028E-3</v>
      </c>
      <c r="M212" s="60">
        <f t="shared" si="22"/>
        <v>9.523649868930683E-3</v>
      </c>
      <c r="N212" s="60">
        <f t="shared" si="22"/>
        <v>1.1504404599888236E-2</v>
      </c>
      <c r="O212" s="63">
        <f t="shared" si="22"/>
        <v>1.3255296134897194E-2</v>
      </c>
      <c r="P212" s="55" t="s">
        <v>21</v>
      </c>
      <c r="Q212" s="53" t="s">
        <v>21</v>
      </c>
      <c r="R212" s="94" t="s">
        <v>21</v>
      </c>
      <c r="S212" s="71">
        <v>0</v>
      </c>
      <c r="T212" s="63">
        <f t="shared" si="20"/>
        <v>5.2527435868930675E-2</v>
      </c>
      <c r="V212" s="114">
        <v>1.13601748</v>
      </c>
      <c r="W212" s="72">
        <v>2.8864992599999999</v>
      </c>
      <c r="X212" s="72">
        <v>4.4310772099999998</v>
      </c>
      <c r="Y212" s="72">
        <v>5.7553211399999995</v>
      </c>
      <c r="Z212" s="115">
        <v>7.3951127000000003</v>
      </c>
      <c r="AB212" s="71">
        <v>4.2344813334919497E-2</v>
      </c>
      <c r="AC212" s="71">
        <v>4.8003734167024026E-2</v>
      </c>
      <c r="AD212" s="71">
        <v>5.2527435868930675E-2</v>
      </c>
      <c r="AE212" s="71">
        <v>5.5222806599888236E-2</v>
      </c>
      <c r="AF212" s="63">
        <v>5.8400951734897198E-2</v>
      </c>
      <c r="AG212" s="71" t="s">
        <v>21</v>
      </c>
      <c r="AH212" s="71">
        <v>5.060700567024028E-3</v>
      </c>
      <c r="AI212" s="71">
        <v>9.523649868930683E-3</v>
      </c>
      <c r="AJ212" s="71">
        <v>1.1504404599888236E-2</v>
      </c>
      <c r="AK212" s="63">
        <v>1.3255296134897194E-2</v>
      </c>
    </row>
    <row r="213" spans="2:37" x14ac:dyDescent="0.35">
      <c r="B213" s="55" t="s">
        <v>345</v>
      </c>
      <c r="C213" s="53" t="s">
        <v>234</v>
      </c>
      <c r="D213" s="53" t="s">
        <v>97</v>
      </c>
      <c r="E213" s="53" t="s">
        <v>21</v>
      </c>
      <c r="F213" s="73">
        <f t="shared" si="21"/>
        <v>4.1743814542157739E-2</v>
      </c>
      <c r="G213" s="60">
        <f t="shared" si="21"/>
        <v>4.8245033643851604E-2</v>
      </c>
      <c r="H213" s="60">
        <f t="shared" si="21"/>
        <v>5.2485735097930211E-2</v>
      </c>
      <c r="I213" s="60">
        <f t="shared" si="21"/>
        <v>5.5275587326988736E-2</v>
      </c>
      <c r="J213" s="63">
        <f t="shared" si="21"/>
        <v>5.8361844621928123E-2</v>
      </c>
      <c r="K213" s="60" t="str">
        <f t="shared" si="22"/>
        <v/>
      </c>
      <c r="L213" s="60">
        <f t="shared" si="22"/>
        <v>5.2863398438516042E-3</v>
      </c>
      <c r="M213" s="60">
        <f t="shared" si="22"/>
        <v>9.4818068979302169E-3</v>
      </c>
      <c r="N213" s="60">
        <f t="shared" si="22"/>
        <v>1.1552456126988735E-2</v>
      </c>
      <c r="O213" s="63">
        <f t="shared" si="22"/>
        <v>1.3217022921928117E-2</v>
      </c>
      <c r="P213" s="55" t="s">
        <v>21</v>
      </c>
      <c r="Q213" s="53" t="s">
        <v>21</v>
      </c>
      <c r="R213" s="94" t="s">
        <v>21</v>
      </c>
      <c r="S213" s="71">
        <v>0</v>
      </c>
      <c r="T213" s="63">
        <f t="shared" si="20"/>
        <v>5.2485735097930211E-2</v>
      </c>
      <c r="V213" s="114">
        <v>1.13719901</v>
      </c>
      <c r="W213" s="72">
        <v>2.8870415</v>
      </c>
      <c r="X213" s="72">
        <v>4.4314232799999997</v>
      </c>
      <c r="Y213" s="72">
        <v>5.7551763399999993</v>
      </c>
      <c r="Z213" s="115">
        <v>7.3955579499999997</v>
      </c>
      <c r="AB213" s="71">
        <v>4.1743814542157739E-2</v>
      </c>
      <c r="AC213" s="71">
        <v>4.8245033643851604E-2</v>
      </c>
      <c r="AD213" s="71">
        <v>5.2485735097930211E-2</v>
      </c>
      <c r="AE213" s="71">
        <v>5.5275587326988736E-2</v>
      </c>
      <c r="AF213" s="63">
        <v>5.8361844621928123E-2</v>
      </c>
      <c r="AG213" s="71" t="s">
        <v>21</v>
      </c>
      <c r="AH213" s="71">
        <v>5.2863398438516042E-3</v>
      </c>
      <c r="AI213" s="71">
        <v>9.4818068979302169E-3</v>
      </c>
      <c r="AJ213" s="71">
        <v>1.1552456126988735E-2</v>
      </c>
      <c r="AK213" s="63">
        <v>1.3217022921928117E-2</v>
      </c>
    </row>
    <row r="214" spans="2:37" x14ac:dyDescent="0.35">
      <c r="B214" s="55" t="s">
        <v>154</v>
      </c>
      <c r="C214" s="53" t="s">
        <v>234</v>
      </c>
      <c r="D214" s="53" t="s">
        <v>20</v>
      </c>
      <c r="E214" s="53" t="s">
        <v>133</v>
      </c>
      <c r="F214" s="73">
        <f t="shared" si="21"/>
        <v>4.1825812197482284E-2</v>
      </c>
      <c r="G214" s="60">
        <f t="shared" si="21"/>
        <v>4.7973517155588952E-2</v>
      </c>
      <c r="H214" s="60">
        <f t="shared" si="21"/>
        <v>5.292774694692836E-2</v>
      </c>
      <c r="I214" s="60">
        <f t="shared" si="21"/>
        <v>5.5986937347717876E-2</v>
      </c>
      <c r="J214" s="63">
        <f t="shared" si="21"/>
        <v>5.8979984506707911E-2</v>
      </c>
      <c r="K214" s="60" t="str">
        <f t="shared" si="22"/>
        <v/>
      </c>
      <c r="L214" s="60">
        <f t="shared" si="22"/>
        <v>5.031155955588955E-3</v>
      </c>
      <c r="M214" s="60">
        <f t="shared" si="22"/>
        <v>9.9021166469283606E-3</v>
      </c>
      <c r="N214" s="60">
        <f t="shared" si="22"/>
        <v>1.2228747847717882E-2</v>
      </c>
      <c r="O214" s="63">
        <f t="shared" si="22"/>
        <v>1.3811574506707901E-2</v>
      </c>
      <c r="P214" s="55" t="s">
        <v>533</v>
      </c>
      <c r="Q214" s="53" t="s">
        <v>534</v>
      </c>
      <c r="R214" s="94">
        <v>47529</v>
      </c>
      <c r="S214" s="71">
        <v>5.237646E-2</v>
      </c>
      <c r="T214" s="63">
        <f t="shared" si="20"/>
        <v>5.5128694692836017E-4</v>
      </c>
      <c r="V214" s="114">
        <v>1.1370263999999999</v>
      </c>
      <c r="W214" s="72">
        <v>2.8892007399999997</v>
      </c>
      <c r="X214" s="72">
        <v>4.4291464000000005</v>
      </c>
      <c r="Y214" s="72">
        <v>5.7407864000000002</v>
      </c>
      <c r="Z214" s="115">
        <v>7.3620818300000002</v>
      </c>
      <c r="AB214" s="71">
        <v>4.1825812197482284E-2</v>
      </c>
      <c r="AC214" s="71">
        <v>4.7973517155588952E-2</v>
      </c>
      <c r="AD214" s="71">
        <v>5.292774694692836E-2</v>
      </c>
      <c r="AE214" s="71">
        <v>5.5986937347717876E-2</v>
      </c>
      <c r="AF214" s="63">
        <v>5.8979984506707911E-2</v>
      </c>
      <c r="AG214" s="71" t="s">
        <v>21</v>
      </c>
      <c r="AH214" s="71">
        <v>5.031155955588955E-3</v>
      </c>
      <c r="AI214" s="71">
        <v>9.9021166469283606E-3</v>
      </c>
      <c r="AJ214" s="71">
        <v>1.2228747847717882E-2</v>
      </c>
      <c r="AK214" s="63">
        <v>1.3811574506707901E-2</v>
      </c>
    </row>
    <row r="215" spans="2:37" x14ac:dyDescent="0.35">
      <c r="B215" s="55" t="s">
        <v>252</v>
      </c>
      <c r="C215" s="53" t="s">
        <v>234</v>
      </c>
      <c r="D215" s="53" t="s">
        <v>43</v>
      </c>
      <c r="E215" s="53" t="s">
        <v>21</v>
      </c>
      <c r="F215" s="73">
        <f t="shared" si="21"/>
        <v>4.2009261639644309E-2</v>
      </c>
      <c r="G215" s="60">
        <f t="shared" si="21"/>
        <v>4.7995596597719931E-2</v>
      </c>
      <c r="H215" s="60">
        <f t="shared" si="21"/>
        <v>5.2423432049926492E-2</v>
      </c>
      <c r="I215" s="60">
        <f t="shared" si="21"/>
        <v>5.5119570373307968E-2</v>
      </c>
      <c r="J215" s="63">
        <f t="shared" si="21"/>
        <v>5.8387285390010459E-2</v>
      </c>
      <c r="K215" s="60" t="str">
        <f t="shared" si="22"/>
        <v/>
      </c>
      <c r="L215" s="60">
        <f t="shared" si="22"/>
        <v>5.0517599977199373E-3</v>
      </c>
      <c r="M215" s="60">
        <f t="shared" si="22"/>
        <v>9.4242468499265014E-3</v>
      </c>
      <c r="N215" s="60">
        <f t="shared" si="22"/>
        <v>1.1405926673307972E-2</v>
      </c>
      <c r="O215" s="63">
        <f t="shared" si="22"/>
        <v>1.3241671890010477E-2</v>
      </c>
      <c r="P215" s="55" t="s">
        <v>21</v>
      </c>
      <c r="Q215" s="53" t="s">
        <v>21</v>
      </c>
      <c r="R215" s="94" t="s">
        <v>21</v>
      </c>
      <c r="S215" s="71">
        <v>0</v>
      </c>
      <c r="T215" s="63">
        <f t="shared" si="20"/>
        <v>5.2423432049926492E-2</v>
      </c>
      <c r="V215" s="114">
        <v>1.1366705499999998</v>
      </c>
      <c r="W215" s="72">
        <v>2.8876730199999998</v>
      </c>
      <c r="X215" s="72">
        <v>4.4331971000000001</v>
      </c>
      <c r="Y215" s="72">
        <v>5.75895153</v>
      </c>
      <c r="Z215" s="115">
        <v>7.3992347799999996</v>
      </c>
      <c r="AB215" s="71">
        <v>4.2009261639644309E-2</v>
      </c>
      <c r="AC215" s="71">
        <v>4.7995596597719931E-2</v>
      </c>
      <c r="AD215" s="71">
        <v>5.2423432049926492E-2</v>
      </c>
      <c r="AE215" s="71">
        <v>5.5119570373307968E-2</v>
      </c>
      <c r="AF215" s="63">
        <v>5.8387285390010459E-2</v>
      </c>
      <c r="AG215" s="71" t="s">
        <v>21</v>
      </c>
      <c r="AH215" s="71">
        <v>5.0517599977199373E-3</v>
      </c>
      <c r="AI215" s="71">
        <v>9.4242468499265014E-3</v>
      </c>
      <c r="AJ215" s="71">
        <v>1.1405926673307972E-2</v>
      </c>
      <c r="AK215" s="63">
        <v>1.3241671890010477E-2</v>
      </c>
    </row>
    <row r="216" spans="2:37" x14ac:dyDescent="0.35">
      <c r="B216" s="55" t="s">
        <v>357</v>
      </c>
      <c r="C216" s="53" t="s">
        <v>234</v>
      </c>
      <c r="D216" s="53" t="s">
        <v>20</v>
      </c>
      <c r="E216" s="53" t="s">
        <v>21</v>
      </c>
      <c r="F216" s="73">
        <f t="shared" si="21"/>
        <v>4.2340359728911411E-2</v>
      </c>
      <c r="G216" s="60">
        <f t="shared" si="21"/>
        <v>4.8456467404028085E-2</v>
      </c>
      <c r="H216" s="60">
        <f t="shared" si="21"/>
        <v>5.289827031924766E-2</v>
      </c>
      <c r="I216" s="60">
        <f t="shared" si="21"/>
        <v>5.5483879545392113E-2</v>
      </c>
      <c r="J216" s="63">
        <f t="shared" si="21"/>
        <v>5.8482132042011789E-2</v>
      </c>
      <c r="K216" s="60" t="str">
        <f t="shared" si="22"/>
        <v/>
      </c>
      <c r="L216" s="60">
        <f t="shared" si="22"/>
        <v>5.4850912040280905E-3</v>
      </c>
      <c r="M216" s="60">
        <f t="shared" si="22"/>
        <v>9.8713692192476509E-3</v>
      </c>
      <c r="N216" s="60">
        <f t="shared" si="22"/>
        <v>1.1749254645392108E-2</v>
      </c>
      <c r="O216" s="63">
        <f t="shared" si="22"/>
        <v>1.3331315442011771E-2</v>
      </c>
      <c r="P216" s="55" t="s">
        <v>21</v>
      </c>
      <c r="Q216" s="53" t="s">
        <v>21</v>
      </c>
      <c r="R216" s="94" t="s">
        <v>21</v>
      </c>
      <c r="S216" s="71">
        <v>0</v>
      </c>
      <c r="T216" s="63">
        <f t="shared" si="20"/>
        <v>5.289827031924766E-2</v>
      </c>
      <c r="V216" s="114">
        <v>1.1360834900000001</v>
      </c>
      <c r="W216" s="72">
        <v>2.88322346</v>
      </c>
      <c r="X216" s="72">
        <v>4.4239999499999998</v>
      </c>
      <c r="Y216" s="72">
        <v>5.7435973899999997</v>
      </c>
      <c r="Z216" s="115">
        <v>7.3798841299999998</v>
      </c>
      <c r="AB216" s="71">
        <v>4.2340359728911411E-2</v>
      </c>
      <c r="AC216" s="71">
        <v>4.8456467404028085E-2</v>
      </c>
      <c r="AD216" s="71">
        <v>5.289827031924766E-2</v>
      </c>
      <c r="AE216" s="71">
        <v>5.5483879545392113E-2</v>
      </c>
      <c r="AF216" s="63">
        <v>5.8482132042011789E-2</v>
      </c>
      <c r="AG216" s="71" t="s">
        <v>21</v>
      </c>
      <c r="AH216" s="71">
        <v>5.4850912040280905E-3</v>
      </c>
      <c r="AI216" s="71">
        <v>9.8713692192476509E-3</v>
      </c>
      <c r="AJ216" s="71">
        <v>1.1749254645392108E-2</v>
      </c>
      <c r="AK216" s="63">
        <v>1.3331315442011771E-2</v>
      </c>
    </row>
    <row r="217" spans="2:37" x14ac:dyDescent="0.35">
      <c r="B217" s="55" t="s">
        <v>360</v>
      </c>
      <c r="C217" s="53" t="s">
        <v>234</v>
      </c>
      <c r="D217" s="53" t="s">
        <v>20</v>
      </c>
      <c r="E217" s="53" t="s">
        <v>535</v>
      </c>
      <c r="F217" s="73">
        <f t="shared" si="21"/>
        <v>4.2443773480811339E-2</v>
      </c>
      <c r="G217" s="60">
        <f t="shared" si="21"/>
        <v>4.8440250100002066E-2</v>
      </c>
      <c r="H217" s="60">
        <f t="shared" si="21"/>
        <v>5.2895338007024423E-2</v>
      </c>
      <c r="I217" s="60">
        <f t="shared" si="21"/>
        <v>5.5464447525706902E-2</v>
      </c>
      <c r="J217" s="63">
        <f t="shared" si="21"/>
        <v>5.8578785983015788E-2</v>
      </c>
      <c r="K217" s="60" t="str">
        <f t="shared" si="22"/>
        <v/>
      </c>
      <c r="L217" s="60">
        <f t="shared" si="22"/>
        <v>5.470125000002068E-3</v>
      </c>
      <c r="M217" s="60">
        <f t="shared" si="22"/>
        <v>9.8688651070244181E-3</v>
      </c>
      <c r="N217" s="60">
        <f t="shared" si="22"/>
        <v>1.1731225125706905E-2</v>
      </c>
      <c r="O217" s="63">
        <f t="shared" si="22"/>
        <v>1.3423471283015791E-2</v>
      </c>
      <c r="P217" s="55" t="s">
        <v>21</v>
      </c>
      <c r="Q217" s="53" t="s">
        <v>21</v>
      </c>
      <c r="R217" s="94" t="s">
        <v>21</v>
      </c>
      <c r="S217" s="71">
        <v>0</v>
      </c>
      <c r="T217" s="63">
        <f t="shared" si="20"/>
        <v>5.2895338007024423E-2</v>
      </c>
      <c r="V217" s="114">
        <v>1.13588694</v>
      </c>
      <c r="W217" s="72">
        <v>2.88354731</v>
      </c>
      <c r="X217" s="72">
        <v>4.4244803899999994</v>
      </c>
      <c r="Y217" s="72">
        <v>5.7439759100000005</v>
      </c>
      <c r="Z217" s="115">
        <v>7.3780067699999989</v>
      </c>
      <c r="AB217" s="71">
        <v>4.2443773480811339E-2</v>
      </c>
      <c r="AC217" s="71">
        <v>4.8440250100002066E-2</v>
      </c>
      <c r="AD217" s="71">
        <v>5.2895338007024423E-2</v>
      </c>
      <c r="AE217" s="71">
        <v>5.5464447525706902E-2</v>
      </c>
      <c r="AF217" s="63">
        <v>5.8578785983015788E-2</v>
      </c>
      <c r="AG217" s="71" t="s">
        <v>21</v>
      </c>
      <c r="AH217" s="71">
        <v>5.470125000002068E-3</v>
      </c>
      <c r="AI217" s="71">
        <v>9.8688651070244181E-3</v>
      </c>
      <c r="AJ217" s="71">
        <v>1.1731225125706905E-2</v>
      </c>
      <c r="AK217" s="63">
        <v>1.3423471283015791E-2</v>
      </c>
    </row>
    <row r="218" spans="2:37" x14ac:dyDescent="0.35">
      <c r="B218" s="55" t="s">
        <v>353</v>
      </c>
      <c r="C218" s="53" t="s">
        <v>234</v>
      </c>
      <c r="D218" s="53" t="s">
        <v>31</v>
      </c>
      <c r="E218" s="53" t="s">
        <v>21</v>
      </c>
      <c r="F218" s="73">
        <f t="shared" si="21"/>
        <v>4.1687530504716172E-2</v>
      </c>
      <c r="G218" s="60">
        <f t="shared" si="21"/>
        <v>4.7897804491301842E-2</v>
      </c>
      <c r="H218" s="60">
        <f t="shared" si="21"/>
        <v>5.2367507934218141E-2</v>
      </c>
      <c r="I218" s="60">
        <f t="shared" si="21"/>
        <v>5.5016265941430657E-2</v>
      </c>
      <c r="J218" s="63">
        <f t="shared" si="21"/>
        <v>5.8234933948577011E-2</v>
      </c>
      <c r="K218" s="60" t="str">
        <f t="shared" si="22"/>
        <v/>
      </c>
      <c r="L218" s="60">
        <f t="shared" si="22"/>
        <v>4.9574845913018476E-3</v>
      </c>
      <c r="M218" s="60">
        <f t="shared" si="22"/>
        <v>9.3702125342181343E-3</v>
      </c>
      <c r="N218" s="60">
        <f t="shared" si="22"/>
        <v>1.1307379341430661E-2</v>
      </c>
      <c r="O218" s="63">
        <f t="shared" si="22"/>
        <v>1.3096231448577012E-2</v>
      </c>
      <c r="P218" s="55" t="s">
        <v>21</v>
      </c>
      <c r="Q218" s="53" t="s">
        <v>21</v>
      </c>
      <c r="R218" s="94" t="s">
        <v>21</v>
      </c>
      <c r="S218" s="71">
        <v>0</v>
      </c>
      <c r="T218" s="63">
        <f t="shared" si="20"/>
        <v>5.2367507934218141E-2</v>
      </c>
      <c r="V218" s="114">
        <v>1.1373029400000001</v>
      </c>
      <c r="W218" s="72">
        <v>2.8893690799999998</v>
      </c>
      <c r="X218" s="72">
        <v>4.4355322900000003</v>
      </c>
      <c r="Y218" s="72">
        <v>5.7625921900000003</v>
      </c>
      <c r="Z218" s="115">
        <v>7.4064761300000006</v>
      </c>
      <c r="AB218" s="71">
        <v>4.1687530504716172E-2</v>
      </c>
      <c r="AC218" s="71">
        <v>4.7897804491301842E-2</v>
      </c>
      <c r="AD218" s="71">
        <v>5.2367507934218141E-2</v>
      </c>
      <c r="AE218" s="71">
        <v>5.5016265941430657E-2</v>
      </c>
      <c r="AF218" s="63">
        <v>5.8234933948577011E-2</v>
      </c>
      <c r="AG218" s="71" t="s">
        <v>21</v>
      </c>
      <c r="AH218" s="71">
        <v>4.9574845913018476E-3</v>
      </c>
      <c r="AI218" s="71">
        <v>9.3702125342181343E-3</v>
      </c>
      <c r="AJ218" s="71">
        <v>1.1307379341430661E-2</v>
      </c>
      <c r="AK218" s="63">
        <v>1.3096231448577012E-2</v>
      </c>
    </row>
    <row r="219" spans="2:37" x14ac:dyDescent="0.35">
      <c r="B219" s="55" t="s">
        <v>250</v>
      </c>
      <c r="C219" s="53" t="s">
        <v>234</v>
      </c>
      <c r="D219" s="53" t="s">
        <v>97</v>
      </c>
      <c r="E219" s="53" t="s">
        <v>227</v>
      </c>
      <c r="F219" s="73">
        <f t="shared" si="21"/>
        <v>4.2058147259411781E-2</v>
      </c>
      <c r="G219" s="60">
        <f t="shared" si="21"/>
        <v>4.798769810691144E-2</v>
      </c>
      <c r="H219" s="60">
        <f t="shared" si="21"/>
        <v>5.2323641052050597E-2</v>
      </c>
      <c r="I219" s="60">
        <f t="shared" si="21"/>
        <v>5.4730965094932034E-2</v>
      </c>
      <c r="J219" s="63">
        <f t="shared" si="21"/>
        <v>5.7892405381856485E-2</v>
      </c>
      <c r="K219" s="60" t="str">
        <f t="shared" si="22"/>
        <v/>
      </c>
      <c r="L219" s="60">
        <f t="shared" si="22"/>
        <v>5.0420093069114364E-3</v>
      </c>
      <c r="M219" s="60">
        <f t="shared" si="22"/>
        <v>9.3281391520505953E-3</v>
      </c>
      <c r="N219" s="60">
        <f t="shared" si="22"/>
        <v>1.1036216994932038E-2</v>
      </c>
      <c r="O219" s="63">
        <f t="shared" si="22"/>
        <v>1.2767578781856484E-2</v>
      </c>
      <c r="P219" s="55" t="s">
        <v>536</v>
      </c>
      <c r="Q219" s="53" t="s">
        <v>537</v>
      </c>
      <c r="R219" s="94">
        <v>47551</v>
      </c>
      <c r="S219" s="71">
        <v>4.8690829999999997E-2</v>
      </c>
      <c r="T219" s="63">
        <f t="shared" si="20"/>
        <v>3.6328110520505996E-3</v>
      </c>
      <c r="V219" s="114">
        <v>1.1366088999999999</v>
      </c>
      <c r="W219" s="72">
        <v>2.8876290999999998</v>
      </c>
      <c r="X219" s="72">
        <v>4.43420477</v>
      </c>
      <c r="Y219" s="72">
        <v>5.7654527299999998</v>
      </c>
      <c r="Z219" s="115">
        <v>7.4189638099999993</v>
      </c>
      <c r="AB219" s="71">
        <v>4.2058147259411781E-2</v>
      </c>
      <c r="AC219" s="71">
        <v>4.798769810691144E-2</v>
      </c>
      <c r="AD219" s="71">
        <v>5.2323641052050597E-2</v>
      </c>
      <c r="AE219" s="71">
        <v>5.4730965094932034E-2</v>
      </c>
      <c r="AF219" s="63">
        <v>5.7892405381856485E-2</v>
      </c>
      <c r="AG219" s="71" t="s">
        <v>21</v>
      </c>
      <c r="AH219" s="71">
        <v>5.0420093069114364E-3</v>
      </c>
      <c r="AI219" s="71">
        <v>9.3281391520505953E-3</v>
      </c>
      <c r="AJ219" s="71">
        <v>1.1036216994932038E-2</v>
      </c>
      <c r="AK219" s="63">
        <v>1.2767578781856484E-2</v>
      </c>
    </row>
    <row r="220" spans="2:37" x14ac:dyDescent="0.35">
      <c r="B220" s="55" t="s">
        <v>261</v>
      </c>
      <c r="C220" s="53" t="s">
        <v>234</v>
      </c>
      <c r="D220" s="53" t="s">
        <v>31</v>
      </c>
      <c r="E220" s="53" t="s">
        <v>538</v>
      </c>
      <c r="F220" s="73">
        <f t="shared" si="21"/>
        <v>4.195490053655769E-2</v>
      </c>
      <c r="G220" s="60">
        <f t="shared" si="21"/>
        <v>4.7938903745754734E-2</v>
      </c>
      <c r="H220" s="60">
        <f t="shared" si="21"/>
        <v>5.2318995275652314E-2</v>
      </c>
      <c r="I220" s="60">
        <f t="shared" si="21"/>
        <v>5.4727122040685659E-2</v>
      </c>
      <c r="J220" s="63">
        <f t="shared" si="21"/>
        <v>5.7283856815181854E-2</v>
      </c>
      <c r="K220" s="60" t="str">
        <f t="shared" si="22"/>
        <v/>
      </c>
      <c r="L220" s="60">
        <f t="shared" si="22"/>
        <v>4.9971691457547374E-3</v>
      </c>
      <c r="M220" s="60">
        <f t="shared" si="22"/>
        <v>9.3247421756523161E-3</v>
      </c>
      <c r="N220" s="60">
        <f t="shared" si="22"/>
        <v>1.1033469140685672E-2</v>
      </c>
      <c r="O220" s="63">
        <f t="shared" si="22"/>
        <v>1.218917211518185E-2</v>
      </c>
      <c r="P220" s="55" t="s">
        <v>539</v>
      </c>
      <c r="Q220" s="53" t="s">
        <v>540</v>
      </c>
      <c r="R220" s="94">
        <v>47517</v>
      </c>
      <c r="S220" s="71">
        <v>5.1026249999999995E-2</v>
      </c>
      <c r="T220" s="63">
        <f t="shared" si="20"/>
        <v>1.2927452756523183E-3</v>
      </c>
      <c r="V220" s="114">
        <v>1.1367854199999998</v>
      </c>
      <c r="W220" s="72">
        <v>2.8882253499999999</v>
      </c>
      <c r="X220" s="72">
        <v>4.4348826500000005</v>
      </c>
      <c r="Y220" s="72">
        <v>5.7660853300000001</v>
      </c>
      <c r="Z220" s="115">
        <v>7.4331235199999997</v>
      </c>
      <c r="AB220" s="71">
        <v>4.195490053655769E-2</v>
      </c>
      <c r="AC220" s="71">
        <v>4.7938903745754734E-2</v>
      </c>
      <c r="AD220" s="71">
        <v>5.2318995275652314E-2</v>
      </c>
      <c r="AE220" s="71">
        <v>5.4727122040685659E-2</v>
      </c>
      <c r="AF220" s="63">
        <v>5.7283856815181854E-2</v>
      </c>
      <c r="AG220" s="71" t="s">
        <v>21</v>
      </c>
      <c r="AH220" s="71">
        <v>4.9971691457547374E-3</v>
      </c>
      <c r="AI220" s="71">
        <v>9.3247421756523161E-3</v>
      </c>
      <c r="AJ220" s="71">
        <v>1.1033469140685672E-2</v>
      </c>
      <c r="AK220" s="63">
        <v>1.218917211518185E-2</v>
      </c>
    </row>
    <row r="221" spans="2:37" x14ac:dyDescent="0.35">
      <c r="B221" s="55" t="s">
        <v>361</v>
      </c>
      <c r="C221" s="53" t="s">
        <v>234</v>
      </c>
      <c r="D221" s="53" t="s">
        <v>306</v>
      </c>
      <c r="E221" s="53" t="s">
        <v>21</v>
      </c>
      <c r="F221" s="73">
        <f t="shared" si="21"/>
        <v>4.1824440728592954E-2</v>
      </c>
      <c r="G221" s="60">
        <f t="shared" si="21"/>
        <v>4.7892844945683848E-2</v>
      </c>
      <c r="H221" s="60">
        <f t="shared" si="21"/>
        <v>5.2266501054561758E-2</v>
      </c>
      <c r="I221" s="60">
        <f t="shared" si="21"/>
        <v>5.4771420952236305E-2</v>
      </c>
      <c r="J221" s="63">
        <f t="shared" si="21"/>
        <v>5.7563813625378275E-2</v>
      </c>
      <c r="K221" s="60" t="str">
        <f t="shared" si="22"/>
        <v/>
      </c>
      <c r="L221" s="60">
        <f t="shared" si="22"/>
        <v>4.9521027456838522E-3</v>
      </c>
      <c r="M221" s="60">
        <f t="shared" si="22"/>
        <v>9.2740485545617594E-3</v>
      </c>
      <c r="N221" s="60">
        <f t="shared" si="22"/>
        <v>1.1074765952236301E-2</v>
      </c>
      <c r="O221" s="63">
        <f t="shared" si="22"/>
        <v>1.2455899225378281E-2</v>
      </c>
      <c r="P221" s="55" t="s">
        <v>21</v>
      </c>
      <c r="Q221" s="53" t="s">
        <v>21</v>
      </c>
      <c r="R221" s="94" t="s">
        <v>21</v>
      </c>
      <c r="S221" s="71">
        <v>0</v>
      </c>
      <c r="T221" s="63">
        <f t="shared" si="20"/>
        <v>5.2266501054561758E-2</v>
      </c>
      <c r="V221" s="114">
        <v>1.13705236</v>
      </c>
      <c r="W221" s="72">
        <v>2.8889750700000003</v>
      </c>
      <c r="X221" s="72">
        <v>4.4362094800000005</v>
      </c>
      <c r="Y221" s="72">
        <v>5.7668434700000004</v>
      </c>
      <c r="Z221" s="115">
        <v>7.4270573899999999</v>
      </c>
      <c r="AB221" s="71">
        <v>4.1824440728592954E-2</v>
      </c>
      <c r="AC221" s="71">
        <v>4.7892844945683848E-2</v>
      </c>
      <c r="AD221" s="71">
        <v>5.2266501054561758E-2</v>
      </c>
      <c r="AE221" s="71">
        <v>5.4771420952236305E-2</v>
      </c>
      <c r="AF221" s="63">
        <v>5.7563813625378275E-2</v>
      </c>
      <c r="AG221" s="71" t="s">
        <v>21</v>
      </c>
      <c r="AH221" s="71">
        <v>4.9521027456838522E-3</v>
      </c>
      <c r="AI221" s="71">
        <v>9.2740485545617594E-3</v>
      </c>
      <c r="AJ221" s="71">
        <v>1.1074765952236301E-2</v>
      </c>
      <c r="AK221" s="63">
        <v>1.2455899225378281E-2</v>
      </c>
    </row>
    <row r="222" spans="2:37" x14ac:dyDescent="0.35">
      <c r="B222" s="55" t="s">
        <v>259</v>
      </c>
      <c r="C222" s="53" t="s">
        <v>234</v>
      </c>
      <c r="D222" s="53" t="s">
        <v>69</v>
      </c>
      <c r="E222" s="53" t="s">
        <v>21</v>
      </c>
      <c r="F222" s="73">
        <f t="shared" si="21"/>
        <v>4.2166791942342956E-2</v>
      </c>
      <c r="G222" s="60">
        <f t="shared" si="21"/>
        <v>4.7978289500854018E-2</v>
      </c>
      <c r="H222" s="60">
        <f t="shared" si="21"/>
        <v>5.22639495986136E-2</v>
      </c>
      <c r="I222" s="60">
        <f t="shared" si="21"/>
        <v>5.4829720091302776E-2</v>
      </c>
      <c r="J222" s="63">
        <f t="shared" si="21"/>
        <v>5.7864058812846293E-2</v>
      </c>
      <c r="K222" s="60" t="str">
        <f t="shared" si="22"/>
        <v/>
      </c>
      <c r="L222" s="60">
        <f t="shared" si="22"/>
        <v>5.0313247008540209E-3</v>
      </c>
      <c r="M222" s="60">
        <f t="shared" si="22"/>
        <v>9.2703514986136066E-3</v>
      </c>
      <c r="N222" s="60">
        <f t="shared" si="22"/>
        <v>1.1128765691302779E-2</v>
      </c>
      <c r="O222" s="63">
        <f t="shared" si="22"/>
        <v>1.274054731284629E-2</v>
      </c>
      <c r="P222" s="55" t="s">
        <v>541</v>
      </c>
      <c r="Q222" s="53" t="s">
        <v>542</v>
      </c>
      <c r="R222" s="94" t="s">
        <v>32</v>
      </c>
      <c r="S222" s="71">
        <v>4.5437779999999997E-2</v>
      </c>
      <c r="T222" s="63">
        <f t="shared" si="20"/>
        <v>6.8261695986136031E-3</v>
      </c>
      <c r="V222" s="114">
        <v>1.1364296200000001</v>
      </c>
      <c r="W222" s="72">
        <v>2.88788519</v>
      </c>
      <c r="X222" s="72">
        <v>4.4349611700000002</v>
      </c>
      <c r="Y222" s="72">
        <v>5.7651651399999997</v>
      </c>
      <c r="Z222" s="115">
        <v>7.4188816800000001</v>
      </c>
      <c r="AB222" s="71">
        <v>4.2166791942342956E-2</v>
      </c>
      <c r="AC222" s="71">
        <v>4.7978289500854018E-2</v>
      </c>
      <c r="AD222" s="71">
        <v>5.22639495986136E-2</v>
      </c>
      <c r="AE222" s="71">
        <v>5.4829720091302776E-2</v>
      </c>
      <c r="AF222" s="63">
        <v>5.7864058812846293E-2</v>
      </c>
      <c r="AG222" s="71" t="s">
        <v>21</v>
      </c>
      <c r="AH222" s="71">
        <v>5.0313247008540209E-3</v>
      </c>
      <c r="AI222" s="71">
        <v>9.2703514986136066E-3</v>
      </c>
      <c r="AJ222" s="71">
        <v>1.1128765691302779E-2</v>
      </c>
      <c r="AK222" s="63">
        <v>1.274054731284629E-2</v>
      </c>
    </row>
    <row r="223" spans="2:37" x14ac:dyDescent="0.35">
      <c r="B223" s="55" t="s">
        <v>262</v>
      </c>
      <c r="C223" s="53" t="s">
        <v>234</v>
      </c>
      <c r="D223" s="53" t="s">
        <v>31</v>
      </c>
      <c r="E223" s="53" t="s">
        <v>123</v>
      </c>
      <c r="F223" s="73">
        <f t="shared" si="21"/>
        <v>4.1969054901362844E-2</v>
      </c>
      <c r="G223" s="60">
        <f t="shared" si="21"/>
        <v>4.7858191423722427E-2</v>
      </c>
      <c r="H223" s="60">
        <f t="shared" si="21"/>
        <v>5.2215744940899214E-2</v>
      </c>
      <c r="I223" s="60">
        <f t="shared" si="21"/>
        <v>5.4672775935693932E-2</v>
      </c>
      <c r="J223" s="63">
        <f t="shared" si="21"/>
        <v>5.7833720015436761E-2</v>
      </c>
      <c r="K223" s="60" t="str">
        <f t="shared" si="22"/>
        <v/>
      </c>
      <c r="L223" s="60">
        <f t="shared" si="22"/>
        <v>4.9184678237224394E-3</v>
      </c>
      <c r="M223" s="60">
        <f t="shared" si="22"/>
        <v>9.2254458408992206E-3</v>
      </c>
      <c r="N223" s="60">
        <f t="shared" si="22"/>
        <v>1.0980759335693924E-2</v>
      </c>
      <c r="O223" s="63">
        <f t="shared" si="22"/>
        <v>1.2711839415436764E-2</v>
      </c>
      <c r="P223" s="55" t="s">
        <v>543</v>
      </c>
      <c r="Q223" s="53" t="s">
        <v>544</v>
      </c>
      <c r="R223" s="94">
        <v>47660</v>
      </c>
      <c r="S223" s="71">
        <v>5.0961040000000006E-2</v>
      </c>
      <c r="T223" s="63">
        <f t="shared" si="20"/>
        <v>1.2547049408992081E-3</v>
      </c>
      <c r="V223" s="114">
        <v>1.13678872</v>
      </c>
      <c r="W223" s="72">
        <v>2.8887432899999999</v>
      </c>
      <c r="X223" s="72">
        <v>4.4366060800000007</v>
      </c>
      <c r="Y223" s="72">
        <v>5.7686971500000004</v>
      </c>
      <c r="Z223" s="115">
        <v>7.42333803</v>
      </c>
      <c r="AB223" s="71">
        <v>4.1969054901362844E-2</v>
      </c>
      <c r="AC223" s="71">
        <v>4.7858191423722427E-2</v>
      </c>
      <c r="AD223" s="71">
        <v>5.2215744940899214E-2</v>
      </c>
      <c r="AE223" s="71">
        <v>5.4672775935693932E-2</v>
      </c>
      <c r="AF223" s="63">
        <v>5.7833720015436761E-2</v>
      </c>
      <c r="AG223" s="71" t="s">
        <v>21</v>
      </c>
      <c r="AH223" s="71">
        <v>4.9184678237224394E-3</v>
      </c>
      <c r="AI223" s="71">
        <v>9.2254458408992206E-3</v>
      </c>
      <c r="AJ223" s="71">
        <v>1.0980759335693924E-2</v>
      </c>
      <c r="AK223" s="63">
        <v>1.2711839415436764E-2</v>
      </c>
    </row>
    <row r="224" spans="2:37" x14ac:dyDescent="0.35">
      <c r="B224" s="55" t="s">
        <v>247</v>
      </c>
      <c r="C224" s="53" t="s">
        <v>234</v>
      </c>
      <c r="D224" s="53" t="s">
        <v>20</v>
      </c>
      <c r="E224" s="53" t="s">
        <v>36</v>
      </c>
      <c r="F224" s="73">
        <f t="shared" si="21"/>
        <v>4.2447148210243951E-2</v>
      </c>
      <c r="G224" s="60">
        <f t="shared" si="21"/>
        <v>4.8542091727161563E-2</v>
      </c>
      <c r="H224" s="60">
        <f t="shared" si="21"/>
        <v>5.2739889700921562E-2</v>
      </c>
      <c r="I224" s="60">
        <f t="shared" si="21"/>
        <v>5.5234075562992112E-2</v>
      </c>
      <c r="J224" s="63">
        <f t="shared" si="21"/>
        <v>5.8214349872076201E-2</v>
      </c>
      <c r="K224" s="60" t="str">
        <f t="shared" si="22"/>
        <v/>
      </c>
      <c r="L224" s="60">
        <f t="shared" si="22"/>
        <v>5.567144527161564E-3</v>
      </c>
      <c r="M224" s="60">
        <f t="shared" si="22"/>
        <v>9.7222442009215551E-3</v>
      </c>
      <c r="N224" s="60">
        <f t="shared" si="22"/>
        <v>1.151380846299211E-2</v>
      </c>
      <c r="O224" s="63">
        <f t="shared" si="22"/>
        <v>1.3076895972076199E-2</v>
      </c>
      <c r="P224" s="55" t="s">
        <v>248</v>
      </c>
      <c r="Q224" s="53" t="s">
        <v>249</v>
      </c>
      <c r="R224" s="94">
        <v>47543</v>
      </c>
      <c r="S224" s="71">
        <v>5.0091820000000002E-2</v>
      </c>
      <c r="T224" s="63">
        <f t="shared" si="20"/>
        <v>2.6480697009215598E-3</v>
      </c>
      <c r="V224" s="114">
        <v>1.1358850199999999</v>
      </c>
      <c r="W224" s="72">
        <v>2.8833770699999999</v>
      </c>
      <c r="X224" s="72">
        <v>4.4251048400000004</v>
      </c>
      <c r="Y224" s="72">
        <v>5.7488199400000006</v>
      </c>
      <c r="Z224" s="115">
        <v>7.3929611199999998</v>
      </c>
      <c r="AB224" s="71">
        <v>4.2447148210243951E-2</v>
      </c>
      <c r="AC224" s="71">
        <v>4.8542091727161563E-2</v>
      </c>
      <c r="AD224" s="71">
        <v>5.2739889700921562E-2</v>
      </c>
      <c r="AE224" s="71">
        <v>5.5234075562992112E-2</v>
      </c>
      <c r="AF224" s="63">
        <v>5.8214349872076201E-2</v>
      </c>
      <c r="AG224" s="71" t="s">
        <v>21</v>
      </c>
      <c r="AH224" s="71">
        <v>5.567144527161564E-3</v>
      </c>
      <c r="AI224" s="71">
        <v>9.7222442009215551E-3</v>
      </c>
      <c r="AJ224" s="71">
        <v>1.151380846299211E-2</v>
      </c>
      <c r="AK224" s="63">
        <v>1.3076895972076199E-2</v>
      </c>
    </row>
    <row r="225" spans="2:37" x14ac:dyDescent="0.35">
      <c r="B225" s="55" t="s">
        <v>254</v>
      </c>
      <c r="C225" s="53" t="s">
        <v>234</v>
      </c>
      <c r="D225" s="53" t="s">
        <v>20</v>
      </c>
      <c r="E225" s="53" t="s">
        <v>161</v>
      </c>
      <c r="F225" s="73">
        <f t="shared" ref="F225:J275" si="23">IF(ISNUMBER(AB225),AB225-((C$4-C$3)/V225),"")</f>
        <v>4.258846068004718E-2</v>
      </c>
      <c r="G225" s="60">
        <f t="shared" si="23"/>
        <v>4.9159280808857453E-2</v>
      </c>
      <c r="H225" s="60">
        <f t="shared" si="23"/>
        <v>5.2744826719585337E-2</v>
      </c>
      <c r="I225" s="60">
        <f t="shared" si="23"/>
        <v>5.476442186952906E-2</v>
      </c>
      <c r="J225" s="63">
        <f t="shared" si="23"/>
        <v>5.8150049661610415E-2</v>
      </c>
      <c r="K225" s="60" t="str">
        <f t="shared" ref="K225:O275" si="24">IF(ISNUMBER(AG225),IF(AG225-((C$4-C$3)/V225)&lt;0,"",AG225-((C$4-C$3)/V225)),"")</f>
        <v/>
      </c>
      <c r="L225" s="60">
        <f t="shared" si="24"/>
        <v>6.1452052088574616E-3</v>
      </c>
      <c r="M225" s="60">
        <f t="shared" si="24"/>
        <v>9.7219658195853396E-3</v>
      </c>
      <c r="N225" s="60">
        <f t="shared" si="24"/>
        <v>1.1062746669529069E-2</v>
      </c>
      <c r="O225" s="63">
        <f t="shared" si="24"/>
        <v>1.3001616561610408E-2</v>
      </c>
      <c r="P225" s="55" t="s">
        <v>545</v>
      </c>
      <c r="Q225" s="53" t="s">
        <v>546</v>
      </c>
      <c r="R225" s="94">
        <v>47545</v>
      </c>
      <c r="S225" s="71">
        <v>4.9181959999999997E-2</v>
      </c>
      <c r="T225" s="63">
        <f t="shared" si="20"/>
        <v>3.5628667195853406E-3</v>
      </c>
      <c r="V225" s="114">
        <v>1.1356882500000001</v>
      </c>
      <c r="W225" s="72">
        <v>2.8788542699999997</v>
      </c>
      <c r="X225" s="72">
        <v>4.4196847899999998</v>
      </c>
      <c r="Y225" s="72">
        <v>5.7516049899999997</v>
      </c>
      <c r="Z225" s="115">
        <v>7.4072916899999992</v>
      </c>
      <c r="AB225" s="71">
        <v>4.258846068004718E-2</v>
      </c>
      <c r="AC225" s="71">
        <v>4.9159280808857453E-2</v>
      </c>
      <c r="AD225" s="71">
        <v>5.2744826719585337E-2</v>
      </c>
      <c r="AE225" s="71">
        <v>5.476442186952906E-2</v>
      </c>
      <c r="AF225" s="63">
        <v>5.8150049661610415E-2</v>
      </c>
      <c r="AG225" s="71" t="s">
        <v>21</v>
      </c>
      <c r="AH225" s="71">
        <v>6.1452052088574616E-3</v>
      </c>
      <c r="AI225" s="71">
        <v>9.7219658195853396E-3</v>
      </c>
      <c r="AJ225" s="71">
        <v>1.1062746669529069E-2</v>
      </c>
      <c r="AK225" s="63">
        <v>1.3001616561610408E-2</v>
      </c>
    </row>
    <row r="226" spans="2:37" x14ac:dyDescent="0.35">
      <c r="B226" s="55" t="s">
        <v>347</v>
      </c>
      <c r="C226" s="53" t="s">
        <v>234</v>
      </c>
      <c r="D226" s="53" t="s">
        <v>97</v>
      </c>
      <c r="E226" s="53" t="s">
        <v>21</v>
      </c>
      <c r="F226" s="73">
        <f t="shared" si="23"/>
        <v>4.1801260537436949E-2</v>
      </c>
      <c r="G226" s="60">
        <f t="shared" si="23"/>
        <v>4.7866571003573111E-2</v>
      </c>
      <c r="H226" s="60">
        <f t="shared" si="23"/>
        <v>5.2161923528054988E-2</v>
      </c>
      <c r="I226" s="60">
        <f t="shared" si="23"/>
        <v>5.4523242099800889E-2</v>
      </c>
      <c r="J226" s="63">
        <f t="shared" si="23"/>
        <v>5.7818884306296538E-2</v>
      </c>
      <c r="K226" s="60" t="str">
        <f t="shared" si="24"/>
        <v/>
      </c>
      <c r="L226" s="60">
        <f t="shared" si="24"/>
        <v>4.9276329035731065E-3</v>
      </c>
      <c r="M226" s="60">
        <f t="shared" si="24"/>
        <v>9.1752629280549905E-3</v>
      </c>
      <c r="N226" s="60">
        <f t="shared" si="24"/>
        <v>1.083960679980089E-2</v>
      </c>
      <c r="O226" s="63">
        <f t="shared" si="24"/>
        <v>1.2697477006296535E-2</v>
      </c>
      <c r="P226" s="55" t="s">
        <v>21</v>
      </c>
      <c r="Q226" s="53" t="s">
        <v>21</v>
      </c>
      <c r="R226" s="94" t="s">
        <v>21</v>
      </c>
      <c r="S226" s="71">
        <v>0</v>
      </c>
      <c r="T226" s="63">
        <f t="shared" si="20"/>
        <v>5.2161923528054988E-2</v>
      </c>
      <c r="V226" s="114">
        <v>1.13709036</v>
      </c>
      <c r="W226" s="72">
        <v>2.8892004600000001</v>
      </c>
      <c r="X226" s="72">
        <v>4.4375111600000006</v>
      </c>
      <c r="Y226" s="72">
        <v>5.7716866300000005</v>
      </c>
      <c r="Z226" s="115">
        <v>7.4273596400000006</v>
      </c>
      <c r="AB226" s="71">
        <v>4.1801260537436949E-2</v>
      </c>
      <c r="AC226" s="71">
        <v>4.7866571003573111E-2</v>
      </c>
      <c r="AD226" s="71">
        <v>5.2161923528054988E-2</v>
      </c>
      <c r="AE226" s="71">
        <v>5.4523242099800889E-2</v>
      </c>
      <c r="AF226" s="63">
        <v>5.7818884306296538E-2</v>
      </c>
      <c r="AG226" s="71" t="s">
        <v>21</v>
      </c>
      <c r="AH226" s="71">
        <v>4.9276329035731065E-3</v>
      </c>
      <c r="AI226" s="71">
        <v>9.1752629280549905E-3</v>
      </c>
      <c r="AJ226" s="71">
        <v>1.083960679980089E-2</v>
      </c>
      <c r="AK226" s="63">
        <v>1.2697477006296535E-2</v>
      </c>
    </row>
    <row r="227" spans="2:37" x14ac:dyDescent="0.35">
      <c r="B227" s="55" t="s">
        <v>350</v>
      </c>
      <c r="C227" s="53" t="s">
        <v>234</v>
      </c>
      <c r="D227" s="53" t="s">
        <v>20</v>
      </c>
      <c r="E227" s="53" t="s">
        <v>21</v>
      </c>
      <c r="F227" s="73">
        <f t="shared" si="23"/>
        <v>4.1965244290660807E-2</v>
      </c>
      <c r="G227" s="60">
        <f t="shared" si="23"/>
        <v>4.7943170522384553E-2</v>
      </c>
      <c r="H227" s="60">
        <f t="shared" si="23"/>
        <v>5.2403623614264247E-2</v>
      </c>
      <c r="I227" s="60">
        <f t="shared" si="23"/>
        <v>5.4920587418438846E-2</v>
      </c>
      <c r="J227" s="63">
        <f t="shared" si="23"/>
        <v>5.7554607392811069E-2</v>
      </c>
      <c r="K227" s="60" t="str">
        <f t="shared" si="24"/>
        <v/>
      </c>
      <c r="L227" s="60">
        <f t="shared" si="24"/>
        <v>5.0031000223845646E-3</v>
      </c>
      <c r="M227" s="60">
        <f t="shared" si="24"/>
        <v>9.4062792142642435E-3</v>
      </c>
      <c r="N227" s="60">
        <f t="shared" si="24"/>
        <v>1.1218475618438844E-2</v>
      </c>
      <c r="O227" s="63">
        <f t="shared" si="24"/>
        <v>1.2450250392811064E-2</v>
      </c>
      <c r="P227" s="55" t="s">
        <v>386</v>
      </c>
      <c r="Q227" s="53" t="s">
        <v>387</v>
      </c>
      <c r="R227" s="94">
        <v>47802</v>
      </c>
      <c r="S227" s="71">
        <v>5.1532220000000004E-2</v>
      </c>
      <c r="T227" s="63">
        <f t="shared" si="20"/>
        <v>8.714036142642434E-4</v>
      </c>
      <c r="V227" s="114">
        <v>1.1367597199999999</v>
      </c>
      <c r="W227" s="72">
        <v>2.8881861400000002</v>
      </c>
      <c r="X227" s="72">
        <v>4.4339309799999995</v>
      </c>
      <c r="Y227" s="72">
        <v>5.7614696399999996</v>
      </c>
      <c r="Z227" s="115">
        <v>7.4200336899999995</v>
      </c>
      <c r="AB227" s="71">
        <v>4.1965244290660807E-2</v>
      </c>
      <c r="AC227" s="71">
        <v>4.7943170522384553E-2</v>
      </c>
      <c r="AD227" s="71">
        <v>5.2403623614264247E-2</v>
      </c>
      <c r="AE227" s="71">
        <v>5.4920587418438846E-2</v>
      </c>
      <c r="AF227" s="63">
        <v>5.7554607392811069E-2</v>
      </c>
      <c r="AG227" s="71" t="s">
        <v>21</v>
      </c>
      <c r="AH227" s="71">
        <v>5.0031000223845646E-3</v>
      </c>
      <c r="AI227" s="71">
        <v>9.4062792142642435E-3</v>
      </c>
      <c r="AJ227" s="71">
        <v>1.1218475618438844E-2</v>
      </c>
      <c r="AK227" s="63">
        <v>1.2450250392811064E-2</v>
      </c>
    </row>
    <row r="228" spans="2:37" x14ac:dyDescent="0.35">
      <c r="B228" s="55" t="s">
        <v>256</v>
      </c>
      <c r="C228" s="53" t="s">
        <v>234</v>
      </c>
      <c r="D228" s="53" t="s">
        <v>257</v>
      </c>
      <c r="E228" s="53" t="s">
        <v>103</v>
      </c>
      <c r="F228" s="73">
        <f t="shared" si="23"/>
        <v>4.200286856508164E-2</v>
      </c>
      <c r="G228" s="60">
        <f t="shared" si="23"/>
        <v>4.7622243980732948E-2</v>
      </c>
      <c r="H228" s="60">
        <f t="shared" si="23"/>
        <v>5.18438397251033E-2</v>
      </c>
      <c r="I228" s="60">
        <f t="shared" si="23"/>
        <v>5.4450781660712155E-2</v>
      </c>
      <c r="J228" s="63">
        <f t="shared" si="23"/>
        <v>5.760887590669754E-2</v>
      </c>
      <c r="K228" s="60" t="str">
        <f t="shared" si="24"/>
        <v/>
      </c>
      <c r="L228" s="60">
        <f t="shared" si="24"/>
        <v>4.6966665807329517E-3</v>
      </c>
      <c r="M228" s="60">
        <f t="shared" si="24"/>
        <v>8.8744050251033085E-3</v>
      </c>
      <c r="N228" s="60">
        <f t="shared" si="24"/>
        <v>1.0771293760712161E-2</v>
      </c>
      <c r="O228" s="63">
        <f t="shared" si="24"/>
        <v>1.2498973006697538E-2</v>
      </c>
      <c r="P228" s="55" t="s">
        <v>547</v>
      </c>
      <c r="Q228" s="53" t="s">
        <v>548</v>
      </c>
      <c r="R228" s="94" t="s">
        <v>32</v>
      </c>
      <c r="S228" s="71">
        <v>4.9607450000000004E-2</v>
      </c>
      <c r="T228" s="63">
        <f t="shared" si="20"/>
        <v>2.2363897251032952E-3</v>
      </c>
      <c r="V228" s="114">
        <v>1.13669825</v>
      </c>
      <c r="W228" s="72">
        <v>2.8900404499999999</v>
      </c>
      <c r="X228" s="72">
        <v>4.4420293200000005</v>
      </c>
      <c r="Y228" s="72">
        <v>5.7776473900000003</v>
      </c>
      <c r="Z228" s="115">
        <v>7.4372688500000006</v>
      </c>
      <c r="AB228" s="71">
        <v>4.200286856508164E-2</v>
      </c>
      <c r="AC228" s="71">
        <v>4.7622243980732948E-2</v>
      </c>
      <c r="AD228" s="71">
        <v>5.18438397251033E-2</v>
      </c>
      <c r="AE228" s="71">
        <v>5.4450781660712155E-2</v>
      </c>
      <c r="AF228" s="63">
        <v>5.760887590669754E-2</v>
      </c>
      <c r="AG228" s="71" t="s">
        <v>21</v>
      </c>
      <c r="AH228" s="71">
        <v>4.6966665807329517E-3</v>
      </c>
      <c r="AI228" s="71">
        <v>8.8744050251033085E-3</v>
      </c>
      <c r="AJ228" s="71">
        <v>1.0771293760712161E-2</v>
      </c>
      <c r="AK228" s="63">
        <v>1.2498973006697538E-2</v>
      </c>
    </row>
    <row r="229" spans="2:37" x14ac:dyDescent="0.35">
      <c r="B229" s="55" t="s">
        <v>157</v>
      </c>
      <c r="C229" s="53" t="s">
        <v>234</v>
      </c>
      <c r="D229" s="53" t="s">
        <v>31</v>
      </c>
      <c r="E229" s="53" t="s">
        <v>549</v>
      </c>
      <c r="F229" s="73">
        <f t="shared" si="23"/>
        <v>4.1579646410433165E-2</v>
      </c>
      <c r="G229" s="60">
        <f t="shared" si="23"/>
        <v>4.747104304437319E-2</v>
      </c>
      <c r="H229" s="60">
        <f t="shared" si="23"/>
        <v>5.1734631741483558E-2</v>
      </c>
      <c r="I229" s="60">
        <f t="shared" si="23"/>
        <v>5.4246319485260458E-2</v>
      </c>
      <c r="J229" s="63">
        <f t="shared" si="23"/>
        <v>5.7398623489921315E-2</v>
      </c>
      <c r="K229" s="60" t="str">
        <f t="shared" si="24"/>
        <v/>
      </c>
      <c r="L229" s="60">
        <f t="shared" si="24"/>
        <v>4.5509763443731931E-3</v>
      </c>
      <c r="M229" s="60">
        <f t="shared" si="24"/>
        <v>8.7693375414835562E-3</v>
      </c>
      <c r="N229" s="60">
        <f t="shared" si="24"/>
        <v>1.0576345085260466E-2</v>
      </c>
      <c r="O229" s="63">
        <f t="shared" si="24"/>
        <v>1.2297536789921314E-2</v>
      </c>
      <c r="P229" s="55" t="s">
        <v>21</v>
      </c>
      <c r="Q229" s="53" t="s">
        <v>21</v>
      </c>
      <c r="R229" s="94" t="s">
        <v>21</v>
      </c>
      <c r="S229" s="71">
        <v>0</v>
      </c>
      <c r="T229" s="63">
        <f t="shared" si="20"/>
        <v>5.1734631741483558E-2</v>
      </c>
      <c r="V229" s="114">
        <v>1.1375334100000001</v>
      </c>
      <c r="W229" s="72">
        <v>2.89242116</v>
      </c>
      <c r="X229" s="72">
        <v>4.4456568699999996</v>
      </c>
      <c r="Y229" s="72">
        <v>5.7839889399999995</v>
      </c>
      <c r="Z229" s="115">
        <v>7.4489077900000007</v>
      </c>
      <c r="AB229" s="71">
        <v>4.1579646410433165E-2</v>
      </c>
      <c r="AC229" s="71">
        <v>4.747104304437319E-2</v>
      </c>
      <c r="AD229" s="71">
        <v>5.1734631741483558E-2</v>
      </c>
      <c r="AE229" s="71">
        <v>5.4246319485260458E-2</v>
      </c>
      <c r="AF229" s="63">
        <v>5.7398623489921315E-2</v>
      </c>
      <c r="AG229" s="71" t="s">
        <v>21</v>
      </c>
      <c r="AH229" s="71">
        <v>4.5509763443731931E-3</v>
      </c>
      <c r="AI229" s="71">
        <v>8.7693375414835562E-3</v>
      </c>
      <c r="AJ229" s="71">
        <v>1.0576345085260466E-2</v>
      </c>
      <c r="AK229" s="63">
        <v>1.2297536789921314E-2</v>
      </c>
    </row>
    <row r="230" spans="2:37" x14ac:dyDescent="0.35">
      <c r="B230" s="55" t="s">
        <v>149</v>
      </c>
      <c r="C230" s="53" t="s">
        <v>234</v>
      </c>
      <c r="D230" s="53" t="s">
        <v>97</v>
      </c>
      <c r="E230" s="53" t="s">
        <v>346</v>
      </c>
      <c r="F230" s="73">
        <f t="shared" si="23"/>
        <v>4.1447666964155139E-2</v>
      </c>
      <c r="G230" s="60">
        <f t="shared" si="23"/>
        <v>4.75600694611608E-2</v>
      </c>
      <c r="H230" s="60">
        <f t="shared" si="23"/>
        <v>5.1633038005009568E-2</v>
      </c>
      <c r="I230" s="60">
        <f t="shared" si="23"/>
        <v>5.4242120045249219E-2</v>
      </c>
      <c r="J230" s="63">
        <f t="shared" si="23"/>
        <v>5.748792375682401E-2</v>
      </c>
      <c r="K230" s="60" t="str">
        <f t="shared" si="24"/>
        <v/>
      </c>
      <c r="L230" s="60">
        <f t="shared" si="24"/>
        <v>4.6365573611608056E-3</v>
      </c>
      <c r="M230" s="60">
        <f t="shared" si="24"/>
        <v>8.673692405009573E-3</v>
      </c>
      <c r="N230" s="60">
        <f t="shared" si="24"/>
        <v>1.0572772145249227E-2</v>
      </c>
      <c r="O230" s="63">
        <f t="shared" si="24"/>
        <v>1.2383165456824007E-2</v>
      </c>
      <c r="P230" s="55" t="s">
        <v>550</v>
      </c>
      <c r="Q230" s="53" t="s">
        <v>551</v>
      </c>
      <c r="R230" s="94" t="s">
        <v>32</v>
      </c>
      <c r="S230" s="71">
        <v>5.3171700000000002E-2</v>
      </c>
      <c r="T230" s="63">
        <f t="shared" si="20"/>
        <v>-1.538661994990434E-3</v>
      </c>
      <c r="V230" s="114">
        <v>1.13776827</v>
      </c>
      <c r="W230" s="72">
        <v>2.8922641599999999</v>
      </c>
      <c r="X230" s="72">
        <v>4.4462925499999999</v>
      </c>
      <c r="Y230" s="72">
        <v>5.7849620100000001</v>
      </c>
      <c r="Z230" s="115">
        <v>7.4476767299999995</v>
      </c>
      <c r="AB230" s="71">
        <v>4.1447666964155139E-2</v>
      </c>
      <c r="AC230" s="71">
        <v>4.75600694611608E-2</v>
      </c>
      <c r="AD230" s="71">
        <v>5.1633038005009568E-2</v>
      </c>
      <c r="AE230" s="71">
        <v>5.4242120045249219E-2</v>
      </c>
      <c r="AF230" s="63">
        <v>5.748792375682401E-2</v>
      </c>
      <c r="AG230" s="71" t="s">
        <v>21</v>
      </c>
      <c r="AH230" s="71">
        <v>4.6365573611608056E-3</v>
      </c>
      <c r="AI230" s="71">
        <v>8.673692405009573E-3</v>
      </c>
      <c r="AJ230" s="71">
        <v>1.0572772145249227E-2</v>
      </c>
      <c r="AK230" s="63">
        <v>1.2383165456824007E-2</v>
      </c>
    </row>
    <row r="231" spans="2:37" x14ac:dyDescent="0.35">
      <c r="B231" s="55" t="s">
        <v>260</v>
      </c>
      <c r="C231" s="53" t="s">
        <v>234</v>
      </c>
      <c r="D231" s="53" t="s">
        <v>43</v>
      </c>
      <c r="E231" s="53" t="s">
        <v>21</v>
      </c>
      <c r="F231" s="73">
        <f t="shared" si="23"/>
        <v>4.2193866231374756E-2</v>
      </c>
      <c r="G231" s="60">
        <f t="shared" si="23"/>
        <v>4.7826830641066104E-2</v>
      </c>
      <c r="H231" s="60">
        <f t="shared" si="23"/>
        <v>5.164848942089021E-2</v>
      </c>
      <c r="I231" s="60">
        <f t="shared" si="23"/>
        <v>5.3965606845292308E-2</v>
      </c>
      <c r="J231" s="63">
        <f t="shared" si="23"/>
        <v>5.7106846745692691E-2</v>
      </c>
      <c r="K231" s="60" t="str">
        <f t="shared" si="24"/>
        <v/>
      </c>
      <c r="L231" s="60">
        <f t="shared" si="24"/>
        <v>4.8901301410661079E-3</v>
      </c>
      <c r="M231" s="60">
        <f t="shared" si="24"/>
        <v>8.6886486208902144E-3</v>
      </c>
      <c r="N231" s="60">
        <f t="shared" si="24"/>
        <v>1.0309948645292312E-2</v>
      </c>
      <c r="O231" s="63">
        <f t="shared" si="24"/>
        <v>1.2016763145692701E-2</v>
      </c>
      <c r="P231" s="55" t="s">
        <v>552</v>
      </c>
      <c r="Q231" s="53" t="s">
        <v>553</v>
      </c>
      <c r="R231" s="94" t="s">
        <v>32</v>
      </c>
      <c r="S231" s="71">
        <v>5.0220589999999996E-2</v>
      </c>
      <c r="T231" s="63">
        <f t="shared" si="20"/>
        <v>1.4278994208902149E-3</v>
      </c>
      <c r="V231" s="114">
        <v>1.13634316</v>
      </c>
      <c r="W231" s="72">
        <v>2.8881677299999997</v>
      </c>
      <c r="X231" s="72">
        <v>4.4418049399999999</v>
      </c>
      <c r="Y231" s="72">
        <v>5.7847496099999995</v>
      </c>
      <c r="Z231" s="115">
        <v>7.4585788799999992</v>
      </c>
      <c r="AB231" s="71">
        <v>4.2193866231374756E-2</v>
      </c>
      <c r="AC231" s="71">
        <v>4.7826830641066104E-2</v>
      </c>
      <c r="AD231" s="71">
        <v>5.164848942089021E-2</v>
      </c>
      <c r="AE231" s="71">
        <v>5.3965606845292308E-2</v>
      </c>
      <c r="AF231" s="63">
        <v>5.7106846745692691E-2</v>
      </c>
      <c r="AG231" s="71" t="s">
        <v>21</v>
      </c>
      <c r="AH231" s="71">
        <v>4.8901301410661079E-3</v>
      </c>
      <c r="AI231" s="71">
        <v>8.6886486208902144E-3</v>
      </c>
      <c r="AJ231" s="71">
        <v>1.0309948645292312E-2</v>
      </c>
      <c r="AK231" s="63">
        <v>1.2016763145692701E-2</v>
      </c>
    </row>
    <row r="232" spans="2:37" x14ac:dyDescent="0.35">
      <c r="B232" s="55" t="s">
        <v>324</v>
      </c>
      <c r="C232" s="53" t="s">
        <v>234</v>
      </c>
      <c r="D232" s="53" t="s">
        <v>31</v>
      </c>
      <c r="E232" s="53" t="s">
        <v>21</v>
      </c>
      <c r="F232" s="73">
        <f t="shared" si="23"/>
        <v>4.1418190160209242E-2</v>
      </c>
      <c r="G232" s="60">
        <f t="shared" si="23"/>
        <v>4.730303273871183E-2</v>
      </c>
      <c r="H232" s="60">
        <f t="shared" si="23"/>
        <v>5.1521301001402627E-2</v>
      </c>
      <c r="I232" s="60">
        <f t="shared" si="23"/>
        <v>5.4902776831446634E-2</v>
      </c>
      <c r="J232" s="63">
        <f t="shared" si="23"/>
        <v>5.8081984365684548E-2</v>
      </c>
      <c r="K232" s="60" t="str">
        <f t="shared" si="24"/>
        <v/>
      </c>
      <c r="L232" s="60">
        <f t="shared" si="24"/>
        <v>4.3912430387118345E-3</v>
      </c>
      <c r="M232" s="60">
        <f t="shared" si="24"/>
        <v>8.5668554014026368E-3</v>
      </c>
      <c r="N232" s="60">
        <f t="shared" si="24"/>
        <v>1.1198903031446633E-2</v>
      </c>
      <c r="O232" s="63">
        <f t="shared" si="24"/>
        <v>1.2953858365684533E-2</v>
      </c>
      <c r="P232" s="55" t="s">
        <v>21</v>
      </c>
      <c r="Q232" s="53" t="s">
        <v>21</v>
      </c>
      <c r="R232" s="94" t="s">
        <v>21</v>
      </c>
      <c r="S232" s="71">
        <v>0</v>
      </c>
      <c r="T232" s="63">
        <f t="shared" si="20"/>
        <v>5.1521301001402627E-2</v>
      </c>
      <c r="V232" s="114">
        <v>1.13784519</v>
      </c>
      <c r="W232" s="72">
        <v>2.8940005800000002</v>
      </c>
      <c r="X232" s="72">
        <v>4.4496243499999997</v>
      </c>
      <c r="Y232" s="72">
        <v>5.7792689500000005</v>
      </c>
      <c r="Z232" s="115">
        <v>7.42378596</v>
      </c>
      <c r="AB232" s="71">
        <v>4.1418190160209242E-2</v>
      </c>
      <c r="AC232" s="71">
        <v>4.730303273871183E-2</v>
      </c>
      <c r="AD232" s="71">
        <v>5.1521301001402627E-2</v>
      </c>
      <c r="AE232" s="71">
        <v>5.4902776831446634E-2</v>
      </c>
      <c r="AF232" s="63">
        <v>5.8081984365684548E-2</v>
      </c>
      <c r="AG232" s="71" t="s">
        <v>21</v>
      </c>
      <c r="AH232" s="71">
        <v>4.3912430387118345E-3</v>
      </c>
      <c r="AI232" s="71">
        <v>8.5668554014026368E-3</v>
      </c>
      <c r="AJ232" s="71">
        <v>1.1198903031446633E-2</v>
      </c>
      <c r="AK232" s="63">
        <v>1.2953858365684533E-2</v>
      </c>
    </row>
    <row r="233" spans="2:37" x14ac:dyDescent="0.35">
      <c r="B233" s="55" t="s">
        <v>373</v>
      </c>
      <c r="C233" s="53" t="s">
        <v>234</v>
      </c>
      <c r="D233" s="53" t="s">
        <v>20</v>
      </c>
      <c r="E233" s="53" t="s">
        <v>554</v>
      </c>
      <c r="F233" s="73">
        <f t="shared" si="23"/>
        <v>4.139777228491235E-2</v>
      </c>
      <c r="G233" s="60">
        <f t="shared" si="23"/>
        <v>4.6727589873256058E-2</v>
      </c>
      <c r="H233" s="60">
        <f t="shared" si="23"/>
        <v>5.0069575830776696E-2</v>
      </c>
      <c r="I233" s="60">
        <f t="shared" si="23"/>
        <v>5.1995405478294697E-2</v>
      </c>
      <c r="J233" s="63">
        <f t="shared" si="23"/>
        <v>5.4229858678536191E-2</v>
      </c>
      <c r="K233" s="60" t="str">
        <f t="shared" si="24"/>
        <v/>
      </c>
      <c r="L233" s="60">
        <f t="shared" si="24"/>
        <v>3.8467771732560632E-3</v>
      </c>
      <c r="M233" s="60">
        <f t="shared" si="24"/>
        <v>7.1896915307767002E-3</v>
      </c>
      <c r="N233" s="60">
        <f t="shared" si="24"/>
        <v>8.4367496782946898E-3</v>
      </c>
      <c r="O233" s="63">
        <f t="shared" si="24"/>
        <v>9.2644032785361968E-3</v>
      </c>
      <c r="P233" s="55" t="s">
        <v>21</v>
      </c>
      <c r="Q233" s="53" t="s">
        <v>21</v>
      </c>
      <c r="R233" s="94" t="s">
        <v>21</v>
      </c>
      <c r="S233" s="71">
        <v>0</v>
      </c>
      <c r="T233" s="63">
        <f t="shared" si="20"/>
        <v>5.0069575830776696E-2</v>
      </c>
      <c r="V233" s="114">
        <v>1.13785892</v>
      </c>
      <c r="W233" s="72">
        <v>2.8975174999999997</v>
      </c>
      <c r="X233" s="72">
        <v>4.4687574699999999</v>
      </c>
      <c r="Y233" s="72">
        <v>5.8407679799999999</v>
      </c>
      <c r="Z233" s="115">
        <v>7.585059750000001</v>
      </c>
      <c r="AB233" s="71">
        <v>4.139777228491235E-2</v>
      </c>
      <c r="AC233" s="71">
        <v>4.6727589873256058E-2</v>
      </c>
      <c r="AD233" s="71">
        <v>5.0069575830776696E-2</v>
      </c>
      <c r="AE233" s="71">
        <v>5.1995405478294697E-2</v>
      </c>
      <c r="AF233" s="63">
        <v>5.4229858678536191E-2</v>
      </c>
      <c r="AG233" s="71" t="s">
        <v>21</v>
      </c>
      <c r="AH233" s="71">
        <v>3.8467771732560632E-3</v>
      </c>
      <c r="AI233" s="71">
        <v>7.1896915307767002E-3</v>
      </c>
      <c r="AJ233" s="71">
        <v>8.4367496782946898E-3</v>
      </c>
      <c r="AK233" s="63">
        <v>9.2644032785361968E-3</v>
      </c>
    </row>
    <row r="234" spans="2:37" x14ac:dyDescent="0.35">
      <c r="B234" s="55" t="s">
        <v>352</v>
      </c>
      <c r="C234" s="53" t="s">
        <v>234</v>
      </c>
      <c r="D234" s="53" t="s">
        <v>20</v>
      </c>
      <c r="E234" s="53" t="s">
        <v>21</v>
      </c>
      <c r="F234" s="73">
        <f t="shared" si="23"/>
        <v>4.1798804947488631E-2</v>
      </c>
      <c r="G234" s="60">
        <f t="shared" si="23"/>
        <v>4.7799803551612188E-2</v>
      </c>
      <c r="H234" s="60">
        <f t="shared" si="23"/>
        <v>5.2035857057259112E-2</v>
      </c>
      <c r="I234" s="60">
        <f t="shared" si="23"/>
        <v>5.4848021643576425E-2</v>
      </c>
      <c r="J234" s="63">
        <f t="shared" si="23"/>
        <v>5.7815644661979755E-2</v>
      </c>
      <c r="K234" s="60" t="str">
        <f t="shared" si="24"/>
        <v/>
      </c>
      <c r="L234" s="60">
        <f t="shared" si="24"/>
        <v>4.8602781516121907E-3</v>
      </c>
      <c r="M234" s="60">
        <f t="shared" si="24"/>
        <v>9.0530297572591172E-3</v>
      </c>
      <c r="N234" s="60">
        <f t="shared" si="24"/>
        <v>1.1146027443576427E-2</v>
      </c>
      <c r="O234" s="63">
        <f t="shared" si="24"/>
        <v>1.2697610061979767E-2</v>
      </c>
      <c r="P234" s="55" t="s">
        <v>21</v>
      </c>
      <c r="Q234" s="53" t="s">
        <v>21</v>
      </c>
      <c r="R234" s="94" t="s">
        <v>21</v>
      </c>
      <c r="S234" s="71">
        <v>0</v>
      </c>
      <c r="T234" s="63">
        <f t="shared" si="20"/>
        <v>5.2035857057259112E-2</v>
      </c>
      <c r="V234" s="114">
        <v>1.1371552999999999</v>
      </c>
      <c r="W234" s="72">
        <v>2.8904329</v>
      </c>
      <c r="X234" s="72">
        <v>4.4405918399999997</v>
      </c>
      <c r="Y234" s="72">
        <v>5.7693523500000001</v>
      </c>
      <c r="Z234" s="115">
        <v>7.4205633300000002</v>
      </c>
      <c r="AB234" s="71">
        <v>4.1798804947488631E-2</v>
      </c>
      <c r="AC234" s="71">
        <v>4.7799803551612188E-2</v>
      </c>
      <c r="AD234" s="71">
        <v>5.2035857057259112E-2</v>
      </c>
      <c r="AE234" s="71">
        <v>5.4848021643576425E-2</v>
      </c>
      <c r="AF234" s="63">
        <v>5.7815644661979755E-2</v>
      </c>
      <c r="AG234" s="71" t="s">
        <v>21</v>
      </c>
      <c r="AH234" s="71">
        <v>4.8602781516121907E-3</v>
      </c>
      <c r="AI234" s="71">
        <v>9.0530297572591172E-3</v>
      </c>
      <c r="AJ234" s="71">
        <v>1.1146027443576427E-2</v>
      </c>
      <c r="AK234" s="63">
        <v>1.2697610061979767E-2</v>
      </c>
    </row>
    <row r="235" spans="2:37" x14ac:dyDescent="0.35">
      <c r="B235" s="55" t="s">
        <v>158</v>
      </c>
      <c r="C235" s="53" t="s">
        <v>234</v>
      </c>
      <c r="D235" s="53" t="s">
        <v>31</v>
      </c>
      <c r="E235" s="53" t="s">
        <v>21</v>
      </c>
      <c r="F235" s="73">
        <f t="shared" si="23"/>
        <v>4.2097058635128623E-2</v>
      </c>
      <c r="G235" s="60">
        <f t="shared" si="23"/>
        <v>4.7560148800585685E-2</v>
      </c>
      <c r="H235" s="60">
        <f t="shared" si="23"/>
        <v>5.1485082579261168E-2</v>
      </c>
      <c r="I235" s="60">
        <f t="shared" si="23"/>
        <v>5.3852988765857805E-2</v>
      </c>
      <c r="J235" s="63">
        <f t="shared" si="23"/>
        <v>5.6712379899100558E-2</v>
      </c>
      <c r="K235" s="60" t="str">
        <f t="shared" si="24"/>
        <v/>
      </c>
      <c r="L235" s="60">
        <f t="shared" si="24"/>
        <v>4.6351392005856782E-3</v>
      </c>
      <c r="M235" s="60">
        <f t="shared" si="24"/>
        <v>8.5323717792611768E-3</v>
      </c>
      <c r="N235" s="60">
        <f t="shared" si="24"/>
        <v>1.0202201265857799E-2</v>
      </c>
      <c r="O235" s="63">
        <f t="shared" si="24"/>
        <v>1.1640552599100561E-2</v>
      </c>
      <c r="P235" s="55" t="s">
        <v>21</v>
      </c>
      <c r="Q235" s="53" t="s">
        <v>21</v>
      </c>
      <c r="R235" s="94" t="s">
        <v>21</v>
      </c>
      <c r="S235" s="71">
        <v>0</v>
      </c>
      <c r="T235" s="63">
        <f t="shared" si="20"/>
        <v>5.1485082579261168E-2</v>
      </c>
      <c r="V235" s="114">
        <v>1.13655613</v>
      </c>
      <c r="W235" s="72">
        <v>2.8901970299999999</v>
      </c>
      <c r="X235" s="72">
        <v>4.4459455999999999</v>
      </c>
      <c r="Y235" s="72">
        <v>5.7904503099999998</v>
      </c>
      <c r="Z235" s="115">
        <v>7.4729956599999996</v>
      </c>
      <c r="AB235" s="71">
        <v>4.2097058635128623E-2</v>
      </c>
      <c r="AC235" s="71">
        <v>4.7560148800585685E-2</v>
      </c>
      <c r="AD235" s="71">
        <v>5.1485082579261168E-2</v>
      </c>
      <c r="AE235" s="71">
        <v>5.3852988765857805E-2</v>
      </c>
      <c r="AF235" s="63">
        <v>5.6712379899100558E-2</v>
      </c>
      <c r="AG235" s="71" t="s">
        <v>21</v>
      </c>
      <c r="AH235" s="71">
        <v>4.6351392005856782E-3</v>
      </c>
      <c r="AI235" s="71">
        <v>8.5323717792611768E-3</v>
      </c>
      <c r="AJ235" s="71">
        <v>1.0202201265857799E-2</v>
      </c>
      <c r="AK235" s="63">
        <v>1.1640552599100561E-2</v>
      </c>
    </row>
    <row r="236" spans="2:37" x14ac:dyDescent="0.35">
      <c r="B236" s="55" t="s">
        <v>372</v>
      </c>
      <c r="C236" s="53" t="s">
        <v>234</v>
      </c>
      <c r="D236" s="53" t="s">
        <v>69</v>
      </c>
      <c r="E236" s="53" t="s">
        <v>258</v>
      </c>
      <c r="F236" s="73">
        <f t="shared" si="23"/>
        <v>4.157447239061321E-2</v>
      </c>
      <c r="G236" s="60">
        <f t="shared" si="23"/>
        <v>4.7430435037856343E-2</v>
      </c>
      <c r="H236" s="60">
        <f t="shared" si="23"/>
        <v>5.1472985087852578E-2</v>
      </c>
      <c r="I236" s="60">
        <f t="shared" si="23"/>
        <v>5.3648839775846301E-2</v>
      </c>
      <c r="J236" s="63">
        <f t="shared" si="23"/>
        <v>5.6173805312274387E-2</v>
      </c>
      <c r="K236" s="60" t="str">
        <f t="shared" si="24"/>
        <v/>
      </c>
      <c r="L236" s="60">
        <f t="shared" si="24"/>
        <v>4.514556537856344E-3</v>
      </c>
      <c r="M236" s="60">
        <f t="shared" si="24"/>
        <v>8.5226268878525781E-3</v>
      </c>
      <c r="N236" s="60">
        <f t="shared" si="24"/>
        <v>1.0010052675846298E-2</v>
      </c>
      <c r="O236" s="63">
        <f t="shared" si="24"/>
        <v>1.1127414012274385E-2</v>
      </c>
      <c r="P236" s="55" t="s">
        <v>21</v>
      </c>
      <c r="Q236" s="53" t="s">
        <v>21</v>
      </c>
      <c r="R236" s="94" t="s">
        <v>21</v>
      </c>
      <c r="S236" s="71">
        <v>0</v>
      </c>
      <c r="T236" s="63">
        <f t="shared" si="20"/>
        <v>5.1472985087852578E-2</v>
      </c>
      <c r="V236" s="114">
        <v>1.13751409</v>
      </c>
      <c r="W236" s="72">
        <v>2.8926283800000001</v>
      </c>
      <c r="X236" s="72">
        <v>4.4485259800000003</v>
      </c>
      <c r="Y236" s="72">
        <v>5.7954823099999997</v>
      </c>
      <c r="Z236" s="115">
        <v>7.49102275</v>
      </c>
      <c r="AB236" s="71">
        <v>4.157447239061321E-2</v>
      </c>
      <c r="AC236" s="71">
        <v>4.7430435037856343E-2</v>
      </c>
      <c r="AD236" s="71">
        <v>5.1472985087852578E-2</v>
      </c>
      <c r="AE236" s="71">
        <v>5.3648839775846301E-2</v>
      </c>
      <c r="AF236" s="63">
        <v>5.6173805312274387E-2</v>
      </c>
      <c r="AG236" s="71" t="s">
        <v>21</v>
      </c>
      <c r="AH236" s="71">
        <v>4.514556537856344E-3</v>
      </c>
      <c r="AI236" s="71">
        <v>8.5226268878525781E-3</v>
      </c>
      <c r="AJ236" s="71">
        <v>1.0010052675846298E-2</v>
      </c>
      <c r="AK236" s="63">
        <v>1.1127414012274385E-2</v>
      </c>
    </row>
    <row r="237" spans="2:37" x14ac:dyDescent="0.35">
      <c r="B237" s="55" t="s">
        <v>365</v>
      </c>
      <c r="C237" s="53" t="s">
        <v>234</v>
      </c>
      <c r="D237" s="53" t="s">
        <v>69</v>
      </c>
      <c r="E237" s="53" t="s">
        <v>21</v>
      </c>
      <c r="F237" s="73">
        <f t="shared" si="23"/>
        <v>4.2014923276218336E-2</v>
      </c>
      <c r="G237" s="60">
        <f t="shared" si="23"/>
        <v>4.738805397372179E-2</v>
      </c>
      <c r="H237" s="60">
        <f t="shared" si="23"/>
        <v>5.1268352151439149E-2</v>
      </c>
      <c r="I237" s="60">
        <f t="shared" si="23"/>
        <v>5.354284488637067E-2</v>
      </c>
      <c r="J237" s="63">
        <f t="shared" si="23"/>
        <v>5.6206612171832877E-2</v>
      </c>
      <c r="K237" s="60" t="str">
        <f t="shared" si="24"/>
        <v/>
      </c>
      <c r="L237" s="60">
        <f t="shared" si="24"/>
        <v>4.4743026737217974E-3</v>
      </c>
      <c r="M237" s="60">
        <f t="shared" si="24"/>
        <v>8.3284847514391511E-3</v>
      </c>
      <c r="N237" s="60">
        <f t="shared" si="24"/>
        <v>9.9090428863706729E-3</v>
      </c>
      <c r="O237" s="63">
        <f t="shared" si="24"/>
        <v>1.1158236571832864E-2</v>
      </c>
      <c r="P237" s="55" t="s">
        <v>21</v>
      </c>
      <c r="Q237" s="53" t="s">
        <v>21</v>
      </c>
      <c r="R237" s="94" t="s">
        <v>21</v>
      </c>
      <c r="S237" s="71">
        <v>0</v>
      </c>
      <c r="T237" s="63">
        <f t="shared" si="20"/>
        <v>5.1268352151439149E-2</v>
      </c>
      <c r="V237" s="114">
        <v>1.13667875</v>
      </c>
      <c r="W237" s="72">
        <v>2.8914611300000002</v>
      </c>
      <c r="X237" s="72">
        <v>4.4496347199999997</v>
      </c>
      <c r="Y237" s="72">
        <v>5.7985824900000003</v>
      </c>
      <c r="Z237" s="115">
        <v>7.4936032099999998</v>
      </c>
      <c r="AB237" s="71">
        <v>4.2014923276218336E-2</v>
      </c>
      <c r="AC237" s="71">
        <v>4.738805397372179E-2</v>
      </c>
      <c r="AD237" s="71">
        <v>5.1268352151439149E-2</v>
      </c>
      <c r="AE237" s="71">
        <v>5.354284488637067E-2</v>
      </c>
      <c r="AF237" s="63">
        <v>5.6206612171832877E-2</v>
      </c>
      <c r="AG237" s="71" t="s">
        <v>21</v>
      </c>
      <c r="AH237" s="71">
        <v>4.4743026737217974E-3</v>
      </c>
      <c r="AI237" s="71">
        <v>8.3284847514391511E-3</v>
      </c>
      <c r="AJ237" s="71">
        <v>9.9090428863706729E-3</v>
      </c>
      <c r="AK237" s="63">
        <v>1.1158236571832864E-2</v>
      </c>
    </row>
    <row r="238" spans="2:37" x14ac:dyDescent="0.35">
      <c r="B238" s="55" t="s">
        <v>373</v>
      </c>
      <c r="C238" s="53" t="s">
        <v>234</v>
      </c>
      <c r="D238" s="53" t="s">
        <v>20</v>
      </c>
      <c r="E238" s="53" t="s">
        <v>251</v>
      </c>
      <c r="F238" s="73">
        <f t="shared" si="23"/>
        <v>4.139777228491235E-2</v>
      </c>
      <c r="G238" s="60">
        <f t="shared" si="23"/>
        <v>4.6727589873256058E-2</v>
      </c>
      <c r="H238" s="60">
        <f t="shared" si="23"/>
        <v>5.0069575830776696E-2</v>
      </c>
      <c r="I238" s="60">
        <f t="shared" si="23"/>
        <v>5.1995405478294697E-2</v>
      </c>
      <c r="J238" s="63">
        <f t="shared" si="23"/>
        <v>5.4229858678536191E-2</v>
      </c>
      <c r="K238" s="60" t="str">
        <f t="shared" si="24"/>
        <v/>
      </c>
      <c r="L238" s="60">
        <f t="shared" si="24"/>
        <v>3.8467771732560632E-3</v>
      </c>
      <c r="M238" s="60">
        <f t="shared" si="24"/>
        <v>7.1896915307767002E-3</v>
      </c>
      <c r="N238" s="60">
        <f t="shared" si="24"/>
        <v>8.4367496782946898E-3</v>
      </c>
      <c r="O238" s="63">
        <f t="shared" si="24"/>
        <v>9.2644032785361968E-3</v>
      </c>
      <c r="P238" s="55" t="s">
        <v>21</v>
      </c>
      <c r="Q238" s="53" t="s">
        <v>21</v>
      </c>
      <c r="R238" s="94" t="s">
        <v>21</v>
      </c>
      <c r="S238" s="71">
        <v>0</v>
      </c>
      <c r="T238" s="63">
        <f t="shared" si="20"/>
        <v>5.0069575830776696E-2</v>
      </c>
      <c r="V238" s="114">
        <v>1.13785892</v>
      </c>
      <c r="W238" s="72">
        <v>2.8975174999999997</v>
      </c>
      <c r="X238" s="72">
        <v>4.4687574699999999</v>
      </c>
      <c r="Y238" s="72">
        <v>5.8407679799999999</v>
      </c>
      <c r="Z238" s="115">
        <v>7.585059750000001</v>
      </c>
      <c r="AB238" s="71">
        <v>4.139777228491235E-2</v>
      </c>
      <c r="AC238" s="71">
        <v>4.6727589873256058E-2</v>
      </c>
      <c r="AD238" s="71">
        <v>5.0069575830776696E-2</v>
      </c>
      <c r="AE238" s="71">
        <v>5.1995405478294697E-2</v>
      </c>
      <c r="AF238" s="63">
        <v>5.4229858678536191E-2</v>
      </c>
      <c r="AG238" s="71" t="s">
        <v>21</v>
      </c>
      <c r="AH238" s="71">
        <v>3.8467771732560632E-3</v>
      </c>
      <c r="AI238" s="71">
        <v>7.1896915307767002E-3</v>
      </c>
      <c r="AJ238" s="71">
        <v>8.4367496782946898E-3</v>
      </c>
      <c r="AK238" s="63">
        <v>9.2644032785361968E-3</v>
      </c>
    </row>
    <row r="239" spans="2:37" x14ac:dyDescent="0.35">
      <c r="B239" s="55" t="s">
        <v>357</v>
      </c>
      <c r="C239" s="53" t="s">
        <v>234</v>
      </c>
      <c r="D239" s="53" t="s">
        <v>20</v>
      </c>
      <c r="E239" s="53" t="s">
        <v>58</v>
      </c>
      <c r="F239" s="73">
        <f t="shared" si="23"/>
        <v>4.2340359728911411E-2</v>
      </c>
      <c r="G239" s="60">
        <f t="shared" si="23"/>
        <v>4.8456467404028085E-2</v>
      </c>
      <c r="H239" s="60">
        <f t="shared" si="23"/>
        <v>5.289827031924766E-2</v>
      </c>
      <c r="I239" s="60">
        <f t="shared" si="23"/>
        <v>5.5483879545392113E-2</v>
      </c>
      <c r="J239" s="63">
        <f t="shared" si="23"/>
        <v>5.8482132042011789E-2</v>
      </c>
      <c r="K239" s="60" t="str">
        <f t="shared" si="24"/>
        <v/>
      </c>
      <c r="L239" s="60">
        <f t="shared" si="24"/>
        <v>5.4850912040280905E-3</v>
      </c>
      <c r="M239" s="60">
        <f t="shared" si="24"/>
        <v>9.8713692192476509E-3</v>
      </c>
      <c r="N239" s="60">
        <f t="shared" si="24"/>
        <v>1.1749254645392108E-2</v>
      </c>
      <c r="O239" s="63">
        <f t="shared" si="24"/>
        <v>1.3331315442011771E-2</v>
      </c>
      <c r="P239" s="55" t="s">
        <v>21</v>
      </c>
      <c r="Q239" s="53" t="s">
        <v>21</v>
      </c>
      <c r="R239" s="94" t="s">
        <v>21</v>
      </c>
      <c r="S239" s="71">
        <v>0</v>
      </c>
      <c r="T239" s="63">
        <f t="shared" si="20"/>
        <v>5.289827031924766E-2</v>
      </c>
      <c r="V239" s="114">
        <v>1.1360834900000001</v>
      </c>
      <c r="W239" s="72">
        <v>2.88322346</v>
      </c>
      <c r="X239" s="72">
        <v>4.4239999499999998</v>
      </c>
      <c r="Y239" s="72">
        <v>5.7435973899999997</v>
      </c>
      <c r="Z239" s="115">
        <v>7.3798841299999998</v>
      </c>
      <c r="AB239" s="71">
        <v>4.2340359728911411E-2</v>
      </c>
      <c r="AC239" s="71">
        <v>4.8456467404028085E-2</v>
      </c>
      <c r="AD239" s="71">
        <v>5.289827031924766E-2</v>
      </c>
      <c r="AE239" s="71">
        <v>5.5483879545392113E-2</v>
      </c>
      <c r="AF239" s="63">
        <v>5.8482132042011789E-2</v>
      </c>
      <c r="AG239" s="71" t="s">
        <v>21</v>
      </c>
      <c r="AH239" s="71">
        <v>5.4850912040280905E-3</v>
      </c>
      <c r="AI239" s="71">
        <v>9.8713692192476509E-3</v>
      </c>
      <c r="AJ239" s="71">
        <v>1.1749254645392108E-2</v>
      </c>
      <c r="AK239" s="63">
        <v>1.3331315442011771E-2</v>
      </c>
    </row>
    <row r="240" spans="2:37" x14ac:dyDescent="0.35">
      <c r="B240" s="55" t="s">
        <v>263</v>
      </c>
      <c r="C240" s="53" t="s">
        <v>234</v>
      </c>
      <c r="D240" s="53" t="s">
        <v>62</v>
      </c>
      <c r="E240" s="53" t="s">
        <v>128</v>
      </c>
      <c r="F240" s="73">
        <f t="shared" si="23"/>
        <v>4.2031038485146631E-2</v>
      </c>
      <c r="G240" s="60">
        <f t="shared" si="23"/>
        <v>4.7451876770832374E-2</v>
      </c>
      <c r="H240" s="60">
        <f t="shared" si="23"/>
        <v>5.1167331779995266E-2</v>
      </c>
      <c r="I240" s="60">
        <f t="shared" si="23"/>
        <v>5.3393852408996301E-2</v>
      </c>
      <c r="J240" s="63">
        <f t="shared" si="23"/>
        <v>5.6052603670344855E-2</v>
      </c>
      <c r="K240" s="60" t="str">
        <f t="shared" si="24"/>
        <v/>
      </c>
      <c r="L240" s="60">
        <f t="shared" si="24"/>
        <v>4.5353268708323742E-3</v>
      </c>
      <c r="M240" s="60">
        <f t="shared" si="24"/>
        <v>8.2328875799952666E-3</v>
      </c>
      <c r="N240" s="60">
        <f t="shared" si="24"/>
        <v>9.7675123089963015E-3</v>
      </c>
      <c r="O240" s="63">
        <f t="shared" si="24"/>
        <v>1.101043497034486E-2</v>
      </c>
      <c r="P240" s="55" t="s">
        <v>555</v>
      </c>
      <c r="Q240" s="53" t="s">
        <v>556</v>
      </c>
      <c r="R240" s="94">
        <v>47649</v>
      </c>
      <c r="S240" s="71">
        <v>4.8028599999999998E-2</v>
      </c>
      <c r="T240" s="63">
        <f t="shared" si="20"/>
        <v>3.1387317799952685E-3</v>
      </c>
      <c r="V240" s="114">
        <v>1.13664148</v>
      </c>
      <c r="W240" s="72">
        <v>2.8909985799999998</v>
      </c>
      <c r="X240" s="72">
        <v>4.4500647099999995</v>
      </c>
      <c r="Y240" s="72">
        <v>5.8013448500000004</v>
      </c>
      <c r="Z240" s="115">
        <v>7.5006312300000006</v>
      </c>
      <c r="AB240" s="71">
        <v>4.2031038485146631E-2</v>
      </c>
      <c r="AC240" s="71">
        <v>4.7451876770832374E-2</v>
      </c>
      <c r="AD240" s="71">
        <v>5.1167331779995266E-2</v>
      </c>
      <c r="AE240" s="71">
        <v>5.3393852408996301E-2</v>
      </c>
      <c r="AF240" s="63">
        <v>5.6052603670344855E-2</v>
      </c>
      <c r="AG240" s="71" t="s">
        <v>21</v>
      </c>
      <c r="AH240" s="71">
        <v>4.5353268708323742E-3</v>
      </c>
      <c r="AI240" s="71">
        <v>8.2328875799952666E-3</v>
      </c>
      <c r="AJ240" s="71">
        <v>9.7675123089963015E-3</v>
      </c>
      <c r="AK240" s="63">
        <v>1.101043497034486E-2</v>
      </c>
    </row>
    <row r="241" spans="2:37" x14ac:dyDescent="0.35">
      <c r="B241" s="55" t="s">
        <v>265</v>
      </c>
      <c r="C241" s="53" t="s">
        <v>234</v>
      </c>
      <c r="D241" s="53" t="s">
        <v>31</v>
      </c>
      <c r="E241" s="53" t="s">
        <v>21</v>
      </c>
      <c r="F241" s="73">
        <f t="shared" si="23"/>
        <v>4.1771391686647702E-2</v>
      </c>
      <c r="G241" s="60">
        <f t="shared" si="23"/>
        <v>4.7147422208200576E-2</v>
      </c>
      <c r="H241" s="60">
        <f t="shared" si="23"/>
        <v>5.1153688191077136E-2</v>
      </c>
      <c r="I241" s="60">
        <f t="shared" si="23"/>
        <v>5.3527684386200675E-2</v>
      </c>
      <c r="J241" s="63">
        <f t="shared" si="23"/>
        <v>5.5911244029831837E-2</v>
      </c>
      <c r="K241" s="60" t="str">
        <f t="shared" si="24"/>
        <v/>
      </c>
      <c r="L241" s="60">
        <f t="shared" si="24"/>
        <v>4.2461717082005711E-3</v>
      </c>
      <c r="M241" s="60">
        <f t="shared" si="24"/>
        <v>8.219933591077146E-3</v>
      </c>
      <c r="N241" s="60">
        <f t="shared" si="24"/>
        <v>9.8951287862006718E-3</v>
      </c>
      <c r="O241" s="63">
        <f t="shared" si="24"/>
        <v>1.0877697829831836E-2</v>
      </c>
      <c r="P241" s="55" t="s">
        <v>21</v>
      </c>
      <c r="Q241" s="53" t="s">
        <v>21</v>
      </c>
      <c r="R241" s="94" t="s">
        <v>21</v>
      </c>
      <c r="S241" s="71">
        <v>0</v>
      </c>
      <c r="T241" s="63">
        <f t="shared" si="20"/>
        <v>5.1153688191077136E-2</v>
      </c>
      <c r="V241" s="114">
        <v>1.1371383900000001</v>
      </c>
      <c r="W241" s="72">
        <v>2.8937416300000001</v>
      </c>
      <c r="X241" s="72">
        <v>4.4534198599999995</v>
      </c>
      <c r="Y241" s="72">
        <v>5.8024621700000001</v>
      </c>
      <c r="Z241" s="115">
        <v>7.503469710000001</v>
      </c>
      <c r="AB241" s="71">
        <v>4.1771391686647702E-2</v>
      </c>
      <c r="AC241" s="71">
        <v>4.7147422208200576E-2</v>
      </c>
      <c r="AD241" s="71">
        <v>5.1153688191077136E-2</v>
      </c>
      <c r="AE241" s="71">
        <v>5.3527684386200675E-2</v>
      </c>
      <c r="AF241" s="63">
        <v>5.5911244029831837E-2</v>
      </c>
      <c r="AG241" s="71" t="s">
        <v>21</v>
      </c>
      <c r="AH241" s="71">
        <v>4.2461717082005711E-3</v>
      </c>
      <c r="AI241" s="71">
        <v>8.219933591077146E-3</v>
      </c>
      <c r="AJ241" s="71">
        <v>9.8951287862006718E-3</v>
      </c>
      <c r="AK241" s="63">
        <v>1.0877697829831836E-2</v>
      </c>
    </row>
    <row r="242" spans="2:37" x14ac:dyDescent="0.35">
      <c r="B242" s="55" t="s">
        <v>366</v>
      </c>
      <c r="C242" s="53" t="s">
        <v>234</v>
      </c>
      <c r="D242" s="53" t="s">
        <v>20</v>
      </c>
      <c r="E242" s="53" t="s">
        <v>21</v>
      </c>
      <c r="F242" s="73">
        <f t="shared" si="23"/>
        <v>4.1729279390859055E-2</v>
      </c>
      <c r="G242" s="60">
        <f t="shared" si="23"/>
        <v>4.7576078632514583E-2</v>
      </c>
      <c r="H242" s="60">
        <f t="shared" si="23"/>
        <v>5.150991718510281E-2</v>
      </c>
      <c r="I242" s="60">
        <f t="shared" si="23"/>
        <v>5.3991995295821389E-2</v>
      </c>
      <c r="J242" s="63">
        <f t="shared" si="23"/>
        <v>5.7147640597180006E-2</v>
      </c>
      <c r="K242" s="60" t="str">
        <f t="shared" si="24"/>
        <v/>
      </c>
      <c r="L242" s="60">
        <f t="shared" si="24"/>
        <v>4.6500553325145881E-3</v>
      </c>
      <c r="M242" s="60">
        <f t="shared" si="24"/>
        <v>8.555764485102809E-3</v>
      </c>
      <c r="N242" s="60">
        <f t="shared" si="24"/>
        <v>1.0334758095821387E-2</v>
      </c>
      <c r="O242" s="63">
        <f t="shared" si="24"/>
        <v>1.205873469718001E-2</v>
      </c>
      <c r="P242" s="55" t="s">
        <v>392</v>
      </c>
      <c r="Q242" s="53" t="s">
        <v>393</v>
      </c>
      <c r="R242" s="94">
        <v>47710</v>
      </c>
      <c r="S242" s="71">
        <v>5.2784709999999999E-2</v>
      </c>
      <c r="T242" s="63">
        <f t="shared" si="20"/>
        <v>-1.2747928148971882E-3</v>
      </c>
      <c r="V242" s="114">
        <v>1.13726858</v>
      </c>
      <c r="W242" s="72">
        <v>2.8918908800000001</v>
      </c>
      <c r="X242" s="72">
        <v>4.44758561</v>
      </c>
      <c r="Y242" s="72">
        <v>5.78905914</v>
      </c>
      <c r="Z242" s="115">
        <v>7.4583611899999998</v>
      </c>
      <c r="AB242" s="71">
        <v>4.1729279390859055E-2</v>
      </c>
      <c r="AC242" s="71">
        <v>4.7576078632514583E-2</v>
      </c>
      <c r="AD242" s="71">
        <v>5.150991718510281E-2</v>
      </c>
      <c r="AE242" s="71">
        <v>5.3991995295821389E-2</v>
      </c>
      <c r="AF242" s="63">
        <v>5.7147640597180006E-2</v>
      </c>
      <c r="AG242" s="71" t="s">
        <v>21</v>
      </c>
      <c r="AH242" s="71">
        <v>4.6500553325145881E-3</v>
      </c>
      <c r="AI242" s="71">
        <v>8.555764485102809E-3</v>
      </c>
      <c r="AJ242" s="71">
        <v>1.0334758095821387E-2</v>
      </c>
      <c r="AK242" s="63">
        <v>1.205873469718001E-2</v>
      </c>
    </row>
    <row r="243" spans="2:37" x14ac:dyDescent="0.35">
      <c r="B243" s="55" t="s">
        <v>160</v>
      </c>
      <c r="C243" s="53" t="s">
        <v>234</v>
      </c>
      <c r="D243" s="53" t="s">
        <v>43</v>
      </c>
      <c r="E243" s="53" t="s">
        <v>21</v>
      </c>
      <c r="F243" s="73">
        <f t="shared" si="23"/>
        <v>4.1446545063155212E-2</v>
      </c>
      <c r="G243" s="60">
        <f t="shared" si="23"/>
        <v>4.7107458825166641E-2</v>
      </c>
      <c r="H243" s="60">
        <f t="shared" si="23"/>
        <v>5.0893055839522958E-2</v>
      </c>
      <c r="I243" s="60">
        <f t="shared" si="23"/>
        <v>5.3026515642685457E-2</v>
      </c>
      <c r="J243" s="63">
        <f t="shared" si="23"/>
        <v>5.5392722253735482E-2</v>
      </c>
      <c r="K243" s="60" t="str">
        <f t="shared" si="24"/>
        <v/>
      </c>
      <c r="L243" s="60">
        <f t="shared" si="24"/>
        <v>4.2076103251666389E-3</v>
      </c>
      <c r="M243" s="60">
        <f t="shared" si="24"/>
        <v>7.9720454395229654E-3</v>
      </c>
      <c r="N243" s="60">
        <f t="shared" si="24"/>
        <v>9.4183417426854672E-3</v>
      </c>
      <c r="O243" s="63">
        <f t="shared" si="24"/>
        <v>1.0379705753735475E-2</v>
      </c>
      <c r="P243" s="55" t="s">
        <v>557</v>
      </c>
      <c r="Q243" s="53" t="s">
        <v>558</v>
      </c>
      <c r="R243" s="94">
        <v>47557</v>
      </c>
      <c r="S243" s="71">
        <v>4.9254329999999999E-2</v>
      </c>
      <c r="T243" s="63">
        <f t="shared" si="20"/>
        <v>1.6387258395229587E-3</v>
      </c>
      <c r="V243" s="114">
        <v>1.13776422</v>
      </c>
      <c r="W243" s="72">
        <v>2.8950662499999997</v>
      </c>
      <c r="X243" s="72">
        <v>4.4573257900000005</v>
      </c>
      <c r="Y243" s="72">
        <v>5.8136438100000003</v>
      </c>
      <c r="Z243" s="115">
        <v>7.5287590200000007</v>
      </c>
      <c r="AB243" s="71">
        <v>4.1446545063155212E-2</v>
      </c>
      <c r="AC243" s="71">
        <v>4.7107458825166641E-2</v>
      </c>
      <c r="AD243" s="71">
        <v>5.0893055839522958E-2</v>
      </c>
      <c r="AE243" s="71">
        <v>5.3026515642685457E-2</v>
      </c>
      <c r="AF243" s="63">
        <v>5.5392722253735482E-2</v>
      </c>
      <c r="AG243" s="71" t="s">
        <v>21</v>
      </c>
      <c r="AH243" s="71">
        <v>4.2076103251666389E-3</v>
      </c>
      <c r="AI243" s="71">
        <v>7.9720454395229654E-3</v>
      </c>
      <c r="AJ243" s="71">
        <v>9.4183417426854672E-3</v>
      </c>
      <c r="AK243" s="63">
        <v>1.0379705753735475E-2</v>
      </c>
    </row>
    <row r="244" spans="2:37" x14ac:dyDescent="0.35">
      <c r="B244" s="55" t="s">
        <v>364</v>
      </c>
      <c r="C244" s="53" t="s">
        <v>234</v>
      </c>
      <c r="D244" s="53" t="s">
        <v>20</v>
      </c>
      <c r="E244" s="53" t="s">
        <v>21</v>
      </c>
      <c r="F244" s="73">
        <f t="shared" si="23"/>
        <v>4.1728608738844888E-2</v>
      </c>
      <c r="G244" s="60">
        <f t="shared" si="23"/>
        <v>4.7136723493753065E-2</v>
      </c>
      <c r="H244" s="60">
        <f t="shared" si="23"/>
        <v>5.1338005259414676E-2</v>
      </c>
      <c r="I244" s="60">
        <f t="shared" si="23"/>
        <v>5.3688930568306786E-2</v>
      </c>
      <c r="J244" s="63">
        <f t="shared" si="23"/>
        <v>5.6449995712794049E-2</v>
      </c>
      <c r="K244" s="60" t="str">
        <f t="shared" si="24"/>
        <v/>
      </c>
      <c r="L244" s="60">
        <f t="shared" si="24"/>
        <v>4.2336429937530687E-3</v>
      </c>
      <c r="M244" s="60">
        <f t="shared" si="24"/>
        <v>8.3932858594146734E-3</v>
      </c>
      <c r="N244" s="60">
        <f t="shared" si="24"/>
        <v>1.0047821268306788E-2</v>
      </c>
      <c r="O244" s="63">
        <f t="shared" si="24"/>
        <v>1.1393475812794047E-2</v>
      </c>
      <c r="P244" s="55" t="s">
        <v>390</v>
      </c>
      <c r="Q244" s="53" t="s">
        <v>391</v>
      </c>
      <c r="R244" s="94">
        <v>47708</v>
      </c>
      <c r="S244" s="71">
        <v>4.9623819999999999E-2</v>
      </c>
      <c r="T244" s="63">
        <f t="shared" si="20"/>
        <v>1.7141852594146773E-3</v>
      </c>
      <c r="V244" s="114">
        <v>1.13726997</v>
      </c>
      <c r="W244" s="72">
        <v>2.89379857</v>
      </c>
      <c r="X244" s="72">
        <v>4.45275131</v>
      </c>
      <c r="Y244" s="72">
        <v>5.7981543100000001</v>
      </c>
      <c r="Z244" s="115">
        <v>7.48390442</v>
      </c>
      <c r="AB244" s="71">
        <v>4.1728608738844888E-2</v>
      </c>
      <c r="AC244" s="71">
        <v>4.7136723493753065E-2</v>
      </c>
      <c r="AD244" s="71">
        <v>5.1338005259414676E-2</v>
      </c>
      <c r="AE244" s="71">
        <v>5.3688930568306786E-2</v>
      </c>
      <c r="AF244" s="63">
        <v>5.6449995712794049E-2</v>
      </c>
      <c r="AG244" s="71" t="s">
        <v>21</v>
      </c>
      <c r="AH244" s="71">
        <v>4.2336429937530687E-3</v>
      </c>
      <c r="AI244" s="71">
        <v>8.3932858594146734E-3</v>
      </c>
      <c r="AJ244" s="71">
        <v>1.0047821268306788E-2</v>
      </c>
      <c r="AK244" s="63">
        <v>1.1393475812794047E-2</v>
      </c>
    </row>
    <row r="245" spans="2:37" x14ac:dyDescent="0.35">
      <c r="B245" s="55" t="s">
        <v>362</v>
      </c>
      <c r="C245" s="53" t="s">
        <v>234</v>
      </c>
      <c r="D245" s="53" t="s">
        <v>20</v>
      </c>
      <c r="E245" s="53" t="s">
        <v>21</v>
      </c>
      <c r="F245" s="73">
        <f t="shared" si="23"/>
        <v>4.1612075587818438E-2</v>
      </c>
      <c r="G245" s="60">
        <f t="shared" si="23"/>
        <v>4.7579476830734893E-2</v>
      </c>
      <c r="H245" s="60">
        <f t="shared" si="23"/>
        <v>5.1350950939830338E-2</v>
      </c>
      <c r="I245" s="60">
        <f t="shared" si="23"/>
        <v>5.3353703332658632E-2</v>
      </c>
      <c r="J245" s="63">
        <f t="shared" si="23"/>
        <v>5.5767811581688663E-2</v>
      </c>
      <c r="K245" s="60" t="str">
        <f t="shared" si="24"/>
        <v/>
      </c>
      <c r="L245" s="60">
        <f t="shared" si="24"/>
        <v>4.6526810307348926E-3</v>
      </c>
      <c r="M245" s="60">
        <f t="shared" si="24"/>
        <v>8.4045296398303458E-3</v>
      </c>
      <c r="N245" s="60">
        <f t="shared" si="24"/>
        <v>9.7283618326586274E-3</v>
      </c>
      <c r="O245" s="63">
        <f t="shared" si="24"/>
        <v>1.074085608168867E-2</v>
      </c>
      <c r="P245" s="55" t="s">
        <v>21</v>
      </c>
      <c r="Q245" s="53" t="s">
        <v>21</v>
      </c>
      <c r="R245" s="94" t="s">
        <v>21</v>
      </c>
      <c r="S245" s="71">
        <v>0</v>
      </c>
      <c r="T245" s="63">
        <f t="shared" si="20"/>
        <v>5.1350950939830338E-2</v>
      </c>
      <c r="V245" s="114">
        <v>1.13748147</v>
      </c>
      <c r="W245" s="72">
        <v>2.8918518799999999</v>
      </c>
      <c r="X245" s="72">
        <v>4.4491125300000007</v>
      </c>
      <c r="Y245" s="72">
        <v>5.7983590999999999</v>
      </c>
      <c r="Z245" s="115">
        <v>7.4981384699999998</v>
      </c>
      <c r="AB245" s="71">
        <v>4.1612075587818438E-2</v>
      </c>
      <c r="AC245" s="71">
        <v>4.7579476830734893E-2</v>
      </c>
      <c r="AD245" s="71">
        <v>5.1350950939830338E-2</v>
      </c>
      <c r="AE245" s="71">
        <v>5.3353703332658632E-2</v>
      </c>
      <c r="AF245" s="63">
        <v>5.5767811581688663E-2</v>
      </c>
      <c r="AG245" s="71" t="s">
        <v>21</v>
      </c>
      <c r="AH245" s="71">
        <v>4.6526810307348926E-3</v>
      </c>
      <c r="AI245" s="71">
        <v>8.4045296398303458E-3</v>
      </c>
      <c r="AJ245" s="71">
        <v>9.7283618326586274E-3</v>
      </c>
      <c r="AK245" s="63">
        <v>1.074085608168867E-2</v>
      </c>
    </row>
    <row r="246" spans="2:37" x14ac:dyDescent="0.35">
      <c r="B246" s="55" t="s">
        <v>363</v>
      </c>
      <c r="C246" s="53" t="s">
        <v>234</v>
      </c>
      <c r="D246" s="53" t="s">
        <v>20</v>
      </c>
      <c r="E246" s="53" t="s">
        <v>266</v>
      </c>
      <c r="F246" s="73">
        <f t="shared" si="23"/>
        <v>4.1551396291836927E-2</v>
      </c>
      <c r="G246" s="60">
        <f t="shared" si="23"/>
        <v>4.7391338421697494E-2</v>
      </c>
      <c r="H246" s="60">
        <f t="shared" si="23"/>
        <v>5.1311183721978307E-2</v>
      </c>
      <c r="I246" s="60">
        <f t="shared" si="23"/>
        <v>5.3784344234212862E-2</v>
      </c>
      <c r="J246" s="63">
        <f t="shared" si="23"/>
        <v>5.6773343001067456E-2</v>
      </c>
      <c r="K246" s="60" t="str">
        <f t="shared" si="24"/>
        <v/>
      </c>
      <c r="L246" s="60">
        <f t="shared" si="24"/>
        <v>4.4760158216974938E-3</v>
      </c>
      <c r="M246" s="60">
        <f t="shared" si="24"/>
        <v>8.3681513219783163E-3</v>
      </c>
      <c r="N246" s="60">
        <f t="shared" si="24"/>
        <v>1.013790493421286E-2</v>
      </c>
      <c r="O246" s="63">
        <f t="shared" si="24"/>
        <v>1.1701796001067452E-2</v>
      </c>
      <c r="P246" s="55" t="s">
        <v>21</v>
      </c>
      <c r="Q246" s="53" t="s">
        <v>21</v>
      </c>
      <c r="R246" s="94" t="s">
        <v>21</v>
      </c>
      <c r="S246" s="71">
        <v>0</v>
      </c>
      <c r="T246" s="63">
        <f t="shared" si="20"/>
        <v>5.1311183721978307E-2</v>
      </c>
      <c r="V246" s="114">
        <v>1.1375719899999999</v>
      </c>
      <c r="W246" s="72">
        <v>2.8931482399999999</v>
      </c>
      <c r="X246" s="72">
        <v>4.45138093</v>
      </c>
      <c r="Y246" s="72">
        <v>5.7975146999999998</v>
      </c>
      <c r="Z246" s="115">
        <v>7.4763201599999993</v>
      </c>
      <c r="AB246" s="71">
        <v>4.1551396291836927E-2</v>
      </c>
      <c r="AC246" s="71">
        <v>4.7391338421697494E-2</v>
      </c>
      <c r="AD246" s="71">
        <v>5.1311183721978307E-2</v>
      </c>
      <c r="AE246" s="71">
        <v>5.3784344234212862E-2</v>
      </c>
      <c r="AF246" s="63">
        <v>5.6773343001067456E-2</v>
      </c>
      <c r="AG246" s="71" t="s">
        <v>21</v>
      </c>
      <c r="AH246" s="71">
        <v>4.4760158216974938E-3</v>
      </c>
      <c r="AI246" s="71">
        <v>8.3681513219783163E-3</v>
      </c>
      <c r="AJ246" s="71">
        <v>1.013790493421286E-2</v>
      </c>
      <c r="AK246" s="63">
        <v>1.1701796001067452E-2</v>
      </c>
    </row>
    <row r="247" spans="2:37" x14ac:dyDescent="0.35">
      <c r="B247" s="55" t="s">
        <v>375</v>
      </c>
      <c r="C247" s="53" t="s">
        <v>234</v>
      </c>
      <c r="D247" s="53" t="s">
        <v>20</v>
      </c>
      <c r="E247" s="53" t="s">
        <v>112</v>
      </c>
      <c r="F247" s="73">
        <f t="shared" si="23"/>
        <v>4.1538025881122612E-2</v>
      </c>
      <c r="G247" s="60">
        <f t="shared" si="23"/>
        <v>4.6995426345233522E-2</v>
      </c>
      <c r="H247" s="60">
        <f t="shared" si="23"/>
        <v>5.1270309102790054E-2</v>
      </c>
      <c r="I247" s="60">
        <f t="shared" si="23"/>
        <v>5.3511967502172235E-2</v>
      </c>
      <c r="J247" s="63">
        <f t="shared" si="23"/>
        <v>5.6161174817341702E-2</v>
      </c>
      <c r="K247" s="60" t="str">
        <f t="shared" si="24"/>
        <v/>
      </c>
      <c r="L247" s="60">
        <f t="shared" si="24"/>
        <v>4.0992072452335172E-3</v>
      </c>
      <c r="M247" s="60">
        <f t="shared" si="24"/>
        <v>8.328884002790065E-3</v>
      </c>
      <c r="N247" s="60">
        <f t="shared" si="24"/>
        <v>9.8800240021722271E-3</v>
      </c>
      <c r="O247" s="63">
        <f t="shared" si="24"/>
        <v>1.1116762017341712E-2</v>
      </c>
      <c r="P247" s="55" t="s">
        <v>398</v>
      </c>
      <c r="Q247" s="53" t="s">
        <v>399</v>
      </c>
      <c r="R247" s="94">
        <v>47825</v>
      </c>
      <c r="S247" s="71">
        <v>5.1278560000000001E-2</v>
      </c>
      <c r="T247" s="63">
        <f t="shared" si="20"/>
        <v>-8.2508972099465394E-6</v>
      </c>
      <c r="V247" s="114">
        <v>1.13761011</v>
      </c>
      <c r="W247" s="72">
        <v>2.8956886599999998</v>
      </c>
      <c r="X247" s="72">
        <v>4.4545507500000001</v>
      </c>
      <c r="Y247" s="72">
        <v>5.8012522400000002</v>
      </c>
      <c r="Z247" s="115">
        <v>7.4953205999999994</v>
      </c>
      <c r="AB247" s="71">
        <v>4.1538025881122612E-2</v>
      </c>
      <c r="AC247" s="71">
        <v>4.6995426345233522E-2</v>
      </c>
      <c r="AD247" s="71">
        <v>5.1270309102790054E-2</v>
      </c>
      <c r="AE247" s="71">
        <v>5.3511967502172235E-2</v>
      </c>
      <c r="AF247" s="63">
        <v>5.6161174817341702E-2</v>
      </c>
      <c r="AG247" s="71" t="s">
        <v>21</v>
      </c>
      <c r="AH247" s="71">
        <v>4.0992072452335172E-3</v>
      </c>
      <c r="AI247" s="71">
        <v>8.328884002790065E-3</v>
      </c>
      <c r="AJ247" s="71">
        <v>9.8800240021722271E-3</v>
      </c>
      <c r="AK247" s="63">
        <v>1.1116762017341712E-2</v>
      </c>
    </row>
    <row r="248" spans="2:37" x14ac:dyDescent="0.35">
      <c r="B248" s="55" t="s">
        <v>355</v>
      </c>
      <c r="C248" s="53" t="s">
        <v>234</v>
      </c>
      <c r="D248" s="53" t="s">
        <v>20</v>
      </c>
      <c r="E248" s="53" t="s">
        <v>21</v>
      </c>
      <c r="F248" s="73">
        <f t="shared" si="23"/>
        <v>4.1379143720093367E-2</v>
      </c>
      <c r="G248" s="60">
        <f t="shared" si="23"/>
        <v>4.6886942610971066E-2</v>
      </c>
      <c r="H248" s="60">
        <f t="shared" si="23"/>
        <v>5.1149478880798155E-2</v>
      </c>
      <c r="I248" s="60">
        <f t="shared" si="23"/>
        <v>5.401575384493916E-2</v>
      </c>
      <c r="J248" s="63">
        <f t="shared" si="23"/>
        <v>5.7224571984830754E-2</v>
      </c>
      <c r="K248" s="60" t="str">
        <f t="shared" si="24"/>
        <v/>
      </c>
      <c r="L248" s="60">
        <f t="shared" si="24"/>
        <v>3.999040610971066E-3</v>
      </c>
      <c r="M248" s="60">
        <f t="shared" si="24"/>
        <v>8.2162012807981653E-3</v>
      </c>
      <c r="N248" s="60">
        <f t="shared" si="24"/>
        <v>1.0360034444939156E-2</v>
      </c>
      <c r="O248" s="63">
        <f t="shared" si="24"/>
        <v>1.2136792484830756E-2</v>
      </c>
      <c r="P248" s="55" t="s">
        <v>21</v>
      </c>
      <c r="Q248" s="53" t="s">
        <v>21</v>
      </c>
      <c r="R248" s="94" t="s">
        <v>21</v>
      </c>
      <c r="S248" s="71">
        <v>0</v>
      </c>
      <c r="T248" s="63">
        <f t="shared" si="20"/>
        <v>5.1149478880798155E-2</v>
      </c>
      <c r="V248" s="114">
        <v>1.1378897100000001</v>
      </c>
      <c r="W248" s="72">
        <v>2.8969655400000001</v>
      </c>
      <c r="X248" s="72">
        <v>4.4577530400000001</v>
      </c>
      <c r="Y248" s="72">
        <v>5.7984217600000001</v>
      </c>
      <c r="Z248" s="115">
        <v>7.4643775999999997</v>
      </c>
      <c r="AB248" s="71">
        <v>4.1379143720093367E-2</v>
      </c>
      <c r="AC248" s="71">
        <v>4.6886942610971066E-2</v>
      </c>
      <c r="AD248" s="71">
        <v>5.1149478880798155E-2</v>
      </c>
      <c r="AE248" s="71">
        <v>5.401575384493916E-2</v>
      </c>
      <c r="AF248" s="63">
        <v>5.7224571984830754E-2</v>
      </c>
      <c r="AG248" s="71" t="s">
        <v>21</v>
      </c>
      <c r="AH248" s="71">
        <v>3.999040610971066E-3</v>
      </c>
      <c r="AI248" s="71">
        <v>8.2162012807981653E-3</v>
      </c>
      <c r="AJ248" s="71">
        <v>1.0360034444939156E-2</v>
      </c>
      <c r="AK248" s="63">
        <v>1.2136792484830756E-2</v>
      </c>
    </row>
    <row r="249" spans="2:37" x14ac:dyDescent="0.35">
      <c r="B249" s="55" t="s">
        <v>358</v>
      </c>
      <c r="C249" s="53" t="s">
        <v>234</v>
      </c>
      <c r="D249" s="53" t="s">
        <v>20</v>
      </c>
      <c r="E249" s="53" t="s">
        <v>21</v>
      </c>
      <c r="F249" s="73">
        <f t="shared" si="23"/>
        <v>4.1599815071835008E-2</v>
      </c>
      <c r="G249" s="60">
        <f t="shared" si="23"/>
        <v>4.7237489477142604E-2</v>
      </c>
      <c r="H249" s="60">
        <f t="shared" si="23"/>
        <v>5.1163586046101314E-2</v>
      </c>
      <c r="I249" s="60">
        <f t="shared" si="23"/>
        <v>5.4119120565700708E-2</v>
      </c>
      <c r="J249" s="63">
        <f t="shared" si="23"/>
        <v>5.738986060589845E-2</v>
      </c>
      <c r="K249" s="60" t="str">
        <f t="shared" si="24"/>
        <v/>
      </c>
      <c r="L249" s="60">
        <f t="shared" si="24"/>
        <v>4.3289345771426058E-3</v>
      </c>
      <c r="M249" s="60">
        <f t="shared" si="24"/>
        <v>8.2274029461013119E-3</v>
      </c>
      <c r="N249" s="60">
        <f t="shared" si="24"/>
        <v>1.0455386665700705E-2</v>
      </c>
      <c r="O249" s="63">
        <f t="shared" si="24"/>
        <v>1.2292316405898453E-2</v>
      </c>
      <c r="P249" s="55" t="s">
        <v>21</v>
      </c>
      <c r="Q249" s="53" t="s">
        <v>21</v>
      </c>
      <c r="R249" s="94" t="s">
        <v>21</v>
      </c>
      <c r="S249" s="71">
        <v>0</v>
      </c>
      <c r="T249" s="63">
        <f t="shared" si="20"/>
        <v>5.1163586046101314E-2</v>
      </c>
      <c r="V249" s="114">
        <v>1.1374974600000001</v>
      </c>
      <c r="W249" s="72">
        <v>2.8943130099999999</v>
      </c>
      <c r="X249" s="72">
        <v>4.4538538599999997</v>
      </c>
      <c r="Y249" s="72">
        <v>5.7951757600000002</v>
      </c>
      <c r="Z249" s="115">
        <v>7.4570640499999996</v>
      </c>
      <c r="AB249" s="71">
        <v>4.1599815071835008E-2</v>
      </c>
      <c r="AC249" s="71">
        <v>4.7237489477142604E-2</v>
      </c>
      <c r="AD249" s="71">
        <v>5.1163586046101314E-2</v>
      </c>
      <c r="AE249" s="71">
        <v>5.4119120565700708E-2</v>
      </c>
      <c r="AF249" s="63">
        <v>5.738986060589845E-2</v>
      </c>
      <c r="AG249" s="71" t="s">
        <v>21</v>
      </c>
      <c r="AH249" s="71">
        <v>4.3289345771426058E-3</v>
      </c>
      <c r="AI249" s="71">
        <v>8.2274029461013119E-3</v>
      </c>
      <c r="AJ249" s="71">
        <v>1.0455386665700705E-2</v>
      </c>
      <c r="AK249" s="63">
        <v>1.2292316405898453E-2</v>
      </c>
    </row>
    <row r="250" spans="2:37" x14ac:dyDescent="0.35">
      <c r="B250" s="55" t="s">
        <v>370</v>
      </c>
      <c r="C250" s="53" t="s">
        <v>234</v>
      </c>
      <c r="D250" s="53" t="s">
        <v>31</v>
      </c>
      <c r="E250" s="53" t="s">
        <v>21</v>
      </c>
      <c r="F250" s="73">
        <f t="shared" si="23"/>
        <v>4.1668168313616458E-2</v>
      </c>
      <c r="G250" s="60">
        <f t="shared" si="23"/>
        <v>4.6940661847225632E-2</v>
      </c>
      <c r="H250" s="60">
        <f t="shared" si="23"/>
        <v>5.0577872601510539E-2</v>
      </c>
      <c r="I250" s="60">
        <f t="shared" si="23"/>
        <v>5.2714789021610961E-2</v>
      </c>
      <c r="J250" s="63">
        <f t="shared" si="23"/>
        <v>5.5261936350196016E-2</v>
      </c>
      <c r="K250" s="60" t="str">
        <f t="shared" si="24"/>
        <v/>
      </c>
      <c r="L250" s="60">
        <f t="shared" si="24"/>
        <v>4.0496748472256313E-3</v>
      </c>
      <c r="M250" s="60">
        <f t="shared" si="24"/>
        <v>7.6730697015105435E-3</v>
      </c>
      <c r="N250" s="60">
        <f t="shared" si="24"/>
        <v>9.1219383216109493E-3</v>
      </c>
      <c r="O250" s="63">
        <f t="shared" si="24"/>
        <v>1.0253866450196008E-2</v>
      </c>
      <c r="P250" s="55" t="s">
        <v>21</v>
      </c>
      <c r="Q250" s="53" t="s">
        <v>21</v>
      </c>
      <c r="R250" s="94" t="s">
        <v>21</v>
      </c>
      <c r="S250" s="71">
        <v>0</v>
      </c>
      <c r="T250" s="63">
        <f t="shared" si="20"/>
        <v>5.0577872601510539E-2</v>
      </c>
      <c r="V250" s="114">
        <v>1.1373380100000001</v>
      </c>
      <c r="W250" s="72">
        <v>2.8953703000000002</v>
      </c>
      <c r="X250" s="72">
        <v>4.4611703699999996</v>
      </c>
      <c r="Y250" s="72">
        <v>5.82233132</v>
      </c>
      <c r="Z250" s="115">
        <v>7.5414056399999998</v>
      </c>
      <c r="AB250" s="71">
        <v>4.1668168313616458E-2</v>
      </c>
      <c r="AC250" s="71">
        <v>4.6940661847225632E-2</v>
      </c>
      <c r="AD250" s="71">
        <v>5.0577872601510539E-2</v>
      </c>
      <c r="AE250" s="71">
        <v>5.2714789021610961E-2</v>
      </c>
      <c r="AF250" s="63">
        <v>5.5261936350196016E-2</v>
      </c>
      <c r="AG250" s="71" t="s">
        <v>21</v>
      </c>
      <c r="AH250" s="71">
        <v>4.0496748472256313E-3</v>
      </c>
      <c r="AI250" s="71">
        <v>7.6730697015105435E-3</v>
      </c>
      <c r="AJ250" s="71">
        <v>9.1219383216109493E-3</v>
      </c>
      <c r="AK250" s="63">
        <v>1.0253866450196008E-2</v>
      </c>
    </row>
    <row r="251" spans="2:37" x14ac:dyDescent="0.35">
      <c r="B251" s="55" t="s">
        <v>264</v>
      </c>
      <c r="C251" s="53" t="s">
        <v>234</v>
      </c>
      <c r="D251" s="53" t="s">
        <v>97</v>
      </c>
      <c r="E251" s="53" t="s">
        <v>291</v>
      </c>
      <c r="F251" s="73">
        <f t="shared" si="23"/>
        <v>4.1504901335413902E-2</v>
      </c>
      <c r="G251" s="60">
        <f t="shared" si="23"/>
        <v>4.7049248471603064E-2</v>
      </c>
      <c r="H251" s="60">
        <f t="shared" si="23"/>
        <v>5.0479765081855421E-2</v>
      </c>
      <c r="I251" s="60">
        <f t="shared" si="23"/>
        <v>5.2616447186242483E-2</v>
      </c>
      <c r="J251" s="63">
        <f t="shared" si="23"/>
        <v>5.4875426613795353E-2</v>
      </c>
      <c r="K251" s="60" t="str">
        <f t="shared" si="24"/>
        <v/>
      </c>
      <c r="L251" s="60">
        <f t="shared" si="24"/>
        <v>4.1512577716030672E-3</v>
      </c>
      <c r="M251" s="60">
        <f t="shared" si="24"/>
        <v>7.5787479818554219E-3</v>
      </c>
      <c r="N251" s="60">
        <f t="shared" si="24"/>
        <v>9.0273315862424777E-3</v>
      </c>
      <c r="O251" s="63">
        <f t="shared" si="24"/>
        <v>9.8830440137953508E-3</v>
      </c>
      <c r="P251" s="55" t="s">
        <v>559</v>
      </c>
      <c r="Q251" s="53" t="s">
        <v>560</v>
      </c>
      <c r="R251" s="94">
        <v>47648</v>
      </c>
      <c r="S251" s="71">
        <v>4.8477259999999994E-2</v>
      </c>
      <c r="T251" s="63">
        <f t="shared" si="20"/>
        <v>2.0025050818554269E-3</v>
      </c>
      <c r="V251" s="114">
        <v>1.1376688799999999</v>
      </c>
      <c r="W251" s="72">
        <v>2.89527095</v>
      </c>
      <c r="X251" s="72">
        <v>4.4618163700000002</v>
      </c>
      <c r="Y251" s="72">
        <v>5.8246408899999995</v>
      </c>
      <c r="Z251" s="115">
        <v>7.5530353499999991</v>
      </c>
      <c r="AB251" s="71">
        <v>4.1504901335413902E-2</v>
      </c>
      <c r="AC251" s="71">
        <v>4.7049248471603064E-2</v>
      </c>
      <c r="AD251" s="71">
        <v>5.0479765081855421E-2</v>
      </c>
      <c r="AE251" s="71">
        <v>5.2616447186242483E-2</v>
      </c>
      <c r="AF251" s="63">
        <v>5.4875426613795353E-2</v>
      </c>
      <c r="AG251" s="71" t="s">
        <v>21</v>
      </c>
      <c r="AH251" s="71">
        <v>4.1512577716030672E-3</v>
      </c>
      <c r="AI251" s="71">
        <v>7.5787479818554219E-3</v>
      </c>
      <c r="AJ251" s="71">
        <v>9.0273315862424777E-3</v>
      </c>
      <c r="AK251" s="63">
        <v>9.8830440137953508E-3</v>
      </c>
    </row>
    <row r="252" spans="2:37" x14ac:dyDescent="0.35">
      <c r="B252" s="55" t="s">
        <v>371</v>
      </c>
      <c r="C252" s="53" t="s">
        <v>234</v>
      </c>
      <c r="D252" s="53" t="s">
        <v>20</v>
      </c>
      <c r="E252" s="53" t="s">
        <v>21</v>
      </c>
      <c r="F252" s="73">
        <f t="shared" si="23"/>
        <v>4.1621065108725853E-2</v>
      </c>
      <c r="G252" s="60">
        <f t="shared" si="23"/>
        <v>4.7035992419091191E-2</v>
      </c>
      <c r="H252" s="60">
        <f t="shared" si="23"/>
        <v>5.0603738295103395E-2</v>
      </c>
      <c r="I252" s="60">
        <f t="shared" si="23"/>
        <v>5.2576124954339311E-2</v>
      </c>
      <c r="J252" s="63">
        <f t="shared" si="23"/>
        <v>5.5165321551962451E-2</v>
      </c>
      <c r="K252" s="60" t="str">
        <f t="shared" si="24"/>
        <v/>
      </c>
      <c r="L252" s="60">
        <f t="shared" si="24"/>
        <v>4.1388543190911996E-3</v>
      </c>
      <c r="M252" s="60">
        <f t="shared" si="24"/>
        <v>7.6967007951033927E-3</v>
      </c>
      <c r="N252" s="60">
        <f t="shared" si="24"/>
        <v>8.9894998543393091E-3</v>
      </c>
      <c r="O252" s="63">
        <f t="shared" si="24"/>
        <v>1.0161008351962448E-2</v>
      </c>
      <c r="P252" s="55" t="s">
        <v>21</v>
      </c>
      <c r="Q252" s="53" t="s">
        <v>21</v>
      </c>
      <c r="R252" s="94" t="s">
        <v>21</v>
      </c>
      <c r="S252" s="71">
        <v>0</v>
      </c>
      <c r="T252" s="63">
        <f t="shared" si="20"/>
        <v>5.0603738295103395E-2</v>
      </c>
      <c r="V252" s="114">
        <v>1.1374520100000001</v>
      </c>
      <c r="W252" s="72">
        <v>2.8950221900000002</v>
      </c>
      <c r="X252" s="72">
        <v>4.4606937499999999</v>
      </c>
      <c r="Y252" s="72">
        <v>5.8232261899999997</v>
      </c>
      <c r="Z252" s="115">
        <v>7.5439094900000008</v>
      </c>
      <c r="AB252" s="71">
        <v>4.1621065108725853E-2</v>
      </c>
      <c r="AC252" s="71">
        <v>4.7035992419091191E-2</v>
      </c>
      <c r="AD252" s="71">
        <v>5.0603738295103395E-2</v>
      </c>
      <c r="AE252" s="71">
        <v>5.2576124954339311E-2</v>
      </c>
      <c r="AF252" s="63">
        <v>5.5165321551962451E-2</v>
      </c>
      <c r="AG252" s="71" t="s">
        <v>21</v>
      </c>
      <c r="AH252" s="71">
        <v>4.1388543190911996E-3</v>
      </c>
      <c r="AI252" s="71">
        <v>7.6967007951033927E-3</v>
      </c>
      <c r="AJ252" s="71">
        <v>8.9894998543393091E-3</v>
      </c>
      <c r="AK252" s="63">
        <v>1.0161008351962448E-2</v>
      </c>
    </row>
    <row r="253" spans="2:37" x14ac:dyDescent="0.35">
      <c r="B253" s="55" t="s">
        <v>148</v>
      </c>
      <c r="C253" s="53" t="s">
        <v>234</v>
      </c>
      <c r="D253" s="53" t="s">
        <v>20</v>
      </c>
      <c r="E253" s="53" t="s">
        <v>21</v>
      </c>
      <c r="F253" s="73">
        <f t="shared" si="23"/>
        <v>4.1237015450724362E-2</v>
      </c>
      <c r="G253" s="60">
        <f t="shared" si="23"/>
        <v>4.6489523560198087E-2</v>
      </c>
      <c r="H253" s="60">
        <f t="shared" si="23"/>
        <v>5.0534870556251853E-2</v>
      </c>
      <c r="I253" s="60">
        <f t="shared" si="23"/>
        <v>5.3271177407684542E-2</v>
      </c>
      <c r="J253" s="63">
        <f t="shared" si="23"/>
        <v>5.62957843589207E-2</v>
      </c>
      <c r="K253" s="60" t="str">
        <f t="shared" si="24"/>
        <v/>
      </c>
      <c r="L253" s="60">
        <f t="shared" si="24"/>
        <v>3.6199881601980855E-3</v>
      </c>
      <c r="M253" s="60">
        <f t="shared" si="24"/>
        <v>7.6316403562518512E-3</v>
      </c>
      <c r="N253" s="60">
        <f t="shared" si="24"/>
        <v>9.6518110076845402E-3</v>
      </c>
      <c r="O253" s="63">
        <f t="shared" si="24"/>
        <v>1.1248670058920695E-2</v>
      </c>
      <c r="P253" s="55" t="s">
        <v>561</v>
      </c>
      <c r="Q253" s="53" t="s">
        <v>562</v>
      </c>
      <c r="R253" s="94">
        <v>47515</v>
      </c>
      <c r="S253" s="71">
        <v>5.1304889999999999E-2</v>
      </c>
      <c r="T253" s="63">
        <f t="shared" si="20"/>
        <v>-7.7001944374814613E-4</v>
      </c>
      <c r="V253" s="114">
        <v>1.13817506</v>
      </c>
      <c r="W253" s="72">
        <v>2.8998641700000003</v>
      </c>
      <c r="X253" s="72">
        <v>4.4670475000000005</v>
      </c>
      <c r="Y253" s="72">
        <v>5.8189356800000001</v>
      </c>
      <c r="Z253" s="115">
        <v>7.5076557399999997</v>
      </c>
      <c r="AB253" s="71">
        <v>4.1237015450724362E-2</v>
      </c>
      <c r="AC253" s="71">
        <v>4.6489523560198087E-2</v>
      </c>
      <c r="AD253" s="71">
        <v>5.0534870556251853E-2</v>
      </c>
      <c r="AE253" s="71">
        <v>5.3271177407684542E-2</v>
      </c>
      <c r="AF253" s="63">
        <v>5.62957843589207E-2</v>
      </c>
      <c r="AG253" s="71" t="s">
        <v>21</v>
      </c>
      <c r="AH253" s="71">
        <v>3.6199881601980855E-3</v>
      </c>
      <c r="AI253" s="71">
        <v>7.6316403562518512E-3</v>
      </c>
      <c r="AJ253" s="71">
        <v>9.6518110076845402E-3</v>
      </c>
      <c r="AK253" s="63">
        <v>1.1248670058920695E-2</v>
      </c>
    </row>
    <row r="254" spans="2:37" x14ac:dyDescent="0.35">
      <c r="B254" s="55" t="s">
        <v>369</v>
      </c>
      <c r="C254" s="53" t="s">
        <v>234</v>
      </c>
      <c r="D254" s="53" t="s">
        <v>20</v>
      </c>
      <c r="E254" s="53" t="s">
        <v>258</v>
      </c>
      <c r="F254" s="73">
        <f t="shared" si="23"/>
        <v>4.1219558808619286E-2</v>
      </c>
      <c r="G254" s="60">
        <f t="shared" si="23"/>
        <v>4.6747001000116022E-2</v>
      </c>
      <c r="H254" s="60">
        <f t="shared" si="23"/>
        <v>5.0460889720632639E-2</v>
      </c>
      <c r="I254" s="60">
        <f t="shared" si="23"/>
        <v>5.3103952321082587E-2</v>
      </c>
      <c r="J254" s="63">
        <f t="shared" si="23"/>
        <v>5.549663961821906E-2</v>
      </c>
      <c r="K254" s="60" t="str">
        <f t="shared" si="24"/>
        <v/>
      </c>
      <c r="L254" s="60">
        <f t="shared" si="24"/>
        <v>3.8637367001160246E-3</v>
      </c>
      <c r="M254" s="60">
        <f t="shared" si="24"/>
        <v>7.560618320632634E-3</v>
      </c>
      <c r="N254" s="60">
        <f t="shared" si="24"/>
        <v>9.4915084210825881E-3</v>
      </c>
      <c r="O254" s="63">
        <f t="shared" si="24"/>
        <v>1.0481766118219047E-2</v>
      </c>
      <c r="P254" s="55" t="s">
        <v>21</v>
      </c>
      <c r="Q254" s="53" t="s">
        <v>21</v>
      </c>
      <c r="R254" s="94" t="s">
        <v>21</v>
      </c>
      <c r="S254" s="71">
        <v>0</v>
      </c>
      <c r="T254" s="63">
        <f t="shared" si="20"/>
        <v>5.0460889720632639E-2</v>
      </c>
      <c r="V254" s="114">
        <v>1.1382197300000001</v>
      </c>
      <c r="W254" s="72">
        <v>2.8982686800000002</v>
      </c>
      <c r="X254" s="72">
        <v>4.4653156100000002</v>
      </c>
      <c r="Y254" s="72">
        <v>5.8209882899999998</v>
      </c>
      <c r="Z254" s="115">
        <v>7.53159197</v>
      </c>
      <c r="AB254" s="71">
        <v>4.1219558808619286E-2</v>
      </c>
      <c r="AC254" s="71">
        <v>4.6747001000116022E-2</v>
      </c>
      <c r="AD254" s="71">
        <v>5.0460889720632639E-2</v>
      </c>
      <c r="AE254" s="71">
        <v>5.3103952321082587E-2</v>
      </c>
      <c r="AF254" s="63">
        <v>5.549663961821906E-2</v>
      </c>
      <c r="AG254" s="71" t="s">
        <v>21</v>
      </c>
      <c r="AH254" s="71">
        <v>3.8637367001160246E-3</v>
      </c>
      <c r="AI254" s="71">
        <v>7.560618320632634E-3</v>
      </c>
      <c r="AJ254" s="71">
        <v>9.4915084210825881E-3</v>
      </c>
      <c r="AK254" s="63">
        <v>1.0481766118219047E-2</v>
      </c>
    </row>
    <row r="255" spans="2:37" x14ac:dyDescent="0.35">
      <c r="B255" s="55" t="s">
        <v>368</v>
      </c>
      <c r="C255" s="53" t="s">
        <v>234</v>
      </c>
      <c r="D255" s="53" t="s">
        <v>20</v>
      </c>
      <c r="E255" s="53" t="s">
        <v>294</v>
      </c>
      <c r="F255" s="73">
        <f t="shared" si="23"/>
        <v>4.1262946137352999E-2</v>
      </c>
      <c r="G255" s="60">
        <f t="shared" si="23"/>
        <v>4.6698777335748232E-2</v>
      </c>
      <c r="H255" s="60">
        <f t="shared" si="23"/>
        <v>5.035554139285163E-2</v>
      </c>
      <c r="I255" s="60">
        <f t="shared" si="23"/>
        <v>5.2884485077672794E-2</v>
      </c>
      <c r="J255" s="63">
        <f t="shared" si="23"/>
        <v>5.5699239377348025E-2</v>
      </c>
      <c r="K255" s="60" t="str">
        <f t="shared" si="24"/>
        <v/>
      </c>
      <c r="L255" s="60">
        <f t="shared" si="24"/>
        <v>3.8175326357482373E-3</v>
      </c>
      <c r="M255" s="60">
        <f t="shared" si="24"/>
        <v>7.4602523928516285E-3</v>
      </c>
      <c r="N255" s="60">
        <f t="shared" si="24"/>
        <v>9.2830557776727995E-3</v>
      </c>
      <c r="O255" s="63">
        <f t="shared" si="24"/>
        <v>1.0679982777348034E-2</v>
      </c>
      <c r="P255" s="55" t="s">
        <v>21</v>
      </c>
      <c r="Q255" s="53" t="s">
        <v>21</v>
      </c>
      <c r="R255" s="94" t="s">
        <v>21</v>
      </c>
      <c r="S255" s="71">
        <v>0</v>
      </c>
      <c r="T255" s="63">
        <f t="shared" si="20"/>
        <v>5.035554139285163E-2</v>
      </c>
      <c r="V255" s="114">
        <v>1.1381398300000001</v>
      </c>
      <c r="W255" s="72">
        <v>2.8984964</v>
      </c>
      <c r="X255" s="72">
        <v>4.4675946099999999</v>
      </c>
      <c r="Y255" s="72">
        <v>5.8250798999999995</v>
      </c>
      <c r="Z255" s="115">
        <v>7.5230719500000003</v>
      </c>
      <c r="AB255" s="71">
        <v>4.1262946137352999E-2</v>
      </c>
      <c r="AC255" s="71">
        <v>4.6698777335748232E-2</v>
      </c>
      <c r="AD255" s="71">
        <v>5.035554139285163E-2</v>
      </c>
      <c r="AE255" s="71">
        <v>5.2884485077672794E-2</v>
      </c>
      <c r="AF255" s="63">
        <v>5.5699239377348025E-2</v>
      </c>
      <c r="AG255" s="71" t="s">
        <v>21</v>
      </c>
      <c r="AH255" s="71">
        <v>3.8175326357482373E-3</v>
      </c>
      <c r="AI255" s="71">
        <v>7.4602523928516285E-3</v>
      </c>
      <c r="AJ255" s="71">
        <v>9.2830557776727995E-3</v>
      </c>
      <c r="AK255" s="63">
        <v>1.0679982777348034E-2</v>
      </c>
    </row>
    <row r="256" spans="2:37" x14ac:dyDescent="0.35">
      <c r="B256" s="55" t="s">
        <v>373</v>
      </c>
      <c r="C256" s="53" t="s">
        <v>234</v>
      </c>
      <c r="D256" s="53" t="s">
        <v>20</v>
      </c>
      <c r="E256" s="53" t="s">
        <v>21</v>
      </c>
      <c r="F256" s="73">
        <f t="shared" si="23"/>
        <v>4.139777228491235E-2</v>
      </c>
      <c r="G256" s="60">
        <f t="shared" si="23"/>
        <v>4.6727589873256058E-2</v>
      </c>
      <c r="H256" s="60">
        <f t="shared" si="23"/>
        <v>5.0069575830776696E-2</v>
      </c>
      <c r="I256" s="60">
        <f t="shared" si="23"/>
        <v>5.1995405478294697E-2</v>
      </c>
      <c r="J256" s="63">
        <f t="shared" si="23"/>
        <v>5.4229858678536191E-2</v>
      </c>
      <c r="K256" s="60" t="str">
        <f t="shared" si="24"/>
        <v/>
      </c>
      <c r="L256" s="60">
        <f t="shared" si="24"/>
        <v>3.8467771732560632E-3</v>
      </c>
      <c r="M256" s="60">
        <f t="shared" si="24"/>
        <v>7.1896915307767002E-3</v>
      </c>
      <c r="N256" s="60">
        <f t="shared" si="24"/>
        <v>8.4367496782946898E-3</v>
      </c>
      <c r="O256" s="63">
        <f t="shared" si="24"/>
        <v>9.2644032785361968E-3</v>
      </c>
      <c r="P256" s="55" t="s">
        <v>21</v>
      </c>
      <c r="Q256" s="53" t="s">
        <v>21</v>
      </c>
      <c r="R256" s="94" t="s">
        <v>21</v>
      </c>
      <c r="S256" s="71">
        <v>0</v>
      </c>
      <c r="T256" s="63">
        <f t="shared" si="20"/>
        <v>5.0069575830776696E-2</v>
      </c>
      <c r="V256" s="114">
        <v>1.13785892</v>
      </c>
      <c r="W256" s="72">
        <v>2.8975174999999997</v>
      </c>
      <c r="X256" s="72">
        <v>4.4687574699999999</v>
      </c>
      <c r="Y256" s="72">
        <v>5.8407679799999999</v>
      </c>
      <c r="Z256" s="115">
        <v>7.585059750000001</v>
      </c>
      <c r="AB256" s="71">
        <v>4.139777228491235E-2</v>
      </c>
      <c r="AC256" s="71">
        <v>4.6727589873256058E-2</v>
      </c>
      <c r="AD256" s="71">
        <v>5.0069575830776696E-2</v>
      </c>
      <c r="AE256" s="71">
        <v>5.1995405478294697E-2</v>
      </c>
      <c r="AF256" s="63">
        <v>5.4229858678536191E-2</v>
      </c>
      <c r="AG256" s="71" t="s">
        <v>21</v>
      </c>
      <c r="AH256" s="71">
        <v>3.8467771732560632E-3</v>
      </c>
      <c r="AI256" s="71">
        <v>7.1896915307767002E-3</v>
      </c>
      <c r="AJ256" s="71">
        <v>8.4367496782946898E-3</v>
      </c>
      <c r="AK256" s="63">
        <v>9.2644032785361968E-3</v>
      </c>
    </row>
    <row r="257" spans="2:37" x14ac:dyDescent="0.35">
      <c r="B257" s="55" t="s">
        <v>268</v>
      </c>
      <c r="C257" s="53" t="s">
        <v>234</v>
      </c>
      <c r="D257" s="53" t="s">
        <v>20</v>
      </c>
      <c r="E257" s="53" t="s">
        <v>318</v>
      </c>
      <c r="F257" s="73">
        <f t="shared" si="23"/>
        <v>4.173372902628663E-2</v>
      </c>
      <c r="G257" s="60">
        <f t="shared" si="23"/>
        <v>4.6869253793958378E-2</v>
      </c>
      <c r="H257" s="60">
        <f t="shared" si="23"/>
        <v>5.0070902707497006E-2</v>
      </c>
      <c r="I257" s="60">
        <f t="shared" si="23"/>
        <v>5.1977378669638134E-2</v>
      </c>
      <c r="J257" s="63">
        <f t="shared" si="23"/>
        <v>5.4208189432259551E-2</v>
      </c>
      <c r="K257" s="60" t="str">
        <f t="shared" si="24"/>
        <v/>
      </c>
      <c r="L257" s="60">
        <f t="shared" si="24"/>
        <v>3.9785061939583829E-3</v>
      </c>
      <c r="M257" s="60">
        <f t="shared" si="24"/>
        <v>7.1889933074970099E-3</v>
      </c>
      <c r="N257" s="60">
        <f t="shared" si="24"/>
        <v>8.4180541696381311E-3</v>
      </c>
      <c r="O257" s="63">
        <f t="shared" si="24"/>
        <v>9.2418061322595557E-3</v>
      </c>
      <c r="P257" s="55" t="s">
        <v>563</v>
      </c>
      <c r="Q257" s="53" t="s">
        <v>564</v>
      </c>
      <c r="R257" s="94" t="s">
        <v>32</v>
      </c>
      <c r="S257" s="71">
        <v>4.8212430000000001E-2</v>
      </c>
      <c r="T257" s="63">
        <f t="shared" si="20"/>
        <v>1.8584727074970053E-3</v>
      </c>
      <c r="V257" s="114">
        <v>1.13725601</v>
      </c>
      <c r="W257" s="72">
        <v>2.8957927800000003</v>
      </c>
      <c r="X257" s="72">
        <v>4.4675238300000002</v>
      </c>
      <c r="Y257" s="72">
        <v>5.8392982299999998</v>
      </c>
      <c r="Z257" s="115">
        <v>7.5845957699999991</v>
      </c>
      <c r="AB257" s="71">
        <v>4.173372902628663E-2</v>
      </c>
      <c r="AC257" s="71">
        <v>4.6869253793958378E-2</v>
      </c>
      <c r="AD257" s="71">
        <v>5.0070902707497006E-2</v>
      </c>
      <c r="AE257" s="71">
        <v>5.1977378669638134E-2</v>
      </c>
      <c r="AF257" s="63">
        <v>5.4208189432259551E-2</v>
      </c>
      <c r="AG257" s="71" t="s">
        <v>21</v>
      </c>
      <c r="AH257" s="71">
        <v>3.9785061939583829E-3</v>
      </c>
      <c r="AI257" s="71">
        <v>7.1889933074970099E-3</v>
      </c>
      <c r="AJ257" s="71">
        <v>8.4180541696381311E-3</v>
      </c>
      <c r="AK257" s="63">
        <v>9.2418061322595557E-3</v>
      </c>
    </row>
    <row r="258" spans="2:37" x14ac:dyDescent="0.35">
      <c r="B258" s="55" t="s">
        <v>374</v>
      </c>
      <c r="C258" s="53" t="s">
        <v>234</v>
      </c>
      <c r="D258" s="53" t="s">
        <v>20</v>
      </c>
      <c r="E258" s="53" t="s">
        <v>266</v>
      </c>
      <c r="F258" s="74">
        <f t="shared" si="23"/>
        <v>4.1235741924441439E-2</v>
      </c>
      <c r="G258" s="76">
        <f t="shared" si="23"/>
        <v>4.6698291754253017E-2</v>
      </c>
      <c r="H258" s="76">
        <f t="shared" si="23"/>
        <v>4.9952581405147252E-2</v>
      </c>
      <c r="I258" s="76">
        <f t="shared" si="23"/>
        <v>5.1829072832655698E-2</v>
      </c>
      <c r="J258" s="64">
        <f t="shared" si="23"/>
        <v>5.4209322716870005E-2</v>
      </c>
      <c r="K258" s="76" t="str">
        <f t="shared" si="24"/>
        <v/>
      </c>
      <c r="L258" s="76">
        <f t="shared" si="24"/>
        <v>3.8172465542530187E-3</v>
      </c>
      <c r="M258" s="76">
        <f t="shared" si="24"/>
        <v>7.0772814051472495E-3</v>
      </c>
      <c r="N258" s="76">
        <f t="shared" si="24"/>
        <v>8.277551632655698E-3</v>
      </c>
      <c r="O258" s="64">
        <f t="shared" si="24"/>
        <v>9.2489207168700016E-3</v>
      </c>
      <c r="P258" s="55" t="s">
        <v>396</v>
      </c>
      <c r="Q258" s="53" t="s">
        <v>397</v>
      </c>
      <c r="R258" s="94">
        <v>47515</v>
      </c>
      <c r="S258" s="71">
        <v>5.1214040000000002E-2</v>
      </c>
      <c r="T258" s="63">
        <f t="shared" si="20"/>
        <v>-1.2614585948527504E-3</v>
      </c>
      <c r="V258" s="114">
        <v>1.1381932799999999</v>
      </c>
      <c r="W258" s="72">
        <v>2.8983199500000003</v>
      </c>
      <c r="X258" s="72">
        <v>4.4707608500000005</v>
      </c>
      <c r="Y258" s="72">
        <v>5.8446167400000002</v>
      </c>
      <c r="Z258" s="115">
        <v>7.5813305700000004</v>
      </c>
      <c r="AB258" s="71">
        <v>4.1235741924441439E-2</v>
      </c>
      <c r="AC258" s="71">
        <v>4.6698291754253017E-2</v>
      </c>
      <c r="AD258" s="71">
        <v>4.9952581405147252E-2</v>
      </c>
      <c r="AE258" s="71">
        <v>5.1829072832655698E-2</v>
      </c>
      <c r="AF258" s="63">
        <v>5.4209322716870005E-2</v>
      </c>
      <c r="AG258" s="71" t="s">
        <v>21</v>
      </c>
      <c r="AH258" s="71">
        <v>3.8172465542530187E-3</v>
      </c>
      <c r="AI258" s="71">
        <v>7.0772814051472495E-3</v>
      </c>
      <c r="AJ258" s="71">
        <v>8.277551632655698E-3</v>
      </c>
      <c r="AK258" s="63">
        <v>9.2489207168700016E-3</v>
      </c>
    </row>
    <row r="259" spans="2:37" x14ac:dyDescent="0.35">
      <c r="B259" s="79" t="s">
        <v>162</v>
      </c>
      <c r="C259" s="136"/>
      <c r="D259" s="78"/>
      <c r="E259" s="78"/>
      <c r="F259" s="78" t="str">
        <f t="shared" si="23"/>
        <v/>
      </c>
      <c r="G259" s="78" t="str">
        <f>IF(ISNUMBER(AC259),AC259-((D$4-D$3)/W259),"")</f>
        <v/>
      </c>
      <c r="H259" s="78" t="str">
        <f t="shared" si="23"/>
        <v/>
      </c>
      <c r="I259" s="78" t="str">
        <f t="shared" si="23"/>
        <v/>
      </c>
      <c r="J259" s="78" t="str">
        <f t="shared" si="23"/>
        <v/>
      </c>
      <c r="K259" s="78" t="str">
        <f t="shared" si="24"/>
        <v/>
      </c>
      <c r="L259" s="78" t="str">
        <f t="shared" si="24"/>
        <v/>
      </c>
      <c r="M259" s="78" t="str">
        <f t="shared" si="24"/>
        <v/>
      </c>
      <c r="N259" s="78" t="str">
        <f t="shared" si="24"/>
        <v/>
      </c>
      <c r="O259" s="77" t="str">
        <f t="shared" si="24"/>
        <v/>
      </c>
      <c r="P259" s="79"/>
      <c r="Q259" s="78"/>
      <c r="R259" s="95"/>
      <c r="S259" s="78"/>
      <c r="T259" s="77" t="str">
        <f t="shared" si="20"/>
        <v/>
      </c>
      <c r="V259" s="120"/>
      <c r="W259" s="109"/>
      <c r="X259" s="109"/>
      <c r="Y259" s="109"/>
      <c r="Z259" s="121"/>
      <c r="AB259" s="78"/>
      <c r="AC259" s="78"/>
      <c r="AD259" s="78"/>
      <c r="AE259" s="78"/>
      <c r="AF259" s="78"/>
      <c r="AG259" s="78"/>
      <c r="AH259" s="78"/>
      <c r="AI259" s="78"/>
      <c r="AJ259" s="78"/>
      <c r="AK259" s="77"/>
    </row>
    <row r="260" spans="2:37" x14ac:dyDescent="0.35">
      <c r="B260" s="56" t="s">
        <v>164</v>
      </c>
      <c r="C260" s="53" t="s">
        <v>234</v>
      </c>
      <c r="D260" s="66" t="s">
        <v>20</v>
      </c>
      <c r="E260" s="66" t="s">
        <v>292</v>
      </c>
      <c r="F260" s="73">
        <f t="shared" si="23"/>
        <v>5.1741097374553395E-2</v>
      </c>
      <c r="G260" s="60">
        <f t="shared" si="23"/>
        <v>7.2598524494910624E-2</v>
      </c>
      <c r="H260" s="60">
        <f t="shared" si="23"/>
        <v>9.1388366953032291E-2</v>
      </c>
      <c r="I260" s="60">
        <f t="shared" si="23"/>
        <v>0.10103181205870496</v>
      </c>
      <c r="J260" s="63">
        <f t="shared" si="23"/>
        <v>0.10517956671459795</v>
      </c>
      <c r="K260" s="60">
        <f t="shared" si="24"/>
        <v>7.7840221745533985E-3</v>
      </c>
      <c r="L260" s="60">
        <f t="shared" si="24"/>
        <v>2.7867460394910636E-2</v>
      </c>
      <c r="M260" s="60">
        <f t="shared" si="24"/>
        <v>4.5104176353032287E-2</v>
      </c>
      <c r="N260" s="60">
        <f t="shared" si="24"/>
        <v>5.3266605458704951E-2</v>
      </c>
      <c r="O260" s="63">
        <f t="shared" si="24"/>
        <v>5.609544121459796E-2</v>
      </c>
      <c r="P260" s="56" t="s">
        <v>21</v>
      </c>
      <c r="Q260" s="66" t="s">
        <v>21</v>
      </c>
      <c r="R260" s="100" t="s">
        <v>21</v>
      </c>
      <c r="S260" s="80">
        <v>0</v>
      </c>
      <c r="T260" s="63">
        <f t="shared" si="20"/>
        <v>9.1388366953032291E-2</v>
      </c>
      <c r="V260" s="118">
        <v>1.11476267</v>
      </c>
      <c r="W260" s="61">
        <v>2.7034601600000001</v>
      </c>
      <c r="X260" s="61">
        <v>3.8648674600000001</v>
      </c>
      <c r="Y260" s="61">
        <v>4.6358165500000004</v>
      </c>
      <c r="Z260" s="119">
        <v>5.4111401400000005</v>
      </c>
      <c r="AB260" s="80">
        <v>5.1741097374553395E-2</v>
      </c>
      <c r="AC260" s="80">
        <v>7.2598524494910624E-2</v>
      </c>
      <c r="AD260" s="80">
        <v>9.1388366953032291E-2</v>
      </c>
      <c r="AE260" s="80">
        <v>0.10103181205870496</v>
      </c>
      <c r="AF260" s="62">
        <v>0.10517956671459795</v>
      </c>
      <c r="AG260" s="80">
        <v>7.7840221745533985E-3</v>
      </c>
      <c r="AH260" s="80">
        <v>2.7867460394910636E-2</v>
      </c>
      <c r="AI260" s="80">
        <v>4.5104176353032287E-2</v>
      </c>
      <c r="AJ260" s="80">
        <v>5.3266605458704951E-2</v>
      </c>
      <c r="AK260" s="62">
        <v>5.609544121459796E-2</v>
      </c>
    </row>
    <row r="261" spans="2:37" x14ac:dyDescent="0.35">
      <c r="B261" s="55" t="s">
        <v>167</v>
      </c>
      <c r="C261" s="53" t="s">
        <v>234</v>
      </c>
      <c r="D261" s="53" t="s">
        <v>97</v>
      </c>
      <c r="E261" s="53" t="s">
        <v>236</v>
      </c>
      <c r="F261" s="73">
        <f t="shared" si="23"/>
        <v>4.6470669873300514E-2</v>
      </c>
      <c r="G261" s="60">
        <f t="shared" si="23"/>
        <v>6.2798302368119119E-2</v>
      </c>
      <c r="H261" s="60">
        <f t="shared" si="23"/>
        <v>7.6383276052549728E-2</v>
      </c>
      <c r="I261" s="60">
        <f t="shared" si="23"/>
        <v>8.1234479755433325E-2</v>
      </c>
      <c r="J261" s="63">
        <f t="shared" si="23"/>
        <v>8.5960019558268902E-2</v>
      </c>
      <c r="K261" s="60">
        <f t="shared" si="24"/>
        <v>2.9729020733005092E-3</v>
      </c>
      <c r="L261" s="60">
        <f t="shared" si="24"/>
        <v>1.8924255968119121E-2</v>
      </c>
      <c r="M261" s="60">
        <f t="shared" si="24"/>
        <v>3.1637130752549723E-2</v>
      </c>
      <c r="N261" s="60">
        <f t="shared" si="24"/>
        <v>3.5584153155433319E-2</v>
      </c>
      <c r="O261" s="63">
        <f t="shared" si="24"/>
        <v>3.8869564458268911E-2</v>
      </c>
      <c r="P261" s="55" t="s">
        <v>21</v>
      </c>
      <c r="Q261" s="53" t="s">
        <v>21</v>
      </c>
      <c r="R261" s="94" t="s">
        <v>21</v>
      </c>
      <c r="S261" s="71">
        <v>0</v>
      </c>
      <c r="T261" s="63">
        <f t="shared" si="20"/>
        <v>7.6383276052549728E-2</v>
      </c>
      <c r="V261" s="114">
        <v>1.12696755</v>
      </c>
      <c r="W261" s="72">
        <v>2.7799167300000001</v>
      </c>
      <c r="X261" s="72">
        <v>4.0756364000000005</v>
      </c>
      <c r="Y261" s="72">
        <v>5.0583386600000004</v>
      </c>
      <c r="Z261" s="115">
        <v>6.1296268899999999</v>
      </c>
      <c r="AB261" s="71">
        <v>4.6470669873300514E-2</v>
      </c>
      <c r="AC261" s="71">
        <v>6.2798302368119119E-2</v>
      </c>
      <c r="AD261" s="71">
        <v>7.6383276052549728E-2</v>
      </c>
      <c r="AE261" s="71">
        <v>8.1234479755433325E-2</v>
      </c>
      <c r="AF261" s="63">
        <v>8.5960019558268902E-2</v>
      </c>
      <c r="AG261" s="71">
        <v>2.9729020733005092E-3</v>
      </c>
      <c r="AH261" s="71">
        <v>1.8924255968119121E-2</v>
      </c>
      <c r="AI261" s="71">
        <v>3.1637130752549723E-2</v>
      </c>
      <c r="AJ261" s="71">
        <v>3.5584153155433319E-2</v>
      </c>
      <c r="AK261" s="63">
        <v>3.8869564458268911E-2</v>
      </c>
    </row>
    <row r="262" spans="2:37" x14ac:dyDescent="0.35">
      <c r="B262" s="55" t="s">
        <v>235</v>
      </c>
      <c r="C262" s="53" t="s">
        <v>234</v>
      </c>
      <c r="D262" s="53" t="s">
        <v>43</v>
      </c>
      <c r="E262" s="53" t="s">
        <v>565</v>
      </c>
      <c r="F262" s="73">
        <f t="shared" si="23"/>
        <v>4.5733058584548278E-2</v>
      </c>
      <c r="G262" s="60">
        <f t="shared" si="23"/>
        <v>5.8555888624116315E-2</v>
      </c>
      <c r="H262" s="60">
        <f t="shared" si="23"/>
        <v>7.1563373487237666E-2</v>
      </c>
      <c r="I262" s="60">
        <f t="shared" si="23"/>
        <v>7.8348967837239797E-2</v>
      </c>
      <c r="J262" s="63">
        <f t="shared" si="23"/>
        <v>8.3299342164415008E-2</v>
      </c>
      <c r="K262" s="60">
        <f t="shared" si="24"/>
        <v>2.2547386845482732E-3</v>
      </c>
      <c r="L262" s="60">
        <f t="shared" si="24"/>
        <v>1.4978421924116313E-2</v>
      </c>
      <c r="M262" s="60">
        <f t="shared" si="24"/>
        <v>2.7222548187237676E-2</v>
      </c>
      <c r="N262" s="60">
        <f t="shared" si="24"/>
        <v>3.2945060237239802E-2</v>
      </c>
      <c r="O262" s="63">
        <f t="shared" si="24"/>
        <v>3.6443162564414988E-2</v>
      </c>
      <c r="P262" s="55" t="s">
        <v>21</v>
      </c>
      <c r="Q262" s="53" t="s">
        <v>21</v>
      </c>
      <c r="R262" s="94" t="s">
        <v>21</v>
      </c>
      <c r="S262" s="71">
        <v>0</v>
      </c>
      <c r="T262" s="63">
        <f t="shared" si="20"/>
        <v>7.1563373487237666E-2</v>
      </c>
      <c r="V262" s="114">
        <v>1.12898498</v>
      </c>
      <c r="W262" s="72">
        <v>2.8132763500000002</v>
      </c>
      <c r="X262" s="72">
        <v>4.1564347399999999</v>
      </c>
      <c r="Y262" s="72">
        <v>5.1711256400000005</v>
      </c>
      <c r="Z262" s="115">
        <v>6.2746372499999996</v>
      </c>
      <c r="AB262" s="71">
        <v>4.5733058584548278E-2</v>
      </c>
      <c r="AC262" s="71">
        <v>5.8555888624116315E-2</v>
      </c>
      <c r="AD262" s="71">
        <v>7.1563373487237666E-2</v>
      </c>
      <c r="AE262" s="71">
        <v>7.8348967837239797E-2</v>
      </c>
      <c r="AF262" s="63">
        <v>8.3299342164415008E-2</v>
      </c>
      <c r="AG262" s="71">
        <v>2.2547386845482732E-3</v>
      </c>
      <c r="AH262" s="71">
        <v>1.4978421924116313E-2</v>
      </c>
      <c r="AI262" s="71">
        <v>2.7222548187237676E-2</v>
      </c>
      <c r="AJ262" s="71">
        <v>3.2945060237239802E-2</v>
      </c>
      <c r="AK262" s="63">
        <v>3.6443162564414988E-2</v>
      </c>
    </row>
    <row r="263" spans="2:37" x14ac:dyDescent="0.35">
      <c r="B263" s="55" t="s">
        <v>163</v>
      </c>
      <c r="C263" s="53" t="s">
        <v>234</v>
      </c>
      <c r="D263" s="53" t="s">
        <v>97</v>
      </c>
      <c r="E263" s="53" t="s">
        <v>116</v>
      </c>
      <c r="F263" s="73">
        <f t="shared" si="23"/>
        <v>4.4468951046587379E-2</v>
      </c>
      <c r="G263" s="60">
        <f t="shared" si="23"/>
        <v>5.5987494294038473E-2</v>
      </c>
      <c r="H263" s="60">
        <f t="shared" si="23"/>
        <v>6.5428205540135759E-2</v>
      </c>
      <c r="I263" s="60">
        <f t="shared" si="23"/>
        <v>7.0949143926363589E-2</v>
      </c>
      <c r="J263" s="63">
        <f t="shared" si="23"/>
        <v>7.5838681448469558E-2</v>
      </c>
      <c r="K263" s="60">
        <f t="shared" si="24"/>
        <v>1.0524906465873814E-3</v>
      </c>
      <c r="L263" s="60">
        <f t="shared" si="24"/>
        <v>1.2579486494038478E-2</v>
      </c>
      <c r="M263" s="60">
        <f t="shared" si="24"/>
        <v>2.158308494013577E-2</v>
      </c>
      <c r="N263" s="60">
        <f t="shared" si="24"/>
        <v>2.6173324926363595E-2</v>
      </c>
      <c r="O263" s="63">
        <f t="shared" si="24"/>
        <v>2.9592691448469551E-2</v>
      </c>
      <c r="P263" s="55" t="s">
        <v>566</v>
      </c>
      <c r="Q263" s="53" t="s">
        <v>567</v>
      </c>
      <c r="R263" s="94">
        <v>47542</v>
      </c>
      <c r="S263" s="71">
        <v>5.5639279999999999E-2</v>
      </c>
      <c r="T263" s="63">
        <f t="shared" si="20"/>
        <v>9.7889255401357594E-3</v>
      </c>
      <c r="V263" s="114">
        <v>1.1320796</v>
      </c>
      <c r="W263" s="72">
        <v>2.8273955399999999</v>
      </c>
      <c r="X263" s="72">
        <v>4.2343780500000001</v>
      </c>
      <c r="Y263" s="72">
        <v>5.3451822399999998</v>
      </c>
      <c r="Z263" s="115">
        <v>6.5932813100000001</v>
      </c>
      <c r="AB263" s="71">
        <v>4.4468951046587379E-2</v>
      </c>
      <c r="AC263" s="71">
        <v>5.5987494294038473E-2</v>
      </c>
      <c r="AD263" s="71">
        <v>6.5428205540135759E-2</v>
      </c>
      <c r="AE263" s="71">
        <v>7.0949143926363589E-2</v>
      </c>
      <c r="AF263" s="63">
        <v>7.5838681448469558E-2</v>
      </c>
      <c r="AG263" s="71">
        <v>1.0524906465873814E-3</v>
      </c>
      <c r="AH263" s="71">
        <v>1.2579486494038478E-2</v>
      </c>
      <c r="AI263" s="71">
        <v>2.158308494013577E-2</v>
      </c>
      <c r="AJ263" s="71">
        <v>2.6173324926363595E-2</v>
      </c>
      <c r="AK263" s="63">
        <v>2.9592691448469551E-2</v>
      </c>
    </row>
    <row r="264" spans="2:37" x14ac:dyDescent="0.35">
      <c r="B264" s="55" t="s">
        <v>174</v>
      </c>
      <c r="C264" s="53" t="s">
        <v>234</v>
      </c>
      <c r="D264" s="53" t="s">
        <v>43</v>
      </c>
      <c r="E264" s="53" t="s">
        <v>568</v>
      </c>
      <c r="F264" s="73">
        <f t="shared" si="23"/>
        <v>4.5322926031839565E-2</v>
      </c>
      <c r="G264" s="60">
        <f t="shared" si="23"/>
        <v>5.5356564351633018E-2</v>
      </c>
      <c r="H264" s="60">
        <f t="shared" si="23"/>
        <v>6.4408207980447843E-2</v>
      </c>
      <c r="I264" s="60">
        <f t="shared" si="23"/>
        <v>6.9712316597169185E-2</v>
      </c>
      <c r="J264" s="63">
        <f t="shared" si="23"/>
        <v>7.4024063683606478E-2</v>
      </c>
      <c r="K264" s="60">
        <f t="shared" si="24"/>
        <v>1.8686417318395602E-3</v>
      </c>
      <c r="L264" s="60">
        <f t="shared" si="24"/>
        <v>1.199577705163302E-2</v>
      </c>
      <c r="M264" s="60">
        <f t="shared" si="24"/>
        <v>2.0642850680447841E-2</v>
      </c>
      <c r="N264" s="60">
        <f t="shared" si="24"/>
        <v>2.5033036397169198E-2</v>
      </c>
      <c r="O264" s="63">
        <f t="shared" si="24"/>
        <v>2.7911407283606471E-2</v>
      </c>
      <c r="P264" s="55" t="s">
        <v>569</v>
      </c>
      <c r="Q264" s="53" t="s">
        <v>570</v>
      </c>
      <c r="R264" s="94">
        <v>47535</v>
      </c>
      <c r="S264" s="71">
        <v>5.2452040000000005E-2</v>
      </c>
      <c r="T264" s="63">
        <f t="shared" si="20"/>
        <v>1.1956167980447838E-2</v>
      </c>
      <c r="V264" s="114">
        <v>1.1300133999999999</v>
      </c>
      <c r="W264" s="72">
        <v>2.8332865599999999</v>
      </c>
      <c r="X264" s="72">
        <v>4.24979628</v>
      </c>
      <c r="Y264" s="72">
        <v>5.3747734099999995</v>
      </c>
      <c r="Z264" s="115">
        <v>6.6603007500000002</v>
      </c>
      <c r="AB264" s="71">
        <v>4.5322926031839565E-2</v>
      </c>
      <c r="AC264" s="71">
        <v>5.5356564351633018E-2</v>
      </c>
      <c r="AD264" s="71">
        <v>6.4408207980447843E-2</v>
      </c>
      <c r="AE264" s="71">
        <v>6.9712316597169185E-2</v>
      </c>
      <c r="AF264" s="63">
        <v>7.4024063683606478E-2</v>
      </c>
      <c r="AG264" s="71">
        <v>1.8686417318395602E-3</v>
      </c>
      <c r="AH264" s="71">
        <v>1.199577705163302E-2</v>
      </c>
      <c r="AI264" s="71">
        <v>2.0642850680447841E-2</v>
      </c>
      <c r="AJ264" s="71">
        <v>2.5033036397169198E-2</v>
      </c>
      <c r="AK264" s="63">
        <v>2.7911407283606471E-2</v>
      </c>
    </row>
    <row r="265" spans="2:37" x14ac:dyDescent="0.35">
      <c r="B265" s="55" t="s">
        <v>172</v>
      </c>
      <c r="C265" s="53" t="s">
        <v>234</v>
      </c>
      <c r="D265" s="53" t="s">
        <v>31</v>
      </c>
      <c r="E265" s="53" t="s">
        <v>571</v>
      </c>
      <c r="F265" s="73">
        <f t="shared" si="23"/>
        <v>4.396026865189688E-2</v>
      </c>
      <c r="G265" s="60">
        <f t="shared" si="23"/>
        <v>5.3528169385139553E-2</v>
      </c>
      <c r="H265" s="60">
        <f t="shared" si="23"/>
        <v>6.3213804321683068E-2</v>
      </c>
      <c r="I265" s="60">
        <f t="shared" si="23"/>
        <v>6.9934357008389514E-2</v>
      </c>
      <c r="J265" s="63">
        <f t="shared" si="23"/>
        <v>7.5850209128251467E-2</v>
      </c>
      <c r="K265" s="60">
        <f t="shared" si="24"/>
        <v>5.7799905189688701E-4</v>
      </c>
      <c r="L265" s="60">
        <f t="shared" si="24"/>
        <v>1.0275004285139559E-2</v>
      </c>
      <c r="M265" s="60">
        <f t="shared" si="24"/>
        <v>1.9537052621683058E-2</v>
      </c>
      <c r="N265" s="60">
        <f t="shared" si="24"/>
        <v>2.5239036808389508E-2</v>
      </c>
      <c r="O265" s="63">
        <f t="shared" si="24"/>
        <v>2.960741902825147E-2</v>
      </c>
      <c r="P265" s="55" t="s">
        <v>572</v>
      </c>
      <c r="Q265" s="53" t="s">
        <v>573</v>
      </c>
      <c r="R265" s="94">
        <v>47664</v>
      </c>
      <c r="S265" s="71">
        <v>5.5290400000000003E-2</v>
      </c>
      <c r="T265" s="63">
        <f t="shared" si="20"/>
        <v>7.9234043216830641E-3</v>
      </c>
      <c r="V265" s="114">
        <v>1.13298769</v>
      </c>
      <c r="W265" s="72">
        <v>2.8491592999999997</v>
      </c>
      <c r="X265" s="72">
        <v>4.2794098400000005</v>
      </c>
      <c r="Y265" s="72">
        <v>5.4002090300000001</v>
      </c>
      <c r="Z265" s="115">
        <v>6.64030202</v>
      </c>
      <c r="AB265" s="71">
        <v>4.396026865189688E-2</v>
      </c>
      <c r="AC265" s="71">
        <v>5.3528169385139553E-2</v>
      </c>
      <c r="AD265" s="71">
        <v>6.3213804321683068E-2</v>
      </c>
      <c r="AE265" s="71">
        <v>6.9934357008389514E-2</v>
      </c>
      <c r="AF265" s="63">
        <v>7.5850209128251467E-2</v>
      </c>
      <c r="AG265" s="71">
        <v>5.7799905189688701E-4</v>
      </c>
      <c r="AH265" s="71">
        <v>1.0275004285139559E-2</v>
      </c>
      <c r="AI265" s="71">
        <v>1.9537052621683058E-2</v>
      </c>
      <c r="AJ265" s="71">
        <v>2.5239036808389508E-2</v>
      </c>
      <c r="AK265" s="63">
        <v>2.960741902825147E-2</v>
      </c>
    </row>
    <row r="266" spans="2:37" x14ac:dyDescent="0.35">
      <c r="B266" s="55" t="s">
        <v>175</v>
      </c>
      <c r="C266" s="53" t="s">
        <v>234</v>
      </c>
      <c r="D266" s="53" t="s">
        <v>43</v>
      </c>
      <c r="E266" s="53" t="s">
        <v>141</v>
      </c>
      <c r="F266" s="73">
        <f t="shared" si="23"/>
        <v>4.8447822240327336E-2</v>
      </c>
      <c r="G266" s="60">
        <f t="shared" si="23"/>
        <v>5.6237776901817096E-2</v>
      </c>
      <c r="H266" s="60">
        <f t="shared" si="23"/>
        <v>6.3014668785869477E-2</v>
      </c>
      <c r="I266" s="60">
        <f t="shared" si="23"/>
        <v>6.8059448676601547E-2</v>
      </c>
      <c r="J266" s="63">
        <f t="shared" si="23"/>
        <v>7.3693719396659058E-2</v>
      </c>
      <c r="K266" s="60">
        <f t="shared" si="24"/>
        <v>4.7402041403273336E-3</v>
      </c>
      <c r="L266" s="60">
        <f t="shared" si="24"/>
        <v>1.2803157601817092E-2</v>
      </c>
      <c r="M266" s="60">
        <f t="shared" si="24"/>
        <v>1.9342831485869467E-2</v>
      </c>
      <c r="N266" s="60">
        <f t="shared" si="24"/>
        <v>2.3498752776601555E-2</v>
      </c>
      <c r="O266" s="63">
        <f t="shared" si="24"/>
        <v>2.759275409665907E-2</v>
      </c>
      <c r="P266" s="55" t="s">
        <v>21</v>
      </c>
      <c r="Q266" s="53" t="s">
        <v>21</v>
      </c>
      <c r="R266" s="94" t="s">
        <v>21</v>
      </c>
      <c r="S266" s="71">
        <v>0</v>
      </c>
      <c r="T266" s="63">
        <f t="shared" si="20"/>
        <v>6.3014668785869477E-2</v>
      </c>
      <c r="V266" s="114">
        <v>1.1226858500000001</v>
      </c>
      <c r="W266" s="72">
        <v>2.8153774499999997</v>
      </c>
      <c r="X266" s="72">
        <v>4.2461667199999997</v>
      </c>
      <c r="Y266" s="72">
        <v>5.3957899300000003</v>
      </c>
      <c r="Z266" s="115">
        <v>6.6925367400000004</v>
      </c>
      <c r="AB266" s="71">
        <v>4.8447822240327336E-2</v>
      </c>
      <c r="AC266" s="71">
        <v>5.6237776901817096E-2</v>
      </c>
      <c r="AD266" s="71">
        <v>6.3014668785869477E-2</v>
      </c>
      <c r="AE266" s="71">
        <v>6.8059448676601547E-2</v>
      </c>
      <c r="AF266" s="63">
        <v>7.3693719396659058E-2</v>
      </c>
      <c r="AG266" s="71">
        <v>4.7402041403273336E-3</v>
      </c>
      <c r="AH266" s="71">
        <v>1.2803157601817092E-2</v>
      </c>
      <c r="AI266" s="71">
        <v>1.9342831485869467E-2</v>
      </c>
      <c r="AJ266" s="71">
        <v>2.3498752776601555E-2</v>
      </c>
      <c r="AK266" s="63">
        <v>2.759275409665907E-2</v>
      </c>
    </row>
    <row r="267" spans="2:37" x14ac:dyDescent="0.35">
      <c r="B267" s="55" t="s">
        <v>129</v>
      </c>
      <c r="C267" s="53" t="s">
        <v>234</v>
      </c>
      <c r="D267" s="53" t="s">
        <v>62</v>
      </c>
      <c r="E267" s="53" t="s">
        <v>574</v>
      </c>
      <c r="F267" s="73">
        <f t="shared" si="23"/>
        <v>4.5520333848076001E-2</v>
      </c>
      <c r="G267" s="60">
        <f t="shared" si="23"/>
        <v>5.4978310019037697E-2</v>
      </c>
      <c r="H267" s="60">
        <f t="shared" si="23"/>
        <v>6.2470104716192937E-2</v>
      </c>
      <c r="I267" s="60">
        <f t="shared" si="23"/>
        <v>6.6929392970451015E-2</v>
      </c>
      <c r="J267" s="63">
        <f t="shared" si="23"/>
        <v>7.087808555248655E-2</v>
      </c>
      <c r="K267" s="60">
        <f t="shared" si="24"/>
        <v>2.0543123480759994E-3</v>
      </c>
      <c r="L267" s="60">
        <f t="shared" si="24"/>
        <v>1.1641249619037695E-2</v>
      </c>
      <c r="M267" s="60">
        <f t="shared" si="24"/>
        <v>1.8849095716192931E-2</v>
      </c>
      <c r="N267" s="60">
        <f t="shared" si="24"/>
        <v>2.2462670370451007E-2</v>
      </c>
      <c r="O267" s="63">
        <f t="shared" si="24"/>
        <v>2.4988301752486553E-2</v>
      </c>
      <c r="P267" s="55" t="s">
        <v>21</v>
      </c>
      <c r="Q267" s="53" t="s">
        <v>21</v>
      </c>
      <c r="R267" s="94" t="s">
        <v>21</v>
      </c>
      <c r="S267" s="71">
        <v>0</v>
      </c>
      <c r="T267" s="63">
        <f t="shared" si="20"/>
        <v>6.2470104716192937E-2</v>
      </c>
      <c r="V267" s="114">
        <v>1.1295195900000001</v>
      </c>
      <c r="W267" s="72">
        <v>2.8328888999999999</v>
      </c>
      <c r="X267" s="72">
        <v>4.2692974799999996</v>
      </c>
      <c r="Y267" s="72">
        <v>5.4321813099999998</v>
      </c>
      <c r="Z267" s="115">
        <v>6.7870057299999997</v>
      </c>
      <c r="AB267" s="71">
        <v>4.5520333848076001E-2</v>
      </c>
      <c r="AC267" s="71">
        <v>5.4978310019037697E-2</v>
      </c>
      <c r="AD267" s="71">
        <v>6.2470104716192937E-2</v>
      </c>
      <c r="AE267" s="71">
        <v>6.6929392970451015E-2</v>
      </c>
      <c r="AF267" s="63">
        <v>7.087808555248655E-2</v>
      </c>
      <c r="AG267" s="71">
        <v>2.0543123480759994E-3</v>
      </c>
      <c r="AH267" s="71">
        <v>1.1641249619037695E-2</v>
      </c>
      <c r="AI267" s="71">
        <v>1.8849095716192931E-2</v>
      </c>
      <c r="AJ267" s="71">
        <v>2.2462670370451007E-2</v>
      </c>
      <c r="AK267" s="63">
        <v>2.4988301752486553E-2</v>
      </c>
    </row>
    <row r="268" spans="2:37" x14ac:dyDescent="0.35">
      <c r="B268" s="55" t="s">
        <v>400</v>
      </c>
      <c r="C268" s="53" t="s">
        <v>234</v>
      </c>
      <c r="D268" s="53" t="s">
        <v>20</v>
      </c>
      <c r="E268" s="53" t="s">
        <v>288</v>
      </c>
      <c r="F268" s="73">
        <f t="shared" si="23"/>
        <v>4.3730818069214125E-2</v>
      </c>
      <c r="G268" s="60">
        <f t="shared" si="23"/>
        <v>5.3142231923647053E-2</v>
      </c>
      <c r="H268" s="60">
        <f t="shared" si="23"/>
        <v>6.0584767840817552E-2</v>
      </c>
      <c r="I268" s="60">
        <f t="shared" si="23"/>
        <v>6.5764550000010052E-2</v>
      </c>
      <c r="J268" s="63">
        <f t="shared" si="23"/>
        <v>6.8991687232804716E-2</v>
      </c>
      <c r="K268" s="60">
        <f t="shared" si="24"/>
        <v>3.36471169214125E-4</v>
      </c>
      <c r="L268" s="60">
        <f t="shared" si="24"/>
        <v>9.9011510236470535E-3</v>
      </c>
      <c r="M268" s="60">
        <f t="shared" si="24"/>
        <v>1.7089960740817565E-2</v>
      </c>
      <c r="N268" s="60">
        <f t="shared" si="24"/>
        <v>2.1383720600010064E-2</v>
      </c>
      <c r="O268" s="63">
        <f t="shared" si="24"/>
        <v>2.3240869132804716E-2</v>
      </c>
      <c r="P268" s="55" t="s">
        <v>403</v>
      </c>
      <c r="Q268" s="53" t="s">
        <v>404</v>
      </c>
      <c r="R268" s="94">
        <v>47771</v>
      </c>
      <c r="S268" s="71">
        <v>5.4315009999999997E-2</v>
      </c>
      <c r="T268" s="63">
        <f t="shared" si="20"/>
        <v>6.2697578408175553E-3</v>
      </c>
      <c r="V268" s="114">
        <v>1.1335380100000001</v>
      </c>
      <c r="W268" s="72">
        <v>2.85058262</v>
      </c>
      <c r="X268" s="72">
        <v>4.3088412299999996</v>
      </c>
      <c r="Y268" s="72">
        <v>5.4861822999999994</v>
      </c>
      <c r="Z268" s="115">
        <v>6.8762939599999999</v>
      </c>
      <c r="AB268" s="71">
        <v>4.3730818069214125E-2</v>
      </c>
      <c r="AC268" s="71">
        <v>5.3142231923647053E-2</v>
      </c>
      <c r="AD268" s="71">
        <v>6.0584767840817552E-2</v>
      </c>
      <c r="AE268" s="71">
        <v>6.5764550000010052E-2</v>
      </c>
      <c r="AF268" s="63">
        <v>6.8991687232804716E-2</v>
      </c>
      <c r="AG268" s="71">
        <v>3.36471169214125E-4</v>
      </c>
      <c r="AH268" s="71">
        <v>9.9011510236470535E-3</v>
      </c>
      <c r="AI268" s="71">
        <v>1.7089960740817565E-2</v>
      </c>
      <c r="AJ268" s="71">
        <v>2.1383720600010064E-2</v>
      </c>
      <c r="AK268" s="63">
        <v>2.3240869132804716E-2</v>
      </c>
    </row>
    <row r="269" spans="2:37" x14ac:dyDescent="0.35">
      <c r="B269" s="55" t="s">
        <v>165</v>
      </c>
      <c r="C269" s="53" t="s">
        <v>234</v>
      </c>
      <c r="D269" s="53" t="s">
        <v>47</v>
      </c>
      <c r="E269" s="53" t="s">
        <v>48</v>
      </c>
      <c r="F269" s="73">
        <f t="shared" si="23"/>
        <v>4.4131253526753456E-2</v>
      </c>
      <c r="G269" s="60">
        <f t="shared" si="23"/>
        <v>5.1893321900093804E-2</v>
      </c>
      <c r="H269" s="60">
        <f t="shared" si="23"/>
        <v>5.8951368064133584E-2</v>
      </c>
      <c r="I269" s="60">
        <f t="shared" si="23"/>
        <v>6.4291372873916286E-2</v>
      </c>
      <c r="J269" s="63">
        <f t="shared" si="23"/>
        <v>6.9226951516300622E-2</v>
      </c>
      <c r="K269" s="60">
        <f t="shared" si="24"/>
        <v>7.4583272675345785E-4</v>
      </c>
      <c r="L269" s="60">
        <f t="shared" si="24"/>
        <v>8.7378677000938074E-3</v>
      </c>
      <c r="M269" s="60">
        <f t="shared" si="24"/>
        <v>1.5573421864133592E-2</v>
      </c>
      <c r="N269" s="60">
        <f t="shared" si="24"/>
        <v>2.0018795373916279E-2</v>
      </c>
      <c r="O269" s="63">
        <f t="shared" si="24"/>
        <v>2.3460793616300629E-2</v>
      </c>
      <c r="P269" s="55" t="s">
        <v>21</v>
      </c>
      <c r="Q269" s="53" t="s">
        <v>21</v>
      </c>
      <c r="R269" s="94" t="s">
        <v>21</v>
      </c>
      <c r="S269" s="71">
        <v>0</v>
      </c>
      <c r="T269" s="63">
        <f t="shared" si="20"/>
        <v>5.8951368064133584E-2</v>
      </c>
      <c r="V269" s="114">
        <v>1.1326344500000001</v>
      </c>
      <c r="W269" s="72">
        <v>2.85794785</v>
      </c>
      <c r="X269" s="72">
        <v>4.33303379</v>
      </c>
      <c r="Y269" s="72">
        <v>5.5306052000000001</v>
      </c>
      <c r="Z269" s="115">
        <v>6.9140396099999997</v>
      </c>
      <c r="AB269" s="71">
        <v>4.4131253526753456E-2</v>
      </c>
      <c r="AC269" s="71">
        <v>5.1893321900093804E-2</v>
      </c>
      <c r="AD269" s="71">
        <v>5.8951368064133584E-2</v>
      </c>
      <c r="AE269" s="71">
        <v>6.4291372873916286E-2</v>
      </c>
      <c r="AF269" s="63">
        <v>6.9226951516300622E-2</v>
      </c>
      <c r="AG269" s="71">
        <v>7.4583272675345785E-4</v>
      </c>
      <c r="AH269" s="71">
        <v>8.7378677000938074E-3</v>
      </c>
      <c r="AI269" s="71">
        <v>1.5573421864133592E-2</v>
      </c>
      <c r="AJ269" s="71">
        <v>2.0018795373916279E-2</v>
      </c>
      <c r="AK269" s="63">
        <v>2.3460793616300629E-2</v>
      </c>
    </row>
    <row r="270" spans="2:37" x14ac:dyDescent="0.35">
      <c r="B270" s="55" t="s">
        <v>166</v>
      </c>
      <c r="C270" s="53" t="s">
        <v>234</v>
      </c>
      <c r="D270" s="53" t="s">
        <v>43</v>
      </c>
      <c r="E270" s="53" t="s">
        <v>575</v>
      </c>
      <c r="F270" s="73">
        <f t="shared" si="23"/>
        <v>4.3444068840780149E-2</v>
      </c>
      <c r="G270" s="60">
        <f t="shared" si="23"/>
        <v>5.158943571967918E-2</v>
      </c>
      <c r="H270" s="60">
        <f t="shared" si="23"/>
        <v>5.8348453748120616E-2</v>
      </c>
      <c r="I270" s="60">
        <f t="shared" si="23"/>
        <v>6.1467758944871144E-2</v>
      </c>
      <c r="J270" s="63">
        <f t="shared" si="23"/>
        <v>6.4132151297529291E-2</v>
      </c>
      <c r="K270" s="60">
        <f t="shared" si="24"/>
        <v>7.2431540780149364E-5</v>
      </c>
      <c r="L270" s="60">
        <f t="shared" si="24"/>
        <v>8.4421655196791814E-3</v>
      </c>
      <c r="M270" s="60">
        <f t="shared" si="24"/>
        <v>1.5002889548120615E-2</v>
      </c>
      <c r="N270" s="60">
        <f t="shared" si="24"/>
        <v>1.7379750344871138E-2</v>
      </c>
      <c r="O270" s="63">
        <f t="shared" si="24"/>
        <v>1.8678444297529274E-2</v>
      </c>
      <c r="P270" s="55" t="s">
        <v>21</v>
      </c>
      <c r="Q270" s="53" t="s">
        <v>21</v>
      </c>
      <c r="R270" s="94" t="s">
        <v>21</v>
      </c>
      <c r="S270" s="71">
        <v>0</v>
      </c>
      <c r="T270" s="63">
        <f t="shared" si="20"/>
        <v>5.8348453748120616E-2</v>
      </c>
      <c r="V270" s="114">
        <v>1.1340633100000002</v>
      </c>
      <c r="W270" s="72">
        <v>2.8621325799999999</v>
      </c>
      <c r="X270" s="72">
        <v>4.3441709500000005</v>
      </c>
      <c r="Y270" s="72">
        <v>5.5775608200000004</v>
      </c>
      <c r="Z270" s="115">
        <v>7.0820044299999996</v>
      </c>
      <c r="AB270" s="71">
        <v>4.3444068840780149E-2</v>
      </c>
      <c r="AC270" s="71">
        <v>5.158943571967918E-2</v>
      </c>
      <c r="AD270" s="71">
        <v>5.8348453748120616E-2</v>
      </c>
      <c r="AE270" s="71">
        <v>6.1467758944871144E-2</v>
      </c>
      <c r="AF270" s="63">
        <v>6.4132151297529291E-2</v>
      </c>
      <c r="AG270" s="71">
        <v>7.2431540780149364E-5</v>
      </c>
      <c r="AH270" s="71">
        <v>8.4421655196791814E-3</v>
      </c>
      <c r="AI270" s="71">
        <v>1.5002889548120615E-2</v>
      </c>
      <c r="AJ270" s="71">
        <v>1.7379750344871138E-2</v>
      </c>
      <c r="AK270" s="63">
        <v>1.8678444297529274E-2</v>
      </c>
    </row>
    <row r="271" spans="2:37" x14ac:dyDescent="0.35">
      <c r="B271" s="55" t="s">
        <v>401</v>
      </c>
      <c r="C271" s="53" t="s">
        <v>234</v>
      </c>
      <c r="D271" s="53" t="s">
        <v>53</v>
      </c>
      <c r="E271" s="53" t="s">
        <v>293</v>
      </c>
      <c r="F271" s="73">
        <f t="shared" si="23"/>
        <v>4.2617653975241643E-2</v>
      </c>
      <c r="G271" s="60">
        <f t="shared" si="23"/>
        <v>5.0879669328556441E-2</v>
      </c>
      <c r="H271" s="60">
        <f t="shared" si="23"/>
        <v>5.8050149660638255E-2</v>
      </c>
      <c r="I271" s="60">
        <f t="shared" si="23"/>
        <v>6.2299415011815115E-2</v>
      </c>
      <c r="J271" s="63">
        <f t="shared" si="23"/>
        <v>6.7682824512446144E-2</v>
      </c>
      <c r="K271" s="60" t="str">
        <f t="shared" si="24"/>
        <v/>
      </c>
      <c r="L271" s="60">
        <f t="shared" si="24"/>
        <v>7.782249228556447E-3</v>
      </c>
      <c r="M271" s="60">
        <f t="shared" si="24"/>
        <v>1.4732456060638246E-2</v>
      </c>
      <c r="N271" s="60">
        <f t="shared" si="24"/>
        <v>1.8167375611815108E-2</v>
      </c>
      <c r="O271" s="63">
        <f t="shared" si="24"/>
        <v>2.202263571244616E-2</v>
      </c>
      <c r="P271" s="55" t="s">
        <v>21</v>
      </c>
      <c r="Q271" s="53" t="s">
        <v>21</v>
      </c>
      <c r="R271" s="94" t="s">
        <v>21</v>
      </c>
      <c r="S271" s="71">
        <v>0</v>
      </c>
      <c r="T271" s="63">
        <f t="shared" si="20"/>
        <v>5.8050149660638255E-2</v>
      </c>
      <c r="V271" s="114">
        <v>1.1354910899999999</v>
      </c>
      <c r="W271" s="72">
        <v>2.8689194800000002</v>
      </c>
      <c r="X271" s="72">
        <v>4.3544193199999999</v>
      </c>
      <c r="Y271" s="72">
        <v>5.5783885700000004</v>
      </c>
      <c r="Z271" s="115">
        <v>7.0010405999999996</v>
      </c>
      <c r="AB271" s="71">
        <v>4.2617653975241643E-2</v>
      </c>
      <c r="AC271" s="71">
        <v>5.0879669328556441E-2</v>
      </c>
      <c r="AD271" s="71">
        <v>5.8050149660638255E-2</v>
      </c>
      <c r="AE271" s="71">
        <v>6.2299415011815115E-2</v>
      </c>
      <c r="AF271" s="63">
        <v>6.7682824512446144E-2</v>
      </c>
      <c r="AG271" s="71" t="s">
        <v>21</v>
      </c>
      <c r="AH271" s="71">
        <v>7.782249228556447E-3</v>
      </c>
      <c r="AI271" s="71">
        <v>1.4732456060638246E-2</v>
      </c>
      <c r="AJ271" s="71">
        <v>1.8167375611815108E-2</v>
      </c>
      <c r="AK271" s="63">
        <v>2.202263571244616E-2</v>
      </c>
    </row>
    <row r="272" spans="2:37" x14ac:dyDescent="0.35">
      <c r="B272" s="55" t="s">
        <v>170</v>
      </c>
      <c r="C272" s="53" t="s">
        <v>234</v>
      </c>
      <c r="D272" s="53" t="s">
        <v>20</v>
      </c>
      <c r="E272" s="53" t="s">
        <v>402</v>
      </c>
      <c r="F272" s="73">
        <f t="shared" si="23"/>
        <v>4.7625034300441231E-2</v>
      </c>
      <c r="G272" s="60">
        <f t="shared" si="23"/>
        <v>5.8557066731395213E-2</v>
      </c>
      <c r="H272" s="60">
        <f t="shared" si="23"/>
        <v>6.8624562045957405E-2</v>
      </c>
      <c r="I272" s="60">
        <f t="shared" si="23"/>
        <v>7.340897431675468E-2</v>
      </c>
      <c r="J272" s="63">
        <f t="shared" si="23"/>
        <v>7.8195469886236574E-2</v>
      </c>
      <c r="K272" s="60">
        <f t="shared" si="24"/>
        <v>4.0168906004412292E-3</v>
      </c>
      <c r="L272" s="60">
        <f t="shared" si="24"/>
        <v>1.4981106431395219E-2</v>
      </c>
      <c r="M272" s="60">
        <f t="shared" si="24"/>
        <v>2.4533290545957417E-2</v>
      </c>
      <c r="N272" s="60">
        <f t="shared" si="24"/>
        <v>2.8439522216754692E-2</v>
      </c>
      <c r="O272" s="63">
        <f t="shared" si="24"/>
        <v>3.1760102186236573E-2</v>
      </c>
      <c r="P272" s="55" t="s">
        <v>468</v>
      </c>
      <c r="Q272" s="53" t="s">
        <v>469</v>
      </c>
      <c r="R272" s="94">
        <v>47505</v>
      </c>
      <c r="S272" s="71">
        <v>6.2761090000000005E-2</v>
      </c>
      <c r="T272" s="63">
        <f t="shared" si="20"/>
        <v>5.8634720459573991E-3</v>
      </c>
      <c r="V272" s="114">
        <v>1.12436837</v>
      </c>
      <c r="W272" s="72">
        <v>2.8022332800000003</v>
      </c>
      <c r="X272" s="72">
        <v>4.1801492599999994</v>
      </c>
      <c r="Y272" s="72">
        <v>5.2506876099999999</v>
      </c>
      <c r="Z272" s="115">
        <v>6.4616041200000005</v>
      </c>
      <c r="AB272" s="71">
        <v>4.7625034300441231E-2</v>
      </c>
      <c r="AC272" s="71">
        <v>5.8557066731395213E-2</v>
      </c>
      <c r="AD272" s="71">
        <v>6.8624562045957405E-2</v>
      </c>
      <c r="AE272" s="71">
        <v>7.340897431675468E-2</v>
      </c>
      <c r="AF272" s="63">
        <v>7.8195469886236574E-2</v>
      </c>
      <c r="AG272" s="71">
        <v>4.0168906004412292E-3</v>
      </c>
      <c r="AH272" s="71">
        <v>1.4981106431395219E-2</v>
      </c>
      <c r="AI272" s="71">
        <v>2.4533290545957417E-2</v>
      </c>
      <c r="AJ272" s="71">
        <v>2.8439522216754692E-2</v>
      </c>
      <c r="AK272" s="63">
        <v>3.1760102186236573E-2</v>
      </c>
    </row>
    <row r="273" spans="2:37" x14ac:dyDescent="0.35">
      <c r="B273" s="55" t="s">
        <v>168</v>
      </c>
      <c r="C273" s="53" t="s">
        <v>234</v>
      </c>
      <c r="D273" s="53" t="s">
        <v>169</v>
      </c>
      <c r="E273" s="53" t="s">
        <v>576</v>
      </c>
      <c r="F273" s="73">
        <f t="shared" si="23"/>
        <v>4.5675901799940577E-2</v>
      </c>
      <c r="G273" s="60">
        <f t="shared" si="23"/>
        <v>5.2544687684333728E-2</v>
      </c>
      <c r="H273" s="60">
        <f t="shared" si="23"/>
        <v>5.727419601763465E-2</v>
      </c>
      <c r="I273" s="60">
        <f t="shared" si="23"/>
        <v>5.9543939554701518E-2</v>
      </c>
      <c r="J273" s="63">
        <f t="shared" si="23"/>
        <v>6.1999226504340497E-2</v>
      </c>
      <c r="K273" s="60">
        <f t="shared" si="24"/>
        <v>2.1630203999405762E-3</v>
      </c>
      <c r="L273" s="60">
        <f t="shared" si="24"/>
        <v>9.3353489843337259E-3</v>
      </c>
      <c r="M273" s="60">
        <f t="shared" si="24"/>
        <v>1.3990103717634641E-2</v>
      </c>
      <c r="N273" s="60">
        <f t="shared" si="24"/>
        <v>1.5569933554701517E-2</v>
      </c>
      <c r="O273" s="63">
        <f t="shared" si="24"/>
        <v>1.6654583804340498E-2</v>
      </c>
      <c r="P273" s="55" t="s">
        <v>21</v>
      </c>
      <c r="Q273" s="53" t="s">
        <v>21</v>
      </c>
      <c r="R273" s="94" t="s">
        <v>21</v>
      </c>
      <c r="S273" s="71">
        <v>0</v>
      </c>
      <c r="T273" s="63">
        <f t="shared" si="20"/>
        <v>5.727419601763465E-2</v>
      </c>
      <c r="V273" s="114">
        <v>1.1296199899999999</v>
      </c>
      <c r="W273" s="72">
        <v>2.8478042800000001</v>
      </c>
      <c r="X273" s="72">
        <v>4.3394292700000001</v>
      </c>
      <c r="Y273" s="72">
        <v>5.6034190400000004</v>
      </c>
      <c r="Z273" s="115">
        <v>7.1617320499999995</v>
      </c>
      <c r="AB273" s="71">
        <v>4.5675901799940577E-2</v>
      </c>
      <c r="AC273" s="71">
        <v>5.2544687684333728E-2</v>
      </c>
      <c r="AD273" s="71">
        <v>5.727419601763465E-2</v>
      </c>
      <c r="AE273" s="71">
        <v>5.9543939554701518E-2</v>
      </c>
      <c r="AF273" s="63">
        <v>6.1999226504340497E-2</v>
      </c>
      <c r="AG273" s="71">
        <v>2.1630203999405762E-3</v>
      </c>
      <c r="AH273" s="71">
        <v>9.3353489843337259E-3</v>
      </c>
      <c r="AI273" s="71">
        <v>1.3990103717634641E-2</v>
      </c>
      <c r="AJ273" s="71">
        <v>1.5569933554701517E-2</v>
      </c>
      <c r="AK273" s="63">
        <v>1.6654583804340498E-2</v>
      </c>
    </row>
    <row r="274" spans="2:37" x14ac:dyDescent="0.35">
      <c r="B274" s="55" t="s">
        <v>117</v>
      </c>
      <c r="C274" s="53" t="s">
        <v>234</v>
      </c>
      <c r="D274" s="53" t="s">
        <v>31</v>
      </c>
      <c r="E274" s="53" t="s">
        <v>123</v>
      </c>
      <c r="F274" s="73">
        <f t="shared" si="23"/>
        <v>4.2549435774956831E-2</v>
      </c>
      <c r="G274" s="60">
        <f t="shared" si="23"/>
        <v>5.1221332147459227E-2</v>
      </c>
      <c r="H274" s="60">
        <f t="shared" si="23"/>
        <v>5.4968801339431939E-2</v>
      </c>
      <c r="I274" s="60">
        <f t="shared" si="23"/>
        <v>5.8005126170949092E-2</v>
      </c>
      <c r="J274" s="63">
        <f t="shared" si="23"/>
        <v>6.0698652917305002E-2</v>
      </c>
      <c r="K274" s="60" t="str">
        <f t="shared" si="24"/>
        <v/>
      </c>
      <c r="L274" s="60">
        <f t="shared" si="24"/>
        <v>8.0997106474592264E-3</v>
      </c>
      <c r="M274" s="60">
        <f t="shared" si="24"/>
        <v>1.1826894339431935E-2</v>
      </c>
      <c r="N274" s="60">
        <f t="shared" si="24"/>
        <v>1.4128794670949093E-2</v>
      </c>
      <c r="O274" s="63">
        <f t="shared" si="24"/>
        <v>1.5434476517305005E-2</v>
      </c>
      <c r="P274" s="55" t="s">
        <v>21</v>
      </c>
      <c r="Q274" s="53" t="s">
        <v>21</v>
      </c>
      <c r="R274" s="94" t="s">
        <v>21</v>
      </c>
      <c r="S274" s="71">
        <v>0</v>
      </c>
      <c r="T274" s="63">
        <f t="shared" si="20"/>
        <v>5.4968801339431939E-2</v>
      </c>
      <c r="V274" s="114">
        <v>1.1356807</v>
      </c>
      <c r="W274" s="72">
        <v>2.8667247900000001</v>
      </c>
      <c r="X274" s="72">
        <v>4.3838548900000003</v>
      </c>
      <c r="Y274" s="72">
        <v>5.6694667999999995</v>
      </c>
      <c r="Z274" s="115">
        <v>7.2537368899999999</v>
      </c>
      <c r="AB274" s="71">
        <v>4.2549435774956831E-2</v>
      </c>
      <c r="AC274" s="71">
        <v>5.1221332147459227E-2</v>
      </c>
      <c r="AD274" s="71">
        <v>5.4968801339431939E-2</v>
      </c>
      <c r="AE274" s="71">
        <v>5.8005126170949092E-2</v>
      </c>
      <c r="AF274" s="63">
        <v>6.0698652917305002E-2</v>
      </c>
      <c r="AG274" s="71" t="s">
        <v>21</v>
      </c>
      <c r="AH274" s="71">
        <v>8.0997106474592264E-3</v>
      </c>
      <c r="AI274" s="71">
        <v>1.1826894339431935E-2</v>
      </c>
      <c r="AJ274" s="71">
        <v>1.4128794670949093E-2</v>
      </c>
      <c r="AK274" s="63">
        <v>1.5434476517305005E-2</v>
      </c>
    </row>
    <row r="275" spans="2:37" x14ac:dyDescent="0.35">
      <c r="B275" s="55" t="s">
        <v>139</v>
      </c>
      <c r="C275" s="53" t="s">
        <v>234</v>
      </c>
      <c r="D275" s="53" t="s">
        <v>140</v>
      </c>
      <c r="E275" s="53" t="s">
        <v>161</v>
      </c>
      <c r="F275" s="73">
        <f t="shared" si="23"/>
        <v>4.3640888782900317E-2</v>
      </c>
      <c r="G275" s="60">
        <f t="shared" si="23"/>
        <v>4.9461112980730811E-2</v>
      </c>
      <c r="H275" s="60">
        <f t="shared" si="23"/>
        <v>5.3953665460401957E-2</v>
      </c>
      <c r="I275" s="60">
        <f t="shared" si="23"/>
        <v>5.7420877672443776E-2</v>
      </c>
      <c r="J275" s="63">
        <f t="shared" si="23"/>
        <v>6.1658239093767657E-2</v>
      </c>
      <c r="K275" s="60">
        <f t="shared" si="24"/>
        <v>2.8104118290032259E-4</v>
      </c>
      <c r="L275" s="60">
        <f t="shared" si="24"/>
        <v>6.4417985807308101E-3</v>
      </c>
      <c r="M275" s="60">
        <f t="shared" si="24"/>
        <v>1.0873355360401959E-2</v>
      </c>
      <c r="N275" s="60">
        <f t="shared" si="24"/>
        <v>1.3583771772443777E-2</v>
      </c>
      <c r="O275" s="63">
        <f t="shared" si="24"/>
        <v>1.6349114393767669E-2</v>
      </c>
      <c r="P275" s="55" t="s">
        <v>21</v>
      </c>
      <c r="Q275" s="53" t="s">
        <v>21</v>
      </c>
      <c r="R275" s="94" t="s">
        <v>21</v>
      </c>
      <c r="S275" s="71">
        <v>0</v>
      </c>
      <c r="T275" s="63">
        <f t="shared" si="20"/>
        <v>5.3953665460401957E-2</v>
      </c>
      <c r="V275" s="114">
        <v>1.13355144</v>
      </c>
      <c r="W275" s="72">
        <v>2.8733273600000002</v>
      </c>
      <c r="X275" s="72">
        <v>4.4017352900000004</v>
      </c>
      <c r="Y275" s="72">
        <v>5.6962113800000003</v>
      </c>
      <c r="Z275" s="115">
        <v>7.2595711699999992</v>
      </c>
      <c r="AA275" s="137"/>
      <c r="AB275" s="71">
        <v>4.3640888782900317E-2</v>
      </c>
      <c r="AC275" s="71">
        <v>4.9461112980730811E-2</v>
      </c>
      <c r="AD275" s="71">
        <v>5.3953665460401957E-2</v>
      </c>
      <c r="AE275" s="71">
        <v>5.7420877672443776E-2</v>
      </c>
      <c r="AF275" s="63">
        <v>6.1658239093767657E-2</v>
      </c>
      <c r="AG275" s="71">
        <v>2.8104118290032259E-4</v>
      </c>
      <c r="AH275" s="71">
        <v>6.4417985807308101E-3</v>
      </c>
      <c r="AI275" s="71">
        <v>1.0873355360401959E-2</v>
      </c>
      <c r="AJ275" s="71">
        <v>1.3583771772443777E-2</v>
      </c>
      <c r="AK275" s="63">
        <v>1.6349114393767669E-2</v>
      </c>
    </row>
    <row r="276" spans="2:37" x14ac:dyDescent="0.35">
      <c r="B276" s="57" t="s">
        <v>171</v>
      </c>
      <c r="C276" s="67" t="s">
        <v>234</v>
      </c>
      <c r="D276" s="67" t="s">
        <v>69</v>
      </c>
      <c r="E276" s="67" t="s">
        <v>110</v>
      </c>
      <c r="F276" s="74">
        <f t="shared" ref="F276:J276" si="25">IF(ISNUMBER(AB276),AB276-((C$4-C$3)/V276),"")</f>
        <v>4.2112598555399693E-2</v>
      </c>
      <c r="G276" s="76">
        <f t="shared" si="25"/>
        <v>4.8228183600945981E-2</v>
      </c>
      <c r="H276" s="76">
        <f t="shared" si="25"/>
        <v>5.2950665988110185E-2</v>
      </c>
      <c r="I276" s="76">
        <f t="shared" si="25"/>
        <v>5.5543877079683487E-2</v>
      </c>
      <c r="J276" s="64">
        <f t="shared" si="25"/>
        <v>5.9325473606425358E-2</v>
      </c>
      <c r="K276" s="76" t="str">
        <f t="shared" ref="K276:O276" si="26">IF(ISNUMBER(AG276),IF(AG276-((C$4-C$3)/V276)&lt;0,"",AG276-((C$4-C$3)/V276)),"")</f>
        <v/>
      </c>
      <c r="L276" s="76">
        <f t="shared" si="26"/>
        <v>5.2694989009459871E-3</v>
      </c>
      <c r="M276" s="76">
        <f t="shared" si="26"/>
        <v>9.9215130881101857E-3</v>
      </c>
      <c r="N276" s="76">
        <f t="shared" si="26"/>
        <v>1.1806448879683483E-2</v>
      </c>
      <c r="O276" s="64">
        <f t="shared" si="26"/>
        <v>1.4131857506425358E-2</v>
      </c>
      <c r="P276" s="57" t="s">
        <v>21</v>
      </c>
      <c r="Q276" s="67" t="s">
        <v>21</v>
      </c>
      <c r="R276" s="96" t="s">
        <v>21</v>
      </c>
      <c r="S276" s="76">
        <v>0</v>
      </c>
      <c r="T276" s="64">
        <f t="shared" si="20"/>
        <v>5.2950665988110185E-2</v>
      </c>
      <c r="V276" s="116">
        <v>1.13651111</v>
      </c>
      <c r="W276" s="108">
        <v>2.8859753500000003</v>
      </c>
      <c r="X276" s="108">
        <v>4.4259066300000001</v>
      </c>
      <c r="Y276" s="108">
        <v>5.7451486799999998</v>
      </c>
      <c r="Z276" s="117">
        <v>7.3638945900000001</v>
      </c>
      <c r="AA276" s="67"/>
      <c r="AB276" s="76">
        <v>4.2112598555399693E-2</v>
      </c>
      <c r="AC276" s="76">
        <v>4.8228183600945981E-2</v>
      </c>
      <c r="AD276" s="76">
        <v>5.2950665988110185E-2</v>
      </c>
      <c r="AE276" s="76">
        <v>5.5543877079683487E-2</v>
      </c>
      <c r="AF276" s="64">
        <v>5.9325473606425358E-2</v>
      </c>
      <c r="AG276" s="76" t="s">
        <v>21</v>
      </c>
      <c r="AH276" s="76">
        <v>5.2694989009459871E-3</v>
      </c>
      <c r="AI276" s="76">
        <v>9.9215130881101857E-3</v>
      </c>
      <c r="AJ276" s="76">
        <v>1.1806448879683483E-2</v>
      </c>
      <c r="AK276" s="64">
        <v>1.4131857506425358E-2</v>
      </c>
    </row>
    <row r="277" spans="2:37" x14ac:dyDescent="0.35">
      <c r="P277" s="128"/>
      <c r="Q277" s="128"/>
      <c r="R277" s="44"/>
      <c r="S277" s="128"/>
      <c r="V277" s="72"/>
      <c r="W277" s="72"/>
      <c r="X277" s="72"/>
      <c r="Y277" s="72"/>
      <c r="Z277" s="72"/>
    </row>
    <row r="278" spans="2:37" ht="15.5" x14ac:dyDescent="0.35">
      <c r="B278" s="122" t="s">
        <v>179</v>
      </c>
      <c r="R278" s="94"/>
      <c r="S278" s="71"/>
      <c r="T278" s="71"/>
      <c r="V278" s="72"/>
      <c r="W278" s="72"/>
      <c r="X278" s="72"/>
      <c r="Y278" s="72"/>
      <c r="Z278" s="72"/>
    </row>
    <row r="279" spans="2:37" x14ac:dyDescent="0.35">
      <c r="B279" s="85" t="s">
        <v>5</v>
      </c>
      <c r="C279" s="84" t="s">
        <v>6</v>
      </c>
      <c r="D279" s="84" t="s">
        <v>7</v>
      </c>
      <c r="E279" s="84" t="s">
        <v>8</v>
      </c>
      <c r="F279" s="83" t="s">
        <v>9</v>
      </c>
      <c r="G279" s="82" t="s">
        <v>10</v>
      </c>
      <c r="H279" s="82" t="s">
        <v>11</v>
      </c>
      <c r="I279" s="82" t="s">
        <v>12</v>
      </c>
      <c r="J279" s="81" t="s">
        <v>13</v>
      </c>
      <c r="K279" s="83" t="s">
        <v>9</v>
      </c>
      <c r="L279" s="82" t="s">
        <v>10</v>
      </c>
      <c r="M279" s="82" t="s">
        <v>11</v>
      </c>
      <c r="N279" s="82" t="s">
        <v>12</v>
      </c>
      <c r="O279" s="81" t="s">
        <v>13</v>
      </c>
      <c r="P279" s="70" t="s">
        <v>14</v>
      </c>
      <c r="Q279" s="58" t="s">
        <v>15</v>
      </c>
      <c r="R279" s="58" t="s">
        <v>16</v>
      </c>
      <c r="S279" s="58" t="s">
        <v>407</v>
      </c>
      <c r="T279" s="58" t="s">
        <v>18</v>
      </c>
      <c r="V279" s="110" t="s">
        <v>9</v>
      </c>
      <c r="W279" s="106" t="s">
        <v>10</v>
      </c>
      <c r="X279" s="106" t="s">
        <v>11</v>
      </c>
      <c r="Y279" s="106" t="s">
        <v>12</v>
      </c>
      <c r="Z279" s="111" t="s">
        <v>13</v>
      </c>
      <c r="AB279" s="83" t="s">
        <v>9</v>
      </c>
      <c r="AC279" s="82" t="s">
        <v>10</v>
      </c>
      <c r="AD279" s="82" t="s">
        <v>11</v>
      </c>
      <c r="AE279" s="82" t="s">
        <v>12</v>
      </c>
      <c r="AF279" s="81" t="s">
        <v>13</v>
      </c>
      <c r="AG279" s="58" t="s">
        <v>9</v>
      </c>
      <c r="AH279" s="58" t="s">
        <v>10</v>
      </c>
      <c r="AI279" s="58" t="s">
        <v>11</v>
      </c>
      <c r="AJ279" s="58" t="s">
        <v>12</v>
      </c>
      <c r="AK279" s="58" t="s">
        <v>13</v>
      </c>
    </row>
    <row r="280" spans="2:37" x14ac:dyDescent="0.35">
      <c r="B280" s="56" t="s">
        <v>180</v>
      </c>
      <c r="C280" s="53" t="s">
        <v>234</v>
      </c>
      <c r="D280" s="66" t="s">
        <v>47</v>
      </c>
      <c r="E280" s="66" t="s">
        <v>577</v>
      </c>
      <c r="F280" s="73" t="str">
        <f>IF(ISNUMBER(AB280),AB280-((C$4-C$3)/V280),"")</f>
        <v/>
      </c>
      <c r="G280" s="60">
        <f>IF(ISNUMBER(AC280),AC280-((D$4-D$3)/W280),"")</f>
        <v>4.881128561425755E-2</v>
      </c>
      <c r="H280" s="60">
        <f>IF(ISNUMBER(AD280),AD280-((E$4-E$3)/X280),"")</f>
        <v>5.2694882357256945E-2</v>
      </c>
      <c r="I280" s="60">
        <f>IF(ISNUMBER(AE280),AE280-((F$4-F$3)/Y280),"")</f>
        <v>5.5987960230327594E-2</v>
      </c>
      <c r="J280" s="63">
        <f>IF(ISNUMBER(AF280),AF280-((G$4-G$3)/Z280),"")</f>
        <v>5.9521071211713558E-2</v>
      </c>
      <c r="K280" s="60" t="str">
        <f>IF(ISNUMBER(AG280),IF(AG280-((C$4-C$3)/V280)&lt;0,"",AG280-((C$4-C$3)/V280)),"")</f>
        <v/>
      </c>
      <c r="L280" s="60">
        <f>IF(ISNUMBER(AH280),IF(AH280-((D$4-D$3)/W280)&lt;0,"",AH280-((D$4-D$3)/W280)),"")</f>
        <v>5.884384214257553E-3</v>
      </c>
      <c r="M280" s="60">
        <f>IF(ISNUMBER(AI280),IF(AI280-((E$4-E$3)/X280)&lt;0,"",AI280-((E$4-E$3)/X280)),"")</f>
        <v>9.7242315572569488E-3</v>
      </c>
      <c r="N280" s="60">
        <f>IF(ISNUMBER(AJ280),IF(AJ280-((F$4-F$3)/Y280)&lt;0,"",AJ280-((F$4-F$3)/Y280)),"")</f>
        <v>1.2308844430327596E-2</v>
      </c>
      <c r="O280" s="63">
        <f>IF(ISNUMBER(AK280),IF(AK280-((G$4-G$3)/Z280)&lt;0,"",AK280-((G$4-G$3)/Z280)),"")</f>
        <v>1.4411667911713579E-2</v>
      </c>
      <c r="P280" s="56" t="s">
        <v>578</v>
      </c>
      <c r="Q280" s="66" t="s">
        <v>579</v>
      </c>
      <c r="R280" s="100" t="s">
        <v>32</v>
      </c>
      <c r="S280" s="80">
        <v>4.8578729999999994E-2</v>
      </c>
      <c r="T280" s="63">
        <f t="shared" ref="T280:T286" si="27">IF(S280="","",H280-S280)</f>
        <v>4.1161523572569511E-3</v>
      </c>
      <c r="V280" s="114">
        <v>1.1371769199999999</v>
      </c>
      <c r="W280" s="72">
        <v>2.89113563</v>
      </c>
      <c r="X280" s="72">
        <v>4.44339</v>
      </c>
      <c r="Y280" s="72">
        <v>5.7795436499999999</v>
      </c>
      <c r="Z280" s="115">
        <v>7.4401842900000004</v>
      </c>
      <c r="AB280" s="80" t="s">
        <v>21</v>
      </c>
      <c r="AC280" s="80">
        <v>4.881128561425755E-2</v>
      </c>
      <c r="AD280" s="80">
        <v>5.2694882357256945E-2</v>
      </c>
      <c r="AE280" s="80">
        <v>5.5987960230327594E-2</v>
      </c>
      <c r="AF280" s="62">
        <v>5.9521071211713558E-2</v>
      </c>
      <c r="AG280" s="80" t="s">
        <v>21</v>
      </c>
      <c r="AH280" s="80">
        <v>5.884384214257553E-3</v>
      </c>
      <c r="AI280" s="80">
        <v>9.7242315572569488E-3</v>
      </c>
      <c r="AJ280" s="80">
        <v>1.2308844430327596E-2</v>
      </c>
      <c r="AK280" s="80">
        <v>1.4411667911713579E-2</v>
      </c>
    </row>
    <row r="281" spans="2:37" x14ac:dyDescent="0.35">
      <c r="B281" s="55" t="s">
        <v>271</v>
      </c>
      <c r="C281" s="53" t="s">
        <v>234</v>
      </c>
      <c r="D281" s="53" t="s">
        <v>20</v>
      </c>
      <c r="E281" s="53" t="s">
        <v>580</v>
      </c>
      <c r="F281" s="73" t="str">
        <f t="shared" ref="F281:J286" si="28">IF(ISNUMBER(AB281),AB281-((C$4-C$3)/V281),"")</f>
        <v/>
      </c>
      <c r="G281" s="60">
        <f t="shared" si="28"/>
        <v>4.9938175183125579E-2</v>
      </c>
      <c r="H281" s="60">
        <f t="shared" si="28"/>
        <v>5.2649398037018638E-2</v>
      </c>
      <c r="I281" s="60">
        <f t="shared" si="28"/>
        <v>5.5073053940533585E-2</v>
      </c>
      <c r="J281" s="63">
        <f t="shared" si="28"/>
        <v>5.7142609552546082E-2</v>
      </c>
      <c r="K281" s="60" t="str">
        <f t="shared" ref="K281:O286" si="29">IF(ISNUMBER(AG281),IF(AG281-((C$4-C$3)/V281)&lt;0,"",AG281-((C$4-C$3)/V281)),"")</f>
        <v/>
      </c>
      <c r="L281" s="60">
        <f t="shared" si="29"/>
        <v>6.9588749831255873E-3</v>
      </c>
      <c r="M281" s="60">
        <f t="shared" si="29"/>
        <v>9.6836865370186383E-3</v>
      </c>
      <c r="N281" s="60">
        <f t="shared" si="29"/>
        <v>1.1437186340533589E-2</v>
      </c>
      <c r="O281" s="63">
        <f t="shared" si="29"/>
        <v>1.2125776652546084E-2</v>
      </c>
      <c r="P281" s="55" t="s">
        <v>581</v>
      </c>
      <c r="Q281" s="53" t="s">
        <v>582</v>
      </c>
      <c r="R281" s="94" t="s">
        <v>32</v>
      </c>
      <c r="S281" s="71">
        <v>4.5471890000000001E-2</v>
      </c>
      <c r="T281" s="63">
        <f t="shared" si="27"/>
        <v>7.1775080370186373E-3</v>
      </c>
      <c r="V281" s="114">
        <v>1.1356549900000001</v>
      </c>
      <c r="W281" s="72">
        <v>2.8809348200000002</v>
      </c>
      <c r="X281" s="72">
        <v>4.4320552399999995</v>
      </c>
      <c r="Y281" s="72">
        <v>5.7814899300000002</v>
      </c>
      <c r="Z281" s="115">
        <v>7.4990320099999996</v>
      </c>
      <c r="AB281" s="71" t="s">
        <v>21</v>
      </c>
      <c r="AC281" s="71">
        <v>4.9938175183125579E-2</v>
      </c>
      <c r="AD281" s="71">
        <v>5.2649398037018638E-2</v>
      </c>
      <c r="AE281" s="71">
        <v>5.5073053940533585E-2</v>
      </c>
      <c r="AF281" s="63">
        <v>5.7142609552546082E-2</v>
      </c>
      <c r="AG281" s="71" t="s">
        <v>21</v>
      </c>
      <c r="AH281" s="71">
        <v>6.9588749831255873E-3</v>
      </c>
      <c r="AI281" s="71">
        <v>9.6836865370186383E-3</v>
      </c>
      <c r="AJ281" s="71">
        <v>1.1437186340533589E-2</v>
      </c>
      <c r="AK281" s="71">
        <v>1.2125776652546084E-2</v>
      </c>
    </row>
    <row r="282" spans="2:37" x14ac:dyDescent="0.35">
      <c r="B282" s="55" t="s">
        <v>182</v>
      </c>
      <c r="C282" s="53" t="s">
        <v>234</v>
      </c>
      <c r="D282" s="53" t="s">
        <v>69</v>
      </c>
      <c r="E282" s="53" t="s">
        <v>272</v>
      </c>
      <c r="F282" s="73" t="str">
        <f t="shared" si="28"/>
        <v/>
      </c>
      <c r="G282" s="60">
        <f t="shared" si="28"/>
        <v>4.7387332632767058E-2</v>
      </c>
      <c r="H282" s="60">
        <f t="shared" si="28"/>
        <v>5.0350681081514879E-2</v>
      </c>
      <c r="I282" s="60">
        <f t="shared" si="28"/>
        <v>5.2890822413896844E-2</v>
      </c>
      <c r="J282" s="63">
        <f t="shared" si="28"/>
        <v>5.5533596683288181E-2</v>
      </c>
      <c r="K282" s="60" t="str">
        <f t="shared" si="29"/>
        <v/>
      </c>
      <c r="L282" s="60">
        <f t="shared" si="29"/>
        <v>4.5332341327670592E-3</v>
      </c>
      <c r="M282" s="60">
        <f t="shared" si="29"/>
        <v>7.4956447815148824E-3</v>
      </c>
      <c r="N282" s="60">
        <f t="shared" si="29"/>
        <v>9.3540403138968574E-3</v>
      </c>
      <c r="O282" s="63">
        <f t="shared" si="29"/>
        <v>1.0581355583288179E-2</v>
      </c>
      <c r="P282" s="55" t="s">
        <v>583</v>
      </c>
      <c r="Q282" s="53" t="s">
        <v>584</v>
      </c>
      <c r="R282" s="94" t="s">
        <v>32</v>
      </c>
      <c r="S282" s="71">
        <v>4.4896269999999995E-2</v>
      </c>
      <c r="T282" s="63">
        <f t="shared" si="27"/>
        <v>5.4544110815148844E-3</v>
      </c>
      <c r="V282" s="114">
        <v>1.1383122699999999</v>
      </c>
      <c r="W282" s="72">
        <v>2.9015961100000003</v>
      </c>
      <c r="X282" s="72">
        <v>4.4786595800000004</v>
      </c>
      <c r="Y282" s="72">
        <v>5.85712454</v>
      </c>
      <c r="Z282" s="115">
        <v>7.6109551799999995</v>
      </c>
      <c r="AB282" s="71" t="s">
        <v>21</v>
      </c>
      <c r="AC282" s="71">
        <v>4.7387332632767058E-2</v>
      </c>
      <c r="AD282" s="71">
        <v>5.0350681081514879E-2</v>
      </c>
      <c r="AE282" s="71">
        <v>5.2890822413896844E-2</v>
      </c>
      <c r="AF282" s="63">
        <v>5.5533596683288181E-2</v>
      </c>
      <c r="AG282" s="71" t="s">
        <v>21</v>
      </c>
      <c r="AH282" s="71">
        <v>4.5332341327670592E-3</v>
      </c>
      <c r="AI282" s="71">
        <v>7.4956447815148824E-3</v>
      </c>
      <c r="AJ282" s="71">
        <v>9.3540403138968574E-3</v>
      </c>
      <c r="AK282" s="71">
        <v>1.0581355583288179E-2</v>
      </c>
    </row>
    <row r="283" spans="2:37" x14ac:dyDescent="0.35">
      <c r="B283" s="55" t="s">
        <v>183</v>
      </c>
      <c r="C283" s="53" t="s">
        <v>234</v>
      </c>
      <c r="D283" s="53" t="s">
        <v>184</v>
      </c>
      <c r="E283" s="53" t="s">
        <v>323</v>
      </c>
      <c r="F283" s="73" t="str">
        <f t="shared" si="28"/>
        <v/>
      </c>
      <c r="G283" s="60">
        <f t="shared" si="28"/>
        <v>4.8439849636007615E-2</v>
      </c>
      <c r="H283" s="60">
        <f t="shared" si="28"/>
        <v>5.2078165757297255E-2</v>
      </c>
      <c r="I283" s="60">
        <f t="shared" si="28"/>
        <v>5.5838785918635857E-2</v>
      </c>
      <c r="J283" s="63">
        <f t="shared" si="28"/>
        <v>5.9947645456146892E-2</v>
      </c>
      <c r="K283" s="60" t="str">
        <f t="shared" si="29"/>
        <v/>
      </c>
      <c r="L283" s="60">
        <f t="shared" si="29"/>
        <v>5.5330432360076219E-3</v>
      </c>
      <c r="M283" s="60">
        <f t="shared" si="29"/>
        <v>9.1392117572972574E-3</v>
      </c>
      <c r="N283" s="60">
        <f t="shared" si="29"/>
        <v>1.2167777618635859E-2</v>
      </c>
      <c r="O283" s="63">
        <f t="shared" si="29"/>
        <v>1.4822458056146903E-2</v>
      </c>
      <c r="P283" s="55" t="s">
        <v>585</v>
      </c>
      <c r="Q283" s="53" t="s">
        <v>586</v>
      </c>
      <c r="R283" s="94" t="s">
        <v>32</v>
      </c>
      <c r="S283" s="71">
        <v>5.187336E-2</v>
      </c>
      <c r="T283" s="63">
        <f t="shared" si="27"/>
        <v>2.0480575729725503E-4</v>
      </c>
      <c r="V283" s="114">
        <v>1.13826983</v>
      </c>
      <c r="W283" s="72">
        <v>2.8952116600000002</v>
      </c>
      <c r="X283" s="72">
        <v>4.4537879299999998</v>
      </c>
      <c r="Y283" s="72">
        <v>5.7924312899999997</v>
      </c>
      <c r="Z283" s="115">
        <v>7.4424611200000008</v>
      </c>
      <c r="AB283" s="71" t="s">
        <v>21</v>
      </c>
      <c r="AC283" s="71">
        <v>4.8439849636007615E-2</v>
      </c>
      <c r="AD283" s="71">
        <v>5.2078165757297255E-2</v>
      </c>
      <c r="AE283" s="71">
        <v>5.5838785918635857E-2</v>
      </c>
      <c r="AF283" s="63">
        <v>5.9947645456146892E-2</v>
      </c>
      <c r="AG283" s="71" t="s">
        <v>21</v>
      </c>
      <c r="AH283" s="71">
        <v>5.5330432360076219E-3</v>
      </c>
      <c r="AI283" s="71">
        <v>9.1392117572972574E-3</v>
      </c>
      <c r="AJ283" s="71">
        <v>1.2167777618635859E-2</v>
      </c>
      <c r="AK283" s="71">
        <v>1.4822458056146903E-2</v>
      </c>
    </row>
    <row r="284" spans="2:37" x14ac:dyDescent="0.35">
      <c r="B284" s="55" t="s">
        <v>185</v>
      </c>
      <c r="C284" s="53" t="s">
        <v>234</v>
      </c>
      <c r="D284" s="53" t="s">
        <v>53</v>
      </c>
      <c r="E284" s="53" t="s">
        <v>181</v>
      </c>
      <c r="F284" s="73" t="str">
        <f t="shared" si="28"/>
        <v/>
      </c>
      <c r="G284" s="60">
        <f t="shared" si="28"/>
        <v>4.7399732660741274E-2</v>
      </c>
      <c r="H284" s="60">
        <f t="shared" si="28"/>
        <v>5.0352068528294006E-2</v>
      </c>
      <c r="I284" s="60">
        <f t="shared" si="28"/>
        <v>5.3107943767808169E-2</v>
      </c>
      <c r="J284" s="63">
        <f t="shared" si="28"/>
        <v>5.5865817453270891E-2</v>
      </c>
      <c r="K284" s="60" t="str">
        <f t="shared" si="29"/>
        <v/>
      </c>
      <c r="L284" s="60">
        <f t="shared" si="29"/>
        <v>4.5438298607412796E-3</v>
      </c>
      <c r="M284" s="60">
        <f t="shared" si="29"/>
        <v>7.4961252282940089E-3</v>
      </c>
      <c r="N284" s="60">
        <f t="shared" si="29"/>
        <v>9.561118167808174E-3</v>
      </c>
      <c r="O284" s="63">
        <f t="shared" si="29"/>
        <v>1.0901774453270889E-2</v>
      </c>
      <c r="P284" s="55" t="s">
        <v>587</v>
      </c>
      <c r="Q284" s="53" t="s">
        <v>588</v>
      </c>
      <c r="R284" s="94" t="s">
        <v>32</v>
      </c>
      <c r="S284" s="71">
        <v>4.5850809999999999E-2</v>
      </c>
      <c r="T284" s="63">
        <f t="shared" si="27"/>
        <v>4.5012585282940068E-3</v>
      </c>
      <c r="V284" s="114">
        <v>1.1386931200000001</v>
      </c>
      <c r="W284" s="72">
        <v>2.9021787100000003</v>
      </c>
      <c r="X284" s="72">
        <v>4.4791521899999998</v>
      </c>
      <c r="Y284" s="72">
        <v>5.8548038800000004</v>
      </c>
      <c r="Z284" s="115">
        <v>7.6001849899999998</v>
      </c>
      <c r="AB284" s="71" t="s">
        <v>21</v>
      </c>
      <c r="AC284" s="71">
        <v>4.7399732660741274E-2</v>
      </c>
      <c r="AD284" s="71">
        <v>5.0352068528294006E-2</v>
      </c>
      <c r="AE284" s="71">
        <v>5.3107943767808169E-2</v>
      </c>
      <c r="AF284" s="63">
        <v>5.5865817453270891E-2</v>
      </c>
      <c r="AG284" s="71" t="s">
        <v>21</v>
      </c>
      <c r="AH284" s="71">
        <v>4.5438298607412796E-3</v>
      </c>
      <c r="AI284" s="71">
        <v>7.4961252282940089E-3</v>
      </c>
      <c r="AJ284" s="71">
        <v>9.561118167808174E-3</v>
      </c>
      <c r="AK284" s="71">
        <v>1.0901774453270889E-2</v>
      </c>
    </row>
    <row r="285" spans="2:37" x14ac:dyDescent="0.35">
      <c r="B285" s="55" t="s">
        <v>186</v>
      </c>
      <c r="C285" s="53" t="s">
        <v>234</v>
      </c>
      <c r="D285" s="53" t="s">
        <v>31</v>
      </c>
      <c r="E285" s="53" t="s">
        <v>589</v>
      </c>
      <c r="F285" s="73" t="str">
        <f t="shared" si="28"/>
        <v/>
      </c>
      <c r="G285" s="60">
        <f t="shared" si="28"/>
        <v>4.8300707402688541E-2</v>
      </c>
      <c r="H285" s="60">
        <f t="shared" si="28"/>
        <v>5.1875001065482672E-2</v>
      </c>
      <c r="I285" s="60">
        <f t="shared" si="28"/>
        <v>5.4957452048074971E-2</v>
      </c>
      <c r="J285" s="63">
        <f t="shared" si="28"/>
        <v>5.8201839989664078E-2</v>
      </c>
      <c r="K285" s="60" t="str">
        <f t="shared" si="29"/>
        <v/>
      </c>
      <c r="L285" s="60">
        <f t="shared" si="29"/>
        <v>5.4010495026885407E-3</v>
      </c>
      <c r="M285" s="60">
        <f t="shared" si="29"/>
        <v>8.9462424654826768E-3</v>
      </c>
      <c r="N285" s="60">
        <f t="shared" si="29"/>
        <v>1.1327730848074976E-2</v>
      </c>
      <c r="O285" s="63">
        <f t="shared" si="29"/>
        <v>1.3147649989664081E-2</v>
      </c>
      <c r="P285" s="55" t="s">
        <v>590</v>
      </c>
      <c r="Q285" s="53" t="s">
        <v>591</v>
      </c>
      <c r="R285" s="94" t="s">
        <v>32</v>
      </c>
      <c r="S285" s="71">
        <v>4.723024E-2</v>
      </c>
      <c r="T285" s="63">
        <f t="shared" si="27"/>
        <v>4.6447610654826721E-3</v>
      </c>
      <c r="V285" s="114">
        <v>1.1377592000000001</v>
      </c>
      <c r="W285" s="72">
        <v>2.8951696499999997</v>
      </c>
      <c r="X285" s="72">
        <v>4.4560301099999995</v>
      </c>
      <c r="Y285" s="72">
        <v>5.8061307200000005</v>
      </c>
      <c r="Z285" s="115">
        <v>7.4969219100000002</v>
      </c>
      <c r="AB285" s="71" t="s">
        <v>21</v>
      </c>
      <c r="AC285" s="71">
        <v>4.8300707402688541E-2</v>
      </c>
      <c r="AD285" s="71">
        <v>5.1875001065482672E-2</v>
      </c>
      <c r="AE285" s="71">
        <v>5.4957452048074971E-2</v>
      </c>
      <c r="AF285" s="63">
        <v>5.8201839989664078E-2</v>
      </c>
      <c r="AG285" s="71" t="s">
        <v>21</v>
      </c>
      <c r="AH285" s="71">
        <v>5.4010495026885407E-3</v>
      </c>
      <c r="AI285" s="71">
        <v>8.9462424654826768E-3</v>
      </c>
      <c r="AJ285" s="71">
        <v>1.1327730848074976E-2</v>
      </c>
      <c r="AK285" s="71">
        <v>1.3147649989664081E-2</v>
      </c>
    </row>
    <row r="286" spans="2:37" x14ac:dyDescent="0.35">
      <c r="B286" s="57" t="s">
        <v>187</v>
      </c>
      <c r="C286" s="67" t="s">
        <v>234</v>
      </c>
      <c r="D286" s="67" t="s">
        <v>140</v>
      </c>
      <c r="E286" s="67" t="s">
        <v>592</v>
      </c>
      <c r="F286" s="74" t="str">
        <f t="shared" si="28"/>
        <v/>
      </c>
      <c r="G286" s="76">
        <f t="shared" si="28"/>
        <v>4.7331367356358012E-2</v>
      </c>
      <c r="H286" s="76">
        <f t="shared" si="28"/>
        <v>5.0077340078540283E-2</v>
      </c>
      <c r="I286" s="76">
        <f t="shared" si="28"/>
        <v>5.3258080696364909E-2</v>
      </c>
      <c r="J286" s="64">
        <f t="shared" si="28"/>
        <v>5.6077340720456142E-2</v>
      </c>
      <c r="K286" s="76" t="str">
        <f t="shared" si="29"/>
        <v/>
      </c>
      <c r="L286" s="76">
        <f t="shared" si="29"/>
        <v>4.4779878563580124E-3</v>
      </c>
      <c r="M286" s="76">
        <f t="shared" si="29"/>
        <v>7.2336365785402841E-3</v>
      </c>
      <c r="N286" s="76">
        <f t="shared" si="29"/>
        <v>9.7040885963649084E-3</v>
      </c>
      <c r="O286" s="64">
        <f t="shared" si="29"/>
        <v>1.110675892045614E-2</v>
      </c>
      <c r="P286" s="57" t="s">
        <v>593</v>
      </c>
      <c r="Q286" s="67" t="s">
        <v>594</v>
      </c>
      <c r="R286" s="96" t="s">
        <v>32</v>
      </c>
      <c r="S286" s="76">
        <v>4.4501079999999998E-2</v>
      </c>
      <c r="T286" s="64">
        <f t="shared" si="27"/>
        <v>5.5762600785402849E-3</v>
      </c>
      <c r="V286" s="116">
        <v>1.13887856</v>
      </c>
      <c r="W286" s="108">
        <v>2.9029110500000002</v>
      </c>
      <c r="X286" s="108">
        <v>4.4826450499999995</v>
      </c>
      <c r="Y286" s="108">
        <v>5.8568772600000001</v>
      </c>
      <c r="Z286" s="117">
        <v>7.5959619500000004</v>
      </c>
      <c r="AB286" s="76" t="s">
        <v>21</v>
      </c>
      <c r="AC286" s="76">
        <v>4.7331367356358012E-2</v>
      </c>
      <c r="AD286" s="76">
        <v>5.0077340078540283E-2</v>
      </c>
      <c r="AE286" s="76">
        <v>5.3258080696364909E-2</v>
      </c>
      <c r="AF286" s="64">
        <v>5.6077340720456142E-2</v>
      </c>
      <c r="AG286" s="76" t="s">
        <v>21</v>
      </c>
      <c r="AH286" s="76">
        <v>4.4779878563580124E-3</v>
      </c>
      <c r="AI286" s="76">
        <v>7.2336365785402841E-3</v>
      </c>
      <c r="AJ286" s="76">
        <v>9.7040885963649084E-3</v>
      </c>
      <c r="AK286" s="76">
        <v>1.110675892045614E-2</v>
      </c>
    </row>
    <row r="287" spans="2:37" x14ac:dyDescent="0.35">
      <c r="V287" s="72"/>
      <c r="W287" s="72"/>
      <c r="X287" s="72"/>
      <c r="Y287" s="72"/>
      <c r="Z287" s="72"/>
    </row>
    <row r="288" spans="2:37" ht="15.5" x14ac:dyDescent="0.35">
      <c r="B288" s="122" t="s">
        <v>188</v>
      </c>
      <c r="R288" s="94"/>
      <c r="S288" s="71"/>
      <c r="T288" s="71"/>
      <c r="V288" s="72"/>
      <c r="W288" s="72"/>
      <c r="X288" s="72"/>
      <c r="Y288" s="72"/>
      <c r="Z288" s="72"/>
    </row>
    <row r="289" spans="2:37" x14ac:dyDescent="0.35">
      <c r="B289" s="85" t="s">
        <v>5</v>
      </c>
      <c r="C289" s="84" t="s">
        <v>6</v>
      </c>
      <c r="D289" s="84" t="s">
        <v>7</v>
      </c>
      <c r="E289" s="84" t="s">
        <v>8</v>
      </c>
      <c r="F289" s="83" t="s">
        <v>9</v>
      </c>
      <c r="G289" s="82" t="s">
        <v>10</v>
      </c>
      <c r="H289" s="82" t="s">
        <v>11</v>
      </c>
      <c r="I289" s="82" t="s">
        <v>12</v>
      </c>
      <c r="J289" s="81" t="s">
        <v>13</v>
      </c>
      <c r="K289" s="83" t="s">
        <v>9</v>
      </c>
      <c r="L289" s="82" t="s">
        <v>10</v>
      </c>
      <c r="M289" s="82" t="s">
        <v>11</v>
      </c>
      <c r="N289" s="82" t="s">
        <v>12</v>
      </c>
      <c r="O289" s="81" t="s">
        <v>13</v>
      </c>
      <c r="P289" s="70" t="s">
        <v>14</v>
      </c>
      <c r="Q289" s="58" t="s">
        <v>15</v>
      </c>
      <c r="R289" s="58" t="s">
        <v>16</v>
      </c>
      <c r="S289" s="58" t="s">
        <v>407</v>
      </c>
      <c r="T289" s="81" t="s">
        <v>18</v>
      </c>
      <c r="V289" s="110" t="s">
        <v>9</v>
      </c>
      <c r="W289" s="106" t="s">
        <v>10</v>
      </c>
      <c r="X289" s="106" t="s">
        <v>11</v>
      </c>
      <c r="Y289" s="106" t="s">
        <v>12</v>
      </c>
      <c r="Z289" s="111" t="s">
        <v>13</v>
      </c>
      <c r="AB289" s="83" t="s">
        <v>9</v>
      </c>
      <c r="AC289" s="82" t="s">
        <v>10</v>
      </c>
      <c r="AD289" s="82" t="s">
        <v>11</v>
      </c>
      <c r="AE289" s="82" t="s">
        <v>12</v>
      </c>
      <c r="AF289" s="81" t="s">
        <v>13</v>
      </c>
      <c r="AG289" s="58" t="s">
        <v>9</v>
      </c>
      <c r="AH289" s="58" t="s">
        <v>10</v>
      </c>
      <c r="AI289" s="58" t="s">
        <v>11</v>
      </c>
      <c r="AJ289" s="58" t="s">
        <v>12</v>
      </c>
      <c r="AK289" s="58" t="s">
        <v>13</v>
      </c>
    </row>
    <row r="290" spans="2:37" x14ac:dyDescent="0.35">
      <c r="B290" s="57" t="s">
        <v>298</v>
      </c>
      <c r="C290" s="67"/>
      <c r="D290" s="69"/>
      <c r="E290" s="69"/>
      <c r="F290" s="102" t="str">
        <f t="shared" ref="F290:J305" si="30">IF(ISNUMBER(AB290),AB290-((C$4-C$3)/V290),"")</f>
        <v/>
      </c>
      <c r="G290" s="103" t="str">
        <f t="shared" si="30"/>
        <v/>
      </c>
      <c r="H290" s="103">
        <f t="shared" si="30"/>
        <v>6.1630032135158906E-2</v>
      </c>
      <c r="I290" s="103" t="str">
        <f t="shared" si="30"/>
        <v/>
      </c>
      <c r="J290" s="104" t="str">
        <f t="shared" si="30"/>
        <v/>
      </c>
      <c r="K290" s="103" t="str">
        <f t="shared" ref="K290:O305" si="31">IF(ISNUMBER(AG290),IF(AG290-((C$4-C$3)/V290)&lt;0,"",AG290-((C$4-C$3)/V290)),"")</f>
        <v/>
      </c>
      <c r="L290" s="103" t="str">
        <f t="shared" si="31"/>
        <v/>
      </c>
      <c r="M290" s="103">
        <f t="shared" si="31"/>
        <v>1.825585123515892E-2</v>
      </c>
      <c r="N290" s="103" t="str">
        <f t="shared" si="31"/>
        <v/>
      </c>
      <c r="O290" s="104" t="str">
        <f t="shared" si="31"/>
        <v/>
      </c>
      <c r="P290" s="56"/>
      <c r="Q290" s="69"/>
      <c r="R290" s="105"/>
      <c r="S290" s="103"/>
      <c r="T290" s="104"/>
      <c r="V290" s="114">
        <v>1.1190218700000001</v>
      </c>
      <c r="W290" s="72">
        <v>2.8102633699999999</v>
      </c>
      <c r="X290" s="72">
        <v>4.2875331900000004</v>
      </c>
      <c r="Y290" s="72">
        <v>5.5564851399999995</v>
      </c>
      <c r="Z290" s="115">
        <v>7.1472782700000002</v>
      </c>
      <c r="AB290" s="103" t="s">
        <v>21</v>
      </c>
      <c r="AC290" s="103"/>
      <c r="AD290" s="103">
        <v>6.1630032135158906E-2</v>
      </c>
      <c r="AE290" s="103" t="s">
        <v>21</v>
      </c>
      <c r="AF290" s="104" t="s">
        <v>21</v>
      </c>
      <c r="AG290" s="80" t="s">
        <v>21</v>
      </c>
      <c r="AH290" s="80"/>
      <c r="AI290" s="80">
        <v>1.825585123515892E-2</v>
      </c>
      <c r="AJ290" s="80" t="s">
        <v>21</v>
      </c>
      <c r="AK290" s="80" t="s">
        <v>21</v>
      </c>
    </row>
    <row r="291" spans="2:37" x14ac:dyDescent="0.35">
      <c r="B291" s="55" t="s">
        <v>189</v>
      </c>
      <c r="C291" s="53" t="s">
        <v>234</v>
      </c>
      <c r="D291" s="66" t="s">
        <v>190</v>
      </c>
      <c r="E291" s="66" t="s">
        <v>273</v>
      </c>
      <c r="F291" s="75" t="str">
        <f t="shared" si="30"/>
        <v/>
      </c>
      <c r="G291" s="80">
        <f t="shared" si="30"/>
        <v>4.7577253480879392E-2</v>
      </c>
      <c r="H291" s="80">
        <f t="shared" si="30"/>
        <v>5.1536743787660572E-2</v>
      </c>
      <c r="I291" s="80" t="str">
        <f t="shared" si="30"/>
        <v/>
      </c>
      <c r="J291" s="62" t="str">
        <f t="shared" si="30"/>
        <v/>
      </c>
      <c r="K291" s="80" t="str">
        <f t="shared" si="31"/>
        <v/>
      </c>
      <c r="L291" s="80">
        <f t="shared" si="31"/>
        <v>4.7275401808794006E-3</v>
      </c>
      <c r="M291" s="80">
        <f t="shared" si="31"/>
        <v>8.6730171876605727E-3</v>
      </c>
      <c r="N291" s="80" t="str">
        <f t="shared" si="31"/>
        <v/>
      </c>
      <c r="O291" s="62" t="str">
        <f t="shared" si="31"/>
        <v/>
      </c>
      <c r="P291" s="56" t="s">
        <v>21</v>
      </c>
      <c r="Q291" s="66" t="s">
        <v>21</v>
      </c>
      <c r="R291" s="100" t="s">
        <v>21</v>
      </c>
      <c r="S291" s="80">
        <v>0</v>
      </c>
      <c r="T291" s="63">
        <f t="shared" ref="T291:T316" si="32">IF(S291="","",H291-S291)</f>
        <v>5.1536743787660572E-2</v>
      </c>
      <c r="V291" s="114">
        <v>1.1385739500000001</v>
      </c>
      <c r="W291" s="72">
        <v>2.9031912699999998</v>
      </c>
      <c r="X291" s="72">
        <v>4.4803373400000002</v>
      </c>
      <c r="Y291" s="72">
        <v>5.8530916800000004</v>
      </c>
      <c r="Z291" s="115">
        <v>7.5938095600000004</v>
      </c>
      <c r="AB291" s="80" t="s">
        <v>21</v>
      </c>
      <c r="AC291" s="80">
        <v>4.7577253480879392E-2</v>
      </c>
      <c r="AD291" s="80">
        <v>5.1536743787660572E-2</v>
      </c>
      <c r="AE291" s="80" t="s">
        <v>21</v>
      </c>
      <c r="AF291" s="62" t="s">
        <v>21</v>
      </c>
      <c r="AG291" s="80" t="s">
        <v>21</v>
      </c>
      <c r="AH291" s="80">
        <v>4.7275401808794006E-3</v>
      </c>
      <c r="AI291" s="80">
        <v>8.6730171876605727E-3</v>
      </c>
      <c r="AJ291" s="80" t="s">
        <v>21</v>
      </c>
      <c r="AK291" s="80" t="s">
        <v>21</v>
      </c>
    </row>
    <row r="292" spans="2:37" x14ac:dyDescent="0.35">
      <c r="B292" s="55" t="s">
        <v>191</v>
      </c>
      <c r="C292" s="53" t="s">
        <v>234</v>
      </c>
      <c r="D292" s="53" t="s">
        <v>192</v>
      </c>
      <c r="E292" s="53" t="s">
        <v>595</v>
      </c>
      <c r="F292" s="73" t="str">
        <f t="shared" si="30"/>
        <v/>
      </c>
      <c r="G292" s="60">
        <f t="shared" si="30"/>
        <v>5.0592679300115469E-2</v>
      </c>
      <c r="H292" s="60">
        <f t="shared" si="30"/>
        <v>5.5479378265710304E-2</v>
      </c>
      <c r="I292" s="60" t="str">
        <f t="shared" si="30"/>
        <v/>
      </c>
      <c r="J292" s="63" t="str">
        <f t="shared" si="30"/>
        <v/>
      </c>
      <c r="K292" s="60" t="str">
        <f t="shared" si="31"/>
        <v/>
      </c>
      <c r="L292" s="60">
        <f t="shared" si="31"/>
        <v>7.5924260001154582E-3</v>
      </c>
      <c r="M292" s="60">
        <f t="shared" si="31"/>
        <v>1.2420897065710293E-2</v>
      </c>
      <c r="N292" s="60" t="str">
        <f t="shared" si="31"/>
        <v/>
      </c>
      <c r="O292" s="63" t="str">
        <f t="shared" si="31"/>
        <v/>
      </c>
      <c r="P292" s="55" t="s">
        <v>596</v>
      </c>
      <c r="Q292" s="53" t="s">
        <v>597</v>
      </c>
      <c r="R292" s="94" t="s">
        <v>32</v>
      </c>
      <c r="S292" s="71">
        <v>5.3638089999999999E-2</v>
      </c>
      <c r="T292" s="63">
        <f t="shared" si="32"/>
        <v>1.8412882657103044E-3</v>
      </c>
      <c r="V292" s="114">
        <v>1.13402088</v>
      </c>
      <c r="W292" s="72">
        <v>2.8794456199999998</v>
      </c>
      <c r="X292" s="72">
        <v>4.4183047799999997</v>
      </c>
      <c r="Y292" s="72">
        <v>5.7397035899999995</v>
      </c>
      <c r="Z292" s="115">
        <v>7.3811847799999999</v>
      </c>
      <c r="AB292" s="71" t="s">
        <v>21</v>
      </c>
      <c r="AC292" s="71">
        <v>5.0592679300115469E-2</v>
      </c>
      <c r="AD292" s="71">
        <v>5.5479378265710304E-2</v>
      </c>
      <c r="AE292" s="71" t="s">
        <v>21</v>
      </c>
      <c r="AF292" s="63" t="s">
        <v>21</v>
      </c>
      <c r="AG292" s="71" t="s">
        <v>21</v>
      </c>
      <c r="AH292" s="71">
        <v>7.5924260001154582E-3</v>
      </c>
      <c r="AI292" s="71">
        <v>1.2420897065710293E-2</v>
      </c>
      <c r="AJ292" s="71" t="s">
        <v>21</v>
      </c>
      <c r="AK292" s="71" t="s">
        <v>21</v>
      </c>
    </row>
    <row r="293" spans="2:37" x14ac:dyDescent="0.35">
      <c r="B293" s="55" t="s">
        <v>194</v>
      </c>
      <c r="C293" s="53" t="s">
        <v>234</v>
      </c>
      <c r="D293" s="53" t="s">
        <v>195</v>
      </c>
      <c r="E293" s="53" t="s">
        <v>294</v>
      </c>
      <c r="F293" s="73" t="str">
        <f t="shared" si="30"/>
        <v/>
      </c>
      <c r="G293" s="60">
        <f t="shared" si="30"/>
        <v>4.7630525992865401E-2</v>
      </c>
      <c r="H293" s="60">
        <f t="shared" si="30"/>
        <v>5.1577566536105263E-2</v>
      </c>
      <c r="I293" s="60" t="str">
        <f t="shared" si="30"/>
        <v/>
      </c>
      <c r="J293" s="63" t="str">
        <f t="shared" si="30"/>
        <v/>
      </c>
      <c r="K293" s="60" t="str">
        <f t="shared" si="31"/>
        <v/>
      </c>
      <c r="L293" s="60">
        <f t="shared" si="31"/>
        <v>4.7792873928654035E-3</v>
      </c>
      <c r="M293" s="60">
        <f t="shared" si="31"/>
        <v>8.7126172361052662E-3</v>
      </c>
      <c r="N293" s="60" t="str">
        <f t="shared" si="31"/>
        <v/>
      </c>
      <c r="O293" s="63" t="str">
        <f t="shared" si="31"/>
        <v/>
      </c>
      <c r="P293" s="55" t="s">
        <v>598</v>
      </c>
      <c r="Q293" s="53" t="s">
        <v>599</v>
      </c>
      <c r="R293" s="94" t="s">
        <v>32</v>
      </c>
      <c r="S293" s="71">
        <v>5.1434059999999997E-2</v>
      </c>
      <c r="T293" s="63">
        <f t="shared" si="32"/>
        <v>1.4350653610526592E-4</v>
      </c>
      <c r="V293" s="114">
        <v>1.13823381</v>
      </c>
      <c r="W293" s="72">
        <v>2.9023768599999999</v>
      </c>
      <c r="X293" s="72">
        <v>4.4792550599999998</v>
      </c>
      <c r="Y293" s="72">
        <v>5.8529639400000004</v>
      </c>
      <c r="Z293" s="115">
        <v>7.581342789999999</v>
      </c>
      <c r="AB293" s="71" t="s">
        <v>21</v>
      </c>
      <c r="AC293" s="71">
        <v>4.7630525992865401E-2</v>
      </c>
      <c r="AD293" s="71">
        <v>5.1577566536105263E-2</v>
      </c>
      <c r="AE293" s="71" t="s">
        <v>21</v>
      </c>
      <c r="AF293" s="63" t="s">
        <v>21</v>
      </c>
      <c r="AG293" s="71" t="s">
        <v>21</v>
      </c>
      <c r="AH293" s="71">
        <v>4.7792873928654035E-3</v>
      </c>
      <c r="AI293" s="71">
        <v>8.7126172361052662E-3</v>
      </c>
      <c r="AJ293" s="71" t="s">
        <v>21</v>
      </c>
      <c r="AK293" s="71" t="s">
        <v>21</v>
      </c>
    </row>
    <row r="294" spans="2:37" x14ac:dyDescent="0.35">
      <c r="B294" s="55" t="s">
        <v>196</v>
      </c>
      <c r="C294" s="53" t="s">
        <v>234</v>
      </c>
      <c r="D294" s="53" t="s">
        <v>197</v>
      </c>
      <c r="E294" s="53" t="s">
        <v>600</v>
      </c>
      <c r="F294" s="73" t="str">
        <f t="shared" si="30"/>
        <v/>
      </c>
      <c r="G294" s="60">
        <f t="shared" si="30"/>
        <v>5.3865763479710921E-2</v>
      </c>
      <c r="H294" s="60">
        <f t="shared" si="30"/>
        <v>6.2310006944925174E-2</v>
      </c>
      <c r="I294" s="60" t="str">
        <f t="shared" si="30"/>
        <v/>
      </c>
      <c r="J294" s="63" t="str">
        <f t="shared" si="30"/>
        <v/>
      </c>
      <c r="K294" s="60" t="str">
        <f t="shared" si="31"/>
        <v/>
      </c>
      <c r="L294" s="60">
        <f t="shared" si="31"/>
        <v>1.067955387971092E-2</v>
      </c>
      <c r="M294" s="60">
        <f t="shared" si="31"/>
        <v>1.884974614492517E-2</v>
      </c>
      <c r="N294" s="60" t="str">
        <f t="shared" si="31"/>
        <v/>
      </c>
      <c r="O294" s="63" t="str">
        <f t="shared" si="31"/>
        <v/>
      </c>
      <c r="P294" s="55" t="s">
        <v>601</v>
      </c>
      <c r="Q294" s="53" t="s">
        <v>602</v>
      </c>
      <c r="R294" s="94" t="s">
        <v>32</v>
      </c>
      <c r="S294" s="71">
        <v>6.415498E-2</v>
      </c>
      <c r="T294" s="63">
        <f t="shared" si="32"/>
        <v>-1.8449730550748264E-3</v>
      </c>
      <c r="V294" s="114">
        <v>1.1340887500000001</v>
      </c>
      <c r="W294" s="72">
        <v>2.8632220300000002</v>
      </c>
      <c r="X294" s="72">
        <v>4.3366071800000006</v>
      </c>
      <c r="Y294" s="72">
        <v>5.5390188799999995</v>
      </c>
      <c r="Z294" s="115">
        <v>6.9174121699999995</v>
      </c>
      <c r="AB294" s="71" t="s">
        <v>21</v>
      </c>
      <c r="AC294" s="71">
        <v>5.3865763479710921E-2</v>
      </c>
      <c r="AD294" s="71">
        <v>6.2310006944925174E-2</v>
      </c>
      <c r="AE294" s="71" t="s">
        <v>21</v>
      </c>
      <c r="AF294" s="63" t="s">
        <v>21</v>
      </c>
      <c r="AG294" s="71" t="s">
        <v>21</v>
      </c>
      <c r="AH294" s="71">
        <v>1.067955387971092E-2</v>
      </c>
      <c r="AI294" s="71">
        <v>1.884974614492517E-2</v>
      </c>
      <c r="AJ294" s="71" t="s">
        <v>21</v>
      </c>
      <c r="AK294" s="71" t="s">
        <v>21</v>
      </c>
    </row>
    <row r="295" spans="2:37" x14ac:dyDescent="0.35">
      <c r="B295" s="55" t="s">
        <v>198</v>
      </c>
      <c r="C295" s="53" t="s">
        <v>234</v>
      </c>
      <c r="D295" s="53" t="s">
        <v>199</v>
      </c>
      <c r="E295" s="53" t="s">
        <v>55</v>
      </c>
      <c r="F295" s="73" t="str">
        <f t="shared" si="30"/>
        <v/>
      </c>
      <c r="G295" s="60">
        <f t="shared" si="30"/>
        <v>5.3698755143337579E-2</v>
      </c>
      <c r="H295" s="60">
        <f t="shared" si="30"/>
        <v>5.9779591920789035E-2</v>
      </c>
      <c r="I295" s="60" t="str">
        <f t="shared" si="30"/>
        <v/>
      </c>
      <c r="J295" s="63" t="str">
        <f t="shared" si="30"/>
        <v/>
      </c>
      <c r="K295" s="60" t="str">
        <f t="shared" si="31"/>
        <v/>
      </c>
      <c r="L295" s="60">
        <f t="shared" si="31"/>
        <v>1.0545614343337577E-2</v>
      </c>
      <c r="M295" s="60">
        <f t="shared" si="31"/>
        <v>1.649350482078903E-2</v>
      </c>
      <c r="N295" s="60" t="str">
        <f t="shared" si="31"/>
        <v/>
      </c>
      <c r="O295" s="63" t="str">
        <f t="shared" si="31"/>
        <v/>
      </c>
      <c r="P295" s="55" t="s">
        <v>603</v>
      </c>
      <c r="Q295" s="53" t="s">
        <v>604</v>
      </c>
      <c r="R295" s="94">
        <v>47586</v>
      </c>
      <c r="S295" s="71">
        <v>5.7769630000000002E-2</v>
      </c>
      <c r="T295" s="63">
        <f t="shared" si="32"/>
        <v>2.0099619207890329E-3</v>
      </c>
      <c r="V295" s="114">
        <v>1.1319532800000001</v>
      </c>
      <c r="W295" s="72">
        <v>2.85944669</v>
      </c>
      <c r="X295" s="72">
        <v>4.3568055600000006</v>
      </c>
      <c r="Y295" s="72">
        <v>5.6053558400000005</v>
      </c>
      <c r="Z295" s="115">
        <v>7.0895970200000002</v>
      </c>
      <c r="AB295" s="71" t="s">
        <v>21</v>
      </c>
      <c r="AC295" s="71">
        <v>5.3698755143337579E-2</v>
      </c>
      <c r="AD295" s="71">
        <v>5.9779591920789035E-2</v>
      </c>
      <c r="AE295" s="71" t="s">
        <v>21</v>
      </c>
      <c r="AF295" s="63" t="s">
        <v>21</v>
      </c>
      <c r="AG295" s="71" t="s">
        <v>21</v>
      </c>
      <c r="AH295" s="71">
        <v>1.0545614343337577E-2</v>
      </c>
      <c r="AI295" s="71">
        <v>1.649350482078903E-2</v>
      </c>
      <c r="AJ295" s="71" t="s">
        <v>21</v>
      </c>
      <c r="AK295" s="71" t="s">
        <v>21</v>
      </c>
    </row>
    <row r="296" spans="2:37" x14ac:dyDescent="0.35">
      <c r="B296" s="55" t="s">
        <v>200</v>
      </c>
      <c r="C296" s="53" t="s">
        <v>234</v>
      </c>
      <c r="D296" s="53" t="s">
        <v>201</v>
      </c>
      <c r="E296" s="53" t="s">
        <v>295</v>
      </c>
      <c r="F296" s="73" t="str">
        <f t="shared" si="30"/>
        <v/>
      </c>
      <c r="G296" s="60">
        <f t="shared" si="30"/>
        <v>5.5453628767345831E-2</v>
      </c>
      <c r="H296" s="60">
        <f t="shared" si="30"/>
        <v>6.2767776800211644E-2</v>
      </c>
      <c r="I296" s="60" t="str">
        <f t="shared" si="30"/>
        <v/>
      </c>
      <c r="J296" s="63" t="str">
        <f t="shared" si="30"/>
        <v/>
      </c>
      <c r="K296" s="60" t="str">
        <f t="shared" si="31"/>
        <v/>
      </c>
      <c r="L296" s="60">
        <f t="shared" si="31"/>
        <v>1.220627096734583E-2</v>
      </c>
      <c r="M296" s="60">
        <f t="shared" si="31"/>
        <v>1.9301239000211638E-2</v>
      </c>
      <c r="N296" s="60" t="str">
        <f t="shared" si="31"/>
        <v/>
      </c>
      <c r="O296" s="63" t="str">
        <f t="shared" si="31"/>
        <v/>
      </c>
      <c r="P296" s="55" t="s">
        <v>605</v>
      </c>
      <c r="Q296" s="53" t="s">
        <v>606</v>
      </c>
      <c r="R296" s="94" t="s">
        <v>32</v>
      </c>
      <c r="S296" s="71">
        <v>5.753751E-2</v>
      </c>
      <c r="T296" s="63">
        <f t="shared" si="32"/>
        <v>5.2302668002116443E-3</v>
      </c>
      <c r="V296" s="114">
        <v>1.1309891999999999</v>
      </c>
      <c r="W296" s="72">
        <v>2.8487794200000001</v>
      </c>
      <c r="X296" s="72">
        <v>4.3183863200000001</v>
      </c>
      <c r="Y296" s="72">
        <v>5.5205211400000005</v>
      </c>
      <c r="Z296" s="115">
        <v>6.910286039999999</v>
      </c>
      <c r="AB296" s="71" t="s">
        <v>21</v>
      </c>
      <c r="AC296" s="71">
        <v>5.5453628767345831E-2</v>
      </c>
      <c r="AD296" s="71">
        <v>6.2767776800211644E-2</v>
      </c>
      <c r="AE296" s="71" t="s">
        <v>21</v>
      </c>
      <c r="AF296" s="63" t="s">
        <v>21</v>
      </c>
      <c r="AG296" s="71" t="s">
        <v>21</v>
      </c>
      <c r="AH296" s="71">
        <v>1.220627096734583E-2</v>
      </c>
      <c r="AI296" s="71">
        <v>1.9301239000211638E-2</v>
      </c>
      <c r="AJ296" s="71" t="s">
        <v>21</v>
      </c>
      <c r="AK296" s="71" t="s">
        <v>21</v>
      </c>
    </row>
    <row r="297" spans="2:37" x14ac:dyDescent="0.35">
      <c r="B297" s="55" t="s">
        <v>202</v>
      </c>
      <c r="C297" s="53" t="s">
        <v>234</v>
      </c>
      <c r="D297" s="53" t="s">
        <v>203</v>
      </c>
      <c r="E297" s="53" t="s">
        <v>181</v>
      </c>
      <c r="F297" s="73" t="str">
        <f t="shared" si="30"/>
        <v/>
      </c>
      <c r="G297" s="60">
        <f t="shared" si="30"/>
        <v>5.1769195693532631E-2</v>
      </c>
      <c r="H297" s="60">
        <f t="shared" si="30"/>
        <v>5.707775478471367E-2</v>
      </c>
      <c r="I297" s="60" t="str">
        <f t="shared" si="30"/>
        <v/>
      </c>
      <c r="J297" s="63" t="str">
        <f t="shared" si="30"/>
        <v/>
      </c>
      <c r="K297" s="60" t="str">
        <f t="shared" si="31"/>
        <v/>
      </c>
      <c r="L297" s="60">
        <f t="shared" si="31"/>
        <v>8.7059930935326317E-3</v>
      </c>
      <c r="M297" s="60">
        <f t="shared" si="31"/>
        <v>1.393047978471367E-2</v>
      </c>
      <c r="N297" s="60" t="str">
        <f t="shared" si="31"/>
        <v/>
      </c>
      <c r="O297" s="63" t="str">
        <f t="shared" si="31"/>
        <v/>
      </c>
      <c r="P297" s="55" t="s">
        <v>607</v>
      </c>
      <c r="Q297" s="53" t="s">
        <v>608</v>
      </c>
      <c r="R297" s="94" t="s">
        <v>32</v>
      </c>
      <c r="S297" s="71">
        <v>8.3260499999999998E-3</v>
      </c>
      <c r="T297" s="63">
        <f t="shared" si="32"/>
        <v>4.8751704784713669E-2</v>
      </c>
      <c r="V297" s="114">
        <v>1.1335829500000001</v>
      </c>
      <c r="W297" s="72">
        <v>2.87156353</v>
      </c>
      <c r="X297" s="72">
        <v>4.3927896400000002</v>
      </c>
      <c r="Y297" s="72">
        <v>5.6813836499999999</v>
      </c>
      <c r="Z297" s="115">
        <v>7.2579314000000004</v>
      </c>
      <c r="AB297" s="71" t="s">
        <v>21</v>
      </c>
      <c r="AC297" s="71">
        <v>5.1769195693532631E-2</v>
      </c>
      <c r="AD297" s="71">
        <v>5.707775478471367E-2</v>
      </c>
      <c r="AE297" s="71" t="s">
        <v>21</v>
      </c>
      <c r="AF297" s="63" t="s">
        <v>21</v>
      </c>
      <c r="AG297" s="71" t="s">
        <v>21</v>
      </c>
      <c r="AH297" s="71">
        <v>8.7059930935326317E-3</v>
      </c>
      <c r="AI297" s="71">
        <v>1.393047978471367E-2</v>
      </c>
      <c r="AJ297" s="71" t="s">
        <v>21</v>
      </c>
      <c r="AK297" s="71" t="s">
        <v>21</v>
      </c>
    </row>
    <row r="298" spans="2:37" x14ac:dyDescent="0.35">
      <c r="B298" s="55" t="s">
        <v>204</v>
      </c>
      <c r="C298" s="53" t="s">
        <v>234</v>
      </c>
      <c r="D298" s="53" t="s">
        <v>205</v>
      </c>
      <c r="E298" s="53" t="s">
        <v>609</v>
      </c>
      <c r="F298" s="73" t="str">
        <f t="shared" si="30"/>
        <v/>
      </c>
      <c r="G298" s="60">
        <f t="shared" si="30"/>
        <v>6.1480589221310493E-2</v>
      </c>
      <c r="H298" s="60">
        <f t="shared" si="30"/>
        <v>7.0863714407400677E-2</v>
      </c>
      <c r="I298" s="60" t="str">
        <f t="shared" si="30"/>
        <v/>
      </c>
      <c r="J298" s="63" t="str">
        <f t="shared" si="30"/>
        <v/>
      </c>
      <c r="K298" s="60" t="str">
        <f t="shared" si="31"/>
        <v/>
      </c>
      <c r="L298" s="60">
        <f t="shared" si="31"/>
        <v>1.7847308121310482E-2</v>
      </c>
      <c r="M298" s="60">
        <f t="shared" si="31"/>
        <v>2.6816924507400683E-2</v>
      </c>
      <c r="N298" s="60" t="str">
        <f t="shared" si="31"/>
        <v/>
      </c>
      <c r="O298" s="63" t="str">
        <f t="shared" si="31"/>
        <v/>
      </c>
      <c r="P298" s="55" t="s">
        <v>21</v>
      </c>
      <c r="Q298" s="53" t="s">
        <v>21</v>
      </c>
      <c r="R298" s="94" t="s">
        <v>21</v>
      </c>
      <c r="S298" s="71">
        <v>0</v>
      </c>
      <c r="T298" s="63">
        <f t="shared" si="32"/>
        <v>7.0863714407400677E-2</v>
      </c>
      <c r="V298" s="114">
        <v>1.12510284</v>
      </c>
      <c r="W298" s="72">
        <v>2.8048280500000002</v>
      </c>
      <c r="X298" s="72">
        <v>4.2002948999999994</v>
      </c>
      <c r="Y298" s="72">
        <v>5.2969310800000002</v>
      </c>
      <c r="Z298" s="115">
        <v>6.5130797500000002</v>
      </c>
      <c r="AB298" s="71" t="s">
        <v>21</v>
      </c>
      <c r="AC298" s="71">
        <v>6.1480589221310493E-2</v>
      </c>
      <c r="AD298" s="71">
        <v>7.0863714407400677E-2</v>
      </c>
      <c r="AE298" s="71" t="s">
        <v>21</v>
      </c>
      <c r="AF298" s="63" t="s">
        <v>21</v>
      </c>
      <c r="AG298" s="71" t="s">
        <v>21</v>
      </c>
      <c r="AH298" s="71">
        <v>1.7847308121310482E-2</v>
      </c>
      <c r="AI298" s="71">
        <v>2.6816924507400683E-2</v>
      </c>
      <c r="AJ298" s="71" t="s">
        <v>21</v>
      </c>
      <c r="AK298" s="71" t="s">
        <v>21</v>
      </c>
    </row>
    <row r="299" spans="2:37" x14ac:dyDescent="0.35">
      <c r="B299" s="55" t="s">
        <v>206</v>
      </c>
      <c r="C299" s="53" t="s">
        <v>234</v>
      </c>
      <c r="D299" s="53" t="s">
        <v>207</v>
      </c>
      <c r="E299" s="53" t="s">
        <v>193</v>
      </c>
      <c r="F299" s="73" t="str">
        <f t="shared" si="30"/>
        <v/>
      </c>
      <c r="G299" s="60">
        <f t="shared" si="30"/>
        <v>5.0584407009075044E-2</v>
      </c>
      <c r="H299" s="60">
        <f t="shared" si="30"/>
        <v>5.5026226543308208E-2</v>
      </c>
      <c r="I299" s="60" t="str">
        <f t="shared" si="30"/>
        <v/>
      </c>
      <c r="J299" s="63" t="str">
        <f t="shared" si="30"/>
        <v/>
      </c>
      <c r="K299" s="60" t="str">
        <f t="shared" si="31"/>
        <v/>
      </c>
      <c r="L299" s="60">
        <f t="shared" si="31"/>
        <v>7.5886675090750429E-3</v>
      </c>
      <c r="M299" s="60">
        <f t="shared" si="31"/>
        <v>1.1993367143308212E-2</v>
      </c>
      <c r="N299" s="60" t="str">
        <f t="shared" si="31"/>
        <v/>
      </c>
      <c r="O299" s="63" t="str">
        <f t="shared" si="31"/>
        <v/>
      </c>
      <c r="P299" s="55" t="s">
        <v>610</v>
      </c>
      <c r="Q299" s="53" t="s">
        <v>611</v>
      </c>
      <c r="R299" s="94" t="s">
        <v>32</v>
      </c>
      <c r="S299" s="71">
        <v>4.9835039999999997E-2</v>
      </c>
      <c r="T299" s="63">
        <f t="shared" si="32"/>
        <v>5.1911865433082113E-3</v>
      </c>
      <c r="V299" s="114">
        <v>1.1347067500000001</v>
      </c>
      <c r="W299" s="72">
        <v>2.88040611</v>
      </c>
      <c r="X299" s="72">
        <v>4.4230239600000001</v>
      </c>
      <c r="Y299" s="72">
        <v>5.7466310900000002</v>
      </c>
      <c r="Z299" s="115">
        <v>7.3938904799999996</v>
      </c>
      <c r="AB299" s="71" t="s">
        <v>21</v>
      </c>
      <c r="AC299" s="71">
        <v>5.0584407009075044E-2</v>
      </c>
      <c r="AD299" s="71">
        <v>5.5026226543308208E-2</v>
      </c>
      <c r="AE299" s="71" t="s">
        <v>21</v>
      </c>
      <c r="AF299" s="63" t="s">
        <v>21</v>
      </c>
      <c r="AG299" s="71" t="s">
        <v>21</v>
      </c>
      <c r="AH299" s="71">
        <v>7.5886675090750429E-3</v>
      </c>
      <c r="AI299" s="71">
        <v>1.1993367143308212E-2</v>
      </c>
      <c r="AJ299" s="71" t="s">
        <v>21</v>
      </c>
      <c r="AK299" s="71" t="s">
        <v>21</v>
      </c>
    </row>
    <row r="300" spans="2:37" x14ac:dyDescent="0.35">
      <c r="B300" s="55" t="s">
        <v>208</v>
      </c>
      <c r="C300" s="53" t="s">
        <v>234</v>
      </c>
      <c r="D300" s="53" t="s">
        <v>209</v>
      </c>
      <c r="E300" s="53" t="s">
        <v>181</v>
      </c>
      <c r="F300" s="73" t="str">
        <f t="shared" si="30"/>
        <v/>
      </c>
      <c r="G300" s="60">
        <f t="shared" si="30"/>
        <v>5.4687249058016391E-2</v>
      </c>
      <c r="H300" s="60">
        <f t="shared" si="30"/>
        <v>6.143057566892126E-2</v>
      </c>
      <c r="I300" s="60" t="str">
        <f t="shared" si="30"/>
        <v/>
      </c>
      <c r="J300" s="63" t="str">
        <f t="shared" si="30"/>
        <v/>
      </c>
      <c r="K300" s="60" t="str">
        <f t="shared" si="31"/>
        <v/>
      </c>
      <c r="L300" s="60">
        <f t="shared" si="31"/>
        <v>1.1475818458016381E-2</v>
      </c>
      <c r="M300" s="60">
        <f t="shared" si="31"/>
        <v>1.8040908068921249E-2</v>
      </c>
      <c r="N300" s="60" t="str">
        <f t="shared" si="31"/>
        <v/>
      </c>
      <c r="O300" s="63" t="str">
        <f t="shared" si="31"/>
        <v/>
      </c>
      <c r="P300" s="55" t="s">
        <v>21</v>
      </c>
      <c r="Q300" s="53" t="s">
        <v>21</v>
      </c>
      <c r="R300" s="94" t="s">
        <v>21</v>
      </c>
      <c r="S300" s="71">
        <v>0</v>
      </c>
      <c r="T300" s="63">
        <f t="shared" si="32"/>
        <v>6.143057566892126E-2</v>
      </c>
      <c r="V300" s="114">
        <v>1.1309959600000001</v>
      </c>
      <c r="W300" s="72">
        <v>2.8519874999999999</v>
      </c>
      <c r="X300" s="72">
        <v>4.3335201300000001</v>
      </c>
      <c r="Y300" s="72">
        <v>5.5574554000000003</v>
      </c>
      <c r="Z300" s="115">
        <v>6.9929484400000002</v>
      </c>
      <c r="AB300" s="71" t="s">
        <v>21</v>
      </c>
      <c r="AC300" s="71">
        <v>5.4687249058016391E-2</v>
      </c>
      <c r="AD300" s="71">
        <v>6.143057566892126E-2</v>
      </c>
      <c r="AE300" s="71" t="s">
        <v>21</v>
      </c>
      <c r="AF300" s="63" t="s">
        <v>21</v>
      </c>
      <c r="AG300" s="71" t="s">
        <v>21</v>
      </c>
      <c r="AH300" s="71">
        <v>1.1475818458016381E-2</v>
      </c>
      <c r="AI300" s="71">
        <v>1.8040908068921249E-2</v>
      </c>
      <c r="AJ300" s="71" t="s">
        <v>21</v>
      </c>
      <c r="AK300" s="71" t="s">
        <v>21</v>
      </c>
    </row>
    <row r="301" spans="2:37" x14ac:dyDescent="0.35">
      <c r="B301" s="55" t="s">
        <v>405</v>
      </c>
      <c r="C301" s="53" t="s">
        <v>234</v>
      </c>
      <c r="D301" s="53" t="s">
        <v>405</v>
      </c>
      <c r="E301" s="53" t="s">
        <v>612</v>
      </c>
      <c r="F301" s="73" t="str">
        <f t="shared" si="30"/>
        <v/>
      </c>
      <c r="G301" s="60">
        <f t="shared" si="30"/>
        <v>8.0073153744557479E-2</v>
      </c>
      <c r="H301" s="60">
        <f t="shared" si="30"/>
        <v>8.8909907172575228E-2</v>
      </c>
      <c r="I301" s="60" t="str">
        <f t="shared" si="30"/>
        <v/>
      </c>
      <c r="J301" s="63" t="str">
        <f t="shared" si="30"/>
        <v/>
      </c>
      <c r="K301" s="60" t="str">
        <f t="shared" si="31"/>
        <v/>
      </c>
      <c r="L301" s="60">
        <f t="shared" si="31"/>
        <v>3.4975527444557473E-2</v>
      </c>
      <c r="M301" s="60">
        <f t="shared" si="31"/>
        <v>4.3262514772575214E-2</v>
      </c>
      <c r="N301" s="60" t="str">
        <f t="shared" si="31"/>
        <v/>
      </c>
      <c r="O301" s="63" t="str">
        <f t="shared" si="31"/>
        <v/>
      </c>
      <c r="P301" s="55" t="s">
        <v>613</v>
      </c>
      <c r="Q301" s="53" t="s">
        <v>614</v>
      </c>
      <c r="R301" s="94" t="s">
        <v>32</v>
      </c>
      <c r="S301" s="71">
        <v>8.1338839999999996E-2</v>
      </c>
      <c r="T301" s="63">
        <f t="shared" si="32"/>
        <v>7.5710671725752327E-3</v>
      </c>
      <c r="V301" s="114">
        <v>1.09007751</v>
      </c>
      <c r="W301" s="72">
        <v>2.6522070100000001</v>
      </c>
      <c r="X301" s="72">
        <v>3.88664649</v>
      </c>
      <c r="Y301" s="72">
        <v>4.8289369600000001</v>
      </c>
      <c r="Z301" s="115">
        <v>5.8454528899999998</v>
      </c>
      <c r="AB301" s="71" t="s">
        <v>21</v>
      </c>
      <c r="AC301" s="71">
        <v>8.0073153744557479E-2</v>
      </c>
      <c r="AD301" s="71">
        <v>8.8909907172575228E-2</v>
      </c>
      <c r="AE301" s="71" t="s">
        <v>21</v>
      </c>
      <c r="AF301" s="63" t="s">
        <v>21</v>
      </c>
      <c r="AG301" s="71" t="s">
        <v>21</v>
      </c>
      <c r="AH301" s="71">
        <v>3.4975527444557473E-2</v>
      </c>
      <c r="AI301" s="71">
        <v>4.3262514772575214E-2</v>
      </c>
      <c r="AJ301" s="71" t="s">
        <v>21</v>
      </c>
      <c r="AK301" s="71" t="s">
        <v>21</v>
      </c>
    </row>
    <row r="302" spans="2:37" x14ac:dyDescent="0.35">
      <c r="B302" s="55" t="s">
        <v>210</v>
      </c>
      <c r="C302" s="53" t="s">
        <v>234</v>
      </c>
      <c r="D302" s="53" t="s">
        <v>210</v>
      </c>
      <c r="E302" s="53" t="s">
        <v>615</v>
      </c>
      <c r="F302" s="73" t="str">
        <f t="shared" si="30"/>
        <v/>
      </c>
      <c r="G302" s="60">
        <f t="shared" si="30"/>
        <v>5.1968181106995928E-2</v>
      </c>
      <c r="H302" s="60">
        <f t="shared" si="30"/>
        <v>5.6676310308860237E-2</v>
      </c>
      <c r="I302" s="60" t="str">
        <f t="shared" si="30"/>
        <v/>
      </c>
      <c r="J302" s="63" t="str">
        <f t="shared" si="30"/>
        <v/>
      </c>
      <c r="K302" s="60" t="str">
        <f t="shared" si="31"/>
        <v/>
      </c>
      <c r="L302" s="60">
        <f t="shared" si="31"/>
        <v>8.9056912069959363E-3</v>
      </c>
      <c r="M302" s="60">
        <f t="shared" si="31"/>
        <v>1.3560694008860234E-2</v>
      </c>
      <c r="N302" s="60" t="str">
        <f t="shared" si="31"/>
        <v/>
      </c>
      <c r="O302" s="63" t="str">
        <f t="shared" si="31"/>
        <v/>
      </c>
      <c r="P302" s="55" t="s">
        <v>616</v>
      </c>
      <c r="Q302" s="53" t="s">
        <v>617</v>
      </c>
      <c r="R302" s="94" t="s">
        <v>32</v>
      </c>
      <c r="S302" s="71">
        <v>5.3761580000000003E-2</v>
      </c>
      <c r="T302" s="63">
        <f t="shared" si="32"/>
        <v>2.9147303088602333E-3</v>
      </c>
      <c r="V302" s="114">
        <v>1.1337972599999999</v>
      </c>
      <c r="W302" s="72">
        <v>2.87176651</v>
      </c>
      <c r="X302" s="72">
        <v>4.3974318800000001</v>
      </c>
      <c r="Y302" s="72">
        <v>5.7028792799999994</v>
      </c>
      <c r="Z302" s="115">
        <v>7.3234123900000005</v>
      </c>
      <c r="AB302" s="71" t="s">
        <v>21</v>
      </c>
      <c r="AC302" s="71">
        <v>5.1968181106995928E-2</v>
      </c>
      <c r="AD302" s="71">
        <v>5.6676310308860237E-2</v>
      </c>
      <c r="AE302" s="71" t="s">
        <v>21</v>
      </c>
      <c r="AF302" s="63" t="s">
        <v>21</v>
      </c>
      <c r="AG302" s="71" t="s">
        <v>21</v>
      </c>
      <c r="AH302" s="71">
        <v>8.9056912069959363E-3</v>
      </c>
      <c r="AI302" s="71">
        <v>1.3560694008860234E-2</v>
      </c>
      <c r="AJ302" s="71" t="s">
        <v>21</v>
      </c>
      <c r="AK302" s="71" t="s">
        <v>21</v>
      </c>
    </row>
    <row r="303" spans="2:37" x14ac:dyDescent="0.35">
      <c r="B303" s="55" t="s">
        <v>211</v>
      </c>
      <c r="C303" s="53" t="s">
        <v>234</v>
      </c>
      <c r="D303" s="53" t="s">
        <v>211</v>
      </c>
      <c r="E303" s="53" t="s">
        <v>618</v>
      </c>
      <c r="F303" s="73" t="str">
        <f t="shared" si="30"/>
        <v/>
      </c>
      <c r="G303" s="60">
        <f t="shared" si="30"/>
        <v>5.8778093143840943E-2</v>
      </c>
      <c r="H303" s="60">
        <f t="shared" si="30"/>
        <v>6.6329048822599726E-2</v>
      </c>
      <c r="I303" s="60" t="str">
        <f t="shared" si="30"/>
        <v/>
      </c>
      <c r="J303" s="63" t="str">
        <f t="shared" si="30"/>
        <v/>
      </c>
      <c r="K303" s="60" t="str">
        <f t="shared" si="31"/>
        <v/>
      </c>
      <c r="L303" s="60">
        <f t="shared" si="31"/>
        <v>1.5196546043840948E-2</v>
      </c>
      <c r="M303" s="60">
        <f t="shared" si="31"/>
        <v>2.2475680022599753E-2</v>
      </c>
      <c r="N303" s="60" t="str">
        <f t="shared" si="31"/>
        <v/>
      </c>
      <c r="O303" s="63" t="str">
        <f t="shared" si="31"/>
        <v/>
      </c>
      <c r="P303" s="55" t="s">
        <v>619</v>
      </c>
      <c r="Q303" s="53" t="s">
        <v>620</v>
      </c>
      <c r="R303" s="94" t="s">
        <v>32</v>
      </c>
      <c r="S303" s="71">
        <v>7.8806470000000003E-2</v>
      </c>
      <c r="T303" s="63">
        <f t="shared" si="32"/>
        <v>-1.2477421177400277E-2</v>
      </c>
      <c r="V303" s="114">
        <v>1.12461345</v>
      </c>
      <c r="W303" s="72">
        <v>2.8099521900000002</v>
      </c>
      <c r="X303" s="72">
        <v>4.2279878000000002</v>
      </c>
      <c r="Y303" s="72">
        <v>5.3797311600000004</v>
      </c>
      <c r="Z303" s="115">
        <v>6.7299877300000004</v>
      </c>
      <c r="AB303" s="71" t="s">
        <v>21</v>
      </c>
      <c r="AC303" s="71">
        <v>5.8778093143840943E-2</v>
      </c>
      <c r="AD303" s="71">
        <v>6.6329048822599726E-2</v>
      </c>
      <c r="AE303" s="71" t="s">
        <v>21</v>
      </c>
      <c r="AF303" s="63" t="s">
        <v>21</v>
      </c>
      <c r="AG303" s="71" t="s">
        <v>21</v>
      </c>
      <c r="AH303" s="71">
        <v>1.5196546043840948E-2</v>
      </c>
      <c r="AI303" s="71">
        <v>2.2475680022599753E-2</v>
      </c>
      <c r="AJ303" s="71" t="s">
        <v>21</v>
      </c>
      <c r="AK303" s="71" t="s">
        <v>21</v>
      </c>
    </row>
    <row r="304" spans="2:37" x14ac:dyDescent="0.35">
      <c r="B304" s="55" t="s">
        <v>212</v>
      </c>
      <c r="C304" s="53" t="s">
        <v>234</v>
      </c>
      <c r="D304" s="53" t="s">
        <v>212</v>
      </c>
      <c r="E304" s="53" t="s">
        <v>574</v>
      </c>
      <c r="F304" s="73" t="str">
        <f t="shared" si="30"/>
        <v/>
      </c>
      <c r="G304" s="60">
        <f t="shared" si="30"/>
        <v>6.9476205217883585E-2</v>
      </c>
      <c r="H304" s="60">
        <f t="shared" si="30"/>
        <v>8.0020813096123938E-2</v>
      </c>
      <c r="I304" s="60" t="str">
        <f t="shared" si="30"/>
        <v/>
      </c>
      <c r="J304" s="63" t="str">
        <f t="shared" si="30"/>
        <v/>
      </c>
      <c r="K304" s="60" t="str">
        <f t="shared" si="31"/>
        <v/>
      </c>
      <c r="L304" s="60">
        <f t="shared" si="31"/>
        <v>2.5246736117883584E-2</v>
      </c>
      <c r="M304" s="60">
        <f t="shared" si="31"/>
        <v>3.5206890596123953E-2</v>
      </c>
      <c r="N304" s="60" t="str">
        <f t="shared" si="31"/>
        <v/>
      </c>
      <c r="O304" s="63" t="str">
        <f t="shared" si="31"/>
        <v/>
      </c>
      <c r="P304" s="55" t="s">
        <v>621</v>
      </c>
      <c r="Q304" s="53" t="s">
        <v>622</v>
      </c>
      <c r="R304" s="94" t="s">
        <v>32</v>
      </c>
      <c r="S304" s="71">
        <v>7.2744240000000002E-2</v>
      </c>
      <c r="T304" s="63">
        <f t="shared" si="32"/>
        <v>7.2765730961239367E-3</v>
      </c>
      <c r="V304" s="114">
        <v>1.11318567</v>
      </c>
      <c r="W304" s="72">
        <v>2.7453808799999999</v>
      </c>
      <c r="X304" s="72">
        <v>4.0592491800000001</v>
      </c>
      <c r="Y304" s="72">
        <v>5.079701</v>
      </c>
      <c r="Z304" s="115">
        <v>6.21110557</v>
      </c>
      <c r="AB304" s="71" t="s">
        <v>21</v>
      </c>
      <c r="AC304" s="71">
        <v>6.9476205217883585E-2</v>
      </c>
      <c r="AD304" s="71">
        <v>8.0020813096123938E-2</v>
      </c>
      <c r="AE304" s="71" t="s">
        <v>21</v>
      </c>
      <c r="AF304" s="63" t="s">
        <v>21</v>
      </c>
      <c r="AG304" s="71" t="s">
        <v>21</v>
      </c>
      <c r="AH304" s="71">
        <v>2.5246736117883584E-2</v>
      </c>
      <c r="AI304" s="71">
        <v>3.5206890596123953E-2</v>
      </c>
      <c r="AJ304" s="71" t="s">
        <v>21</v>
      </c>
      <c r="AK304" s="71" t="s">
        <v>21</v>
      </c>
    </row>
    <row r="305" spans="2:37" x14ac:dyDescent="0.35">
      <c r="B305" s="55" t="s">
        <v>213</v>
      </c>
      <c r="C305" s="53" t="s">
        <v>234</v>
      </c>
      <c r="D305" s="53" t="s">
        <v>213</v>
      </c>
      <c r="E305" s="53" t="s">
        <v>623</v>
      </c>
      <c r="F305" s="73" t="str">
        <f t="shared" si="30"/>
        <v/>
      </c>
      <c r="G305" s="60">
        <f t="shared" si="30"/>
        <v>6.9661632147820202E-2</v>
      </c>
      <c r="H305" s="60">
        <f t="shared" si="30"/>
        <v>7.9081338390005654E-2</v>
      </c>
      <c r="I305" s="60" t="str">
        <f t="shared" si="30"/>
        <v/>
      </c>
      <c r="J305" s="63" t="str">
        <f t="shared" si="30"/>
        <v/>
      </c>
      <c r="K305" s="60" t="str">
        <f t="shared" si="31"/>
        <v/>
      </c>
      <c r="L305" s="60">
        <f t="shared" si="31"/>
        <v>2.540958104782021E-2</v>
      </c>
      <c r="M305" s="60">
        <f t="shared" si="31"/>
        <v>3.4339867390005649E-2</v>
      </c>
      <c r="N305" s="60" t="str">
        <f t="shared" si="31"/>
        <v/>
      </c>
      <c r="O305" s="63" t="str">
        <f t="shared" si="31"/>
        <v/>
      </c>
      <c r="P305" s="55" t="s">
        <v>624</v>
      </c>
      <c r="Q305" s="53" t="s">
        <v>625</v>
      </c>
      <c r="R305" s="94" t="s">
        <v>32</v>
      </c>
      <c r="S305" s="71">
        <v>7.1877259999999998E-2</v>
      </c>
      <c r="T305" s="63">
        <f t="shared" si="32"/>
        <v>7.2040783900056554E-3</v>
      </c>
      <c r="V305" s="114">
        <v>1.1132366899999999</v>
      </c>
      <c r="W305" s="72">
        <v>2.7413612000000001</v>
      </c>
      <c r="X305" s="72">
        <v>4.06048644</v>
      </c>
      <c r="Y305" s="72">
        <v>5.0843625900000005</v>
      </c>
      <c r="Z305" s="115">
        <v>6.2077302300000001</v>
      </c>
      <c r="AB305" s="71" t="s">
        <v>21</v>
      </c>
      <c r="AC305" s="71">
        <v>6.9661632147820202E-2</v>
      </c>
      <c r="AD305" s="71">
        <v>7.9081338390005654E-2</v>
      </c>
      <c r="AE305" s="71" t="s">
        <v>21</v>
      </c>
      <c r="AF305" s="63" t="s">
        <v>21</v>
      </c>
      <c r="AG305" s="71" t="s">
        <v>21</v>
      </c>
      <c r="AH305" s="71">
        <v>2.540958104782021E-2</v>
      </c>
      <c r="AI305" s="71">
        <v>3.4339867390005649E-2</v>
      </c>
      <c r="AJ305" s="71" t="s">
        <v>21</v>
      </c>
      <c r="AK305" s="71" t="s">
        <v>21</v>
      </c>
    </row>
    <row r="306" spans="2:37" x14ac:dyDescent="0.35">
      <c r="B306" s="55" t="s">
        <v>274</v>
      </c>
      <c r="C306" s="53" t="s">
        <v>234</v>
      </c>
      <c r="D306" s="53" t="s">
        <v>274</v>
      </c>
      <c r="E306" s="53" t="s">
        <v>288</v>
      </c>
      <c r="F306" s="73" t="str">
        <f t="shared" ref="F306:J316" si="33">IF(ISNUMBER(AB306),AB306-((C$4-C$3)/V306),"")</f>
        <v/>
      </c>
      <c r="G306" s="60">
        <f t="shared" si="33"/>
        <v>5.0018876831696736E-2</v>
      </c>
      <c r="H306" s="60">
        <f t="shared" si="33"/>
        <v>5.5865689937306486E-2</v>
      </c>
      <c r="I306" s="60" t="str">
        <f t="shared" si="33"/>
        <v/>
      </c>
      <c r="J306" s="63" t="str">
        <f t="shared" si="33"/>
        <v/>
      </c>
      <c r="K306" s="60" t="str">
        <f t="shared" ref="K306:O316" si="34">IF(ISNUMBER(AG306),IF(AG306-((C$4-C$3)/V306)&lt;0,"",AG306-((C$4-C$3)/V306)),"")</f>
        <v/>
      </c>
      <c r="L306" s="60">
        <f t="shared" si="34"/>
        <v>7.0558114316967447E-3</v>
      </c>
      <c r="M306" s="60">
        <f t="shared" si="34"/>
        <v>1.2793967837306493E-2</v>
      </c>
      <c r="N306" s="60" t="str">
        <f t="shared" si="34"/>
        <v/>
      </c>
      <c r="O306" s="63" t="str">
        <f t="shared" si="34"/>
        <v/>
      </c>
      <c r="P306" s="55" t="s">
        <v>21</v>
      </c>
      <c r="Q306" s="53" t="s">
        <v>21</v>
      </c>
      <c r="R306" s="94" t="s">
        <v>21</v>
      </c>
      <c r="S306" s="71">
        <v>0</v>
      </c>
      <c r="T306" s="63">
        <f t="shared" si="32"/>
        <v>5.5865689937306486E-2</v>
      </c>
      <c r="V306" s="114">
        <v>1.1362284599999999</v>
      </c>
      <c r="W306" s="72">
        <v>2.88638182</v>
      </c>
      <c r="X306" s="72">
        <v>4.42302397</v>
      </c>
      <c r="Y306" s="72">
        <v>5.7191130299999999</v>
      </c>
      <c r="Z306" s="115">
        <v>7.3183893700000002</v>
      </c>
      <c r="AB306" s="71" t="s">
        <v>21</v>
      </c>
      <c r="AC306" s="71">
        <v>5.0018876831696736E-2</v>
      </c>
      <c r="AD306" s="71">
        <v>5.5865689937306486E-2</v>
      </c>
      <c r="AE306" s="71" t="s">
        <v>21</v>
      </c>
      <c r="AF306" s="63" t="s">
        <v>21</v>
      </c>
      <c r="AG306" s="71" t="s">
        <v>21</v>
      </c>
      <c r="AH306" s="71">
        <v>7.0558114316967447E-3</v>
      </c>
      <c r="AI306" s="71">
        <v>1.2793967837306493E-2</v>
      </c>
      <c r="AJ306" s="71" t="s">
        <v>21</v>
      </c>
      <c r="AK306" s="71" t="s">
        <v>21</v>
      </c>
    </row>
    <row r="307" spans="2:37" x14ac:dyDescent="0.35">
      <c r="B307" s="55" t="s">
        <v>275</v>
      </c>
      <c r="C307" s="53" t="s">
        <v>234</v>
      </c>
      <c r="D307" s="53" t="s">
        <v>275</v>
      </c>
      <c r="E307" s="53" t="s">
        <v>276</v>
      </c>
      <c r="F307" s="73" t="str">
        <f t="shared" si="33"/>
        <v/>
      </c>
      <c r="G307" s="60">
        <f t="shared" si="33"/>
        <v>5.3810109196435724E-2</v>
      </c>
      <c r="H307" s="60">
        <f t="shared" si="33"/>
        <v>5.9841034775990273E-2</v>
      </c>
      <c r="I307" s="60" t="str">
        <f t="shared" si="33"/>
        <v/>
      </c>
      <c r="J307" s="63" t="str">
        <f t="shared" si="33"/>
        <v/>
      </c>
      <c r="K307" s="60" t="str">
        <f t="shared" si="34"/>
        <v/>
      </c>
      <c r="L307" s="60">
        <f t="shared" si="34"/>
        <v>1.0640316896435718E-2</v>
      </c>
      <c r="M307" s="60">
        <f t="shared" si="34"/>
        <v>1.6543515175990273E-2</v>
      </c>
      <c r="N307" s="60" t="str">
        <f t="shared" si="34"/>
        <v/>
      </c>
      <c r="O307" s="63" t="str">
        <f t="shared" si="34"/>
        <v/>
      </c>
      <c r="P307" s="55" t="s">
        <v>626</v>
      </c>
      <c r="Q307" s="53" t="s">
        <v>627</v>
      </c>
      <c r="R307" s="94" t="s">
        <v>32</v>
      </c>
      <c r="S307" s="71">
        <v>5.8281150000000004E-2</v>
      </c>
      <c r="T307" s="63">
        <f t="shared" si="32"/>
        <v>1.5598847759902695E-3</v>
      </c>
      <c r="V307" s="114">
        <v>1.1341913299999999</v>
      </c>
      <c r="W307" s="72">
        <v>2.8632321700000003</v>
      </c>
      <c r="X307" s="72">
        <v>4.3590540400000002</v>
      </c>
      <c r="Y307" s="72">
        <v>5.6119315500000004</v>
      </c>
      <c r="Z307" s="115">
        <v>7.1305388999999995</v>
      </c>
      <c r="AB307" s="71" t="s">
        <v>21</v>
      </c>
      <c r="AC307" s="71">
        <v>5.3810109196435724E-2</v>
      </c>
      <c r="AD307" s="71">
        <v>5.9841034775990273E-2</v>
      </c>
      <c r="AE307" s="71" t="s">
        <v>21</v>
      </c>
      <c r="AF307" s="63" t="s">
        <v>21</v>
      </c>
      <c r="AG307" s="71" t="s">
        <v>21</v>
      </c>
      <c r="AH307" s="71">
        <v>1.0640316896435718E-2</v>
      </c>
      <c r="AI307" s="71">
        <v>1.6543515175990273E-2</v>
      </c>
      <c r="AJ307" s="71" t="s">
        <v>21</v>
      </c>
      <c r="AK307" s="71" t="s">
        <v>21</v>
      </c>
    </row>
    <row r="308" spans="2:37" x14ac:dyDescent="0.35">
      <c r="B308" s="138" t="s">
        <v>279</v>
      </c>
      <c r="C308" s="139" t="s">
        <v>234</v>
      </c>
      <c r="D308" s="139" t="s">
        <v>279</v>
      </c>
      <c r="E308" s="139" t="s">
        <v>280</v>
      </c>
      <c r="F308" s="73" t="str">
        <f t="shared" si="33"/>
        <v/>
      </c>
      <c r="G308" s="60">
        <f t="shared" si="33"/>
        <v>5.0145854073830355E-2</v>
      </c>
      <c r="H308" s="60">
        <f t="shared" si="33"/>
        <v>5.4894240449760413E-2</v>
      </c>
      <c r="I308" s="60" t="str">
        <f t="shared" si="33"/>
        <v/>
      </c>
      <c r="J308" s="63" t="str">
        <f t="shared" si="33"/>
        <v/>
      </c>
      <c r="K308" s="60" t="str">
        <f t="shared" si="34"/>
        <v/>
      </c>
      <c r="L308" s="60">
        <f t="shared" si="34"/>
        <v>7.1726955738303528E-3</v>
      </c>
      <c r="M308" s="60">
        <f t="shared" si="34"/>
        <v>1.1868707349760421E-2</v>
      </c>
      <c r="N308" s="60" t="str">
        <f t="shared" si="34"/>
        <v/>
      </c>
      <c r="O308" s="63" t="str">
        <f t="shared" si="34"/>
        <v/>
      </c>
      <c r="P308" s="138" t="s">
        <v>628</v>
      </c>
      <c r="Q308" s="139" t="s">
        <v>629</v>
      </c>
      <c r="R308" s="143" t="s">
        <v>32</v>
      </c>
      <c r="S308" s="141">
        <v>4.8235780000000006E-2</v>
      </c>
      <c r="T308" s="63">
        <f t="shared" si="32"/>
        <v>6.6584604497604075E-3</v>
      </c>
      <c r="V308" s="144">
        <v>1.1363498300000001</v>
      </c>
      <c r="W308" s="145">
        <v>2.8853175100000001</v>
      </c>
      <c r="X308" s="145">
        <v>4.4289964799999995</v>
      </c>
      <c r="Y308" s="145">
        <v>5.7545128100000005</v>
      </c>
      <c r="Z308" s="146">
        <v>7.4053634500000003</v>
      </c>
      <c r="AB308" s="141" t="s">
        <v>21</v>
      </c>
      <c r="AC308" s="141">
        <v>5.0145854073830355E-2</v>
      </c>
      <c r="AD308" s="141">
        <v>5.4894240449760413E-2</v>
      </c>
      <c r="AE308" s="141" t="s">
        <v>21</v>
      </c>
      <c r="AF308" s="142" t="s">
        <v>21</v>
      </c>
      <c r="AG308" s="141" t="s">
        <v>21</v>
      </c>
      <c r="AH308" s="141">
        <v>7.1726955738303528E-3</v>
      </c>
      <c r="AI308" s="141">
        <v>1.1868707349760421E-2</v>
      </c>
      <c r="AJ308" s="141" t="s">
        <v>21</v>
      </c>
      <c r="AK308" s="141" t="s">
        <v>21</v>
      </c>
    </row>
    <row r="309" spans="2:37" x14ac:dyDescent="0.35">
      <c r="B309" s="138" t="s">
        <v>281</v>
      </c>
      <c r="C309" s="139" t="s">
        <v>234</v>
      </c>
      <c r="D309" s="139" t="s">
        <v>281</v>
      </c>
      <c r="E309" s="139" t="s">
        <v>48</v>
      </c>
      <c r="F309" s="73" t="str">
        <f t="shared" si="33"/>
        <v/>
      </c>
      <c r="G309" s="60">
        <f t="shared" si="33"/>
        <v>5.6809321164243302E-2</v>
      </c>
      <c r="H309" s="60">
        <f t="shared" si="33"/>
        <v>6.4075751526017383E-2</v>
      </c>
      <c r="I309" s="60" t="str">
        <f t="shared" si="33"/>
        <v/>
      </c>
      <c r="J309" s="63" t="str">
        <f t="shared" si="33"/>
        <v/>
      </c>
      <c r="K309" s="60" t="str">
        <f t="shared" si="34"/>
        <v/>
      </c>
      <c r="L309" s="60">
        <f t="shared" si="34"/>
        <v>1.3474783664243305E-2</v>
      </c>
      <c r="M309" s="60">
        <f t="shared" si="34"/>
        <v>2.0512357726017373E-2</v>
      </c>
      <c r="N309" s="60" t="str">
        <f t="shared" si="34"/>
        <v/>
      </c>
      <c r="O309" s="63" t="str">
        <f t="shared" si="34"/>
        <v/>
      </c>
      <c r="P309" s="138" t="s">
        <v>630</v>
      </c>
      <c r="Q309" s="139" t="s">
        <v>631</v>
      </c>
      <c r="R309" s="143" t="s">
        <v>32</v>
      </c>
      <c r="S309" s="141">
        <v>6.1830889999999999E-2</v>
      </c>
      <c r="T309" s="63">
        <f t="shared" si="32"/>
        <v>2.2448615260173832E-3</v>
      </c>
      <c r="V309" s="144">
        <v>1.1300549599999998</v>
      </c>
      <c r="W309" s="145">
        <v>2.83796158</v>
      </c>
      <c r="X309" s="145">
        <v>4.2935534200000003</v>
      </c>
      <c r="Y309" s="145">
        <v>5.4917830199999997</v>
      </c>
      <c r="Z309" s="146">
        <v>6.8800454200000001</v>
      </c>
      <c r="AB309" s="141" t="s">
        <v>21</v>
      </c>
      <c r="AC309" s="141">
        <v>5.6809321164243302E-2</v>
      </c>
      <c r="AD309" s="141">
        <v>6.4075751526017383E-2</v>
      </c>
      <c r="AE309" s="141" t="s">
        <v>21</v>
      </c>
      <c r="AF309" s="142" t="s">
        <v>21</v>
      </c>
      <c r="AG309" s="141" t="s">
        <v>21</v>
      </c>
      <c r="AH309" s="141">
        <v>1.3474783664243305E-2</v>
      </c>
      <c r="AI309" s="141">
        <v>2.0512357726017373E-2</v>
      </c>
      <c r="AJ309" s="141" t="s">
        <v>21</v>
      </c>
      <c r="AK309" s="141" t="s">
        <v>21</v>
      </c>
    </row>
    <row r="310" spans="2:37" x14ac:dyDescent="0.35">
      <c r="B310" s="147" t="s">
        <v>277</v>
      </c>
      <c r="C310" s="148" t="s">
        <v>234</v>
      </c>
      <c r="D310" s="148" t="s">
        <v>278</v>
      </c>
      <c r="E310" s="148" t="s">
        <v>123</v>
      </c>
      <c r="F310" s="73" t="str">
        <f t="shared" si="33"/>
        <v/>
      </c>
      <c r="G310" s="60">
        <f t="shared" si="33"/>
        <v>5.4188146508575279E-2</v>
      </c>
      <c r="H310" s="60">
        <f t="shared" si="33"/>
        <v>5.9551997437366104E-2</v>
      </c>
      <c r="I310" s="60" t="str">
        <f t="shared" si="33"/>
        <v/>
      </c>
      <c r="J310" s="63" t="str">
        <f t="shared" si="33"/>
        <v/>
      </c>
      <c r="K310" s="60" t="str">
        <f t="shared" si="34"/>
        <v/>
      </c>
      <c r="L310" s="60">
        <f t="shared" si="34"/>
        <v>1.0967737608575282E-2</v>
      </c>
      <c r="M310" s="60">
        <f t="shared" si="34"/>
        <v>1.6215062337366092E-2</v>
      </c>
      <c r="N310" s="60" t="str">
        <f t="shared" si="34"/>
        <v/>
      </c>
      <c r="O310" s="63" t="str">
        <f t="shared" si="34"/>
        <v/>
      </c>
      <c r="P310" s="147" t="s">
        <v>632</v>
      </c>
      <c r="Q310" s="148" t="s">
        <v>633</v>
      </c>
      <c r="R310" s="152" t="s">
        <v>32</v>
      </c>
      <c r="S310" s="150">
        <v>5.4302460000000004E-2</v>
      </c>
      <c r="T310" s="63">
        <f t="shared" si="32"/>
        <v>5.2495374373661002E-3</v>
      </c>
      <c r="V310" s="153">
        <v>1.12962732</v>
      </c>
      <c r="W310" s="154">
        <v>2.84440085</v>
      </c>
      <c r="X310" s="154">
        <v>4.3239234099999999</v>
      </c>
      <c r="Y310" s="154">
        <v>5.5622107499999993</v>
      </c>
      <c r="Z310" s="155">
        <v>7.0324919700000006</v>
      </c>
      <c r="AB310" s="150" t="s">
        <v>21</v>
      </c>
      <c r="AC310" s="150">
        <v>5.4188146508575279E-2</v>
      </c>
      <c r="AD310" s="150">
        <v>5.9551997437366104E-2</v>
      </c>
      <c r="AE310" s="150" t="s">
        <v>21</v>
      </c>
      <c r="AF310" s="151" t="s">
        <v>21</v>
      </c>
      <c r="AG310" s="150" t="s">
        <v>21</v>
      </c>
      <c r="AH310" s="150">
        <v>1.0967737608575282E-2</v>
      </c>
      <c r="AI310" s="150">
        <v>1.6215062337366092E-2</v>
      </c>
      <c r="AJ310" s="150" t="s">
        <v>21</v>
      </c>
      <c r="AK310" s="150" t="s">
        <v>21</v>
      </c>
    </row>
    <row r="311" spans="2:37" x14ac:dyDescent="0.35">
      <c r="B311" s="55" t="s">
        <v>214</v>
      </c>
      <c r="C311" s="53" t="s">
        <v>234</v>
      </c>
      <c r="D311" s="53" t="s">
        <v>201</v>
      </c>
      <c r="E311" s="53" t="s">
        <v>295</v>
      </c>
      <c r="F311" s="75" t="str">
        <f t="shared" si="33"/>
        <v/>
      </c>
      <c r="G311" s="80">
        <f t="shared" si="33"/>
        <v>5.4845476342969643E-2</v>
      </c>
      <c r="H311" s="80">
        <f t="shared" si="33"/>
        <v>6.2988458903046052E-2</v>
      </c>
      <c r="I311" s="80" t="str">
        <f t="shared" si="33"/>
        <v/>
      </c>
      <c r="J311" s="62" t="str">
        <f t="shared" si="33"/>
        <v/>
      </c>
      <c r="K311" s="80" t="str">
        <f t="shared" si="34"/>
        <v/>
      </c>
      <c r="L311" s="80">
        <f t="shared" si="34"/>
        <v>1.1588953842969634E-2</v>
      </c>
      <c r="M311" s="80">
        <f t="shared" si="34"/>
        <v>1.9461483303046062E-2</v>
      </c>
      <c r="N311" s="80" t="str">
        <f t="shared" si="34"/>
        <v/>
      </c>
      <c r="O311" s="62" t="str">
        <f t="shared" si="34"/>
        <v/>
      </c>
      <c r="P311" s="55" t="s">
        <v>634</v>
      </c>
      <c r="Q311" s="53" t="s">
        <v>635</v>
      </c>
      <c r="R311" s="94" t="s">
        <v>32</v>
      </c>
      <c r="S311" s="71">
        <v>5.9028600000000007E-2</v>
      </c>
      <c r="T311" s="62">
        <f t="shared" si="32"/>
        <v>3.9598589030460443E-3</v>
      </c>
      <c r="V311" s="114">
        <v>1.13247893</v>
      </c>
      <c r="W311" s="72">
        <v>2.8511308999999998</v>
      </c>
      <c r="X311" s="72">
        <v>4.3132656000000003</v>
      </c>
      <c r="Y311" s="72">
        <v>5.5026177199999999</v>
      </c>
      <c r="Z311" s="115">
        <v>6.8774128399999999</v>
      </c>
      <c r="AB311" s="71" t="s">
        <v>21</v>
      </c>
      <c r="AC311" s="71">
        <v>5.4845476342969643E-2</v>
      </c>
      <c r="AD311" s="71">
        <v>6.2988458903046052E-2</v>
      </c>
      <c r="AE311" s="71" t="s">
        <v>21</v>
      </c>
      <c r="AF311" s="63" t="s">
        <v>21</v>
      </c>
      <c r="AG311" s="71" t="s">
        <v>21</v>
      </c>
      <c r="AH311" s="71">
        <v>1.1588953842969634E-2</v>
      </c>
      <c r="AI311" s="71">
        <v>1.9461483303046062E-2</v>
      </c>
      <c r="AJ311" s="71" t="s">
        <v>21</v>
      </c>
      <c r="AK311" s="71" t="s">
        <v>21</v>
      </c>
    </row>
    <row r="312" spans="2:37" x14ac:dyDescent="0.35">
      <c r="B312" s="55" t="s">
        <v>215</v>
      </c>
      <c r="C312" s="53" t="s">
        <v>234</v>
      </c>
      <c r="D312" s="53" t="s">
        <v>199</v>
      </c>
      <c r="E312" s="53" t="s">
        <v>636</v>
      </c>
      <c r="F312" s="73" t="str">
        <f t="shared" si="33"/>
        <v/>
      </c>
      <c r="G312" s="60">
        <f t="shared" si="33"/>
        <v>7.2601318917136254E-2</v>
      </c>
      <c r="H312" s="60">
        <f t="shared" si="33"/>
        <v>8.0800930944733423E-2</v>
      </c>
      <c r="I312" s="60" t="str">
        <f t="shared" si="33"/>
        <v/>
      </c>
      <c r="J312" s="63" t="str">
        <f t="shared" si="33"/>
        <v/>
      </c>
      <c r="K312" s="60" t="str">
        <f t="shared" si="34"/>
        <v/>
      </c>
      <c r="L312" s="60">
        <f t="shared" si="34"/>
        <v>2.8121450717136242E-2</v>
      </c>
      <c r="M312" s="60">
        <f t="shared" si="34"/>
        <v>3.5899503744733413E-2</v>
      </c>
      <c r="N312" s="60" t="str">
        <f t="shared" si="34"/>
        <v/>
      </c>
      <c r="O312" s="63" t="str">
        <f t="shared" si="34"/>
        <v/>
      </c>
      <c r="P312" s="55" t="s">
        <v>21</v>
      </c>
      <c r="Q312" s="53" t="s">
        <v>21</v>
      </c>
      <c r="R312" s="94" t="s">
        <v>21</v>
      </c>
      <c r="S312" s="71">
        <v>0</v>
      </c>
      <c r="T312" s="63">
        <f t="shared" si="32"/>
        <v>8.0800930944733423E-2</v>
      </c>
      <c r="V312" s="114">
        <v>1.1029047300000001</v>
      </c>
      <c r="W312" s="72">
        <v>2.7077829900000001</v>
      </c>
      <c r="X312" s="72">
        <v>4.0113183500000007</v>
      </c>
      <c r="Y312" s="72">
        <v>5.0151341399999998</v>
      </c>
      <c r="Z312" s="115">
        <v>6.1145119999999995</v>
      </c>
      <c r="AB312" s="71" t="s">
        <v>21</v>
      </c>
      <c r="AC312" s="71">
        <v>7.2601318917136254E-2</v>
      </c>
      <c r="AD312" s="71">
        <v>8.0800930944733423E-2</v>
      </c>
      <c r="AE312" s="71" t="s">
        <v>21</v>
      </c>
      <c r="AF312" s="63" t="s">
        <v>21</v>
      </c>
      <c r="AG312" s="71" t="s">
        <v>21</v>
      </c>
      <c r="AH312" s="71">
        <v>2.8121450717136242E-2</v>
      </c>
      <c r="AI312" s="71">
        <v>3.5899503744733413E-2</v>
      </c>
      <c r="AJ312" s="71" t="s">
        <v>21</v>
      </c>
      <c r="AK312" s="71" t="s">
        <v>21</v>
      </c>
    </row>
    <row r="313" spans="2:37" x14ac:dyDescent="0.35">
      <c r="B313" s="55" t="s">
        <v>282</v>
      </c>
      <c r="C313" s="53" t="s">
        <v>234</v>
      </c>
      <c r="D313" s="53" t="s">
        <v>201</v>
      </c>
      <c r="E313" s="53" t="s">
        <v>133</v>
      </c>
      <c r="F313" s="73" t="str">
        <f t="shared" si="33"/>
        <v/>
      </c>
      <c r="G313" s="60" t="str">
        <f t="shared" si="33"/>
        <v/>
      </c>
      <c r="H313" s="60">
        <f t="shared" si="33"/>
        <v>5.2340919832573225E-2</v>
      </c>
      <c r="I313" s="60" t="str">
        <f t="shared" si="33"/>
        <v/>
      </c>
      <c r="J313" s="63" t="str">
        <f t="shared" si="33"/>
        <v/>
      </c>
      <c r="K313" s="60" t="str">
        <f t="shared" si="34"/>
        <v/>
      </c>
      <c r="L313" s="60" t="str">
        <f t="shared" si="34"/>
        <v/>
      </c>
      <c r="M313" s="60">
        <f t="shared" si="34"/>
        <v>9.3039995325732202E-3</v>
      </c>
      <c r="N313" s="60" t="str">
        <f t="shared" si="34"/>
        <v/>
      </c>
      <c r="O313" s="63" t="str">
        <f t="shared" si="34"/>
        <v/>
      </c>
      <c r="P313" s="55" t="s">
        <v>296</v>
      </c>
      <c r="Q313" s="53" t="s">
        <v>297</v>
      </c>
      <c r="R313" s="94">
        <v>47581</v>
      </c>
      <c r="S313" s="71">
        <v>5.6152210000000001E-2</v>
      </c>
      <c r="T313" s="63">
        <f t="shared" si="32"/>
        <v>-3.8112901674267757E-3</v>
      </c>
      <c r="V313" s="114">
        <v>1.13402417</v>
      </c>
      <c r="W313" s="72">
        <v>2.87997419</v>
      </c>
      <c r="X313" s="72">
        <v>4.4204469399999997</v>
      </c>
      <c r="Y313" s="72">
        <v>5.7407943599999998</v>
      </c>
      <c r="Z313" s="115">
        <v>7.3602073299999997</v>
      </c>
      <c r="AB313" s="71" t="s">
        <v>21</v>
      </c>
      <c r="AC313" s="71"/>
      <c r="AD313" s="71">
        <v>5.2340919832573225E-2</v>
      </c>
      <c r="AE313" s="71" t="s">
        <v>21</v>
      </c>
      <c r="AF313" s="63" t="s">
        <v>21</v>
      </c>
      <c r="AG313" s="71" t="s">
        <v>21</v>
      </c>
      <c r="AH313" s="71"/>
      <c r="AI313" s="71">
        <v>9.3039995325732202E-3</v>
      </c>
      <c r="AJ313" s="71" t="s">
        <v>21</v>
      </c>
      <c r="AK313" s="71" t="s">
        <v>21</v>
      </c>
    </row>
    <row r="314" spans="2:37" x14ac:dyDescent="0.35">
      <c r="B314" s="55" t="s">
        <v>283</v>
      </c>
      <c r="C314" s="53" t="s">
        <v>234</v>
      </c>
      <c r="D314" s="53" t="s">
        <v>197</v>
      </c>
      <c r="E314" s="53" t="s">
        <v>637</v>
      </c>
      <c r="F314" s="73" t="str">
        <f t="shared" si="33"/>
        <v/>
      </c>
      <c r="G314" s="60" t="str">
        <f t="shared" si="33"/>
        <v/>
      </c>
      <c r="H314" s="60">
        <f t="shared" si="33"/>
        <v>7.9670338865721266E-2</v>
      </c>
      <c r="I314" s="60" t="str">
        <f t="shared" si="33"/>
        <v/>
      </c>
      <c r="J314" s="63" t="str">
        <f t="shared" si="33"/>
        <v/>
      </c>
      <c r="K314" s="60" t="str">
        <f t="shared" si="34"/>
        <v/>
      </c>
      <c r="L314" s="60" t="str">
        <f t="shared" si="34"/>
        <v/>
      </c>
      <c r="M314" s="60">
        <f t="shared" si="34"/>
        <v>3.4833159765721267E-2</v>
      </c>
      <c r="N314" s="60" t="str">
        <f t="shared" si="34"/>
        <v/>
      </c>
      <c r="O314" s="63" t="str">
        <f t="shared" si="34"/>
        <v/>
      </c>
      <c r="P314" s="55" t="s">
        <v>21</v>
      </c>
      <c r="Q314" s="53" t="s">
        <v>21</v>
      </c>
      <c r="R314" s="94" t="s">
        <v>21</v>
      </c>
      <c r="S314" s="71">
        <v>0</v>
      </c>
      <c r="T314" s="63">
        <f t="shared" si="32"/>
        <v>7.9670338865721266E-2</v>
      </c>
      <c r="V314" s="114">
        <v>1.1030491899999999</v>
      </c>
      <c r="W314" s="72">
        <v>2.6972822700000001</v>
      </c>
      <c r="X314" s="72">
        <v>4.0015180099999998</v>
      </c>
      <c r="Y314" s="72">
        <v>5.0516878100000007</v>
      </c>
      <c r="Z314" s="115">
        <v>6.2709497200000008</v>
      </c>
      <c r="AB314" s="71" t="s">
        <v>21</v>
      </c>
      <c r="AC314" s="71"/>
      <c r="AD314" s="71">
        <v>7.9670338865721266E-2</v>
      </c>
      <c r="AE314" s="71" t="s">
        <v>21</v>
      </c>
      <c r="AF314" s="63" t="s">
        <v>21</v>
      </c>
      <c r="AG314" s="71" t="s">
        <v>21</v>
      </c>
      <c r="AH314" s="71"/>
      <c r="AI314" s="71">
        <v>3.4833159765721267E-2</v>
      </c>
      <c r="AJ314" s="71" t="s">
        <v>21</v>
      </c>
      <c r="AK314" s="71" t="s">
        <v>21</v>
      </c>
    </row>
    <row r="315" spans="2:37" x14ac:dyDescent="0.35">
      <c r="B315" s="55" t="s">
        <v>284</v>
      </c>
      <c r="C315" s="53" t="s">
        <v>234</v>
      </c>
      <c r="D315" s="53" t="s">
        <v>197</v>
      </c>
      <c r="E315" s="53" t="s">
        <v>638</v>
      </c>
      <c r="F315" s="73" t="str">
        <f t="shared" si="33"/>
        <v/>
      </c>
      <c r="G315" s="60" t="str">
        <f t="shared" si="33"/>
        <v/>
      </c>
      <c r="H315" s="60">
        <f t="shared" si="33"/>
        <v>8.375302231683289E-2</v>
      </c>
      <c r="I315" s="60" t="str">
        <f t="shared" si="33"/>
        <v/>
      </c>
      <c r="J315" s="63" t="str">
        <f t="shared" si="33"/>
        <v/>
      </c>
      <c r="K315" s="60" t="str">
        <f t="shared" si="34"/>
        <v/>
      </c>
      <c r="L315" s="60" t="str">
        <f t="shared" si="34"/>
        <v/>
      </c>
      <c r="M315" s="60">
        <f t="shared" si="34"/>
        <v>3.9034831716832884E-2</v>
      </c>
      <c r="N315" s="60" t="str">
        <f t="shared" si="34"/>
        <v/>
      </c>
      <c r="O315" s="63" t="str">
        <f t="shared" si="34"/>
        <v/>
      </c>
      <c r="P315" s="55" t="s">
        <v>21</v>
      </c>
      <c r="Q315" s="53" t="s">
        <v>21</v>
      </c>
      <c r="R315" s="94" t="s">
        <v>21</v>
      </c>
      <c r="S315" s="71">
        <v>0</v>
      </c>
      <c r="T315" s="63">
        <f t="shared" si="32"/>
        <v>8.375302231683289E-2</v>
      </c>
      <c r="V315" s="114">
        <v>1.10608518</v>
      </c>
      <c r="W315" s="72">
        <v>2.7249001700000002</v>
      </c>
      <c r="X315" s="72">
        <v>4.0429485999999999</v>
      </c>
      <c r="Y315" s="72">
        <v>5.07133448</v>
      </c>
      <c r="Z315" s="115">
        <v>6.1833972700000004</v>
      </c>
      <c r="AB315" s="71" t="s">
        <v>21</v>
      </c>
      <c r="AC315" s="71"/>
      <c r="AD315" s="71">
        <v>8.375302231683289E-2</v>
      </c>
      <c r="AE315" s="71" t="s">
        <v>21</v>
      </c>
      <c r="AF315" s="63" t="s">
        <v>21</v>
      </c>
      <c r="AG315" s="71" t="s">
        <v>21</v>
      </c>
      <c r="AH315" s="71"/>
      <c r="AI315" s="71">
        <v>3.9034831716832884E-2</v>
      </c>
      <c r="AJ315" s="71" t="s">
        <v>21</v>
      </c>
      <c r="AK315" s="71" t="s">
        <v>21</v>
      </c>
    </row>
    <row r="316" spans="2:37" x14ac:dyDescent="0.35">
      <c r="B316" s="57" t="s">
        <v>285</v>
      </c>
      <c r="C316" s="53" t="s">
        <v>234</v>
      </c>
      <c r="D316" s="67" t="s">
        <v>197</v>
      </c>
      <c r="E316" s="67" t="s">
        <v>270</v>
      </c>
      <c r="F316" s="74" t="str">
        <f t="shared" si="33"/>
        <v/>
      </c>
      <c r="G316" s="76" t="str">
        <f t="shared" si="33"/>
        <v/>
      </c>
      <c r="H316" s="76">
        <f t="shared" si="33"/>
        <v>8.6890594127108062E-2</v>
      </c>
      <c r="I316" s="76" t="str">
        <f t="shared" si="33"/>
        <v/>
      </c>
      <c r="J316" s="64" t="str">
        <f t="shared" si="33"/>
        <v/>
      </c>
      <c r="K316" s="76" t="str">
        <f t="shared" si="34"/>
        <v/>
      </c>
      <c r="L316" s="76" t="str">
        <f t="shared" si="34"/>
        <v/>
      </c>
      <c r="M316" s="76">
        <f t="shared" si="34"/>
        <v>4.0990405827108063E-2</v>
      </c>
      <c r="N316" s="76" t="str">
        <f t="shared" si="34"/>
        <v/>
      </c>
      <c r="O316" s="64" t="str">
        <f t="shared" si="34"/>
        <v/>
      </c>
      <c r="P316" s="57" t="s">
        <v>639</v>
      </c>
      <c r="Q316" s="67" t="s">
        <v>640</v>
      </c>
      <c r="R316" s="96">
        <v>47560</v>
      </c>
      <c r="S316" s="76">
        <v>8.3131200000000002E-2</v>
      </c>
      <c r="T316" s="64">
        <f t="shared" si="32"/>
        <v>3.7593941271080594E-3</v>
      </c>
      <c r="V316" s="116">
        <v>1.09750218</v>
      </c>
      <c r="W316" s="108">
        <v>2.64635832</v>
      </c>
      <c r="X316" s="108">
        <v>3.8609730400000002</v>
      </c>
      <c r="Y316" s="108">
        <v>4.7947236699999998</v>
      </c>
      <c r="Z316" s="117">
        <v>5.7623122999999996</v>
      </c>
      <c r="AB316" s="76" t="s">
        <v>21</v>
      </c>
      <c r="AC316" s="76"/>
      <c r="AD316" s="76">
        <v>8.6890594127108062E-2</v>
      </c>
      <c r="AE316" s="76" t="s">
        <v>21</v>
      </c>
      <c r="AF316" s="64" t="s">
        <v>21</v>
      </c>
      <c r="AG316" s="76" t="s">
        <v>21</v>
      </c>
      <c r="AH316" s="76"/>
      <c r="AI316" s="76">
        <v>4.0990405827108063E-2</v>
      </c>
      <c r="AJ316" s="76" t="s">
        <v>21</v>
      </c>
      <c r="AK316" s="76" t="s">
        <v>21</v>
      </c>
    </row>
    <row r="317" spans="2:37" x14ac:dyDescent="0.35">
      <c r="B317" s="66"/>
      <c r="C317" s="66"/>
      <c r="D317" s="66"/>
      <c r="E317" s="66"/>
      <c r="P317" s="66"/>
      <c r="Q317" s="66"/>
      <c r="R317" s="66"/>
      <c r="S317" s="66"/>
      <c r="V317" s="66"/>
      <c r="W317" s="66"/>
      <c r="X317" s="66"/>
      <c r="Y317" s="66"/>
      <c r="Z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</row>
    <row r="318" spans="2:37" ht="15.5" x14ac:dyDescent="0.35">
      <c r="B318" s="122" t="s">
        <v>286</v>
      </c>
    </row>
    <row r="319" spans="2:37" x14ac:dyDescent="0.35">
      <c r="B319" s="85" t="s">
        <v>5</v>
      </c>
      <c r="C319" s="84" t="s">
        <v>6</v>
      </c>
      <c r="D319" s="84" t="s">
        <v>7</v>
      </c>
      <c r="E319" s="84" t="s">
        <v>8</v>
      </c>
      <c r="F319" s="83" t="s">
        <v>9</v>
      </c>
      <c r="G319" s="82" t="s">
        <v>10</v>
      </c>
      <c r="H319" s="82" t="s">
        <v>11</v>
      </c>
      <c r="I319" s="82" t="s">
        <v>12</v>
      </c>
      <c r="J319" s="81" t="s">
        <v>13</v>
      </c>
      <c r="K319" s="83" t="s">
        <v>9</v>
      </c>
      <c r="L319" s="82" t="s">
        <v>10</v>
      </c>
      <c r="M319" s="82" t="s">
        <v>11</v>
      </c>
      <c r="N319" s="82" t="s">
        <v>12</v>
      </c>
      <c r="O319" s="81" t="s">
        <v>13</v>
      </c>
      <c r="P319" s="83" t="s">
        <v>14</v>
      </c>
      <c r="Q319" s="82" t="s">
        <v>15</v>
      </c>
      <c r="R319" s="82" t="s">
        <v>16</v>
      </c>
      <c r="S319" s="82" t="s">
        <v>407</v>
      </c>
      <c r="T319" s="58" t="s">
        <v>18</v>
      </c>
      <c r="V319" s="110" t="s">
        <v>9</v>
      </c>
      <c r="W319" s="106" t="s">
        <v>10</v>
      </c>
      <c r="X319" s="106" t="s">
        <v>11</v>
      </c>
      <c r="Y319" s="106" t="s">
        <v>12</v>
      </c>
      <c r="Z319" s="111" t="s">
        <v>13</v>
      </c>
      <c r="AB319" s="83" t="s">
        <v>9</v>
      </c>
      <c r="AC319" s="82" t="s">
        <v>10</v>
      </c>
      <c r="AD319" s="82" t="s">
        <v>11</v>
      </c>
      <c r="AE319" s="82" t="s">
        <v>12</v>
      </c>
      <c r="AF319" s="81" t="s">
        <v>13</v>
      </c>
      <c r="AG319" s="82" t="s">
        <v>9</v>
      </c>
      <c r="AH319" s="82" t="s">
        <v>10</v>
      </c>
      <c r="AI319" s="82" t="s">
        <v>11</v>
      </c>
      <c r="AJ319" s="82" t="s">
        <v>12</v>
      </c>
      <c r="AK319" s="82" t="s">
        <v>13</v>
      </c>
    </row>
    <row r="320" spans="2:37" x14ac:dyDescent="0.35">
      <c r="B320" s="55" t="s">
        <v>641</v>
      </c>
      <c r="C320" s="53" t="s">
        <v>234</v>
      </c>
      <c r="D320" s="53" t="s">
        <v>642</v>
      </c>
      <c r="E320" s="53" t="s">
        <v>643</v>
      </c>
      <c r="F320" s="73">
        <f>IF(ISNUMBER(AB320),AB320-((C$4-C$3)/V320),"")</f>
        <v>4.3465132635428567E-2</v>
      </c>
      <c r="G320" s="60">
        <f>IF(ISNUMBER(AC320),AC320-((D$4-D$3)/W320),"")</f>
        <v>5.0312754075906616E-2</v>
      </c>
      <c r="H320" s="60">
        <f>IF(ISNUMBER(AD320),AD320-((E$4-E$3)/X320),"")</f>
        <v>5.6038227077936015E-2</v>
      </c>
      <c r="I320" s="60">
        <f>IF(ISNUMBER(AE320),AE320-((F$4-F$3)/Y320),"")</f>
        <v>5.829405834624362E-2</v>
      </c>
      <c r="J320" s="63">
        <f>IF(ISNUMBER(AF320),AF320-((G$4-G$3)/Z320),"")</f>
        <v>6.0792662381067335E-2</v>
      </c>
      <c r="K320" s="60">
        <f>IF(ISNUMBER(AG320),IF(AG320-((C$4-C$3)/V320)&lt;0,"",AG320-((C$4-C$3)/V320)),"")</f>
        <v>1.1785523542857685E-4</v>
      </c>
      <c r="L320" s="60">
        <f>IF(ISNUMBER(AH320),IF(AH320-((D$4-D$3)/W320)&lt;0,"",AH320-((D$4-D$3)/W320)),"")</f>
        <v>7.2485930759066111E-3</v>
      </c>
      <c r="M320" s="60">
        <f>IF(ISNUMBER(AI320),IF(AI320-((E$4-E$3)/X320)&lt;0,"",AI320-((E$4-E$3)/X320)),"")</f>
        <v>1.2841073677936011E-2</v>
      </c>
      <c r="N320" s="60">
        <f>IF(ISNUMBER(AJ320),IF(AJ320-((F$4-F$3)/Y320)&lt;0,"",AJ320-((F$4-F$3)/Y320)),"")</f>
        <v>1.440720634624364E-2</v>
      </c>
      <c r="O320" s="63">
        <f>IF(ISNUMBER(AK320),IF(AK320-((G$4-G$3)/Z320)&lt;0,"",AK320-((G$4-G$3)/Z320)),"")</f>
        <v>1.5527037481067334E-2</v>
      </c>
      <c r="P320" s="55" t="s">
        <v>644</v>
      </c>
      <c r="Q320" s="53" t="s">
        <v>645</v>
      </c>
      <c r="R320" s="94">
        <v>47545</v>
      </c>
      <c r="S320" s="71">
        <v>4.8356679999999999E-2</v>
      </c>
      <c r="T320" s="63">
        <f t="shared" ref="T320:T325" si="35">IF(S320="","",H320-S320)</f>
        <v>7.6815470779360157E-3</v>
      </c>
      <c r="V320" s="114">
        <v>1.1338600599999999</v>
      </c>
      <c r="W320" s="72">
        <v>2.8687120900000003</v>
      </c>
      <c r="X320" s="72">
        <v>4.3750157700000001</v>
      </c>
      <c r="Y320" s="72">
        <v>5.6536745100000001</v>
      </c>
      <c r="Z320" s="115">
        <v>7.2366262099999998</v>
      </c>
      <c r="AB320" s="71">
        <v>4.3465132635428567E-2</v>
      </c>
      <c r="AC320" s="71">
        <v>5.0312754075906616E-2</v>
      </c>
      <c r="AD320" s="71">
        <v>5.6038227077936015E-2</v>
      </c>
      <c r="AE320" s="71">
        <v>5.829405834624362E-2</v>
      </c>
      <c r="AF320" s="63">
        <v>6.0792662381067335E-2</v>
      </c>
      <c r="AG320" s="71">
        <v>1.1785523542857685E-4</v>
      </c>
      <c r="AH320" s="71">
        <v>7.2485930759066111E-3</v>
      </c>
      <c r="AI320" s="71">
        <v>1.2841073677936011E-2</v>
      </c>
      <c r="AJ320" s="71">
        <v>1.440720634624364E-2</v>
      </c>
      <c r="AK320" s="71">
        <v>1.5527037481067334E-2</v>
      </c>
    </row>
    <row r="321" spans="2:37" x14ac:dyDescent="0.35">
      <c r="B321" s="55" t="s">
        <v>646</v>
      </c>
      <c r="C321" s="53" t="s">
        <v>234</v>
      </c>
      <c r="D321" s="53" t="s">
        <v>647</v>
      </c>
      <c r="E321" s="53" t="s">
        <v>266</v>
      </c>
      <c r="F321" s="73">
        <f t="shared" ref="F321:J325" si="36">IF(ISNUMBER(AB321),AB321-((C$4-C$3)/V321),"")</f>
        <v>4.4221704159642744E-2</v>
      </c>
      <c r="G321" s="60">
        <f t="shared" si="36"/>
        <v>5.072319200998103E-2</v>
      </c>
      <c r="H321" s="60">
        <f t="shared" si="36"/>
        <v>5.6016925714833347E-2</v>
      </c>
      <c r="I321" s="60">
        <f t="shared" si="36"/>
        <v>5.8118695443038999E-2</v>
      </c>
      <c r="J321" s="63">
        <f t="shared" si="36"/>
        <v>6.065514505189519E-2</v>
      </c>
      <c r="K321" s="60">
        <f t="shared" ref="K321:O325" si="37">IF(ISNUMBER(AG321),IF(AG321-((C$4-C$3)/V321)&lt;0,"",AG321-((C$4-C$3)/V321)),"")</f>
        <v>8.4459895964275437E-4</v>
      </c>
      <c r="L321" s="60">
        <f t="shared" si="37"/>
        <v>7.6395050099810373E-3</v>
      </c>
      <c r="M321" s="60">
        <f t="shared" si="37"/>
        <v>1.2823011314833344E-2</v>
      </c>
      <c r="N321" s="60">
        <f t="shared" si="37"/>
        <v>1.4242516243039009E-2</v>
      </c>
      <c r="O321" s="63">
        <f t="shared" si="37"/>
        <v>1.5394939851895186E-2</v>
      </c>
      <c r="P321" s="55" t="s">
        <v>21</v>
      </c>
      <c r="Q321" s="53" t="s">
        <v>21</v>
      </c>
      <c r="R321" s="94" t="s">
        <v>21</v>
      </c>
      <c r="S321" s="71">
        <v>0</v>
      </c>
      <c r="T321" s="63">
        <f t="shared" si="35"/>
        <v>5.6016925714833347E-2</v>
      </c>
      <c r="V321" s="114">
        <v>1.1323901399999998</v>
      </c>
      <c r="W321" s="72">
        <v>2.8634249500000002</v>
      </c>
      <c r="X321" s="72">
        <v>4.36929283</v>
      </c>
      <c r="Y321" s="72">
        <v>5.65168435</v>
      </c>
      <c r="Z321" s="115">
        <v>7.2394998599999996</v>
      </c>
      <c r="AB321" s="71">
        <v>4.4221704159642744E-2</v>
      </c>
      <c r="AC321" s="71">
        <v>5.072319200998103E-2</v>
      </c>
      <c r="AD321" s="71">
        <v>5.6016925714833347E-2</v>
      </c>
      <c r="AE321" s="71">
        <v>5.8118695443038999E-2</v>
      </c>
      <c r="AF321" s="63">
        <v>6.065514505189519E-2</v>
      </c>
      <c r="AG321" s="71">
        <v>8.4459895964275437E-4</v>
      </c>
      <c r="AH321" s="71">
        <v>7.6395050099810373E-3</v>
      </c>
      <c r="AI321" s="71">
        <v>1.2823011314833344E-2</v>
      </c>
      <c r="AJ321" s="71">
        <v>1.4242516243039009E-2</v>
      </c>
      <c r="AK321" s="71">
        <v>1.5394939851895186E-2</v>
      </c>
    </row>
    <row r="322" spans="2:37" x14ac:dyDescent="0.35">
      <c r="B322" s="55" t="s">
        <v>289</v>
      </c>
      <c r="C322" s="53" t="s">
        <v>234</v>
      </c>
      <c r="D322" s="53" t="s">
        <v>287</v>
      </c>
      <c r="E322" s="53" t="s">
        <v>181</v>
      </c>
      <c r="F322" s="73">
        <f t="shared" si="36"/>
        <v>4.2240665848847885E-2</v>
      </c>
      <c r="G322" s="60">
        <f t="shared" si="36"/>
        <v>4.858199514553152E-2</v>
      </c>
      <c r="H322" s="60">
        <f t="shared" si="36"/>
        <v>5.3255767396605293E-2</v>
      </c>
      <c r="I322" s="60">
        <f t="shared" si="36"/>
        <v>5.590113066231573E-2</v>
      </c>
      <c r="J322" s="63">
        <f t="shared" si="36"/>
        <v>5.8724165412672204E-2</v>
      </c>
      <c r="K322" s="60" t="str">
        <f t="shared" si="37"/>
        <v/>
      </c>
      <c r="L322" s="60">
        <f t="shared" si="37"/>
        <v>5.6036402455315257E-3</v>
      </c>
      <c r="M322" s="60">
        <f t="shared" si="37"/>
        <v>1.0209324696605284E-2</v>
      </c>
      <c r="N322" s="60">
        <f t="shared" si="37"/>
        <v>1.2144966462315727E-2</v>
      </c>
      <c r="O322" s="63">
        <f t="shared" si="37"/>
        <v>1.3564364412672204E-2</v>
      </c>
      <c r="P322" s="55" t="s">
        <v>648</v>
      </c>
      <c r="Q322" s="53" t="s">
        <v>649</v>
      </c>
      <c r="R322" s="94" t="s">
        <v>32</v>
      </c>
      <c r="S322" s="71">
        <v>4.9587479999999996E-2</v>
      </c>
      <c r="T322" s="63">
        <f t="shared" si="35"/>
        <v>3.6682873966052965E-3</v>
      </c>
      <c r="V322" s="114">
        <v>1.1362668500000002</v>
      </c>
      <c r="W322" s="72">
        <v>2.8842410900000002</v>
      </c>
      <c r="X322" s="72">
        <v>4.4219863200000002</v>
      </c>
      <c r="Y322" s="72">
        <v>5.7336842199999998</v>
      </c>
      <c r="Z322" s="115">
        <v>7.3615973599999993</v>
      </c>
      <c r="AB322" s="71">
        <v>4.2240665848847885E-2</v>
      </c>
      <c r="AC322" s="71">
        <v>4.858199514553152E-2</v>
      </c>
      <c r="AD322" s="71">
        <v>5.3255767396605293E-2</v>
      </c>
      <c r="AE322" s="71">
        <v>5.590113066231573E-2</v>
      </c>
      <c r="AF322" s="63">
        <v>5.8724165412672204E-2</v>
      </c>
      <c r="AG322" s="71" t="s">
        <v>21</v>
      </c>
      <c r="AH322" s="71">
        <v>5.6036402455315257E-3</v>
      </c>
      <c r="AI322" s="71">
        <v>1.0209324696605284E-2</v>
      </c>
      <c r="AJ322" s="71">
        <v>1.2144966462315727E-2</v>
      </c>
      <c r="AK322" s="71">
        <v>1.3564364412672204E-2</v>
      </c>
    </row>
    <row r="323" spans="2:37" x14ac:dyDescent="0.35">
      <c r="B323" s="55" t="s">
        <v>650</v>
      </c>
      <c r="C323" s="53" t="s">
        <v>234</v>
      </c>
      <c r="D323" s="53" t="s">
        <v>642</v>
      </c>
      <c r="E323" s="53" t="s">
        <v>651</v>
      </c>
      <c r="F323" s="73">
        <f t="shared" si="36"/>
        <v>4.4000865306341758E-2</v>
      </c>
      <c r="G323" s="60">
        <f t="shared" si="36"/>
        <v>5.2054522903340963E-2</v>
      </c>
      <c r="H323" s="60">
        <f t="shared" si="36"/>
        <v>5.7569324041442237E-2</v>
      </c>
      <c r="I323" s="60">
        <f t="shared" si="36"/>
        <v>6.0645165338714599E-2</v>
      </c>
      <c r="J323" s="63">
        <f t="shared" si="36"/>
        <v>6.4442000368592559E-2</v>
      </c>
      <c r="K323" s="60">
        <f t="shared" si="37"/>
        <v>6.219625063417604E-4</v>
      </c>
      <c r="L323" s="60">
        <f t="shared" si="37"/>
        <v>8.8898641033409512E-3</v>
      </c>
      <c r="M323" s="60">
        <f t="shared" si="37"/>
        <v>1.4278702541442229E-2</v>
      </c>
      <c r="N323" s="60">
        <f t="shared" si="37"/>
        <v>1.661294603871458E-2</v>
      </c>
      <c r="O323" s="63">
        <f t="shared" si="37"/>
        <v>1.8970864268592558E-2</v>
      </c>
      <c r="P323" s="55" t="s">
        <v>652</v>
      </c>
      <c r="Q323" s="53" t="s">
        <v>653</v>
      </c>
      <c r="R323" s="94">
        <v>47651</v>
      </c>
      <c r="S323" s="71">
        <v>5.0055530000000001E-2</v>
      </c>
      <c r="T323" s="63">
        <f t="shared" si="35"/>
        <v>7.5137940414422358E-3</v>
      </c>
      <c r="V323" s="114">
        <v>1.1328799899999999</v>
      </c>
      <c r="W323" s="72">
        <v>2.8570433900000003</v>
      </c>
      <c r="X323" s="72">
        <v>4.3456295599999999</v>
      </c>
      <c r="Y323" s="72">
        <v>5.5934127</v>
      </c>
      <c r="Z323" s="115">
        <v>7.0908766100000005</v>
      </c>
      <c r="AB323" s="71">
        <v>4.4000865306341758E-2</v>
      </c>
      <c r="AC323" s="71">
        <v>5.2054522903340963E-2</v>
      </c>
      <c r="AD323" s="71">
        <v>5.7569324041442237E-2</v>
      </c>
      <c r="AE323" s="71">
        <v>6.0645165338714599E-2</v>
      </c>
      <c r="AF323" s="63">
        <v>6.4442000368592559E-2</v>
      </c>
      <c r="AG323" s="71">
        <v>6.219625063417604E-4</v>
      </c>
      <c r="AH323" s="71">
        <v>8.8898641033409512E-3</v>
      </c>
      <c r="AI323" s="71">
        <v>1.4278702541442229E-2</v>
      </c>
      <c r="AJ323" s="71">
        <v>1.661294603871458E-2</v>
      </c>
      <c r="AK323" s="71">
        <v>1.8970864268592558E-2</v>
      </c>
    </row>
    <row r="324" spans="2:37" x14ac:dyDescent="0.35">
      <c r="B324" s="55" t="s">
        <v>654</v>
      </c>
      <c r="C324" s="53" t="s">
        <v>234</v>
      </c>
      <c r="D324" s="53" t="s">
        <v>642</v>
      </c>
      <c r="E324" s="53" t="s">
        <v>643</v>
      </c>
      <c r="F324" s="73">
        <f t="shared" si="36"/>
        <v>4.475155695068099E-2</v>
      </c>
      <c r="G324" s="60">
        <f t="shared" si="36"/>
        <v>5.2521456624073239E-2</v>
      </c>
      <c r="H324" s="60">
        <f t="shared" si="36"/>
        <v>5.8309304211556806E-2</v>
      </c>
      <c r="I324" s="60">
        <f t="shared" si="36"/>
        <v>6.0697270860210803E-2</v>
      </c>
      <c r="J324" s="63">
        <f t="shared" si="36"/>
        <v>6.38450624080905E-2</v>
      </c>
      <c r="K324" s="60">
        <f t="shared" si="37"/>
        <v>1.346574450680987E-3</v>
      </c>
      <c r="L324" s="60">
        <f t="shared" si="37"/>
        <v>9.3356701240732403E-3</v>
      </c>
      <c r="M324" s="60">
        <f t="shared" si="37"/>
        <v>1.4976714411556794E-2</v>
      </c>
      <c r="N324" s="60">
        <f t="shared" si="37"/>
        <v>1.666457406021081E-2</v>
      </c>
      <c r="O324" s="63">
        <f t="shared" si="37"/>
        <v>1.8406644508090521E-2</v>
      </c>
      <c r="P324" s="55" t="s">
        <v>655</v>
      </c>
      <c r="Q324" s="53" t="s">
        <v>656</v>
      </c>
      <c r="R324" s="94">
        <v>47599</v>
      </c>
      <c r="S324" s="71">
        <v>5.0138580000000002E-2</v>
      </c>
      <c r="T324" s="63">
        <f t="shared" si="35"/>
        <v>8.1707242115568041E-3</v>
      </c>
      <c r="V324" s="114">
        <v>1.1313270199999998</v>
      </c>
      <c r="W324" s="72">
        <v>2.8507101800000001</v>
      </c>
      <c r="X324" s="72">
        <v>4.3315109300000003</v>
      </c>
      <c r="Y324" s="72">
        <v>5.5781333799999997</v>
      </c>
      <c r="Z324" s="115">
        <v>7.0936636900000005</v>
      </c>
      <c r="AB324" s="71">
        <v>4.475155695068099E-2</v>
      </c>
      <c r="AC324" s="71">
        <v>5.2521456624073239E-2</v>
      </c>
      <c r="AD324" s="71">
        <v>5.8309304211556806E-2</v>
      </c>
      <c r="AE324" s="71">
        <v>6.0697270860210803E-2</v>
      </c>
      <c r="AF324" s="63">
        <v>6.38450624080905E-2</v>
      </c>
      <c r="AG324" s="71">
        <v>1.346574450680987E-3</v>
      </c>
      <c r="AH324" s="71">
        <v>9.3356701240732403E-3</v>
      </c>
      <c r="AI324" s="71">
        <v>1.4976714411556794E-2</v>
      </c>
      <c r="AJ324" s="71">
        <v>1.666457406021081E-2</v>
      </c>
      <c r="AK324" s="71">
        <v>1.8406644508090521E-2</v>
      </c>
    </row>
    <row r="325" spans="2:37" x14ac:dyDescent="0.35">
      <c r="B325" s="57" t="s">
        <v>657</v>
      </c>
      <c r="C325" s="67" t="s">
        <v>234</v>
      </c>
      <c r="D325" s="67" t="s">
        <v>642</v>
      </c>
      <c r="E325" s="67" t="s">
        <v>658</v>
      </c>
      <c r="F325" s="74">
        <f t="shared" si="36"/>
        <v>4.4969419875572778E-2</v>
      </c>
      <c r="G325" s="76">
        <f t="shared" si="36"/>
        <v>5.3365035734658534E-2</v>
      </c>
      <c r="H325" s="76">
        <f t="shared" si="36"/>
        <v>5.8799241229615488E-2</v>
      </c>
      <c r="I325" s="76">
        <f t="shared" si="36"/>
        <v>6.1390809643583025E-2</v>
      </c>
      <c r="J325" s="64">
        <f t="shared" si="36"/>
        <v>6.4414720946686418E-2</v>
      </c>
      <c r="K325" s="76">
        <f t="shared" si="37"/>
        <v>1.557725475572775E-3</v>
      </c>
      <c r="L325" s="76">
        <f t="shared" si="37"/>
        <v>1.0133508534658536E-2</v>
      </c>
      <c r="M325" s="76">
        <f t="shared" si="37"/>
        <v>1.5437144429615487E-2</v>
      </c>
      <c r="N325" s="76">
        <f t="shared" si="37"/>
        <v>1.7314862743583029E-2</v>
      </c>
      <c r="O325" s="64">
        <f t="shared" si="37"/>
        <v>1.8943740746686408E-2</v>
      </c>
      <c r="P325" s="57" t="s">
        <v>659</v>
      </c>
      <c r="Q325" s="67" t="s">
        <v>660</v>
      </c>
      <c r="R325" s="96">
        <v>47490</v>
      </c>
      <c r="S325" s="76">
        <v>5.0023499999999999E-2</v>
      </c>
      <c r="T325" s="64">
        <f t="shared" si="35"/>
        <v>8.7757412296154899E-3</v>
      </c>
      <c r="V325" s="116">
        <v>1.13073702</v>
      </c>
      <c r="W325" s="108">
        <v>2.8444926599999998</v>
      </c>
      <c r="X325" s="108">
        <v>4.3187061</v>
      </c>
      <c r="Y325" s="108">
        <v>5.5566670199999999</v>
      </c>
      <c r="Z325" s="117">
        <v>7.0587906800000004</v>
      </c>
      <c r="AB325" s="76">
        <v>4.4969419875572778E-2</v>
      </c>
      <c r="AC325" s="76">
        <v>5.3365035734658534E-2</v>
      </c>
      <c r="AD325" s="76">
        <v>5.8799241229615488E-2</v>
      </c>
      <c r="AE325" s="76">
        <v>6.1390809643583025E-2</v>
      </c>
      <c r="AF325" s="64">
        <v>6.4414720946686418E-2</v>
      </c>
      <c r="AG325" s="76">
        <v>1.557725475572775E-3</v>
      </c>
      <c r="AH325" s="76">
        <v>1.0133508534658536E-2</v>
      </c>
      <c r="AI325" s="76">
        <v>1.5437144429615487E-2</v>
      </c>
      <c r="AJ325" s="76">
        <v>1.7314862743583029E-2</v>
      </c>
      <c r="AK325" s="76">
        <v>1.8943740746686408E-2</v>
      </c>
    </row>
  </sheetData>
  <mergeCells count="10">
    <mergeCell ref="V10:Z10"/>
    <mergeCell ref="V19:Z19"/>
    <mergeCell ref="F8:J8"/>
    <mergeCell ref="K8:O8"/>
    <mergeCell ref="AB8:AF8"/>
    <mergeCell ref="AG8:AK8"/>
    <mergeCell ref="F9:J9"/>
    <mergeCell ref="K9:O9"/>
    <mergeCell ref="AB9:AF9"/>
    <mergeCell ref="AG9:AK9"/>
  </mergeCells>
  <conditionalFormatting sqref="F31">
    <cfRule type="colorScale" priority="151">
      <colorScale>
        <cfvo type="min"/>
        <cfvo type="max"/>
        <color rgb="FFFFEF9C"/>
        <color rgb="FF63BE7B"/>
      </colorScale>
    </cfRule>
  </conditionalFormatting>
  <conditionalFormatting sqref="F12:J17">
    <cfRule type="colorScale" priority="159">
      <colorScale>
        <cfvo type="min"/>
        <cfvo type="max"/>
        <color rgb="FFFFEF9C"/>
        <color rgb="FF63BE7B"/>
      </colorScale>
    </cfRule>
  </conditionalFormatting>
  <conditionalFormatting sqref="F21:J27">
    <cfRule type="colorScale" priority="110">
      <colorScale>
        <cfvo type="min"/>
        <cfvo type="max"/>
        <color rgb="FFFFEF9C"/>
        <color rgb="FF63BE7B"/>
      </colorScale>
    </cfRule>
  </conditionalFormatting>
  <conditionalFormatting sqref="F31:J70 F72:J78 F80:J110">
    <cfRule type="colorScale" priority="157">
      <colorScale>
        <cfvo type="min"/>
        <cfvo type="max"/>
        <color rgb="FFFFEF9C"/>
        <color rgb="FF63BE7B"/>
      </colorScale>
    </cfRule>
  </conditionalFormatting>
  <conditionalFormatting sqref="F31:J70 F72:J78">
    <cfRule type="colorScale" priority="179">
      <colorScale>
        <cfvo type="min"/>
        <cfvo type="max"/>
        <color rgb="FFFFEF9C"/>
        <color rgb="FF63BE7B"/>
      </colorScale>
    </cfRule>
  </conditionalFormatting>
  <conditionalFormatting sqref="F31:J70 F72:J110">
    <cfRule type="colorScale" priority="181">
      <colorScale>
        <cfvo type="min"/>
        <cfvo type="max"/>
        <color rgb="FFFFEF9C"/>
        <color rgb="FF63BE7B"/>
      </colorScale>
    </cfRule>
  </conditionalFormatting>
  <conditionalFormatting sqref="F32:J50 G31:J31 F52:J70 F72:J78 F80:J110">
    <cfRule type="colorScale" priority="156">
      <colorScale>
        <cfvo type="min"/>
        <cfvo type="max"/>
        <color rgb="FFFFEF9C"/>
        <color rgb="FF63BE7B"/>
      </colorScale>
    </cfRule>
  </conditionalFormatting>
  <conditionalFormatting sqref="F45:J53 F290:J316">
    <cfRule type="cellIs" dxfId="43" priority="153" operator="lessThan">
      <formula>0</formula>
    </cfRule>
  </conditionalFormatting>
  <conditionalFormatting sqref="F51:J51">
    <cfRule type="colorScale" priority="152">
      <colorScale>
        <cfvo type="min"/>
        <cfvo type="max"/>
        <color rgb="FFFFEF9C"/>
        <color rgb="FF63BE7B"/>
      </colorScale>
    </cfRule>
  </conditionalFormatting>
  <conditionalFormatting sqref="F55:J60 F62:J65 F73:J75 F77:J78 F80:J98">
    <cfRule type="cellIs" dxfId="42" priority="155" operator="lessThan">
      <formula>0</formula>
    </cfRule>
  </conditionalFormatting>
  <conditionalFormatting sqref="F67:J71">
    <cfRule type="cellIs" dxfId="41" priority="50" operator="lessThan">
      <formula>0</formula>
    </cfRule>
  </conditionalFormatting>
  <conditionalFormatting sqref="F71:J71">
    <cfRule type="colorScale" priority="53">
      <colorScale>
        <cfvo type="min"/>
        <cfvo type="max"/>
        <color rgb="FFFFEF9C"/>
        <color rgb="FF63BE7B"/>
      </colorScale>
    </cfRule>
    <cfRule type="colorScale" priority="51">
      <colorScale>
        <cfvo type="min"/>
        <cfvo type="max"/>
        <color rgb="FFFFEF9C"/>
        <color rgb="FF63BE7B"/>
      </colorScale>
    </cfRule>
    <cfRule type="colorScale" priority="55">
      <colorScale>
        <cfvo type="min"/>
        <cfvo type="max"/>
        <color rgb="FFFFEF9C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</conditionalFormatting>
  <conditionalFormatting sqref="F79:J79"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F111:J113">
    <cfRule type="colorScale" priority="164">
      <colorScale>
        <cfvo type="min"/>
        <cfvo type="max"/>
        <color rgb="FFFFEF9C"/>
        <color rgb="FF63BE7B"/>
      </colorScale>
    </cfRule>
  </conditionalFormatting>
  <conditionalFormatting sqref="F114:J114">
    <cfRule type="colorScale" priority="162">
      <colorScale>
        <cfvo type="min"/>
        <cfvo type="max"/>
        <color rgb="FFFFEF9C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</conditionalFormatting>
  <conditionalFormatting sqref="F115:J134 F136:J138">
    <cfRule type="cellIs" dxfId="40" priority="143" operator="lessThan">
      <formula>0</formula>
    </cfRule>
  </conditionalFormatting>
  <conditionalFormatting sqref="F115:J134">
    <cfRule type="colorScale" priority="145">
      <colorScale>
        <cfvo type="min"/>
        <cfvo type="max"/>
        <color rgb="FFFFEF9C"/>
        <color rgb="FF63BE7B"/>
      </colorScale>
    </cfRule>
    <cfRule type="colorScale" priority="144">
      <colorScale>
        <cfvo type="min"/>
        <cfvo type="max"/>
        <color rgb="FFFFEF9C"/>
        <color rgb="FF63BE7B"/>
      </colorScale>
    </cfRule>
  </conditionalFormatting>
  <conditionalFormatting sqref="F115:J138">
    <cfRule type="colorScale" priority="147">
      <colorScale>
        <cfvo type="min"/>
        <cfvo type="max"/>
        <color rgb="FFFFEF9C"/>
        <color rgb="FF63BE7B"/>
      </colorScale>
    </cfRule>
  </conditionalFormatting>
  <conditionalFormatting sqref="F135:J135">
    <cfRule type="colorScale" priority="142">
      <colorScale>
        <cfvo type="min"/>
        <cfvo type="max"/>
        <color rgb="FFFFEF9C"/>
        <color rgb="FF63BE7B"/>
      </colorScale>
    </cfRule>
    <cfRule type="colorScale" priority="141">
      <colorScale>
        <cfvo type="min"/>
        <cfvo type="max"/>
        <color rgb="FFFFEF9C"/>
        <color rgb="FF63BE7B"/>
      </colorScale>
    </cfRule>
  </conditionalFormatting>
  <conditionalFormatting sqref="F136:J138">
    <cfRule type="colorScale" priority="146">
      <colorScale>
        <cfvo type="min"/>
        <cfvo type="max"/>
        <color rgb="FFFFEF9C"/>
        <color rgb="FF63BE7B"/>
      </colorScale>
    </cfRule>
  </conditionalFormatting>
  <conditionalFormatting sqref="F142:J142">
    <cfRule type="colorScale" priority="138">
      <colorScale>
        <cfvo type="min"/>
        <cfvo type="max"/>
        <color rgb="FFFFEF9C"/>
        <color rgb="FF63BE7B"/>
      </colorScale>
    </cfRule>
    <cfRule type="colorScale" priority="139">
      <colorScale>
        <cfvo type="min"/>
        <cfvo type="max"/>
        <color rgb="FFFFEF9C"/>
        <color rgb="FF63BE7B"/>
      </colorScale>
    </cfRule>
  </conditionalFormatting>
  <conditionalFormatting sqref="F143:J258 F260:J276 F320:J325">
    <cfRule type="cellIs" dxfId="39" priority="163" operator="lessThan">
      <formula>0</formula>
    </cfRule>
  </conditionalFormatting>
  <conditionalFormatting sqref="F143:J258">
    <cfRule type="colorScale" priority="168">
      <colorScale>
        <cfvo type="min"/>
        <cfvo type="max"/>
        <color rgb="FFFFEF9C"/>
        <color rgb="FF63BE7B"/>
      </colorScale>
    </cfRule>
  </conditionalFormatting>
  <conditionalFormatting sqref="F259:J259">
    <cfRule type="colorScale" priority="137">
      <colorScale>
        <cfvo type="min"/>
        <cfvo type="max"/>
        <color rgb="FFFFEF9C"/>
        <color rgb="FF63BE7B"/>
      </colorScale>
    </cfRule>
    <cfRule type="colorScale" priority="136">
      <colorScale>
        <cfvo type="min"/>
        <cfvo type="max"/>
        <color rgb="FFFFEF9C"/>
        <color rgb="FF63BE7B"/>
      </colorScale>
    </cfRule>
  </conditionalFormatting>
  <conditionalFormatting sqref="F260:J276">
    <cfRule type="colorScale" priority="175">
      <colorScale>
        <cfvo type="min"/>
        <cfvo type="max"/>
        <color rgb="FFFFEF9C"/>
        <color rgb="FF63BE7B"/>
      </colorScale>
    </cfRule>
  </conditionalFormatting>
  <conditionalFormatting sqref="F280:J286">
    <cfRule type="cellIs" dxfId="38" priority="134" operator="lessThan">
      <formula>0</formula>
    </cfRule>
    <cfRule type="colorScale" priority="135">
      <colorScale>
        <cfvo type="min"/>
        <cfvo type="max"/>
        <color rgb="FFFFEF9C"/>
        <color rgb="FF63BE7B"/>
      </colorScale>
    </cfRule>
  </conditionalFormatting>
  <conditionalFormatting sqref="F300:J310">
    <cfRule type="colorScale" priority="185">
      <colorScale>
        <cfvo type="min"/>
        <cfvo type="max"/>
        <color rgb="FFFFEF9C"/>
        <color rgb="FF63BE7B"/>
      </colorScale>
    </cfRule>
  </conditionalFormatting>
  <conditionalFormatting sqref="F311:J316 F290:J299">
    <cfRule type="colorScale" priority="132">
      <colorScale>
        <cfvo type="min"/>
        <cfvo type="max"/>
        <color rgb="FFFFEF9C"/>
        <color rgb="FF63BE7B"/>
      </colorScale>
    </cfRule>
  </conditionalFormatting>
  <conditionalFormatting sqref="F320:J325">
    <cfRule type="colorScale" priority="165">
      <colorScale>
        <cfvo type="min"/>
        <cfvo type="max"/>
        <color rgb="FFFFEF9C"/>
        <color rgb="FF63BE7B"/>
      </colorScale>
    </cfRule>
  </conditionalFormatting>
  <conditionalFormatting sqref="G31:J31 F32:J39 F41:J43 F100:J112">
    <cfRule type="cellIs" dxfId="37" priority="154" operator="lessThan">
      <formula>0</formula>
    </cfRule>
  </conditionalFormatting>
  <conditionalFormatting sqref="K12:O17">
    <cfRule type="colorScale" priority="158">
      <colorScale>
        <cfvo type="min"/>
        <cfvo type="max"/>
        <color theme="0"/>
        <color theme="8" tint="0.39997558519241921"/>
      </colorScale>
    </cfRule>
  </conditionalFormatting>
  <conditionalFormatting sqref="K21:O27">
    <cfRule type="colorScale" priority="109">
      <colorScale>
        <cfvo type="min"/>
        <cfvo type="max"/>
        <color theme="0"/>
        <color theme="8" tint="0.39997558519241921"/>
      </colorScale>
    </cfRule>
  </conditionalFormatting>
  <conditionalFormatting sqref="K31:O70 K72:O110">
    <cfRule type="colorScale" priority="180">
      <colorScale>
        <cfvo type="min"/>
        <cfvo type="max"/>
        <color theme="0"/>
        <color theme="8" tint="0.39997558519241921"/>
      </colorScale>
    </cfRule>
  </conditionalFormatting>
  <conditionalFormatting sqref="K71:O71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K115:O138">
    <cfRule type="colorScale" priority="140">
      <colorScale>
        <cfvo type="min"/>
        <cfvo type="max"/>
        <color theme="0"/>
        <color theme="8" tint="0.39997558519241921"/>
      </colorScale>
    </cfRule>
  </conditionalFormatting>
  <conditionalFormatting sqref="K143:O258">
    <cfRule type="colorScale" priority="169">
      <colorScale>
        <cfvo type="min"/>
        <cfvo type="max"/>
        <color theme="0"/>
        <color theme="8" tint="0.39997558519241921"/>
      </colorScale>
    </cfRule>
  </conditionalFormatting>
  <conditionalFormatting sqref="K260:O276">
    <cfRule type="colorScale" priority="176">
      <colorScale>
        <cfvo type="min"/>
        <cfvo type="max"/>
        <color theme="0"/>
        <color theme="8" tint="0.39997558519241921"/>
      </colorScale>
    </cfRule>
  </conditionalFormatting>
  <conditionalFormatting sqref="K280:O286">
    <cfRule type="colorScale" priority="133">
      <colorScale>
        <cfvo type="min"/>
        <cfvo type="max"/>
        <color theme="0"/>
        <color theme="8" tint="0.39997558519241921"/>
      </colorScale>
    </cfRule>
  </conditionalFormatting>
  <conditionalFormatting sqref="K290:O316">
    <cfRule type="colorScale" priority="186">
      <colorScale>
        <cfvo type="min"/>
        <cfvo type="max"/>
        <color theme="0"/>
        <color theme="8" tint="0.39997558519241921"/>
      </colorScale>
    </cfRule>
  </conditionalFormatting>
  <conditionalFormatting sqref="K320:O325">
    <cfRule type="colorScale" priority="166">
      <colorScale>
        <cfvo type="min"/>
        <cfvo type="max"/>
        <color theme="0"/>
        <color theme="8" tint="0.39997558519241921"/>
      </colorScale>
    </cfRule>
  </conditionalFormatting>
  <conditionalFormatting sqref="T31:T110">
    <cfRule type="colorScale" priority="18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4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5:T138">
    <cfRule type="colorScale" priority="11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6:T134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5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6:T138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9:T140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2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3:T276">
    <cfRule type="colorScale" priority="17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44:T258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9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60:T276"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8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0:T286">
    <cfRule type="colorScale" priority="11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8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0 T311 T292:T299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1:T316">
    <cfRule type="colorScale" priority="18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92:T316"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0:T304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5:T310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2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3:T314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6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20:T325">
    <cfRule type="colorScale" priority="16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AB31">
    <cfRule type="colorScale" priority="13">
      <colorScale>
        <cfvo type="min"/>
        <cfvo type="max"/>
        <color rgb="FFFFEF9C"/>
        <color rgb="FF63BE7B"/>
      </colorScale>
    </cfRule>
  </conditionalFormatting>
  <conditionalFormatting sqref="AB12:AF17">
    <cfRule type="colorScale" priority="17">
      <colorScale>
        <cfvo type="min"/>
        <cfvo type="max"/>
        <color rgb="FFFFEF9C"/>
        <color rgb="FF63BE7B"/>
      </colorScale>
    </cfRule>
  </conditionalFormatting>
  <conditionalFormatting sqref="AB21:AF26">
    <cfRule type="colorScale" priority="4">
      <colorScale>
        <cfvo type="min"/>
        <cfvo type="max"/>
        <color rgb="FFFFEF9C"/>
        <color rgb="FF63BE7B"/>
      </colorScale>
    </cfRule>
  </conditionalFormatting>
  <conditionalFormatting sqref="AB31:AF110">
    <cfRule type="colorScale" priority="41">
      <colorScale>
        <cfvo type="min"/>
        <cfvo type="max"/>
        <color rgb="FFFFEF9C"/>
        <color rgb="FF63BE7B"/>
      </colorScale>
    </cfRule>
  </conditionalFormatting>
  <conditionalFormatting sqref="AB45:AF53">
    <cfRule type="cellIs" dxfId="36" priority="15" operator="lessThan">
      <formula>0</formula>
    </cfRule>
  </conditionalFormatting>
  <conditionalFormatting sqref="AB51:AF51">
    <cfRule type="colorScale" priority="14">
      <colorScale>
        <cfvo type="min"/>
        <cfvo type="max"/>
        <color rgb="FFFFEF9C"/>
        <color rgb="FF63BE7B"/>
      </colorScale>
    </cfRule>
  </conditionalFormatting>
  <conditionalFormatting sqref="AB55:AF60 AB62:AF65 AB67:AF71 AB73:AF75 AB77:AF78 AB80:AF98 AB115:AF134 AB136:AF138 AB143:AF258 AB260:AF276 AB320:AF325">
    <cfRule type="cellIs" dxfId="35" priority="18" operator="lessThan">
      <formula>0</formula>
    </cfRule>
  </conditionalFormatting>
  <conditionalFormatting sqref="AB62:AF65 AB52:AF53 AB32:AF39 AC31:AF31 AB41:AF43 AB45:AF50 AB55:AF60 AB80:AF98 AB67:AF71 AB73:AF75 AB100:AF110 AB77:AF78">
    <cfRule type="colorScale" priority="20">
      <colorScale>
        <cfvo type="min"/>
        <cfvo type="max"/>
        <color rgb="FFFFEF9C"/>
        <color rgb="FF63BE7B"/>
      </colorScale>
    </cfRule>
  </conditionalFormatting>
  <conditionalFormatting sqref="AB62:AF65 AB55:AF60 AB31:AF39 AB41:AF43 AB45:AF53 AB80:AF98 AB67:AF71 AB73:AF75 AB100:AF110 AB77:AF78">
    <cfRule type="colorScale" priority="21">
      <colorScale>
        <cfvo type="min"/>
        <cfvo type="max"/>
        <color rgb="FFFFEF9C"/>
        <color rgb="FF63BE7B"/>
      </colorScale>
    </cfRule>
  </conditionalFormatting>
  <conditionalFormatting sqref="AB115:AF134">
    <cfRule type="colorScale" priority="19">
      <colorScale>
        <cfvo type="min"/>
        <cfvo type="max"/>
        <color rgb="FFFFEF9C"/>
        <color rgb="FF63BE7B"/>
      </colorScale>
    </cfRule>
  </conditionalFormatting>
  <conditionalFormatting sqref="AB136:AF138 AB115:AF134">
    <cfRule type="colorScale" priority="23">
      <colorScale>
        <cfvo type="min"/>
        <cfvo type="max"/>
        <color rgb="FFFFEF9C"/>
        <color rgb="FF63BE7B"/>
      </colorScale>
    </cfRule>
  </conditionalFormatting>
  <conditionalFormatting sqref="AB136:AF138">
    <cfRule type="colorScale" priority="22">
      <colorScale>
        <cfvo type="min"/>
        <cfvo type="max"/>
        <color rgb="FFFFEF9C"/>
        <color rgb="FF63BE7B"/>
      </colorScale>
    </cfRule>
  </conditionalFormatting>
  <conditionalFormatting sqref="AB143:AF258">
    <cfRule type="colorScale" priority="39">
      <colorScale>
        <cfvo type="min"/>
        <cfvo type="max"/>
        <color rgb="FFFFEF9C"/>
        <color rgb="FF63BE7B"/>
      </colorScale>
    </cfRule>
  </conditionalFormatting>
  <conditionalFormatting sqref="AB260:AF276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280:AF286">
    <cfRule type="cellIs" dxfId="34" priority="11" operator="lessThan">
      <formula>0</formula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AB290:AF299">
    <cfRule type="colorScale" priority="24">
      <colorScale>
        <cfvo type="min"/>
        <cfvo type="max"/>
        <color rgb="FFFFEF9C"/>
        <color rgb="FF63BE7B"/>
      </colorScale>
    </cfRule>
  </conditionalFormatting>
  <conditionalFormatting sqref="AB290:AF316">
    <cfRule type="cellIs" dxfId="33" priority="1" operator="lessThan">
      <formula>0</formula>
    </cfRule>
  </conditionalFormatting>
  <conditionalFormatting sqref="AB300:AF303">
    <cfRule type="colorScale" priority="25">
      <colorScale>
        <cfvo type="min"/>
        <cfvo type="max"/>
        <color rgb="FFFFEF9C"/>
        <color rgb="FF63BE7B"/>
      </colorScale>
    </cfRule>
  </conditionalFormatting>
  <conditionalFormatting sqref="AB304:AF310">
    <cfRule type="colorScale" priority="10">
      <colorScale>
        <cfvo type="min"/>
        <cfvo type="max"/>
        <color rgb="FFFFEF9C"/>
        <color rgb="FF63BE7B"/>
      </colorScale>
    </cfRule>
  </conditionalFormatting>
  <conditionalFormatting sqref="AB311:AF311">
    <cfRule type="colorScale" priority="2">
      <colorScale>
        <cfvo type="min"/>
        <cfvo type="max"/>
        <color rgb="FFFFEF9C"/>
        <color rgb="FF63BE7B"/>
      </colorScale>
    </cfRule>
  </conditionalFormatting>
  <conditionalFormatting sqref="AB312:AF315">
    <cfRule type="colorScale" priority="8">
      <colorScale>
        <cfvo type="min"/>
        <cfvo type="max"/>
        <color rgb="FFFFEF9C"/>
        <color rgb="FF63BE7B"/>
      </colorScale>
    </cfRule>
  </conditionalFormatting>
  <conditionalFormatting sqref="AB316:AF316">
    <cfRule type="colorScale" priority="6">
      <colorScale>
        <cfvo type="min"/>
        <cfvo type="max"/>
        <color rgb="FFFFEF9C"/>
        <color rgb="FF63BE7B"/>
      </colorScale>
    </cfRule>
  </conditionalFormatting>
  <conditionalFormatting sqref="AB320:AF325">
    <cfRule type="colorScale" priority="27">
      <colorScale>
        <cfvo type="min"/>
        <cfvo type="max"/>
        <color rgb="FFFFEF9C"/>
        <color rgb="FF63BE7B"/>
      </colorScale>
    </cfRule>
  </conditionalFormatting>
  <conditionalFormatting sqref="AC290:AD316">
    <cfRule type="colorScale" priority="26">
      <colorScale>
        <cfvo type="min"/>
        <cfvo type="max"/>
        <color rgb="FFFFEF9C"/>
        <color rgb="FF63BE7B"/>
      </colorScale>
    </cfRule>
  </conditionalFormatting>
  <conditionalFormatting sqref="AC320:AD325">
    <cfRule type="colorScale" priority="28">
      <colorScale>
        <cfvo type="min"/>
        <cfvo type="max"/>
        <color rgb="FFFFEF9C"/>
        <color rgb="FF63BE7B"/>
      </colorScale>
    </cfRule>
  </conditionalFormatting>
  <conditionalFormatting sqref="AC31:AF31 AB32:AF39 AB41:AF43 AB100:AF112">
    <cfRule type="cellIs" dxfId="32" priority="16" operator="lessThan">
      <formula>0</formula>
    </cfRule>
  </conditionalFormatting>
  <conditionalFormatting sqref="AG12:AK17">
    <cfRule type="colorScale" priority="35">
      <colorScale>
        <cfvo type="min"/>
        <cfvo type="max"/>
        <color theme="0"/>
        <color theme="8" tint="0.39997558519241921"/>
      </colorScale>
    </cfRule>
  </conditionalFormatting>
  <conditionalFormatting sqref="AG21:AK26">
    <cfRule type="colorScale" priority="29">
      <colorScale>
        <cfvo type="min"/>
        <cfvo type="max"/>
        <color theme="0"/>
        <color theme="8" tint="0.39997558519241921"/>
      </colorScale>
    </cfRule>
  </conditionalFormatting>
  <conditionalFormatting sqref="AG31:AK110">
    <cfRule type="colorScale" priority="40">
      <colorScale>
        <cfvo type="min"/>
        <cfvo type="max"/>
        <color theme="0"/>
        <color theme="8" tint="0.39997558519241921"/>
      </colorScale>
    </cfRule>
  </conditionalFormatting>
  <conditionalFormatting sqref="AG115:AK138">
    <cfRule type="colorScale" priority="34">
      <colorScale>
        <cfvo type="min"/>
        <cfvo type="max"/>
        <color theme="0"/>
        <color theme="8" tint="0.39997558519241921"/>
      </colorScale>
    </cfRule>
  </conditionalFormatting>
  <conditionalFormatting sqref="AG143:AK258">
    <cfRule type="colorScale" priority="38">
      <colorScale>
        <cfvo type="min"/>
        <cfvo type="max"/>
        <color theme="0"/>
        <color theme="8" tint="0.39997558519241921"/>
      </colorScale>
    </cfRule>
  </conditionalFormatting>
  <conditionalFormatting sqref="AG260:AK276">
    <cfRule type="colorScale" priority="42">
      <colorScale>
        <cfvo type="min"/>
        <cfvo type="max"/>
        <color theme="0"/>
        <color theme="8" tint="0.39997558519241921"/>
      </colorScale>
    </cfRule>
  </conditionalFormatting>
  <conditionalFormatting sqref="AG280:AK286">
    <cfRule type="colorScale" priority="33">
      <colorScale>
        <cfvo type="min"/>
        <cfvo type="max"/>
        <color theme="0"/>
        <color theme="8" tint="0.39997558519241921"/>
      </colorScale>
    </cfRule>
  </conditionalFormatting>
  <conditionalFormatting sqref="AG290:AK303">
    <cfRule type="colorScale" priority="36">
      <colorScale>
        <cfvo type="min"/>
        <cfvo type="max"/>
        <color theme="0"/>
        <color theme="8" tint="0.39997558519241921"/>
      </colorScale>
    </cfRule>
  </conditionalFormatting>
  <conditionalFormatting sqref="AG304:AK310">
    <cfRule type="colorScale" priority="32">
      <colorScale>
        <cfvo type="min"/>
        <cfvo type="max"/>
        <color theme="0"/>
        <color theme="8" tint="0.39997558519241921"/>
      </colorScale>
    </cfRule>
  </conditionalFormatting>
  <conditionalFormatting sqref="AG311:AK311">
    <cfRule type="colorScale" priority="3">
      <colorScale>
        <cfvo type="min"/>
        <cfvo type="max"/>
        <color theme="0"/>
        <color theme="8" tint="0.39997558519241921"/>
      </colorScale>
    </cfRule>
  </conditionalFormatting>
  <conditionalFormatting sqref="AG312:AK315">
    <cfRule type="colorScale" priority="31">
      <colorScale>
        <cfvo type="min"/>
        <cfvo type="max"/>
        <color theme="0"/>
        <color theme="8" tint="0.39997558519241921"/>
      </colorScale>
    </cfRule>
  </conditionalFormatting>
  <conditionalFormatting sqref="AG316:AK316">
    <cfRule type="colorScale" priority="30">
      <colorScale>
        <cfvo type="min"/>
        <cfvo type="max"/>
        <color theme="0"/>
        <color theme="8" tint="0.39997558519241921"/>
      </colorScale>
    </cfRule>
  </conditionalFormatting>
  <conditionalFormatting sqref="AG320:AK325">
    <cfRule type="colorScale" priority="37">
      <colorScale>
        <cfvo type="min"/>
        <cfvo type="max"/>
        <color theme="0"/>
        <color theme="8" tint="0.39997558519241921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D43C-5429-4080-83E8-FF5C36AD5FEB}">
  <sheetPr>
    <tabColor theme="7" tint="0.39997558519241921"/>
  </sheetPr>
  <dimension ref="B2:AK325"/>
  <sheetViews>
    <sheetView showGridLines="0" tabSelected="1" zoomScale="85" zoomScaleNormal="85" workbookViewId="0">
      <selection activeCell="B9" sqref="B9"/>
    </sheetView>
  </sheetViews>
  <sheetFormatPr defaultRowHeight="14.5" x14ac:dyDescent="0.35"/>
  <cols>
    <col min="1" max="1" width="8.7265625" style="53"/>
    <col min="2" max="2" width="76" style="53" bestFit="1" customWidth="1"/>
    <col min="3" max="3" width="16.1796875" style="53" bestFit="1" customWidth="1"/>
    <col min="4" max="4" width="24" style="53" bestFit="1" customWidth="1"/>
    <col min="5" max="5" width="21" style="53" bestFit="1" customWidth="1"/>
    <col min="6" max="7" width="7.81640625" style="53" bestFit="1" customWidth="1"/>
    <col min="8" max="10" width="7.1796875" style="53" bestFit="1" customWidth="1"/>
    <col min="11" max="11" width="6.81640625" style="53" bestFit="1" customWidth="1"/>
    <col min="12" max="15" width="6.1796875" style="53" bestFit="1" customWidth="1"/>
    <col min="16" max="16" width="15.26953125" style="53" bestFit="1" customWidth="1"/>
    <col min="17" max="17" width="22.1796875" style="53" bestFit="1" customWidth="1"/>
    <col min="18" max="18" width="13.7265625" style="53" bestFit="1" customWidth="1"/>
    <col min="19" max="19" width="9.54296875" style="53" bestFit="1" customWidth="1"/>
    <col min="20" max="20" width="19.81640625" style="53" bestFit="1" customWidth="1"/>
    <col min="21" max="21" width="8.7265625" style="53"/>
    <col min="22" max="26" width="4.7265625" style="53" hidden="1" customWidth="1"/>
    <col min="27" max="27" width="0" style="53" hidden="1" customWidth="1"/>
    <col min="28" max="37" width="6.1796875" style="53" hidden="1" customWidth="1"/>
    <col min="38" max="16384" width="8.7265625" style="53"/>
  </cols>
  <sheetData>
    <row r="2" spans="2:37" ht="15" thickBot="1" x14ac:dyDescent="0.4">
      <c r="C2" s="130" t="s">
        <v>9</v>
      </c>
      <c r="D2" s="130" t="s">
        <v>10</v>
      </c>
      <c r="E2" s="130" t="s">
        <v>11</v>
      </c>
      <c r="F2" s="130" t="s">
        <v>12</v>
      </c>
      <c r="G2" s="130" t="s">
        <v>13</v>
      </c>
    </row>
    <row r="3" spans="2:37" ht="17.5" thickBot="1" x14ac:dyDescent="0.45">
      <c r="B3" s="52" t="s">
        <v>220</v>
      </c>
      <c r="C3" s="129">
        <f>C4</f>
        <v>0.998</v>
      </c>
      <c r="D3" s="131">
        <f>D4</f>
        <v>0.99399999999999999</v>
      </c>
      <c r="E3" s="131">
        <f>E4</f>
        <v>0.99399999999999999</v>
      </c>
      <c r="F3" s="131">
        <f>F4</f>
        <v>0.99399999999999999</v>
      </c>
      <c r="G3" s="131">
        <f>G4</f>
        <v>0.99399999999999999</v>
      </c>
    </row>
    <row r="4" spans="2:37" x14ac:dyDescent="0.35">
      <c r="B4" s="53" t="s">
        <v>219</v>
      </c>
      <c r="C4" s="132">
        <v>0.998</v>
      </c>
      <c r="D4" s="132">
        <v>0.99399999999999999</v>
      </c>
      <c r="E4" s="132">
        <v>0.99399999999999999</v>
      </c>
      <c r="F4" s="132">
        <v>0.99399999999999999</v>
      </c>
      <c r="G4" s="132">
        <v>0.99399999999999999</v>
      </c>
    </row>
    <row r="8" spans="2:37" x14ac:dyDescent="0.35">
      <c r="F8" s="159" t="s">
        <v>222</v>
      </c>
      <c r="G8" s="160"/>
      <c r="H8" s="160"/>
      <c r="I8" s="160"/>
      <c r="J8" s="161"/>
      <c r="K8" s="159" t="s">
        <v>300</v>
      </c>
      <c r="L8" s="160"/>
      <c r="M8" s="160"/>
      <c r="N8" s="160"/>
      <c r="O8" s="161"/>
      <c r="AB8" s="159" t="s">
        <v>222</v>
      </c>
      <c r="AC8" s="160"/>
      <c r="AD8" s="160"/>
      <c r="AE8" s="160"/>
      <c r="AF8" s="161"/>
      <c r="AG8" s="159" t="s">
        <v>302</v>
      </c>
      <c r="AH8" s="160"/>
      <c r="AI8" s="160"/>
      <c r="AJ8" s="160"/>
      <c r="AK8" s="161"/>
    </row>
    <row r="9" spans="2:37" x14ac:dyDescent="0.35">
      <c r="F9" s="156" t="s">
        <v>1</v>
      </c>
      <c r="G9" s="157"/>
      <c r="H9" s="157"/>
      <c r="I9" s="157"/>
      <c r="J9" s="158"/>
      <c r="K9" s="156" t="s">
        <v>2</v>
      </c>
      <c r="L9" s="157"/>
      <c r="M9" s="157"/>
      <c r="N9" s="157"/>
      <c r="O9" s="158"/>
      <c r="AB9" s="156" t="s">
        <v>1</v>
      </c>
      <c r="AC9" s="157"/>
      <c r="AD9" s="157"/>
      <c r="AE9" s="157"/>
      <c r="AF9" s="158"/>
      <c r="AG9" s="156" t="s">
        <v>2</v>
      </c>
      <c r="AH9" s="157"/>
      <c r="AI9" s="157"/>
      <c r="AJ9" s="157"/>
      <c r="AK9" s="158"/>
    </row>
    <row r="10" spans="2:37" ht="15.5" x14ac:dyDescent="0.35">
      <c r="B10" s="122" t="s">
        <v>3</v>
      </c>
      <c r="C10" s="123"/>
      <c r="D10" s="123"/>
      <c r="E10" s="123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Q10" s="126"/>
      <c r="R10" s="126"/>
      <c r="S10" s="126"/>
      <c r="T10" s="126"/>
      <c r="V10" s="156" t="s">
        <v>408</v>
      </c>
      <c r="W10" s="157"/>
      <c r="X10" s="157"/>
      <c r="Y10" s="157"/>
      <c r="Z10" s="158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</row>
    <row r="11" spans="2:37" x14ac:dyDescent="0.35">
      <c r="B11" s="85" t="s">
        <v>5</v>
      </c>
      <c r="C11" s="84" t="s">
        <v>6</v>
      </c>
      <c r="D11" s="84" t="s">
        <v>7</v>
      </c>
      <c r="E11" s="84" t="s">
        <v>8</v>
      </c>
      <c r="F11" s="83" t="s">
        <v>9</v>
      </c>
      <c r="G11" s="82" t="s">
        <v>10</v>
      </c>
      <c r="H11" s="82" t="s">
        <v>11</v>
      </c>
      <c r="I11" s="82" t="s">
        <v>12</v>
      </c>
      <c r="J11" s="81" t="s">
        <v>13</v>
      </c>
      <c r="K11" s="83" t="s">
        <v>9</v>
      </c>
      <c r="L11" s="82" t="s">
        <v>10</v>
      </c>
      <c r="M11" s="82" t="s">
        <v>11</v>
      </c>
      <c r="N11" s="82" t="s">
        <v>12</v>
      </c>
      <c r="O11" s="81" t="s">
        <v>13</v>
      </c>
      <c r="P11" s="70" t="s">
        <v>14</v>
      </c>
      <c r="Q11" s="58" t="s">
        <v>15</v>
      </c>
      <c r="R11" s="58" t="s">
        <v>16</v>
      </c>
      <c r="S11" s="58" t="s">
        <v>409</v>
      </c>
      <c r="T11" s="58" t="s">
        <v>18</v>
      </c>
      <c r="V11" s="110" t="s">
        <v>9</v>
      </c>
      <c r="W11" s="106" t="s">
        <v>10</v>
      </c>
      <c r="X11" s="106" t="s">
        <v>11</v>
      </c>
      <c r="Y11" s="106" t="s">
        <v>12</v>
      </c>
      <c r="Z11" s="111" t="s">
        <v>13</v>
      </c>
      <c r="AB11" s="83" t="s">
        <v>9</v>
      </c>
      <c r="AC11" s="82" t="s">
        <v>10</v>
      </c>
      <c r="AD11" s="82" t="s">
        <v>11</v>
      </c>
      <c r="AE11" s="82" t="s">
        <v>12</v>
      </c>
      <c r="AF11" s="81" t="s">
        <v>13</v>
      </c>
      <c r="AG11" s="83" t="s">
        <v>9</v>
      </c>
      <c r="AH11" s="82" t="s">
        <v>10</v>
      </c>
      <c r="AI11" s="82" t="s">
        <v>11</v>
      </c>
      <c r="AJ11" s="82" t="s">
        <v>12</v>
      </c>
      <c r="AK11" s="81" t="s">
        <v>13</v>
      </c>
    </row>
    <row r="12" spans="2:37" x14ac:dyDescent="0.35">
      <c r="B12" s="56" t="s">
        <v>19</v>
      </c>
      <c r="C12" s="124"/>
      <c r="D12" s="11" t="s">
        <v>20</v>
      </c>
      <c r="E12" s="124"/>
      <c r="F12" s="75" t="str">
        <f t="shared" ref="F12:J17" si="0">IF(ISNUMBER(AB12),AB12-((C$4-C$3)/V12),"")</f>
        <v/>
      </c>
      <c r="G12" s="80">
        <f t="shared" si="0"/>
        <v>8.6564380772684007E-3</v>
      </c>
      <c r="H12" s="80">
        <f t="shared" si="0"/>
        <v>1.3932630897958844E-2</v>
      </c>
      <c r="I12" s="80">
        <f t="shared" si="0"/>
        <v>1.7747209018881986E-2</v>
      </c>
      <c r="J12" s="62">
        <f t="shared" si="0"/>
        <v>2.1803735948436723E-2</v>
      </c>
      <c r="K12" s="89" t="str">
        <f t="shared" ref="K12:O17" si="1">IF(ISNUMBER(AG12),IF(AG12-((C$4-C$3)/V12)&lt;0,"",AG12-((C$4-C$3)/V12)),"")</f>
        <v/>
      </c>
      <c r="L12" s="87">
        <f t="shared" si="1"/>
        <v>5.0094729772684008E-3</v>
      </c>
      <c r="M12" s="87">
        <f t="shared" si="1"/>
        <v>9.2696754979588441E-3</v>
      </c>
      <c r="N12" s="87">
        <f t="shared" si="1"/>
        <v>1.221615211888199E-2</v>
      </c>
      <c r="O12" s="90">
        <f t="shared" si="1"/>
        <v>1.5009922748436719E-2</v>
      </c>
      <c r="P12" s="15"/>
      <c r="Q12" s="133"/>
      <c r="R12" s="133"/>
      <c r="S12" s="133"/>
      <c r="T12" s="16"/>
      <c r="V12" s="17">
        <v>1.12373664</v>
      </c>
      <c r="W12" s="18">
        <v>2.8309915700000001</v>
      </c>
      <c r="X12" s="18">
        <v>4.3212522399999997</v>
      </c>
      <c r="Y12" s="18">
        <v>5.5872955800000002</v>
      </c>
      <c r="Z12" s="19">
        <v>7.1294964800000002</v>
      </c>
      <c r="AB12" s="75"/>
      <c r="AC12" s="80">
        <v>8.6564380772684007E-3</v>
      </c>
      <c r="AD12" s="80">
        <v>1.3932630897958844E-2</v>
      </c>
      <c r="AE12" s="80">
        <v>1.7747209018881986E-2</v>
      </c>
      <c r="AF12" s="62">
        <v>2.1803735948436723E-2</v>
      </c>
      <c r="AG12" s="80"/>
      <c r="AH12" s="80">
        <v>5.0094729772684008E-3</v>
      </c>
      <c r="AI12" s="80">
        <v>9.2696754979588441E-3</v>
      </c>
      <c r="AJ12" s="80">
        <v>1.221615211888199E-2</v>
      </c>
      <c r="AK12" s="80">
        <v>1.5009922748436719E-2</v>
      </c>
    </row>
    <row r="13" spans="2:37" x14ac:dyDescent="0.35">
      <c r="B13" s="55" t="s">
        <v>22</v>
      </c>
      <c r="C13" s="123"/>
      <c r="D13" s="20" t="s">
        <v>23</v>
      </c>
      <c r="E13" s="123"/>
      <c r="F13" s="73" t="str">
        <f t="shared" si="0"/>
        <v/>
      </c>
      <c r="G13" s="71">
        <f t="shared" si="0"/>
        <v>9.033258938553116E-3</v>
      </c>
      <c r="H13" s="71">
        <f t="shared" si="0"/>
        <v>1.4620920247302974E-2</v>
      </c>
      <c r="I13" s="71">
        <f t="shared" si="0"/>
        <v>1.8391693083919376E-2</v>
      </c>
      <c r="J13" s="63">
        <f t="shared" si="0"/>
        <v>2.2423753051658758E-2</v>
      </c>
      <c r="K13" s="86" t="str">
        <f t="shared" si="1"/>
        <v/>
      </c>
      <c r="L13" s="68">
        <f t="shared" si="1"/>
        <v>5.4044509385531188E-3</v>
      </c>
      <c r="M13" s="68">
        <f t="shared" si="1"/>
        <v>9.9829235473029732E-3</v>
      </c>
      <c r="N13" s="68">
        <f t="shared" si="1"/>
        <v>1.2880023583919374E-2</v>
      </c>
      <c r="O13" s="91">
        <f t="shared" si="1"/>
        <v>1.5648086251658758E-2</v>
      </c>
      <c r="P13" s="24"/>
      <c r="Q13" s="25"/>
      <c r="R13" s="25"/>
      <c r="S13" s="25"/>
      <c r="T13" s="26"/>
      <c r="V13" s="27">
        <v>1.1282205999999999</v>
      </c>
      <c r="W13" s="28">
        <v>2.8350509800000001</v>
      </c>
      <c r="X13" s="28">
        <v>4.3176670599999998</v>
      </c>
      <c r="Y13" s="28">
        <v>5.5739470899999999</v>
      </c>
      <c r="Z13" s="29">
        <v>7.1003049999999996</v>
      </c>
      <c r="AB13" s="73" t="s">
        <v>21</v>
      </c>
      <c r="AC13" s="71">
        <v>9.033258938553116E-3</v>
      </c>
      <c r="AD13" s="71">
        <v>1.4620920247302974E-2</v>
      </c>
      <c r="AE13" s="71">
        <v>1.8391693083919376E-2</v>
      </c>
      <c r="AF13" s="63">
        <v>2.2423753051658758E-2</v>
      </c>
      <c r="AG13" s="71" t="s">
        <v>21</v>
      </c>
      <c r="AH13" s="71">
        <v>5.4044509385531188E-3</v>
      </c>
      <c r="AI13" s="71">
        <v>9.9829235473029732E-3</v>
      </c>
      <c r="AJ13" s="71">
        <v>1.2880023583919374E-2</v>
      </c>
      <c r="AK13" s="71">
        <v>1.5648086251658758E-2</v>
      </c>
    </row>
    <row r="14" spans="2:37" x14ac:dyDescent="0.35">
      <c r="B14" s="56" t="s">
        <v>24</v>
      </c>
      <c r="C14" s="124"/>
      <c r="D14" s="11" t="s">
        <v>20</v>
      </c>
      <c r="E14" s="124"/>
      <c r="F14" s="75">
        <f t="shared" si="0"/>
        <v>2.4853656557190521E-2</v>
      </c>
      <c r="G14" s="80">
        <f t="shared" si="0"/>
        <v>3.5485651011203032E-2</v>
      </c>
      <c r="H14" s="80">
        <f t="shared" si="0"/>
        <v>4.3224326476030542E-2</v>
      </c>
      <c r="I14" s="80" t="str">
        <f t="shared" si="0"/>
        <v/>
      </c>
      <c r="J14" s="62" t="str">
        <f t="shared" si="0"/>
        <v/>
      </c>
      <c r="K14" s="89">
        <f t="shared" si="1"/>
        <v>2.2544823057190522E-2</v>
      </c>
      <c r="L14" s="87">
        <f t="shared" si="1"/>
        <v>3.1576463711203033E-2</v>
      </c>
      <c r="M14" s="87">
        <f t="shared" si="1"/>
        <v>3.8078357276030539E-2</v>
      </c>
      <c r="N14" s="87" t="str">
        <f t="shared" si="1"/>
        <v/>
      </c>
      <c r="O14" s="90" t="str">
        <f t="shared" si="1"/>
        <v/>
      </c>
      <c r="P14" s="15"/>
      <c r="Q14" s="133"/>
      <c r="R14" s="133"/>
      <c r="S14" s="133"/>
      <c r="T14" s="16"/>
      <c r="V14" s="17">
        <v>1.0862097399999999</v>
      </c>
      <c r="W14" s="18">
        <v>2.62283782</v>
      </c>
      <c r="X14" s="18">
        <v>3.8492395699999999</v>
      </c>
      <c r="Y14" s="18">
        <v>4.8200832499999997</v>
      </c>
      <c r="Z14" s="19">
        <v>5.92256084</v>
      </c>
      <c r="AB14" s="75">
        <v>2.4853656557190521E-2</v>
      </c>
      <c r="AC14" s="80">
        <v>3.5485651011203032E-2</v>
      </c>
      <c r="AD14" s="80">
        <v>4.3224326476030542E-2</v>
      </c>
      <c r="AE14" s="80"/>
      <c r="AF14" s="62"/>
      <c r="AG14" s="80">
        <v>2.2544823057190522E-2</v>
      </c>
      <c r="AH14" s="80">
        <v>3.1576463711203033E-2</v>
      </c>
      <c r="AI14" s="80">
        <v>3.8078357276030539E-2</v>
      </c>
      <c r="AJ14" s="80"/>
      <c r="AK14" s="80"/>
    </row>
    <row r="15" spans="2:37" x14ac:dyDescent="0.35">
      <c r="B15" s="57" t="s">
        <v>25</v>
      </c>
      <c r="C15" s="125"/>
      <c r="D15" s="20" t="s">
        <v>23</v>
      </c>
      <c r="E15" s="125"/>
      <c r="F15" s="74">
        <f t="shared" si="0"/>
        <v>1.5433037210241363E-2</v>
      </c>
      <c r="G15" s="76">
        <f t="shared" si="0"/>
        <v>1.2020471630599567E-2</v>
      </c>
      <c r="H15" s="76">
        <f t="shared" si="0"/>
        <v>4.5693661785981388E-2</v>
      </c>
      <c r="I15" s="76">
        <f t="shared" si="0"/>
        <v>4.984397311701539E-2</v>
      </c>
      <c r="J15" s="64">
        <f t="shared" si="0"/>
        <v>5.4344783550849561E-2</v>
      </c>
      <c r="K15" s="92">
        <f t="shared" si="1"/>
        <v>1.3300869910241361E-2</v>
      </c>
      <c r="L15" s="88">
        <f t="shared" si="1"/>
        <v>8.4997933305995706E-3</v>
      </c>
      <c r="M15" s="88">
        <f t="shared" si="1"/>
        <v>4.0266172185981386E-2</v>
      </c>
      <c r="N15" s="88">
        <f t="shared" si="1"/>
        <v>4.3472189817015387E-2</v>
      </c>
      <c r="O15" s="93">
        <f t="shared" si="1"/>
        <v>4.6705115250849562E-2</v>
      </c>
      <c r="P15" s="33"/>
      <c r="Q15" s="134"/>
      <c r="R15" s="134"/>
      <c r="S15" s="134"/>
      <c r="T15" s="34"/>
      <c r="V15" s="27">
        <v>1.11677896</v>
      </c>
      <c r="W15" s="28">
        <v>2.7971028599999999</v>
      </c>
      <c r="X15" s="28">
        <v>3.97225888</v>
      </c>
      <c r="Y15" s="28">
        <v>4.8130707600000004</v>
      </c>
      <c r="Z15" s="29">
        <v>5.6851281800000004</v>
      </c>
      <c r="AB15" s="74">
        <v>1.5433037210241363E-2</v>
      </c>
      <c r="AC15" s="76">
        <v>1.2020471630599567E-2</v>
      </c>
      <c r="AD15" s="76">
        <v>4.5693661785981388E-2</v>
      </c>
      <c r="AE15" s="76">
        <v>4.984397311701539E-2</v>
      </c>
      <c r="AF15" s="64">
        <v>5.4344783550849561E-2</v>
      </c>
      <c r="AG15" s="76">
        <v>1.3300869910241361E-2</v>
      </c>
      <c r="AH15" s="76">
        <v>8.4997933305995706E-3</v>
      </c>
      <c r="AI15" s="76">
        <v>4.0266172185981386E-2</v>
      </c>
      <c r="AJ15" s="76">
        <v>4.3472189817015387E-2</v>
      </c>
      <c r="AK15" s="76">
        <v>4.6705115250849562E-2</v>
      </c>
    </row>
    <row r="16" spans="2:37" x14ac:dyDescent="0.35">
      <c r="B16" s="55" t="s">
        <v>26</v>
      </c>
      <c r="C16" s="123"/>
      <c r="D16" s="11" t="s">
        <v>23</v>
      </c>
      <c r="E16" s="123"/>
      <c r="F16" s="73">
        <f t="shared" si="0"/>
        <v>1.6835232623187146E-4</v>
      </c>
      <c r="G16" s="71">
        <f t="shared" si="0"/>
        <v>9.2968186316300157E-3</v>
      </c>
      <c r="H16" s="71">
        <f t="shared" si="0"/>
        <v>1.5076110538310275E-2</v>
      </c>
      <c r="I16" s="71" t="str">
        <f t="shared" si="0"/>
        <v/>
      </c>
      <c r="J16" s="63" t="str">
        <f t="shared" si="0"/>
        <v/>
      </c>
      <c r="K16" s="86" t="str">
        <f t="shared" si="1"/>
        <v/>
      </c>
      <c r="L16" s="68">
        <f t="shared" si="1"/>
        <v>5.6839539316300165E-3</v>
      </c>
      <c r="M16" s="68">
        <f t="shared" si="1"/>
        <v>1.0456791938310277E-2</v>
      </c>
      <c r="N16" s="68" t="str">
        <f t="shared" si="1"/>
        <v/>
      </c>
      <c r="O16" s="91" t="str">
        <f t="shared" si="1"/>
        <v/>
      </c>
      <c r="P16" s="24"/>
      <c r="Q16" s="25"/>
      <c r="R16" s="25"/>
      <c r="S16" s="25"/>
      <c r="T16" s="26"/>
      <c r="V16" s="17">
        <v>1.11683449</v>
      </c>
      <c r="W16" s="18">
        <v>2.7973723100000001</v>
      </c>
      <c r="X16" s="18">
        <v>4.26935501</v>
      </c>
      <c r="Y16" s="18">
        <v>5.49220869</v>
      </c>
      <c r="Z16" s="19">
        <v>6.9344572900000001</v>
      </c>
      <c r="AB16" s="73">
        <v>1.6835232623187146E-4</v>
      </c>
      <c r="AC16" s="71">
        <v>9.2968186316300157E-3</v>
      </c>
      <c r="AD16" s="71">
        <v>1.5076110538310275E-2</v>
      </c>
      <c r="AE16" s="71"/>
      <c r="AF16" s="63"/>
      <c r="AG16" s="71" t="s">
        <v>21</v>
      </c>
      <c r="AH16" s="71">
        <v>5.6839539316300165E-3</v>
      </c>
      <c r="AI16" s="71">
        <v>1.0456791938310277E-2</v>
      </c>
      <c r="AJ16" s="71"/>
      <c r="AK16" s="71"/>
    </row>
    <row r="17" spans="2:37" x14ac:dyDescent="0.35">
      <c r="B17" s="57" t="s">
        <v>27</v>
      </c>
      <c r="C17" s="125"/>
      <c r="D17" s="35" t="s">
        <v>23</v>
      </c>
      <c r="E17" s="125"/>
      <c r="F17" s="74" t="str">
        <f t="shared" si="0"/>
        <v/>
      </c>
      <c r="G17" s="76">
        <f t="shared" si="0"/>
        <v>1.301148707374445E-2</v>
      </c>
      <c r="H17" s="76">
        <f t="shared" si="0"/>
        <v>2.0929986861855161E-2</v>
      </c>
      <c r="I17" s="76" t="str">
        <f t="shared" si="0"/>
        <v/>
      </c>
      <c r="J17" s="64">
        <f t="shared" si="0"/>
        <v>3.67295812888319E-2</v>
      </c>
      <c r="K17" s="92" t="str">
        <f t="shared" si="1"/>
        <v/>
      </c>
      <c r="L17" s="88">
        <f t="shared" si="1"/>
        <v>9.5280950737444466E-3</v>
      </c>
      <c r="M17" s="88">
        <f t="shared" si="1"/>
        <v>1.6412900761855163E-2</v>
      </c>
      <c r="N17" s="88" t="str">
        <f t="shared" si="1"/>
        <v/>
      </c>
      <c r="O17" s="93">
        <f t="shared" si="1"/>
        <v>2.9934066488831897E-2</v>
      </c>
      <c r="P17" s="33"/>
      <c r="Q17" s="134"/>
      <c r="R17" s="134"/>
      <c r="S17" s="134"/>
      <c r="T17" s="34"/>
      <c r="V17" s="36">
        <v>1.1120584200000001</v>
      </c>
      <c r="W17" s="37">
        <v>2.7742556500000002</v>
      </c>
      <c r="X17" s="37">
        <v>4.21844033</v>
      </c>
      <c r="Y17" s="37">
        <v>5.39375407</v>
      </c>
      <c r="Z17" s="38">
        <v>6.7381927399999997</v>
      </c>
      <c r="AB17" s="74"/>
      <c r="AC17" s="76">
        <v>1.301148707374445E-2</v>
      </c>
      <c r="AD17" s="76">
        <v>2.0929986861855161E-2</v>
      </c>
      <c r="AE17" s="76"/>
      <c r="AF17" s="64">
        <v>3.67295812888319E-2</v>
      </c>
      <c r="AG17" s="76"/>
      <c r="AH17" s="76">
        <v>9.5280950737444466E-3</v>
      </c>
      <c r="AI17" s="76">
        <v>1.6412900761855163E-2</v>
      </c>
      <c r="AJ17" s="76"/>
      <c r="AK17" s="76">
        <v>2.9934066488831897E-2</v>
      </c>
    </row>
    <row r="18" spans="2:37" x14ac:dyDescent="0.35">
      <c r="C18" s="123"/>
      <c r="D18" s="123"/>
      <c r="E18" s="123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V18" s="40"/>
      <c r="W18" s="40"/>
      <c r="X18" s="40"/>
      <c r="Y18" s="40"/>
      <c r="Z18" s="40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</row>
    <row r="19" spans="2:37" ht="15.5" x14ac:dyDescent="0.35">
      <c r="B19" s="122" t="s">
        <v>225</v>
      </c>
      <c r="C19" s="123"/>
      <c r="D19" s="123"/>
      <c r="E19" s="123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Q19" s="126"/>
      <c r="R19" s="126"/>
      <c r="T19" s="126"/>
      <c r="V19" s="156" t="s">
        <v>408</v>
      </c>
      <c r="W19" s="157"/>
      <c r="X19" s="157"/>
      <c r="Y19" s="157"/>
      <c r="Z19" s="158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</row>
    <row r="20" spans="2:37" x14ac:dyDescent="0.35">
      <c r="B20" s="85" t="s">
        <v>5</v>
      </c>
      <c r="C20" s="84" t="s">
        <v>6</v>
      </c>
      <c r="D20" s="84" t="s">
        <v>7</v>
      </c>
      <c r="E20" s="84" t="s">
        <v>8</v>
      </c>
      <c r="F20" s="83" t="s">
        <v>9</v>
      </c>
      <c r="G20" s="82" t="s">
        <v>10</v>
      </c>
      <c r="H20" s="82" t="s">
        <v>11</v>
      </c>
      <c r="I20" s="82" t="s">
        <v>12</v>
      </c>
      <c r="J20" s="81" t="s">
        <v>13</v>
      </c>
      <c r="K20" s="83" t="s">
        <v>9</v>
      </c>
      <c r="L20" s="82" t="s">
        <v>10</v>
      </c>
      <c r="M20" s="82" t="s">
        <v>11</v>
      </c>
      <c r="N20" s="82" t="s">
        <v>12</v>
      </c>
      <c r="O20" s="81" t="s">
        <v>13</v>
      </c>
      <c r="P20" s="70" t="s">
        <v>14</v>
      </c>
      <c r="Q20" s="58" t="s">
        <v>15</v>
      </c>
      <c r="R20" s="58" t="s">
        <v>16</v>
      </c>
      <c r="S20" s="58" t="s">
        <v>409</v>
      </c>
      <c r="T20" s="58" t="s">
        <v>18</v>
      </c>
      <c r="V20" s="110" t="s">
        <v>9</v>
      </c>
      <c r="W20" s="106" t="s">
        <v>10</v>
      </c>
      <c r="X20" s="106" t="s">
        <v>11</v>
      </c>
      <c r="Y20" s="106" t="s">
        <v>12</v>
      </c>
      <c r="Z20" s="111" t="s">
        <v>13</v>
      </c>
      <c r="AB20" s="83" t="s">
        <v>9</v>
      </c>
      <c r="AC20" s="82" t="s">
        <v>10</v>
      </c>
      <c r="AD20" s="82" t="s">
        <v>11</v>
      </c>
      <c r="AE20" s="82" t="s">
        <v>12</v>
      </c>
      <c r="AF20" s="81" t="s">
        <v>13</v>
      </c>
      <c r="AG20" s="83" t="s">
        <v>9</v>
      </c>
      <c r="AH20" s="82" t="s">
        <v>10</v>
      </c>
      <c r="AI20" s="82" t="s">
        <v>11</v>
      </c>
      <c r="AJ20" s="82" t="s">
        <v>12</v>
      </c>
      <c r="AK20" s="81" t="s">
        <v>13</v>
      </c>
    </row>
    <row r="21" spans="2:37" x14ac:dyDescent="0.35">
      <c r="B21" s="56" t="s">
        <v>19</v>
      </c>
      <c r="C21" s="124"/>
      <c r="D21" s="11" t="s">
        <v>20</v>
      </c>
      <c r="E21" s="124"/>
      <c r="F21" s="75" t="str">
        <f t="shared" ref="F21:J26" si="2">IF(ISNUMBER(AB21),AB21-((C$4-C$3)/V21),"")</f>
        <v/>
      </c>
      <c r="G21" s="80">
        <f t="shared" si="2"/>
        <v>1.1677871836863501E-2</v>
      </c>
      <c r="H21" s="80">
        <f t="shared" si="2"/>
        <v>1.7961916243633677E-2</v>
      </c>
      <c r="I21" s="80">
        <f t="shared" si="2"/>
        <v>2.2622692240350739E-2</v>
      </c>
      <c r="J21" s="62">
        <f t="shared" si="2"/>
        <v>2.7474635285865422E-2</v>
      </c>
      <c r="K21" s="89" t="str">
        <f t="shared" ref="K21:O26" si="3">IF(ISNUMBER(AG21),IF(AG21-((C$4-C$3)/V21)&lt;0,"",AG21-((C$4-C$3)/V21)),"")</f>
        <v/>
      </c>
      <c r="L21" s="87">
        <f t="shared" si="3"/>
        <v>8.1752117368635059E-3</v>
      </c>
      <c r="M21" s="87">
        <f t="shared" si="3"/>
        <v>1.3442223643633679E-2</v>
      </c>
      <c r="N21" s="87">
        <f t="shared" si="3"/>
        <v>1.7216143940350738E-2</v>
      </c>
      <c r="O21" s="90">
        <f t="shared" si="3"/>
        <v>2.0783615985865426E-2</v>
      </c>
      <c r="P21" s="15"/>
      <c r="Q21" s="133"/>
      <c r="R21" s="133"/>
      <c r="S21" s="133"/>
      <c r="T21" s="16"/>
      <c r="V21" s="17">
        <v>1.12373664</v>
      </c>
      <c r="W21" s="18">
        <v>2.8309915700000001</v>
      </c>
      <c r="X21" s="18">
        <v>4.3212522399999997</v>
      </c>
      <c r="Y21" s="18">
        <v>5.5872955800000002</v>
      </c>
      <c r="Z21" s="19">
        <v>7.1294964800000002</v>
      </c>
      <c r="AB21" s="75"/>
      <c r="AC21" s="80">
        <v>1.1677871836863501E-2</v>
      </c>
      <c r="AD21" s="80">
        <v>1.7961916243633677E-2</v>
      </c>
      <c r="AE21" s="80">
        <v>2.2622692240350739E-2</v>
      </c>
      <c r="AF21" s="62">
        <v>2.7474635285865422E-2</v>
      </c>
      <c r="AG21" s="80"/>
      <c r="AH21" s="80">
        <v>8.1752117368635059E-3</v>
      </c>
      <c r="AI21" s="80">
        <v>1.3442223643633679E-2</v>
      </c>
      <c r="AJ21" s="80">
        <v>1.7216143940350738E-2</v>
      </c>
      <c r="AK21" s="80">
        <v>2.0783615985865426E-2</v>
      </c>
    </row>
    <row r="22" spans="2:37" x14ac:dyDescent="0.35">
      <c r="B22" s="55" t="s">
        <v>22</v>
      </c>
      <c r="C22" s="123"/>
      <c r="D22" s="20" t="s">
        <v>23</v>
      </c>
      <c r="E22" s="123"/>
      <c r="F22" s="73">
        <f t="shared" si="2"/>
        <v>8.7623668077284941E-4</v>
      </c>
      <c r="G22" s="71">
        <f t="shared" si="2"/>
        <v>1.2203677290517804E-2</v>
      </c>
      <c r="H22" s="71">
        <f t="shared" si="2"/>
        <v>1.8950350235924701E-2</v>
      </c>
      <c r="I22" s="71">
        <f t="shared" si="2"/>
        <v>2.3552229750222732E-2</v>
      </c>
      <c r="J22" s="63">
        <f t="shared" si="2"/>
        <v>2.8369610757366354E-2</v>
      </c>
      <c r="K22" s="86" t="str">
        <f t="shared" si="3"/>
        <v/>
      </c>
      <c r="L22" s="68">
        <f t="shared" si="3"/>
        <v>8.7151244905178081E-3</v>
      </c>
      <c r="M22" s="68">
        <f t="shared" si="3"/>
        <v>1.4445029035924702E-2</v>
      </c>
      <c r="N22" s="68">
        <f t="shared" si="3"/>
        <v>1.8152700050222733E-2</v>
      </c>
      <c r="O22" s="91">
        <f t="shared" si="3"/>
        <v>2.1682857357366359E-2</v>
      </c>
      <c r="P22" s="24"/>
      <c r="Q22" s="25"/>
      <c r="R22" s="25"/>
      <c r="S22" s="25"/>
      <c r="T22" s="26"/>
      <c r="V22" s="27">
        <v>1.1282205999999999</v>
      </c>
      <c r="W22" s="28">
        <v>2.8350509800000001</v>
      </c>
      <c r="X22" s="28">
        <v>4.3176670599999998</v>
      </c>
      <c r="Y22" s="28">
        <v>5.5739470899999999</v>
      </c>
      <c r="Z22" s="29">
        <v>7.1003049999999996</v>
      </c>
      <c r="AB22" s="73">
        <v>8.7623668077284941E-4</v>
      </c>
      <c r="AC22" s="71">
        <v>1.2203677290517804E-2</v>
      </c>
      <c r="AD22" s="71">
        <v>1.8950350235924701E-2</v>
      </c>
      <c r="AE22" s="71">
        <v>2.3552229750222732E-2</v>
      </c>
      <c r="AF22" s="63">
        <v>2.8369610757366354E-2</v>
      </c>
      <c r="AG22" s="71" t="s">
        <v>21</v>
      </c>
      <c r="AH22" s="71">
        <v>8.7151244905178081E-3</v>
      </c>
      <c r="AI22" s="71">
        <v>1.4445029035924702E-2</v>
      </c>
      <c r="AJ22" s="71">
        <v>1.8152700050222733E-2</v>
      </c>
      <c r="AK22" s="71">
        <v>2.1682857357366359E-2</v>
      </c>
    </row>
    <row r="23" spans="2:37" x14ac:dyDescent="0.35">
      <c r="B23" s="56" t="s">
        <v>24</v>
      </c>
      <c r="C23" s="124"/>
      <c r="D23" s="11" t="s">
        <v>20</v>
      </c>
      <c r="E23" s="124"/>
      <c r="F23" s="75">
        <f t="shared" si="2"/>
        <v>3.1819064271417216E-2</v>
      </c>
      <c r="G23" s="80">
        <f t="shared" si="2"/>
        <v>4.4412292964020113E-2</v>
      </c>
      <c r="H23" s="80">
        <f>IF(ISNUMBER(AD23),AD23-((E$4-E$3)/X23),"")</f>
        <v>5.3291467194453844E-2</v>
      </c>
      <c r="I23" s="80" t="str">
        <f>IF(ISNUMBER(AE23),AE23-((F$4-F$3)/Y23),"")</f>
        <v/>
      </c>
      <c r="J23" s="62" t="str">
        <f>IF(ISNUMBER(AF23),AF23-((G$4-G$3)/Z23),"")</f>
        <v/>
      </c>
      <c r="K23" s="89">
        <f>IF(ISNUMBER(AG23),IF(AG23-((C$4-C$3)/V23)&lt;0,"",AG23-((C$4-C$3)/V23)),"")</f>
        <v>2.9334401771417214E-2</v>
      </c>
      <c r="L23" s="87">
        <f>IF(ISNUMBER(AH23),IF(AH23-((D$4-D$3)/W23)&lt;0,"",AH23-((D$4-D$3)/W23)),"")</f>
        <v>4.0240392164020117E-2</v>
      </c>
      <c r="M23" s="87">
        <f t="shared" si="3"/>
        <v>4.7773275694453839E-2</v>
      </c>
      <c r="N23" s="87" t="str">
        <f t="shared" si="3"/>
        <v/>
      </c>
      <c r="O23" s="90" t="str">
        <f t="shared" si="3"/>
        <v/>
      </c>
      <c r="P23" s="15"/>
      <c r="Q23" s="133"/>
      <c r="R23" s="133"/>
      <c r="S23" s="133"/>
      <c r="T23" s="16"/>
      <c r="V23" s="17">
        <v>1.0862097399999999</v>
      </c>
      <c r="W23" s="18">
        <v>2.62283782</v>
      </c>
      <c r="X23" s="18">
        <v>3.8492395699999999</v>
      </c>
      <c r="Y23" s="18">
        <v>4.8200832499999997</v>
      </c>
      <c r="Z23" s="19">
        <v>5.92256084</v>
      </c>
      <c r="AB23" s="75">
        <v>3.1819064271417216E-2</v>
      </c>
      <c r="AC23" s="80">
        <v>4.4412292964020113E-2</v>
      </c>
      <c r="AD23" s="80">
        <v>5.3291467194453844E-2</v>
      </c>
      <c r="AE23" s="80"/>
      <c r="AF23" s="62"/>
      <c r="AG23" s="80">
        <v>2.9334401771417214E-2</v>
      </c>
      <c r="AH23" s="80">
        <v>4.0240392164020117E-2</v>
      </c>
      <c r="AI23" s="80">
        <v>4.7773275694453839E-2</v>
      </c>
      <c r="AJ23" s="80"/>
      <c r="AK23" s="80"/>
    </row>
    <row r="24" spans="2:37" x14ac:dyDescent="0.35">
      <c r="B24" s="57" t="s">
        <v>25</v>
      </c>
      <c r="C24" s="125"/>
      <c r="D24" s="20" t="s">
        <v>23</v>
      </c>
      <c r="E24" s="125"/>
      <c r="F24" s="74">
        <f t="shared" si="2"/>
        <v>2.2123557340327255E-2</v>
      </c>
      <c r="G24" s="76">
        <f t="shared" si="2"/>
        <v>1.5916330169809687E-2</v>
      </c>
      <c r="H24" s="76">
        <f t="shared" si="2"/>
        <v>6.0769638162781303E-2</v>
      </c>
      <c r="I24" s="76">
        <f t="shared" si="2"/>
        <v>6.5646441863440014E-2</v>
      </c>
      <c r="J24" s="64">
        <f t="shared" si="2"/>
        <v>7.0710412870022527E-2</v>
      </c>
      <c r="K24" s="92">
        <f t="shared" si="3"/>
        <v>1.9862086640327258E-2</v>
      </c>
      <c r="L24" s="88">
        <f t="shared" si="3"/>
        <v>1.2492797769809686E-2</v>
      </c>
      <c r="M24" s="88">
        <f t="shared" si="3"/>
        <v>5.4582923062781299E-2</v>
      </c>
      <c r="N24" s="88">
        <f t="shared" si="3"/>
        <v>5.8425280763440002E-2</v>
      </c>
      <c r="O24" s="93">
        <f t="shared" si="3"/>
        <v>6.2124378670022538E-2</v>
      </c>
      <c r="P24" s="33"/>
      <c r="Q24" s="134"/>
      <c r="R24" s="134"/>
      <c r="S24" s="134"/>
      <c r="T24" s="34"/>
      <c r="V24" s="27">
        <v>1.11677896</v>
      </c>
      <c r="W24" s="28">
        <v>2.7971028599999999</v>
      </c>
      <c r="X24" s="28">
        <v>3.97225888</v>
      </c>
      <c r="Y24" s="28">
        <v>4.8130707600000004</v>
      </c>
      <c r="Z24" s="29">
        <v>5.6851281800000004</v>
      </c>
      <c r="AB24" s="74">
        <v>2.2123557340327255E-2</v>
      </c>
      <c r="AC24" s="76">
        <v>1.5916330169809687E-2</v>
      </c>
      <c r="AD24" s="76">
        <v>6.0769638162781303E-2</v>
      </c>
      <c r="AE24" s="76">
        <v>6.5646441863440014E-2</v>
      </c>
      <c r="AF24" s="64">
        <v>7.0710412870022527E-2</v>
      </c>
      <c r="AG24" s="76">
        <v>1.9862086640327258E-2</v>
      </c>
      <c r="AH24" s="76">
        <v>1.2492797769809686E-2</v>
      </c>
      <c r="AI24" s="76">
        <v>5.4582923062781299E-2</v>
      </c>
      <c r="AJ24" s="76">
        <v>5.8425280763440002E-2</v>
      </c>
      <c r="AK24" s="76">
        <v>6.2124378670022538E-2</v>
      </c>
    </row>
    <row r="25" spans="2:37" x14ac:dyDescent="0.35">
      <c r="B25" s="55" t="s">
        <v>26</v>
      </c>
      <c r="C25" s="123"/>
      <c r="D25" s="11" t="s">
        <v>23</v>
      </c>
      <c r="E25" s="123"/>
      <c r="F25" s="73">
        <f t="shared" si="2"/>
        <v>1.4339253240156155E-3</v>
      </c>
      <c r="G25" s="71">
        <f t="shared" si="2"/>
        <v>1.2611814156922958E-2</v>
      </c>
      <c r="H25" s="71">
        <f t="shared" si="2"/>
        <v>1.9637914041030921E-2</v>
      </c>
      <c r="I25" s="71" t="str">
        <f t="shared" si="2"/>
        <v/>
      </c>
      <c r="J25" s="63" t="str">
        <f t="shared" si="2"/>
        <v/>
      </c>
      <c r="K25" s="86" t="str">
        <f t="shared" si="3"/>
        <v/>
      </c>
      <c r="L25" s="68">
        <f t="shared" si="3"/>
        <v>9.1370795569229602E-3</v>
      </c>
      <c r="M25" s="68">
        <f t="shared" si="3"/>
        <v>1.5142764641030922E-2</v>
      </c>
      <c r="N25" s="68" t="str">
        <f t="shared" si="3"/>
        <v/>
      </c>
      <c r="O25" s="91" t="str">
        <f t="shared" si="3"/>
        <v/>
      </c>
      <c r="P25" s="24"/>
      <c r="Q25" s="25"/>
      <c r="R25" s="25"/>
      <c r="S25" s="25"/>
      <c r="T25" s="26"/>
      <c r="V25" s="17">
        <v>1.11683449</v>
      </c>
      <c r="W25" s="18">
        <v>2.7973723100000001</v>
      </c>
      <c r="X25" s="18">
        <v>4.26935501</v>
      </c>
      <c r="Y25" s="18">
        <v>5.49220869</v>
      </c>
      <c r="Z25" s="19">
        <v>6.9344572900000001</v>
      </c>
      <c r="AB25" s="73">
        <v>1.4339253240156155E-3</v>
      </c>
      <c r="AC25" s="71">
        <v>1.2611814156922958E-2</v>
      </c>
      <c r="AD25" s="71">
        <v>1.9637914041030921E-2</v>
      </c>
      <c r="AE25" s="71"/>
      <c r="AF25" s="63"/>
      <c r="AG25" s="71" t="s">
        <v>21</v>
      </c>
      <c r="AH25" s="71">
        <v>9.1370795569229602E-3</v>
      </c>
      <c r="AI25" s="71">
        <v>1.5142764641030922E-2</v>
      </c>
      <c r="AJ25" s="71"/>
      <c r="AK25" s="71"/>
    </row>
    <row r="26" spans="2:37" x14ac:dyDescent="0.35">
      <c r="B26" s="57" t="s">
        <v>27</v>
      </c>
      <c r="C26" s="125"/>
      <c r="D26" s="35" t="s">
        <v>23</v>
      </c>
      <c r="E26" s="125"/>
      <c r="F26" s="74" t="str">
        <f t="shared" si="2"/>
        <v/>
      </c>
      <c r="G26" s="76">
        <f t="shared" si="2"/>
        <v>1.5369414735326079E-2</v>
      </c>
      <c r="H26" s="76">
        <f t="shared" si="2"/>
        <v>2.4076299276543516E-2</v>
      </c>
      <c r="I26" s="76" t="str">
        <f t="shared" si="2"/>
        <v/>
      </c>
      <c r="J26" s="64">
        <f t="shared" si="2"/>
        <v>4.1661353935977773E-2</v>
      </c>
      <c r="K26" s="92" t="str">
        <f t="shared" si="3"/>
        <v/>
      </c>
      <c r="L26" s="88">
        <f t="shared" si="3"/>
        <v>1.1932711235326075E-2</v>
      </c>
      <c r="M26" s="88">
        <f t="shared" si="3"/>
        <v>1.9585307976543516E-2</v>
      </c>
      <c r="N26" s="88" t="str">
        <f t="shared" si="3"/>
        <v/>
      </c>
      <c r="O26" s="93">
        <f t="shared" si="3"/>
        <v>3.479923783597777E-2</v>
      </c>
      <c r="P26" s="33"/>
      <c r="Q26" s="134"/>
      <c r="R26" s="134"/>
      <c r="S26" s="134"/>
      <c r="T26" s="34"/>
      <c r="V26" s="36">
        <v>1.1120584200000001</v>
      </c>
      <c r="W26" s="37">
        <v>2.7742556500000002</v>
      </c>
      <c r="X26" s="37">
        <v>4.21844033</v>
      </c>
      <c r="Y26" s="37">
        <v>5.39375407</v>
      </c>
      <c r="Z26" s="38">
        <v>6.7381927399999997</v>
      </c>
      <c r="AB26" s="74"/>
      <c r="AC26" s="76">
        <v>1.5369414735326079E-2</v>
      </c>
      <c r="AD26" s="76">
        <v>2.4076299276543516E-2</v>
      </c>
      <c r="AE26" s="76"/>
      <c r="AF26" s="64">
        <v>4.1661353935977773E-2</v>
      </c>
      <c r="AG26" s="76"/>
      <c r="AH26" s="76">
        <v>1.1932711235326075E-2</v>
      </c>
      <c r="AI26" s="76">
        <v>1.9585307976543516E-2</v>
      </c>
      <c r="AJ26" s="76"/>
      <c r="AK26" s="76">
        <v>3.479923783597777E-2</v>
      </c>
    </row>
    <row r="27" spans="2:37" x14ac:dyDescent="0.35">
      <c r="C27" s="123"/>
      <c r="D27" s="123"/>
      <c r="E27" s="123"/>
      <c r="F27" s="60"/>
      <c r="G27" s="60"/>
      <c r="H27" s="60"/>
      <c r="I27" s="60"/>
      <c r="J27" s="60"/>
      <c r="K27" s="68"/>
      <c r="L27" s="68"/>
      <c r="M27" s="68"/>
      <c r="N27" s="68"/>
      <c r="O27" s="68"/>
      <c r="P27" s="127"/>
      <c r="Q27" s="127"/>
      <c r="R27" s="127"/>
      <c r="S27" s="127"/>
      <c r="T27" s="135"/>
      <c r="V27" s="40"/>
      <c r="W27" s="40"/>
      <c r="X27" s="40"/>
      <c r="Y27" s="40"/>
      <c r="Z27" s="40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</row>
    <row r="28" spans="2:37" ht="15.5" x14ac:dyDescent="0.35">
      <c r="B28" s="122" t="s">
        <v>28</v>
      </c>
      <c r="C28" s="123"/>
      <c r="D28" s="123"/>
      <c r="E28" s="123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V28" s="40"/>
      <c r="W28" s="40"/>
      <c r="X28" s="40"/>
      <c r="Y28" s="40"/>
      <c r="Z28" s="40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</row>
    <row r="29" spans="2:37" x14ac:dyDescent="0.35">
      <c r="B29" s="85" t="s">
        <v>5</v>
      </c>
      <c r="C29" s="84" t="s">
        <v>6</v>
      </c>
      <c r="D29" s="84" t="s">
        <v>7</v>
      </c>
      <c r="E29" s="84" t="s">
        <v>8</v>
      </c>
      <c r="F29" s="83" t="s">
        <v>9</v>
      </c>
      <c r="G29" s="82" t="s">
        <v>10</v>
      </c>
      <c r="H29" s="82" t="s">
        <v>11</v>
      </c>
      <c r="I29" s="82" t="s">
        <v>12</v>
      </c>
      <c r="J29" s="81" t="s">
        <v>13</v>
      </c>
      <c r="K29" s="83" t="s">
        <v>9</v>
      </c>
      <c r="L29" s="82" t="s">
        <v>10</v>
      </c>
      <c r="M29" s="82" t="s">
        <v>11</v>
      </c>
      <c r="N29" s="82" t="s">
        <v>12</v>
      </c>
      <c r="O29" s="81" t="s">
        <v>13</v>
      </c>
      <c r="P29" s="70" t="s">
        <v>14</v>
      </c>
      <c r="Q29" s="58" t="s">
        <v>15</v>
      </c>
      <c r="R29" s="58" t="s">
        <v>16</v>
      </c>
      <c r="S29" s="58" t="s">
        <v>409</v>
      </c>
      <c r="T29" s="58" t="s">
        <v>18</v>
      </c>
      <c r="V29" s="110" t="s">
        <v>9</v>
      </c>
      <c r="W29" s="106" t="s">
        <v>10</v>
      </c>
      <c r="X29" s="106" t="s">
        <v>11</v>
      </c>
      <c r="Y29" s="106" t="s">
        <v>12</v>
      </c>
      <c r="Z29" s="111" t="s">
        <v>13</v>
      </c>
      <c r="AB29" s="83" t="s">
        <v>9</v>
      </c>
      <c r="AC29" s="82" t="s">
        <v>10</v>
      </c>
      <c r="AD29" s="82" t="s">
        <v>11</v>
      </c>
      <c r="AE29" s="82" t="s">
        <v>12</v>
      </c>
      <c r="AF29" s="81" t="s">
        <v>13</v>
      </c>
      <c r="AG29" s="83" t="s">
        <v>9</v>
      </c>
      <c r="AH29" s="82" t="s">
        <v>10</v>
      </c>
      <c r="AI29" s="82" t="s">
        <v>11</v>
      </c>
      <c r="AJ29" s="82" t="s">
        <v>12</v>
      </c>
      <c r="AK29" s="81" t="s">
        <v>13</v>
      </c>
    </row>
    <row r="30" spans="2:37" x14ac:dyDescent="0.35">
      <c r="B30" s="79" t="s">
        <v>410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7"/>
      <c r="P30" s="79"/>
      <c r="Q30" s="78"/>
      <c r="R30" s="78"/>
      <c r="S30" s="78"/>
      <c r="T30" s="77"/>
      <c r="V30" s="112"/>
      <c r="W30" s="107"/>
      <c r="X30" s="107"/>
      <c r="Y30" s="107"/>
      <c r="Z30" s="113"/>
      <c r="AB30" s="78"/>
      <c r="AC30" s="78"/>
      <c r="AD30" s="78"/>
      <c r="AE30" s="78"/>
      <c r="AF30" s="78"/>
      <c r="AG30" s="78"/>
      <c r="AH30" s="78"/>
      <c r="AI30" s="78"/>
      <c r="AJ30" s="78"/>
      <c r="AK30" s="78"/>
    </row>
    <row r="31" spans="2:37" x14ac:dyDescent="0.35">
      <c r="B31" s="56" t="s">
        <v>29</v>
      </c>
      <c r="C31" s="53" t="s">
        <v>30</v>
      </c>
      <c r="D31" s="53" t="s">
        <v>31</v>
      </c>
      <c r="E31" s="53" t="s">
        <v>411</v>
      </c>
      <c r="F31" s="89" t="str">
        <f>IF(ISNUMBER(AB31),AB31-((C$4-C$3)/V31),"")</f>
        <v/>
      </c>
      <c r="G31" s="60">
        <f>IF(ISNUMBER(AC31),AC31-((D$4-D$3)/W31),"")</f>
        <v>6.0733172972295933E-3</v>
      </c>
      <c r="H31" s="71">
        <f>IF(ISNUMBER(AD31),AD31-((E$4-E$3)/X31),"")</f>
        <v>1.1628432455193212E-2</v>
      </c>
      <c r="I31" s="71">
        <f>IF(ISNUMBER(AE31),AE31-((F$4-F$3)/Y31),"")</f>
        <v>1.4511305603529048E-2</v>
      </c>
      <c r="J31" s="63">
        <f>IF(ISNUMBER(AF31),AF31-((G$4-G$3)/Z31),"")</f>
        <v>1.7421505907573784E-2</v>
      </c>
      <c r="K31" s="73" t="str">
        <f>IF(ISNUMBER(AG31),IF(AG31-((C$4-C$3)/V31)&lt;0,"",AG31-((C$4-C$3)/V31)),"")</f>
        <v/>
      </c>
      <c r="L31" s="60">
        <f>IF(ISNUMBER(AH31),IF(AH31-((D$4-D$3)/W31)&lt;0,"",AH31-((D$4-D$3)/W31)),"")</f>
        <v>2.3014191972295936E-3</v>
      </c>
      <c r="M31" s="71">
        <f>IF(ISNUMBER(AI31),IF(AI31-((E$4-E$3)/X31)&lt;0,"",AI31-((E$4-E$3)/X31)),"")</f>
        <v>6.8555389551932158E-3</v>
      </c>
      <c r="N31" s="71">
        <f>IF(ISNUMBER(AJ31),IF(AJ31-((F$4-F$3)/Y31)&lt;0,"",AJ31-((F$4-F$3)/Y31)),"")</f>
        <v>8.8704720035290494E-3</v>
      </c>
      <c r="O31" s="63">
        <f>IF(ISNUMBER(AK31),IF(AK31-((G$4-G$3)/Z31)&lt;0,"",AK31-((G$4-G$3)/Z31)),"")</f>
        <v>1.0500964807573784E-2</v>
      </c>
      <c r="P31" s="55" t="s">
        <v>412</v>
      </c>
      <c r="Q31" s="53" t="s">
        <v>413</v>
      </c>
      <c r="R31" s="94" t="s">
        <v>32</v>
      </c>
      <c r="S31" s="71">
        <v>1.371583E-2</v>
      </c>
      <c r="T31" s="63">
        <f>IF(S31="","",H31-S31)</f>
        <v>-2.0873975448067877E-3</v>
      </c>
      <c r="V31" s="114">
        <v>1.1295631699999999</v>
      </c>
      <c r="W31" s="72">
        <v>2.8525388600000001</v>
      </c>
      <c r="X31" s="72">
        <v>4.3694816400000001</v>
      </c>
      <c r="Y31" s="72">
        <v>5.6757187600000005</v>
      </c>
      <c r="Z31" s="115">
        <v>7.3020459300000002</v>
      </c>
      <c r="AB31" s="75" t="s">
        <v>21</v>
      </c>
      <c r="AC31" s="71">
        <v>6.0733172972295933E-3</v>
      </c>
      <c r="AD31" s="71">
        <v>1.1628432455193212E-2</v>
      </c>
      <c r="AE31" s="71">
        <v>1.4511305603529048E-2</v>
      </c>
      <c r="AF31" s="63">
        <v>1.7421505907573784E-2</v>
      </c>
      <c r="AG31" s="71" t="s">
        <v>21</v>
      </c>
      <c r="AH31" s="71">
        <v>2.3014191972295936E-3</v>
      </c>
      <c r="AI31" s="71">
        <v>6.8555389551932158E-3</v>
      </c>
      <c r="AJ31" s="71">
        <v>8.8704720035290494E-3</v>
      </c>
      <c r="AK31" s="71">
        <v>1.0500964807573784E-2</v>
      </c>
    </row>
    <row r="32" spans="2:37" x14ac:dyDescent="0.35">
      <c r="B32" s="55" t="s">
        <v>29</v>
      </c>
      <c r="C32" s="53" t="s">
        <v>33</v>
      </c>
      <c r="D32" s="53" t="s">
        <v>31</v>
      </c>
      <c r="E32" s="53" t="s">
        <v>34</v>
      </c>
      <c r="F32" s="73" t="str">
        <f t="shared" ref="F32:J89" si="4">IF(ISNUMBER(AB32),AB32-((C$4-C$3)/V32),"")</f>
        <v/>
      </c>
      <c r="G32" s="60">
        <f t="shared" si="4"/>
        <v>7.9491633117495693E-3</v>
      </c>
      <c r="H32" s="71">
        <f t="shared" si="4"/>
        <v>1.4867749919507496E-2</v>
      </c>
      <c r="I32" s="71">
        <f t="shared" si="4"/>
        <v>1.8536342719951929E-2</v>
      </c>
      <c r="J32" s="63">
        <f t="shared" si="4"/>
        <v>2.1821154021177788E-2</v>
      </c>
      <c r="K32" s="73" t="str">
        <f t="shared" ref="K32:O89" si="5">IF(ISNUMBER(AG32),IF(AG32-((C$4-C$3)/V32)&lt;0,"",AG32-((C$4-C$3)/V32)),"")</f>
        <v/>
      </c>
      <c r="L32" s="60">
        <f t="shared" si="5"/>
        <v>4.3081508117495714E-3</v>
      </c>
      <c r="M32" s="71">
        <f t="shared" si="5"/>
        <v>1.0240581119507495E-2</v>
      </c>
      <c r="N32" s="71">
        <f t="shared" si="5"/>
        <v>1.3040741419951927E-2</v>
      </c>
      <c r="O32" s="63">
        <f t="shared" si="5"/>
        <v>1.5060778721177785E-2</v>
      </c>
      <c r="P32" s="55" t="s">
        <v>21</v>
      </c>
      <c r="Q32" s="53" t="s">
        <v>21</v>
      </c>
      <c r="R32" s="94" t="s">
        <v>21</v>
      </c>
      <c r="S32" s="71">
        <v>0</v>
      </c>
      <c r="T32" s="63">
        <f t="shared" ref="T32:T110" si="6">IF(S32="","",H32-S32)</f>
        <v>1.4867749919507496E-2</v>
      </c>
      <c r="V32" s="114">
        <v>1.12880483</v>
      </c>
      <c r="W32" s="72">
        <v>2.8392491999999998</v>
      </c>
      <c r="X32" s="72">
        <v>4.3198097400000002</v>
      </c>
      <c r="Y32" s="72">
        <v>5.5655231000000001</v>
      </c>
      <c r="Z32" s="115">
        <v>7.0761373200000008</v>
      </c>
      <c r="AB32" s="73" t="s">
        <v>21</v>
      </c>
      <c r="AC32" s="71">
        <v>7.9491633117495693E-3</v>
      </c>
      <c r="AD32" s="71">
        <v>1.4867749919507496E-2</v>
      </c>
      <c r="AE32" s="71">
        <v>1.8536342719951929E-2</v>
      </c>
      <c r="AF32" s="63">
        <v>2.1821154021177788E-2</v>
      </c>
      <c r="AG32" s="71" t="s">
        <v>21</v>
      </c>
      <c r="AH32" s="71">
        <v>4.3081508117495714E-3</v>
      </c>
      <c r="AI32" s="71">
        <v>1.0240581119507495E-2</v>
      </c>
      <c r="AJ32" s="71">
        <v>1.3040741419951927E-2</v>
      </c>
      <c r="AK32" s="71">
        <v>1.5060778721177785E-2</v>
      </c>
    </row>
    <row r="33" spans="2:37" x14ac:dyDescent="0.35">
      <c r="B33" s="57" t="s">
        <v>29</v>
      </c>
      <c r="C33" s="67" t="s">
        <v>35</v>
      </c>
      <c r="D33" s="67" t="s">
        <v>31</v>
      </c>
      <c r="E33" s="67" t="s">
        <v>339</v>
      </c>
      <c r="F33" s="74" t="str">
        <f t="shared" si="4"/>
        <v/>
      </c>
      <c r="G33" s="76">
        <f t="shared" si="4"/>
        <v>1.0691928869999482E-2</v>
      </c>
      <c r="H33" s="76">
        <f t="shared" si="4"/>
        <v>1.9364951425852775E-2</v>
      </c>
      <c r="I33" s="76">
        <f t="shared" si="4"/>
        <v>2.4182285720397798E-2</v>
      </c>
      <c r="J33" s="64">
        <f t="shared" si="4"/>
        <v>2.8568486838644755E-2</v>
      </c>
      <c r="K33" s="74" t="str">
        <f t="shared" si="5"/>
        <v/>
      </c>
      <c r="L33" s="76">
        <f t="shared" si="5"/>
        <v>7.1682872699994835E-3</v>
      </c>
      <c r="M33" s="76">
        <f t="shared" si="5"/>
        <v>1.4834331925852776E-2</v>
      </c>
      <c r="N33" s="76">
        <f t="shared" si="5"/>
        <v>1.8753937120397801E-2</v>
      </c>
      <c r="O33" s="64">
        <f t="shared" si="5"/>
        <v>2.1862273338644756E-2</v>
      </c>
      <c r="P33" s="55" t="s">
        <v>21</v>
      </c>
      <c r="Q33" s="53" t="s">
        <v>21</v>
      </c>
      <c r="R33" s="94" t="s">
        <v>21</v>
      </c>
      <c r="S33" s="71">
        <v>0</v>
      </c>
      <c r="T33" s="63">
        <f t="shared" si="6"/>
        <v>1.9364951425852775E-2</v>
      </c>
      <c r="V33" s="116">
        <v>1.1285030899999999</v>
      </c>
      <c r="W33" s="108">
        <v>2.83339008</v>
      </c>
      <c r="X33" s="108">
        <v>4.2982854700000006</v>
      </c>
      <c r="Y33" s="108">
        <v>5.5185237999999996</v>
      </c>
      <c r="Z33" s="117">
        <v>6.9769270900000002</v>
      </c>
      <c r="AB33" s="74" t="s">
        <v>21</v>
      </c>
      <c r="AC33" s="76">
        <v>1.0691928869999482E-2</v>
      </c>
      <c r="AD33" s="76">
        <v>1.9364951425852775E-2</v>
      </c>
      <c r="AE33" s="76">
        <v>2.4182285720397798E-2</v>
      </c>
      <c r="AF33" s="64">
        <v>2.8568486838644755E-2</v>
      </c>
      <c r="AG33" s="71" t="s">
        <v>21</v>
      </c>
      <c r="AH33" s="71">
        <v>7.1682872699994835E-3</v>
      </c>
      <c r="AI33" s="71">
        <v>1.4834331925852776E-2</v>
      </c>
      <c r="AJ33" s="71">
        <v>1.8753937120397801E-2</v>
      </c>
      <c r="AK33" s="71">
        <v>2.1862273338644756E-2</v>
      </c>
    </row>
    <row r="34" spans="2:37" x14ac:dyDescent="0.35">
      <c r="B34" s="55" t="s">
        <v>37</v>
      </c>
      <c r="C34" s="53" t="s">
        <v>30</v>
      </c>
      <c r="D34" s="53" t="s">
        <v>31</v>
      </c>
      <c r="E34" s="53" t="s">
        <v>339</v>
      </c>
      <c r="F34" s="73" t="str">
        <f t="shared" si="4"/>
        <v/>
      </c>
      <c r="G34" s="60">
        <f t="shared" si="4"/>
        <v>6.8969990609306416E-3</v>
      </c>
      <c r="H34" s="71">
        <f t="shared" si="4"/>
        <v>1.2097786330174172E-2</v>
      </c>
      <c r="I34" s="71">
        <f t="shared" si="4"/>
        <v>1.501791560325038E-2</v>
      </c>
      <c r="J34" s="63">
        <f t="shared" si="4"/>
        <v>1.7875807595316904E-2</v>
      </c>
      <c r="K34" s="73" t="str">
        <f t="shared" si="5"/>
        <v/>
      </c>
      <c r="L34" s="60">
        <f t="shared" si="5"/>
        <v>3.1909559609306411E-3</v>
      </c>
      <c r="M34" s="71">
        <f t="shared" si="5"/>
        <v>7.3550964301741769E-3</v>
      </c>
      <c r="N34" s="71">
        <f t="shared" si="5"/>
        <v>9.4043340032503794E-3</v>
      </c>
      <c r="O34" s="63">
        <f t="shared" si="5"/>
        <v>1.0979219295316906E-2</v>
      </c>
      <c r="P34" s="56" t="s">
        <v>21</v>
      </c>
      <c r="Q34" s="66" t="s">
        <v>21</v>
      </c>
      <c r="R34" s="100" t="s">
        <v>21</v>
      </c>
      <c r="S34" s="80">
        <v>0</v>
      </c>
      <c r="T34" s="62">
        <f t="shared" si="6"/>
        <v>1.2097786330174172E-2</v>
      </c>
      <c r="V34" s="114">
        <v>1.12870622</v>
      </c>
      <c r="W34" s="72">
        <v>2.8457135500000001</v>
      </c>
      <c r="X34" s="72">
        <v>4.3558465999999996</v>
      </c>
      <c r="Y34" s="72">
        <v>5.6542653300000003</v>
      </c>
      <c r="Z34" s="115">
        <v>7.2678995299999993</v>
      </c>
      <c r="AB34" s="73" t="s">
        <v>21</v>
      </c>
      <c r="AC34" s="71">
        <v>6.8969990609306416E-3</v>
      </c>
      <c r="AD34" s="71">
        <v>1.2097786330174172E-2</v>
      </c>
      <c r="AE34" s="71">
        <v>1.501791560325038E-2</v>
      </c>
      <c r="AF34" s="63">
        <v>1.7875807595316904E-2</v>
      </c>
      <c r="AG34" s="71" t="s">
        <v>21</v>
      </c>
      <c r="AH34" s="71">
        <v>3.1909559609306411E-3</v>
      </c>
      <c r="AI34" s="71">
        <v>7.3550964301741769E-3</v>
      </c>
      <c r="AJ34" s="71">
        <v>9.4043340032503794E-3</v>
      </c>
      <c r="AK34" s="71">
        <v>1.0979219295316906E-2</v>
      </c>
    </row>
    <row r="35" spans="2:37" x14ac:dyDescent="0.35">
      <c r="B35" s="55" t="s">
        <v>37</v>
      </c>
      <c r="C35" s="53" t="s">
        <v>33</v>
      </c>
      <c r="D35" s="53" t="s">
        <v>31</v>
      </c>
      <c r="E35" s="53" t="s">
        <v>38</v>
      </c>
      <c r="F35" s="73" t="str">
        <f t="shared" si="4"/>
        <v/>
      </c>
      <c r="G35" s="60">
        <f t="shared" si="4"/>
        <v>8.1002396293744974E-3</v>
      </c>
      <c r="H35" s="71">
        <f t="shared" si="4"/>
        <v>1.4950624717016034E-2</v>
      </c>
      <c r="I35" s="71">
        <f t="shared" si="4"/>
        <v>1.8521154547262678E-2</v>
      </c>
      <c r="J35" s="63">
        <f t="shared" si="4"/>
        <v>2.1911019417400569E-2</v>
      </c>
      <c r="K35" s="73" t="str">
        <f t="shared" si="5"/>
        <v/>
      </c>
      <c r="L35" s="60">
        <f t="shared" si="5"/>
        <v>4.4680957293745001E-3</v>
      </c>
      <c r="M35" s="71">
        <f t="shared" si="5"/>
        <v>1.0326249017016032E-2</v>
      </c>
      <c r="N35" s="71">
        <f t="shared" si="5"/>
        <v>1.3025605347262681E-2</v>
      </c>
      <c r="O35" s="63">
        <f t="shared" si="5"/>
        <v>1.5151068617400572E-2</v>
      </c>
      <c r="P35" s="55" t="s">
        <v>21</v>
      </c>
      <c r="Q35" s="53" t="s">
        <v>21</v>
      </c>
      <c r="R35" s="94" t="s">
        <v>21</v>
      </c>
      <c r="S35" s="71">
        <v>0</v>
      </c>
      <c r="T35" s="63">
        <f t="shared" si="6"/>
        <v>1.4950624717016034E-2</v>
      </c>
      <c r="V35" s="114">
        <v>1.1278620099999999</v>
      </c>
      <c r="W35" s="72">
        <v>2.8365345</v>
      </c>
      <c r="X35" s="72">
        <v>4.31585967</v>
      </c>
      <c r="Y35" s="72">
        <v>5.5615223299999998</v>
      </c>
      <c r="Z35" s="115">
        <v>7.0706642000000004</v>
      </c>
      <c r="AB35" s="73" t="s">
        <v>21</v>
      </c>
      <c r="AC35" s="71">
        <v>8.1002396293744974E-3</v>
      </c>
      <c r="AD35" s="71">
        <v>1.4950624717016034E-2</v>
      </c>
      <c r="AE35" s="71">
        <v>1.8521154547262678E-2</v>
      </c>
      <c r="AF35" s="63">
        <v>2.1911019417400569E-2</v>
      </c>
      <c r="AG35" s="71" t="s">
        <v>21</v>
      </c>
      <c r="AH35" s="71">
        <v>4.4680957293745001E-3</v>
      </c>
      <c r="AI35" s="71">
        <v>1.0326249017016032E-2</v>
      </c>
      <c r="AJ35" s="71">
        <v>1.3025605347262681E-2</v>
      </c>
      <c r="AK35" s="71">
        <v>1.5151068617400572E-2</v>
      </c>
    </row>
    <row r="36" spans="2:37" x14ac:dyDescent="0.35">
      <c r="B36" s="57" t="s">
        <v>37</v>
      </c>
      <c r="C36" s="67" t="s">
        <v>35</v>
      </c>
      <c r="D36" s="67" t="s">
        <v>31</v>
      </c>
      <c r="E36" s="67" t="s">
        <v>39</v>
      </c>
      <c r="F36" s="74" t="str">
        <f t="shared" si="4"/>
        <v/>
      </c>
      <c r="G36" s="76">
        <f t="shared" si="4"/>
        <v>1.0921450395588377E-2</v>
      </c>
      <c r="H36" s="76">
        <f t="shared" si="4"/>
        <v>1.954340912744058E-2</v>
      </c>
      <c r="I36" s="76">
        <f t="shared" si="4"/>
        <v>2.4264287071291739E-2</v>
      </c>
      <c r="J36" s="64">
        <f t="shared" si="4"/>
        <v>2.8750073965042745E-2</v>
      </c>
      <c r="K36" s="74" t="str">
        <f t="shared" si="5"/>
        <v/>
      </c>
      <c r="L36" s="76">
        <f t="shared" si="5"/>
        <v>7.406052595588377E-3</v>
      </c>
      <c r="M36" s="76">
        <f t="shared" si="5"/>
        <v>1.5015879627440581E-2</v>
      </c>
      <c r="N36" s="76">
        <f t="shared" si="5"/>
        <v>1.8837609871291738E-2</v>
      </c>
      <c r="O36" s="64">
        <f t="shared" si="5"/>
        <v>2.2043825165042746E-2</v>
      </c>
      <c r="P36" s="57" t="s">
        <v>21</v>
      </c>
      <c r="Q36" s="67" t="s">
        <v>21</v>
      </c>
      <c r="R36" s="96" t="s">
        <v>21</v>
      </c>
      <c r="S36" s="76">
        <v>0</v>
      </c>
      <c r="T36" s="64">
        <f t="shared" si="6"/>
        <v>1.954340912744058E-2</v>
      </c>
      <c r="V36" s="116">
        <v>1.1283261</v>
      </c>
      <c r="W36" s="108">
        <v>2.8319684700000001</v>
      </c>
      <c r="X36" s="108">
        <v>4.2950457499999999</v>
      </c>
      <c r="Y36" s="108">
        <v>5.5141228099999999</v>
      </c>
      <c r="Z36" s="117">
        <v>6.9696740300000002</v>
      </c>
      <c r="AB36" s="74" t="s">
        <v>21</v>
      </c>
      <c r="AC36" s="76">
        <v>1.0921450395588377E-2</v>
      </c>
      <c r="AD36" s="76">
        <v>1.954340912744058E-2</v>
      </c>
      <c r="AE36" s="76">
        <v>2.4264287071291739E-2</v>
      </c>
      <c r="AF36" s="64">
        <v>2.8750073965042745E-2</v>
      </c>
      <c r="AG36" s="76" t="s">
        <v>21</v>
      </c>
      <c r="AH36" s="76">
        <v>7.406052595588377E-3</v>
      </c>
      <c r="AI36" s="76">
        <v>1.5015879627440581E-2</v>
      </c>
      <c r="AJ36" s="76">
        <v>1.8837609871291738E-2</v>
      </c>
      <c r="AK36" s="76">
        <v>2.2043825165042746E-2</v>
      </c>
    </row>
    <row r="37" spans="2:37" x14ac:dyDescent="0.35">
      <c r="B37" s="55" t="s">
        <v>40</v>
      </c>
      <c r="C37" s="53" t="s">
        <v>30</v>
      </c>
      <c r="D37" s="53" t="s">
        <v>31</v>
      </c>
      <c r="E37" s="53" t="s">
        <v>21</v>
      </c>
      <c r="F37" s="73" t="str">
        <f t="shared" si="4"/>
        <v/>
      </c>
      <c r="G37" s="60">
        <f t="shared" si="4"/>
        <v>7.0658136118974422E-3</v>
      </c>
      <c r="H37" s="71">
        <f t="shared" si="4"/>
        <v>1.2592812006096726E-2</v>
      </c>
      <c r="I37" s="71">
        <f t="shared" si="4"/>
        <v>1.5891192655919695E-2</v>
      </c>
      <c r="J37" s="63">
        <f t="shared" si="4"/>
        <v>1.9234720004478647E-2</v>
      </c>
      <c r="K37" s="73" t="str">
        <f t="shared" si="5"/>
        <v/>
      </c>
      <c r="L37" s="60">
        <f t="shared" si="5"/>
        <v>3.3719304118974445E-3</v>
      </c>
      <c r="M37" s="71">
        <f t="shared" si="5"/>
        <v>7.8766350060967272E-3</v>
      </c>
      <c r="N37" s="71">
        <f t="shared" si="5"/>
        <v>1.0315923855919694E-2</v>
      </c>
      <c r="O37" s="63">
        <f t="shared" si="5"/>
        <v>1.2395472504478647E-2</v>
      </c>
      <c r="P37" s="55" t="s">
        <v>21</v>
      </c>
      <c r="Q37" s="53" t="s">
        <v>21</v>
      </c>
      <c r="R37" s="94" t="s">
        <v>21</v>
      </c>
      <c r="S37" s="71">
        <v>0</v>
      </c>
      <c r="T37" s="63">
        <f t="shared" si="6"/>
        <v>1.2592812006096726E-2</v>
      </c>
      <c r="V37" s="114">
        <v>1.1278337700000001</v>
      </c>
      <c r="W37" s="72">
        <v>2.8430195299999999</v>
      </c>
      <c r="X37" s="72">
        <v>4.3478601499999998</v>
      </c>
      <c r="Y37" s="72">
        <v>5.6336650600000002</v>
      </c>
      <c r="Z37" s="115">
        <v>7.2135997199999995</v>
      </c>
      <c r="AB37" s="73" t="s">
        <v>21</v>
      </c>
      <c r="AC37" s="71">
        <v>7.0658136118974422E-3</v>
      </c>
      <c r="AD37" s="71">
        <v>1.2592812006096726E-2</v>
      </c>
      <c r="AE37" s="71">
        <v>1.5891192655919695E-2</v>
      </c>
      <c r="AF37" s="63">
        <v>1.9234720004478647E-2</v>
      </c>
      <c r="AG37" s="71" t="s">
        <v>21</v>
      </c>
      <c r="AH37" s="71">
        <v>3.3719304118974445E-3</v>
      </c>
      <c r="AI37" s="71">
        <v>7.8766350060967272E-3</v>
      </c>
      <c r="AJ37" s="71">
        <v>1.0315923855919694E-2</v>
      </c>
      <c r="AK37" s="71">
        <v>1.2395472504478647E-2</v>
      </c>
    </row>
    <row r="38" spans="2:37" x14ac:dyDescent="0.35">
      <c r="B38" s="55" t="s">
        <v>40</v>
      </c>
      <c r="C38" s="53" t="s">
        <v>33</v>
      </c>
      <c r="D38" s="53" t="s">
        <v>31</v>
      </c>
      <c r="E38" s="53" t="s">
        <v>41</v>
      </c>
      <c r="F38" s="73" t="str">
        <f t="shared" si="4"/>
        <v/>
      </c>
      <c r="G38" s="60">
        <f t="shared" si="4"/>
        <v>8.8196781996931293E-3</v>
      </c>
      <c r="H38" s="71">
        <f t="shared" si="4"/>
        <v>1.6139845272035144E-2</v>
      </c>
      <c r="I38" s="71">
        <f t="shared" si="4"/>
        <v>2.0240534365610033E-2</v>
      </c>
      <c r="J38" s="63">
        <f t="shared" si="4"/>
        <v>2.3986691834789339E-2</v>
      </c>
      <c r="K38" s="73" t="str">
        <f t="shared" si="5"/>
        <v/>
      </c>
      <c r="L38" s="60">
        <f t="shared" si="5"/>
        <v>5.2210170996931284E-3</v>
      </c>
      <c r="M38" s="71">
        <f t="shared" si="5"/>
        <v>1.1543084972035144E-2</v>
      </c>
      <c r="N38" s="71">
        <f t="shared" si="5"/>
        <v>1.4767656265610029E-2</v>
      </c>
      <c r="O38" s="63">
        <f t="shared" si="5"/>
        <v>1.7253151034789339E-2</v>
      </c>
      <c r="P38" s="55" t="s">
        <v>414</v>
      </c>
      <c r="Q38" s="53" t="s">
        <v>415</v>
      </c>
      <c r="R38" s="94">
        <v>47729</v>
      </c>
      <c r="S38" s="71">
        <v>1.228283E-2</v>
      </c>
      <c r="T38" s="63">
        <f t="shared" si="6"/>
        <v>3.8570152720351445E-3</v>
      </c>
      <c r="V38" s="114">
        <v>1.1272713000000001</v>
      </c>
      <c r="W38" s="72">
        <v>2.83091742</v>
      </c>
      <c r="X38" s="72">
        <v>4.2970102400000005</v>
      </c>
      <c r="Y38" s="72">
        <v>5.5180723</v>
      </c>
      <c r="Z38" s="115">
        <v>6.975943749999999</v>
      </c>
      <c r="AB38" s="73" t="s">
        <v>21</v>
      </c>
      <c r="AC38" s="71">
        <v>8.8196781996931293E-3</v>
      </c>
      <c r="AD38" s="71">
        <v>1.6139845272035144E-2</v>
      </c>
      <c r="AE38" s="71">
        <v>2.0240534365610033E-2</v>
      </c>
      <c r="AF38" s="63">
        <v>2.3986691834789339E-2</v>
      </c>
      <c r="AG38" s="71" t="s">
        <v>21</v>
      </c>
      <c r="AH38" s="71">
        <v>5.2210170996931284E-3</v>
      </c>
      <c r="AI38" s="71">
        <v>1.1543084972035144E-2</v>
      </c>
      <c r="AJ38" s="71">
        <v>1.4767656265610029E-2</v>
      </c>
      <c r="AK38" s="71">
        <v>1.7253151034789339E-2</v>
      </c>
    </row>
    <row r="39" spans="2:37" x14ac:dyDescent="0.35">
      <c r="B39" s="57" t="s">
        <v>40</v>
      </c>
      <c r="C39" s="67" t="s">
        <v>35</v>
      </c>
      <c r="D39" s="67" t="s">
        <v>31</v>
      </c>
      <c r="E39" s="67" t="s">
        <v>21</v>
      </c>
      <c r="F39" s="74">
        <f t="shared" si="4"/>
        <v>1.5001560734931307E-5</v>
      </c>
      <c r="G39" s="76">
        <f t="shared" si="4"/>
        <v>1.1758892702401347E-2</v>
      </c>
      <c r="H39" s="76">
        <f t="shared" si="4"/>
        <v>2.1086366938868051E-2</v>
      </c>
      <c r="I39" s="76">
        <f t="shared" si="4"/>
        <v>2.6646401970502664E-2</v>
      </c>
      <c r="J39" s="64">
        <f t="shared" si="4"/>
        <v>3.1658177834087767E-2</v>
      </c>
      <c r="K39" s="74" t="str">
        <f t="shared" si="5"/>
        <v/>
      </c>
      <c r="L39" s="76">
        <f t="shared" si="5"/>
        <v>8.2624173024013464E-3</v>
      </c>
      <c r="M39" s="76">
        <f t="shared" si="5"/>
        <v>1.656275323886805E-2</v>
      </c>
      <c r="N39" s="76">
        <f t="shared" si="5"/>
        <v>2.1204356070502667E-2</v>
      </c>
      <c r="O39" s="64">
        <f t="shared" si="5"/>
        <v>2.4928348934087768E-2</v>
      </c>
      <c r="P39" s="55" t="s">
        <v>21</v>
      </c>
      <c r="Q39" s="53" t="s">
        <v>21</v>
      </c>
      <c r="R39" s="94" t="s">
        <v>21</v>
      </c>
      <c r="S39" s="71"/>
      <c r="T39" s="63" t="str">
        <f t="shared" si="6"/>
        <v/>
      </c>
      <c r="V39" s="116">
        <v>1.12786867</v>
      </c>
      <c r="W39" s="108">
        <v>2.8272104100000002</v>
      </c>
      <c r="X39" s="108">
        <v>4.2774442800000001</v>
      </c>
      <c r="Y39" s="108">
        <v>5.4716078399999999</v>
      </c>
      <c r="Z39" s="117">
        <v>6.8751115</v>
      </c>
      <c r="AB39" s="74">
        <v>1.5001560734931307E-5</v>
      </c>
      <c r="AC39" s="76">
        <v>1.1758892702401347E-2</v>
      </c>
      <c r="AD39" s="76">
        <v>2.1086366938868051E-2</v>
      </c>
      <c r="AE39" s="76">
        <v>2.6646401970502664E-2</v>
      </c>
      <c r="AF39" s="64">
        <v>3.1658177834087767E-2</v>
      </c>
      <c r="AG39" s="71" t="s">
        <v>21</v>
      </c>
      <c r="AH39" s="71">
        <v>8.2624173024013464E-3</v>
      </c>
      <c r="AI39" s="71">
        <v>1.656275323886805E-2</v>
      </c>
      <c r="AJ39" s="71">
        <v>2.1204356070502667E-2</v>
      </c>
      <c r="AK39" s="71">
        <v>2.4928348934087768E-2</v>
      </c>
    </row>
    <row r="40" spans="2:37" x14ac:dyDescent="0.35">
      <c r="B40" s="79" t="s">
        <v>416</v>
      </c>
      <c r="C40" s="78"/>
      <c r="D40" s="78"/>
      <c r="E40" s="78"/>
      <c r="F40" s="78" t="str">
        <f t="shared" si="4"/>
        <v/>
      </c>
      <c r="G40" s="78" t="str">
        <f t="shared" si="4"/>
        <v/>
      </c>
      <c r="H40" s="78" t="str">
        <f t="shared" si="4"/>
        <v/>
      </c>
      <c r="I40" s="78" t="str">
        <f t="shared" si="4"/>
        <v/>
      </c>
      <c r="J40" s="78" t="str">
        <f t="shared" si="4"/>
        <v/>
      </c>
      <c r="K40" s="78" t="str">
        <f t="shared" si="5"/>
        <v/>
      </c>
      <c r="L40" s="78" t="str">
        <f t="shared" si="5"/>
        <v/>
      </c>
      <c r="M40" s="78" t="str">
        <f t="shared" si="5"/>
        <v/>
      </c>
      <c r="N40" s="78" t="str">
        <f t="shared" si="5"/>
        <v/>
      </c>
      <c r="O40" s="77" t="str">
        <f t="shared" si="5"/>
        <v/>
      </c>
      <c r="P40" s="79"/>
      <c r="Q40" s="78"/>
      <c r="R40" s="95"/>
      <c r="S40" s="78"/>
      <c r="T40" s="77" t="str">
        <f t="shared" si="6"/>
        <v/>
      </c>
      <c r="V40" s="112"/>
      <c r="W40" s="107"/>
      <c r="X40" s="107"/>
      <c r="Y40" s="107"/>
      <c r="Z40" s="113"/>
      <c r="AB40" s="78"/>
      <c r="AC40" s="78"/>
      <c r="AD40" s="78"/>
      <c r="AE40" s="78"/>
      <c r="AF40" s="78"/>
      <c r="AG40" s="78"/>
      <c r="AH40" s="78"/>
      <c r="AI40" s="78"/>
      <c r="AJ40" s="78"/>
      <c r="AK40" s="78"/>
    </row>
    <row r="41" spans="2:37" x14ac:dyDescent="0.35">
      <c r="B41" s="55" t="s">
        <v>42</v>
      </c>
      <c r="C41" s="53" t="s">
        <v>30</v>
      </c>
      <c r="D41" s="53" t="s">
        <v>43</v>
      </c>
      <c r="E41" s="53" t="s">
        <v>417</v>
      </c>
      <c r="F41" s="73" t="str">
        <f t="shared" si="4"/>
        <v/>
      </c>
      <c r="G41" s="60">
        <f t="shared" si="4"/>
        <v>6.9420526025085975E-3</v>
      </c>
      <c r="H41" s="71">
        <f t="shared" si="4"/>
        <v>1.2810604700501597E-2</v>
      </c>
      <c r="I41" s="71">
        <f t="shared" si="4"/>
        <v>1.6041839038175548E-2</v>
      </c>
      <c r="J41" s="63">
        <f t="shared" si="4"/>
        <v>1.9127403637553792E-2</v>
      </c>
      <c r="K41" s="73" t="str">
        <f t="shared" si="5"/>
        <v/>
      </c>
      <c r="L41" s="60">
        <f t="shared" si="5"/>
        <v>3.2391587025085962E-3</v>
      </c>
      <c r="M41" s="71">
        <f t="shared" si="5"/>
        <v>8.104717700501602E-3</v>
      </c>
      <c r="N41" s="71">
        <f t="shared" si="5"/>
        <v>1.0473364738175551E-2</v>
      </c>
      <c r="O41" s="63">
        <f t="shared" si="5"/>
        <v>1.2286970937553793E-2</v>
      </c>
      <c r="P41" s="55" t="s">
        <v>418</v>
      </c>
      <c r="Q41" s="53" t="s">
        <v>419</v>
      </c>
      <c r="R41" s="94" t="s">
        <v>32</v>
      </c>
      <c r="S41" s="71">
        <v>1.1521120000000001E-2</v>
      </c>
      <c r="T41" s="63">
        <f t="shared" si="6"/>
        <v>1.2894847005015964E-3</v>
      </c>
      <c r="V41" s="114">
        <v>1.1284633800000001</v>
      </c>
      <c r="W41" s="72">
        <v>2.8449790999999998</v>
      </c>
      <c r="X41" s="72">
        <v>4.3480577300000007</v>
      </c>
      <c r="Y41" s="72">
        <v>5.6312304299999996</v>
      </c>
      <c r="Z41" s="115">
        <v>7.212155319999999</v>
      </c>
      <c r="AB41" s="73" t="s">
        <v>21</v>
      </c>
      <c r="AC41" s="71">
        <v>6.9420526025085975E-3</v>
      </c>
      <c r="AD41" s="71">
        <v>1.2810604700501597E-2</v>
      </c>
      <c r="AE41" s="71">
        <v>1.6041839038175548E-2</v>
      </c>
      <c r="AF41" s="63">
        <v>1.9127403637553792E-2</v>
      </c>
      <c r="AG41" s="71" t="s">
        <v>21</v>
      </c>
      <c r="AH41" s="71">
        <v>3.2391587025085962E-3</v>
      </c>
      <c r="AI41" s="71">
        <v>8.104717700501602E-3</v>
      </c>
      <c r="AJ41" s="71">
        <v>1.0473364738175551E-2</v>
      </c>
      <c r="AK41" s="71">
        <v>1.2286970937553793E-2</v>
      </c>
    </row>
    <row r="42" spans="2:37" x14ac:dyDescent="0.35">
      <c r="B42" s="55" t="s">
        <v>42</v>
      </c>
      <c r="C42" s="53" t="s">
        <v>33</v>
      </c>
      <c r="D42" s="53" t="s">
        <v>43</v>
      </c>
      <c r="E42" s="53" t="s">
        <v>420</v>
      </c>
      <c r="F42" s="73" t="str">
        <f t="shared" si="4"/>
        <v/>
      </c>
      <c r="G42" s="60">
        <f t="shared" si="4"/>
        <v>9.0523927650211344E-3</v>
      </c>
      <c r="H42" s="71">
        <f t="shared" si="4"/>
        <v>1.644497774666228E-2</v>
      </c>
      <c r="I42" s="71">
        <f t="shared" si="4"/>
        <v>2.0771162916694168E-2</v>
      </c>
      <c r="J42" s="63">
        <f t="shared" si="4"/>
        <v>2.4454025613651904E-2</v>
      </c>
      <c r="K42" s="73" t="str">
        <f t="shared" si="5"/>
        <v/>
      </c>
      <c r="L42" s="60">
        <f t="shared" si="5"/>
        <v>5.4638008650211341E-3</v>
      </c>
      <c r="M42" s="71">
        <f t="shared" si="5"/>
        <v>1.1855192746662281E-2</v>
      </c>
      <c r="N42" s="71">
        <f t="shared" si="5"/>
        <v>1.5303281816694169E-2</v>
      </c>
      <c r="O42" s="63">
        <f t="shared" si="5"/>
        <v>1.7726203313651906E-2</v>
      </c>
      <c r="P42" s="55" t="s">
        <v>421</v>
      </c>
      <c r="Q42" s="53" t="s">
        <v>422</v>
      </c>
      <c r="R42" s="94" t="s">
        <v>32</v>
      </c>
      <c r="S42" s="71">
        <v>1.505982E-2</v>
      </c>
      <c r="T42" s="63">
        <f t="shared" si="6"/>
        <v>1.3851577466622803E-3</v>
      </c>
      <c r="V42" s="114">
        <v>1.1285528</v>
      </c>
      <c r="W42" s="72">
        <v>2.8318114099999998</v>
      </c>
      <c r="X42" s="72">
        <v>4.29436573</v>
      </c>
      <c r="Y42" s="72">
        <v>5.5080273699999998</v>
      </c>
      <c r="Z42" s="115">
        <v>6.9534152200000001</v>
      </c>
      <c r="AB42" s="73" t="s">
        <v>21</v>
      </c>
      <c r="AC42" s="71">
        <v>9.0523927650211344E-3</v>
      </c>
      <c r="AD42" s="71">
        <v>1.644497774666228E-2</v>
      </c>
      <c r="AE42" s="71">
        <v>2.0771162916694168E-2</v>
      </c>
      <c r="AF42" s="63">
        <v>2.4454025613651904E-2</v>
      </c>
      <c r="AG42" s="71" t="s">
        <v>21</v>
      </c>
      <c r="AH42" s="71">
        <v>5.4638008650211341E-3</v>
      </c>
      <c r="AI42" s="71">
        <v>1.1855192746662281E-2</v>
      </c>
      <c r="AJ42" s="71">
        <v>1.5303281816694169E-2</v>
      </c>
      <c r="AK42" s="71">
        <v>1.7726203313651906E-2</v>
      </c>
    </row>
    <row r="43" spans="2:37" x14ac:dyDescent="0.35">
      <c r="B43" s="55" t="s">
        <v>42</v>
      </c>
      <c r="C43" s="53" t="s">
        <v>35</v>
      </c>
      <c r="D43" s="53" t="s">
        <v>43</v>
      </c>
      <c r="E43" s="53" t="s">
        <v>423</v>
      </c>
      <c r="F43" s="73">
        <f t="shared" si="4"/>
        <v>3.5081065354109972E-4</v>
      </c>
      <c r="G43" s="60">
        <f t="shared" si="4"/>
        <v>1.2604114265634025E-2</v>
      </c>
      <c r="H43" s="71">
        <f t="shared" si="4"/>
        <v>2.2432641056883935E-2</v>
      </c>
      <c r="I43" s="71">
        <f t="shared" si="4"/>
        <v>2.815693356071642E-2</v>
      </c>
      <c r="J43" s="63">
        <f t="shared" si="4"/>
        <v>3.3707607935935045E-2</v>
      </c>
      <c r="K43" s="73" t="str">
        <f t="shared" si="5"/>
        <v/>
      </c>
      <c r="L43" s="60">
        <f t="shared" si="5"/>
        <v>9.1217188656340219E-3</v>
      </c>
      <c r="M43" s="71">
        <f t="shared" si="5"/>
        <v>1.7904934656883933E-2</v>
      </c>
      <c r="N43" s="71">
        <f t="shared" si="5"/>
        <v>2.2697338260716415E-2</v>
      </c>
      <c r="O43" s="63">
        <f t="shared" si="5"/>
        <v>2.6946888235935041E-2</v>
      </c>
      <c r="P43" s="55" t="s">
        <v>21</v>
      </c>
      <c r="Q43" s="53" t="s">
        <v>21</v>
      </c>
      <c r="R43" s="94" t="s">
        <v>21</v>
      </c>
      <c r="S43" s="71">
        <v>0</v>
      </c>
      <c r="T43" s="63">
        <f t="shared" si="6"/>
        <v>2.2432641056883935E-2</v>
      </c>
      <c r="V43" s="114">
        <v>1.12739999</v>
      </c>
      <c r="W43" s="72">
        <v>2.8224094500000003</v>
      </c>
      <c r="X43" s="72">
        <v>4.2613167599999997</v>
      </c>
      <c r="Y43" s="72">
        <v>5.4391711099999993</v>
      </c>
      <c r="Z43" s="115">
        <v>6.80805243</v>
      </c>
      <c r="AB43" s="73">
        <v>3.5081065354109972E-4</v>
      </c>
      <c r="AC43" s="71">
        <v>1.2604114265634025E-2</v>
      </c>
      <c r="AD43" s="71">
        <v>2.2432641056883935E-2</v>
      </c>
      <c r="AE43" s="71">
        <v>2.815693356071642E-2</v>
      </c>
      <c r="AF43" s="63">
        <v>3.3707607935935045E-2</v>
      </c>
      <c r="AG43" s="71" t="s">
        <v>21</v>
      </c>
      <c r="AH43" s="71">
        <v>9.1217188656340219E-3</v>
      </c>
      <c r="AI43" s="71">
        <v>1.7904934656883933E-2</v>
      </c>
      <c r="AJ43" s="71">
        <v>2.2697338260716415E-2</v>
      </c>
      <c r="AK43" s="71">
        <v>2.6946888235935041E-2</v>
      </c>
    </row>
    <row r="44" spans="2:37" x14ac:dyDescent="0.35">
      <c r="B44" s="79" t="s">
        <v>45</v>
      </c>
      <c r="C44" s="78"/>
      <c r="D44" s="78"/>
      <c r="E44" s="78"/>
      <c r="F44" s="78" t="str">
        <f t="shared" si="4"/>
        <v/>
      </c>
      <c r="G44" s="78" t="str">
        <f t="shared" si="4"/>
        <v/>
      </c>
      <c r="H44" s="78" t="str">
        <f t="shared" si="4"/>
        <v/>
      </c>
      <c r="I44" s="78" t="str">
        <f t="shared" si="4"/>
        <v/>
      </c>
      <c r="J44" s="78" t="str">
        <f t="shared" si="4"/>
        <v/>
      </c>
      <c r="K44" s="78" t="str">
        <f t="shared" si="5"/>
        <v/>
      </c>
      <c r="L44" s="78" t="str">
        <f t="shared" si="5"/>
        <v/>
      </c>
      <c r="M44" s="78" t="str">
        <f t="shared" si="5"/>
        <v/>
      </c>
      <c r="N44" s="78" t="str">
        <f t="shared" si="5"/>
        <v/>
      </c>
      <c r="O44" s="77" t="str">
        <f t="shared" si="5"/>
        <v/>
      </c>
      <c r="P44" s="79"/>
      <c r="Q44" s="78"/>
      <c r="R44" s="95"/>
      <c r="S44" s="78"/>
      <c r="T44" s="77" t="str">
        <f t="shared" si="6"/>
        <v/>
      </c>
      <c r="V44" s="112"/>
      <c r="W44" s="107"/>
      <c r="X44" s="107"/>
      <c r="Y44" s="107"/>
      <c r="Z44" s="113"/>
      <c r="AB44" s="78"/>
      <c r="AC44" s="78"/>
      <c r="AD44" s="78"/>
      <c r="AE44" s="78"/>
      <c r="AF44" s="78"/>
      <c r="AG44" s="78"/>
      <c r="AH44" s="78"/>
      <c r="AI44" s="78"/>
      <c r="AJ44" s="78"/>
      <c r="AK44" s="78"/>
    </row>
    <row r="45" spans="2:37" x14ac:dyDescent="0.35">
      <c r="B45" s="56" t="s">
        <v>46</v>
      </c>
      <c r="C45" s="66" t="s">
        <v>30</v>
      </c>
      <c r="D45" s="66" t="s">
        <v>47</v>
      </c>
      <c r="E45" s="66" t="s">
        <v>424</v>
      </c>
      <c r="F45" s="75" t="str">
        <f t="shared" si="4"/>
        <v/>
      </c>
      <c r="G45" s="80">
        <f t="shared" si="4"/>
        <v>6.6611820237218802E-3</v>
      </c>
      <c r="H45" s="80">
        <f t="shared" si="4"/>
        <v>1.2428784300912866E-2</v>
      </c>
      <c r="I45" s="80">
        <f t="shared" si="4"/>
        <v>1.6024684783904928E-2</v>
      </c>
      <c r="J45" s="62">
        <f t="shared" si="4"/>
        <v>1.9552295350869942E-2</v>
      </c>
      <c r="K45" s="75" t="str">
        <f t="shared" si="5"/>
        <v/>
      </c>
      <c r="L45" s="80">
        <f t="shared" si="5"/>
        <v>2.9370120237218788E-3</v>
      </c>
      <c r="M45" s="80">
        <f t="shared" si="5"/>
        <v>7.7033061009128684E-3</v>
      </c>
      <c r="N45" s="80">
        <f t="shared" si="5"/>
        <v>1.0454039783904925E-2</v>
      </c>
      <c r="O45" s="62">
        <f t="shared" si="5"/>
        <v>1.2725373050869947E-2</v>
      </c>
      <c r="P45" s="55" t="s">
        <v>425</v>
      </c>
      <c r="Q45" s="53" t="s">
        <v>426</v>
      </c>
      <c r="R45" s="94" t="s">
        <v>32</v>
      </c>
      <c r="S45" s="71">
        <v>8.6113400000000003E-3</v>
      </c>
      <c r="T45" s="63">
        <f t="shared" si="6"/>
        <v>3.8174443009128655E-3</v>
      </c>
      <c r="V45" s="118">
        <v>1.1297663</v>
      </c>
      <c r="W45" s="61">
        <v>2.8491908499999998</v>
      </c>
      <c r="X45" s="61">
        <v>4.35677673</v>
      </c>
      <c r="Y45" s="61">
        <v>5.6413786799999999</v>
      </c>
      <c r="Z45" s="119">
        <v>7.2136760899999999</v>
      </c>
      <c r="AB45" s="75" t="s">
        <v>21</v>
      </c>
      <c r="AC45" s="80">
        <v>6.6611820237218802E-3</v>
      </c>
      <c r="AD45" s="80">
        <v>1.2428784300912866E-2</v>
      </c>
      <c r="AE45" s="80">
        <v>1.6024684783904928E-2</v>
      </c>
      <c r="AF45" s="62">
        <v>1.9552295350869942E-2</v>
      </c>
      <c r="AG45" s="71" t="s">
        <v>21</v>
      </c>
      <c r="AH45" s="71">
        <v>2.9370120237218788E-3</v>
      </c>
      <c r="AI45" s="71">
        <v>7.7033061009128684E-3</v>
      </c>
      <c r="AJ45" s="71">
        <v>1.0454039783904925E-2</v>
      </c>
      <c r="AK45" s="71">
        <v>1.2725373050869947E-2</v>
      </c>
    </row>
    <row r="46" spans="2:37" x14ac:dyDescent="0.35">
      <c r="B46" s="55" t="s">
        <v>46</v>
      </c>
      <c r="C46" s="53" t="s">
        <v>33</v>
      </c>
      <c r="D46" s="53" t="s">
        <v>47</v>
      </c>
      <c r="E46" s="53" t="s">
        <v>427</v>
      </c>
      <c r="F46" s="73" t="str">
        <f t="shared" si="4"/>
        <v/>
      </c>
      <c r="G46" s="60">
        <f t="shared" si="4"/>
        <v>8.62306024345217E-3</v>
      </c>
      <c r="H46" s="71">
        <f t="shared" si="4"/>
        <v>1.610756001797236E-2</v>
      </c>
      <c r="I46" s="71">
        <f t="shared" si="4"/>
        <v>2.0204011957067669E-2</v>
      </c>
      <c r="J46" s="63">
        <f t="shared" si="4"/>
        <v>2.3653326408686344E-2</v>
      </c>
      <c r="K46" s="73" t="str">
        <f t="shared" si="5"/>
        <v/>
      </c>
      <c r="L46" s="60">
        <f t="shared" si="5"/>
        <v>5.0152934434521713E-3</v>
      </c>
      <c r="M46" s="71">
        <f t="shared" si="5"/>
        <v>1.1509973117972361E-2</v>
      </c>
      <c r="N46" s="71">
        <f t="shared" si="5"/>
        <v>1.4731262757067667E-2</v>
      </c>
      <c r="O46" s="63">
        <f t="shared" si="5"/>
        <v>1.6919761808686342E-2</v>
      </c>
      <c r="P46" s="55" t="s">
        <v>21</v>
      </c>
      <c r="Q46" s="53" t="s">
        <v>21</v>
      </c>
      <c r="R46" s="94" t="s">
        <v>21</v>
      </c>
      <c r="S46" s="71">
        <v>0</v>
      </c>
      <c r="T46" s="63">
        <f t="shared" si="6"/>
        <v>1.610756001797236E-2</v>
      </c>
      <c r="V46" s="114">
        <v>1.12829683</v>
      </c>
      <c r="W46" s="72">
        <v>2.8340592299999998</v>
      </c>
      <c r="X46" s="72">
        <v>4.3009834599999994</v>
      </c>
      <c r="Y46" s="72">
        <v>5.5225195600000001</v>
      </c>
      <c r="Z46" s="115">
        <v>6.9868071500000006</v>
      </c>
      <c r="AB46" s="73" t="s">
        <v>21</v>
      </c>
      <c r="AC46" s="71">
        <v>8.62306024345217E-3</v>
      </c>
      <c r="AD46" s="71">
        <v>1.610756001797236E-2</v>
      </c>
      <c r="AE46" s="71">
        <v>2.0204011957067669E-2</v>
      </c>
      <c r="AF46" s="63">
        <v>2.3653326408686344E-2</v>
      </c>
      <c r="AG46" s="71" t="s">
        <v>21</v>
      </c>
      <c r="AH46" s="71">
        <v>5.0152934434521713E-3</v>
      </c>
      <c r="AI46" s="71">
        <v>1.1509973117972361E-2</v>
      </c>
      <c r="AJ46" s="71">
        <v>1.4731262757067667E-2</v>
      </c>
      <c r="AK46" s="71">
        <v>1.6919761808686342E-2</v>
      </c>
    </row>
    <row r="47" spans="2:37" x14ac:dyDescent="0.35">
      <c r="B47" s="57" t="s">
        <v>46</v>
      </c>
      <c r="C47" s="67" t="s">
        <v>35</v>
      </c>
      <c r="D47" s="67" t="s">
        <v>47</v>
      </c>
      <c r="E47" s="67" t="s">
        <v>21</v>
      </c>
      <c r="F47" s="74">
        <f t="shared" si="4"/>
        <v>1.1359514967566008E-4</v>
      </c>
      <c r="G47" s="76">
        <f t="shared" si="4"/>
        <v>1.1927649577228168E-2</v>
      </c>
      <c r="H47" s="76">
        <f t="shared" si="4"/>
        <v>2.1583491057308449E-2</v>
      </c>
      <c r="I47" s="76">
        <f t="shared" si="4"/>
        <v>2.7323834234494311E-2</v>
      </c>
      <c r="J47" s="64">
        <f t="shared" si="4"/>
        <v>3.193994731062437E-2</v>
      </c>
      <c r="K47" s="74" t="str">
        <f t="shared" si="5"/>
        <v/>
      </c>
      <c r="L47" s="76">
        <f t="shared" si="5"/>
        <v>8.4322664772281727E-3</v>
      </c>
      <c r="M47" s="76">
        <f t="shared" si="5"/>
        <v>1.7057192257308448E-2</v>
      </c>
      <c r="N47" s="76">
        <f t="shared" si="5"/>
        <v>2.187292853449431E-2</v>
      </c>
      <c r="O47" s="64">
        <f t="shared" si="5"/>
        <v>2.5207359610624366E-2</v>
      </c>
      <c r="P47" s="55" t="s">
        <v>21</v>
      </c>
      <c r="Q47" s="53" t="s">
        <v>21</v>
      </c>
      <c r="R47" s="94" t="s">
        <v>21</v>
      </c>
      <c r="S47" s="71">
        <v>0</v>
      </c>
      <c r="T47" s="63">
        <f t="shared" si="6"/>
        <v>2.1583491057308449E-2</v>
      </c>
      <c r="V47" s="116">
        <v>1.1278141100000001</v>
      </c>
      <c r="W47" s="108">
        <v>2.8263424399999999</v>
      </c>
      <c r="X47" s="108">
        <v>4.2727143000000005</v>
      </c>
      <c r="Y47" s="108">
        <v>5.4597605799999993</v>
      </c>
      <c r="Z47" s="117">
        <v>6.8563193800000004</v>
      </c>
      <c r="AB47" s="74">
        <v>1.1359514967566008E-4</v>
      </c>
      <c r="AC47" s="76">
        <v>1.1927649577228168E-2</v>
      </c>
      <c r="AD47" s="76">
        <v>2.1583491057308449E-2</v>
      </c>
      <c r="AE47" s="76">
        <v>2.7323834234494311E-2</v>
      </c>
      <c r="AF47" s="64">
        <v>3.193994731062437E-2</v>
      </c>
      <c r="AG47" s="71" t="s">
        <v>21</v>
      </c>
      <c r="AH47" s="71">
        <v>8.4322664772281727E-3</v>
      </c>
      <c r="AI47" s="71">
        <v>1.7057192257308448E-2</v>
      </c>
      <c r="AJ47" s="71">
        <v>2.187292853449431E-2</v>
      </c>
      <c r="AK47" s="71">
        <v>2.5207359610624366E-2</v>
      </c>
    </row>
    <row r="48" spans="2:37" x14ac:dyDescent="0.35">
      <c r="B48" s="55" t="s">
        <v>49</v>
      </c>
      <c r="C48" s="53" t="s">
        <v>30</v>
      </c>
      <c r="D48" s="53" t="s">
        <v>47</v>
      </c>
      <c r="E48" s="53" t="s">
        <v>356</v>
      </c>
      <c r="F48" s="73" t="str">
        <f t="shared" si="4"/>
        <v/>
      </c>
      <c r="G48" s="60">
        <f t="shared" si="4"/>
        <v>6.0455141118876971E-3</v>
      </c>
      <c r="H48" s="71">
        <f t="shared" si="4"/>
        <v>1.174051196827689E-2</v>
      </c>
      <c r="I48" s="71">
        <f t="shared" si="4"/>
        <v>1.4765368871570858E-2</v>
      </c>
      <c r="J48" s="63">
        <f t="shared" si="4"/>
        <v>1.8478606486583123E-2</v>
      </c>
      <c r="K48" s="73" t="str">
        <f t="shared" si="5"/>
        <v/>
      </c>
      <c r="L48" s="60">
        <f t="shared" si="5"/>
        <v>2.2706277118876984E-3</v>
      </c>
      <c r="M48" s="71">
        <f t="shared" si="5"/>
        <v>6.9744491682768948E-3</v>
      </c>
      <c r="N48" s="71">
        <f t="shared" si="5"/>
        <v>9.1380647715708571E-3</v>
      </c>
      <c r="O48" s="63">
        <f t="shared" si="5"/>
        <v>1.1605537986583122E-2</v>
      </c>
      <c r="P48" s="56" t="s">
        <v>428</v>
      </c>
      <c r="Q48" s="66" t="s">
        <v>429</v>
      </c>
      <c r="R48" s="100" t="s">
        <v>32</v>
      </c>
      <c r="S48" s="80">
        <v>9.9594999999999996E-3</v>
      </c>
      <c r="T48" s="62">
        <f t="shared" si="6"/>
        <v>1.78101196827689E-3</v>
      </c>
      <c r="V48" s="114">
        <v>1.13015679</v>
      </c>
      <c r="W48" s="72">
        <v>2.8538285499999998</v>
      </c>
      <c r="X48" s="72">
        <v>4.3697821800000005</v>
      </c>
      <c r="Y48" s="72">
        <v>5.67243414</v>
      </c>
      <c r="Z48" s="115">
        <v>7.2756110200000004</v>
      </c>
      <c r="AB48" s="73" t="s">
        <v>21</v>
      </c>
      <c r="AC48" s="71">
        <v>6.0455141118876971E-3</v>
      </c>
      <c r="AD48" s="71">
        <v>1.174051196827689E-2</v>
      </c>
      <c r="AE48" s="71">
        <v>1.4765368871570858E-2</v>
      </c>
      <c r="AF48" s="63">
        <v>1.8478606486583123E-2</v>
      </c>
      <c r="AG48" s="71" t="s">
        <v>21</v>
      </c>
      <c r="AH48" s="71">
        <v>2.2706277118876984E-3</v>
      </c>
      <c r="AI48" s="71">
        <v>6.9744491682768948E-3</v>
      </c>
      <c r="AJ48" s="71">
        <v>9.1380647715708571E-3</v>
      </c>
      <c r="AK48" s="71">
        <v>1.1605537986583122E-2</v>
      </c>
    </row>
    <row r="49" spans="2:37" x14ac:dyDescent="0.35">
      <c r="B49" s="55" t="s">
        <v>49</v>
      </c>
      <c r="C49" s="53" t="s">
        <v>33</v>
      </c>
      <c r="D49" s="53" t="s">
        <v>47</v>
      </c>
      <c r="E49" s="53" t="s">
        <v>276</v>
      </c>
      <c r="F49" s="73" t="str">
        <f t="shared" si="4"/>
        <v/>
      </c>
      <c r="G49" s="60">
        <f t="shared" si="4"/>
        <v>8.1644063564091929E-3</v>
      </c>
      <c r="H49" s="71">
        <f t="shared" si="4"/>
        <v>1.5265687949442708E-2</v>
      </c>
      <c r="I49" s="71">
        <f t="shared" si="4"/>
        <v>1.9110423649266815E-2</v>
      </c>
      <c r="J49" s="63">
        <f t="shared" si="4"/>
        <v>2.2925375525647072E-2</v>
      </c>
      <c r="K49" s="73" t="str">
        <f t="shared" si="5"/>
        <v/>
      </c>
      <c r="L49" s="60">
        <f t="shared" si="5"/>
        <v>4.5353810564091931E-3</v>
      </c>
      <c r="M49" s="71">
        <f t="shared" si="5"/>
        <v>1.0650279949442711E-2</v>
      </c>
      <c r="N49" s="71">
        <f t="shared" si="5"/>
        <v>1.3625554749266819E-2</v>
      </c>
      <c r="O49" s="63">
        <f t="shared" si="5"/>
        <v>1.6181217825647073E-2</v>
      </c>
      <c r="P49" s="55" t="s">
        <v>430</v>
      </c>
      <c r="Q49" s="53" t="s">
        <v>431</v>
      </c>
      <c r="R49" s="94" t="s">
        <v>32</v>
      </c>
      <c r="S49" s="71">
        <v>1.4344220000000001E-2</v>
      </c>
      <c r="T49" s="63">
        <f t="shared" si="6"/>
        <v>9.2146794944270721E-4</v>
      </c>
      <c r="V49" s="114">
        <v>1.12917051</v>
      </c>
      <c r="W49" s="72">
        <v>2.8385531400000001</v>
      </c>
      <c r="X49" s="72">
        <v>4.3146876600000006</v>
      </c>
      <c r="Y49" s="72">
        <v>5.5520780499999995</v>
      </c>
      <c r="Z49" s="115">
        <v>7.0374624799999994</v>
      </c>
      <c r="AB49" s="73" t="s">
        <v>21</v>
      </c>
      <c r="AC49" s="71">
        <v>8.1644063564091929E-3</v>
      </c>
      <c r="AD49" s="71">
        <v>1.5265687949442708E-2</v>
      </c>
      <c r="AE49" s="71">
        <v>1.9110423649266815E-2</v>
      </c>
      <c r="AF49" s="63">
        <v>2.2925375525647072E-2</v>
      </c>
      <c r="AG49" s="71" t="s">
        <v>21</v>
      </c>
      <c r="AH49" s="71">
        <v>4.5353810564091931E-3</v>
      </c>
      <c r="AI49" s="71">
        <v>1.0650279949442711E-2</v>
      </c>
      <c r="AJ49" s="71">
        <v>1.3625554749266819E-2</v>
      </c>
      <c r="AK49" s="71">
        <v>1.6181217825647073E-2</v>
      </c>
    </row>
    <row r="50" spans="2:37" x14ac:dyDescent="0.35">
      <c r="B50" s="57" t="s">
        <v>49</v>
      </c>
      <c r="C50" s="67" t="s">
        <v>35</v>
      </c>
      <c r="D50" s="67" t="s">
        <v>47</v>
      </c>
      <c r="E50" s="67" t="s">
        <v>21</v>
      </c>
      <c r="F50" s="74" t="str">
        <f t="shared" si="4"/>
        <v/>
      </c>
      <c r="G50" s="76">
        <f t="shared" si="4"/>
        <v>1.0984948538139434E-2</v>
      </c>
      <c r="H50" s="76">
        <f t="shared" si="4"/>
        <v>2.0044138513249606E-2</v>
      </c>
      <c r="I50" s="76">
        <f t="shared" si="4"/>
        <v>2.5621182222818149E-2</v>
      </c>
      <c r="J50" s="64">
        <f t="shared" si="4"/>
        <v>3.0549950717955049E-2</v>
      </c>
      <c r="K50" s="74" t="str">
        <f t="shared" si="5"/>
        <v/>
      </c>
      <c r="L50" s="76">
        <f t="shared" si="5"/>
        <v>7.4685716381394382E-3</v>
      </c>
      <c r="M50" s="76">
        <f t="shared" si="5"/>
        <v>1.5516481913249607E-2</v>
      </c>
      <c r="N50" s="76">
        <f t="shared" si="5"/>
        <v>2.0185008622818142E-2</v>
      </c>
      <c r="O50" s="64">
        <f t="shared" si="5"/>
        <v>2.3830276217955051E-2</v>
      </c>
      <c r="P50" s="57" t="s">
        <v>21</v>
      </c>
      <c r="Q50" s="67" t="s">
        <v>21</v>
      </c>
      <c r="R50" s="96" t="s">
        <v>21</v>
      </c>
      <c r="S50" s="76">
        <v>0</v>
      </c>
      <c r="T50" s="64">
        <f t="shared" si="6"/>
        <v>2.0044138513249606E-2</v>
      </c>
      <c r="V50" s="116">
        <v>1.1283303099999999</v>
      </c>
      <c r="W50" s="108">
        <v>2.8317033199999999</v>
      </c>
      <c r="X50" s="108">
        <v>4.29108102</v>
      </c>
      <c r="Y50" s="108">
        <v>5.4967334299999999</v>
      </c>
      <c r="Z50" s="117">
        <v>6.9200356700000007</v>
      </c>
      <c r="AB50" s="74" t="s">
        <v>21</v>
      </c>
      <c r="AC50" s="76">
        <v>1.0984948538139434E-2</v>
      </c>
      <c r="AD50" s="76">
        <v>2.0044138513249606E-2</v>
      </c>
      <c r="AE50" s="76">
        <v>2.5621182222818149E-2</v>
      </c>
      <c r="AF50" s="64">
        <v>3.0549950717955049E-2</v>
      </c>
      <c r="AG50" s="76" t="s">
        <v>21</v>
      </c>
      <c r="AH50" s="76">
        <v>7.4685716381394382E-3</v>
      </c>
      <c r="AI50" s="76">
        <v>1.5516481913249607E-2</v>
      </c>
      <c r="AJ50" s="76">
        <v>2.0185008622818142E-2</v>
      </c>
      <c r="AK50" s="76">
        <v>2.3830276217955051E-2</v>
      </c>
    </row>
    <row r="51" spans="2:37" x14ac:dyDescent="0.35">
      <c r="B51" s="56" t="s">
        <v>50</v>
      </c>
      <c r="C51" s="66" t="s">
        <v>30</v>
      </c>
      <c r="D51" s="66" t="s">
        <v>47</v>
      </c>
      <c r="E51" s="66" t="s">
        <v>181</v>
      </c>
      <c r="F51" s="75" t="str">
        <f t="shared" si="4"/>
        <v/>
      </c>
      <c r="G51" s="80">
        <f t="shared" si="4"/>
        <v>6.1106305837282651E-3</v>
      </c>
      <c r="H51" s="80">
        <f t="shared" si="4"/>
        <v>1.204845398790059E-2</v>
      </c>
      <c r="I51" s="80">
        <f t="shared" si="4"/>
        <v>1.5356629296565488E-2</v>
      </c>
      <c r="J51" s="62">
        <f t="shared" si="4"/>
        <v>1.8847583423662335E-2</v>
      </c>
      <c r="K51" s="75" t="str">
        <f t="shared" si="5"/>
        <v/>
      </c>
      <c r="L51" s="80">
        <f t="shared" si="5"/>
        <v>2.3414242837282691E-3</v>
      </c>
      <c r="M51" s="80">
        <f t="shared" si="5"/>
        <v>7.3009959879005906E-3</v>
      </c>
      <c r="N51" s="80">
        <f t="shared" si="5"/>
        <v>9.7582901965654924E-3</v>
      </c>
      <c r="O51" s="62">
        <f t="shared" si="5"/>
        <v>1.1993826923662335E-2</v>
      </c>
      <c r="P51" s="55" t="s">
        <v>432</v>
      </c>
      <c r="Q51" s="53" t="s">
        <v>433</v>
      </c>
      <c r="R51" s="94" t="s">
        <v>32</v>
      </c>
      <c r="S51" s="71">
        <v>9.2918400000000009E-3</v>
      </c>
      <c r="T51" s="63">
        <f t="shared" si="6"/>
        <v>2.7566139879005892E-3</v>
      </c>
      <c r="V51" s="118">
        <v>1.13051356</v>
      </c>
      <c r="W51" s="61">
        <v>2.8540773100000001</v>
      </c>
      <c r="X51" s="61">
        <v>4.3668471899999997</v>
      </c>
      <c r="Y51" s="61">
        <v>5.6609947600000003</v>
      </c>
      <c r="Z51" s="119">
        <v>7.2521700300000003</v>
      </c>
      <c r="AB51" s="75" t="s">
        <v>21</v>
      </c>
      <c r="AC51" s="80">
        <v>6.1106305837282651E-3</v>
      </c>
      <c r="AD51" s="80">
        <v>1.204845398790059E-2</v>
      </c>
      <c r="AE51" s="80">
        <v>1.5356629296565488E-2</v>
      </c>
      <c r="AF51" s="62">
        <v>1.8847583423662335E-2</v>
      </c>
      <c r="AG51" s="71" t="s">
        <v>21</v>
      </c>
      <c r="AH51" s="71">
        <v>2.3414242837282691E-3</v>
      </c>
      <c r="AI51" s="71">
        <v>7.3009959879005906E-3</v>
      </c>
      <c r="AJ51" s="71">
        <v>9.7582901965654924E-3</v>
      </c>
      <c r="AK51" s="71">
        <v>1.1993826923662335E-2</v>
      </c>
    </row>
    <row r="52" spans="2:37" x14ac:dyDescent="0.35">
      <c r="B52" s="55" t="s">
        <v>50</v>
      </c>
      <c r="C52" s="53" t="s">
        <v>33</v>
      </c>
      <c r="D52" s="53" t="s">
        <v>47</v>
      </c>
      <c r="E52" s="53" t="s">
        <v>133</v>
      </c>
      <c r="F52" s="73" t="str">
        <f t="shared" si="4"/>
        <v/>
      </c>
      <c r="G52" s="60">
        <f t="shared" si="4"/>
        <v>8.3672034166121147E-3</v>
      </c>
      <c r="H52" s="71">
        <f t="shared" si="4"/>
        <v>1.5664832118232032E-2</v>
      </c>
      <c r="I52" s="71">
        <f t="shared" si="4"/>
        <v>1.9881590718407009E-2</v>
      </c>
      <c r="J52" s="63">
        <f t="shared" si="4"/>
        <v>2.3332780853183861E-2</v>
      </c>
      <c r="K52" s="73" t="str">
        <f t="shared" si="5"/>
        <v/>
      </c>
      <c r="L52" s="60">
        <f t="shared" si="5"/>
        <v>4.7474595166121149E-3</v>
      </c>
      <c r="M52" s="71">
        <f t="shared" si="5"/>
        <v>1.1058083218232033E-2</v>
      </c>
      <c r="N52" s="71">
        <f t="shared" si="5"/>
        <v>1.4405086718407008E-2</v>
      </c>
      <c r="O52" s="63">
        <f t="shared" si="5"/>
        <v>1.6596098953183858E-2</v>
      </c>
      <c r="P52" s="55" t="s">
        <v>434</v>
      </c>
      <c r="Q52" s="53" t="s">
        <v>435</v>
      </c>
      <c r="R52" s="94" t="s">
        <v>32</v>
      </c>
      <c r="S52" s="71">
        <v>9.6738699999999993E-3</v>
      </c>
      <c r="T52" s="63">
        <f t="shared" si="6"/>
        <v>5.9909621182320325E-3</v>
      </c>
      <c r="V52" s="114">
        <v>1.1287486500000001</v>
      </c>
      <c r="W52" s="72">
        <v>2.83650834</v>
      </c>
      <c r="X52" s="72">
        <v>4.30833274</v>
      </c>
      <c r="Y52" s="72">
        <v>5.5351009200000005</v>
      </c>
      <c r="Z52" s="115">
        <v>7.0073544500000002</v>
      </c>
      <c r="AB52" s="73" t="s">
        <v>21</v>
      </c>
      <c r="AC52" s="71">
        <v>8.3672034166121147E-3</v>
      </c>
      <c r="AD52" s="71">
        <v>1.5664832118232032E-2</v>
      </c>
      <c r="AE52" s="71">
        <v>1.9881590718407009E-2</v>
      </c>
      <c r="AF52" s="63">
        <v>2.3332780853183861E-2</v>
      </c>
      <c r="AG52" s="71" t="s">
        <v>21</v>
      </c>
      <c r="AH52" s="71">
        <v>4.7474595166121149E-3</v>
      </c>
      <c r="AI52" s="71">
        <v>1.1058083218232033E-2</v>
      </c>
      <c r="AJ52" s="71">
        <v>1.4405086718407008E-2</v>
      </c>
      <c r="AK52" s="71">
        <v>1.6596098953183858E-2</v>
      </c>
    </row>
    <row r="53" spans="2:37" x14ac:dyDescent="0.35">
      <c r="B53" s="57" t="s">
        <v>50</v>
      </c>
      <c r="C53" s="67" t="s">
        <v>35</v>
      </c>
      <c r="D53" s="67" t="s">
        <v>47</v>
      </c>
      <c r="E53" s="67" t="s">
        <v>21</v>
      </c>
      <c r="F53" s="74">
        <f t="shared" si="4"/>
        <v>9.3948945382522214E-5</v>
      </c>
      <c r="G53" s="76">
        <f t="shared" si="4"/>
        <v>1.1749115004941624E-2</v>
      </c>
      <c r="H53" s="76">
        <f t="shared" si="4"/>
        <v>2.1291167427819765E-2</v>
      </c>
      <c r="I53" s="76">
        <f t="shared" si="4"/>
        <v>2.6843236960646791E-2</v>
      </c>
      <c r="J53" s="64">
        <f t="shared" si="4"/>
        <v>3.1754933143223411E-2</v>
      </c>
      <c r="K53" s="74" t="str">
        <f t="shared" si="5"/>
        <v/>
      </c>
      <c r="L53" s="76">
        <f t="shared" si="5"/>
        <v>8.2503643049416236E-3</v>
      </c>
      <c r="M53" s="76">
        <f t="shared" si="5"/>
        <v>1.6765383427819767E-2</v>
      </c>
      <c r="N53" s="76">
        <f t="shared" si="5"/>
        <v>2.1397706060646796E-2</v>
      </c>
      <c r="O53" s="64">
        <f t="shared" si="5"/>
        <v>2.502309584322341E-2</v>
      </c>
      <c r="P53" s="55" t="s">
        <v>21</v>
      </c>
      <c r="Q53" s="53" t="s">
        <v>21</v>
      </c>
      <c r="R53" s="94" t="s">
        <v>21</v>
      </c>
      <c r="S53" s="71"/>
      <c r="T53" s="63" t="str">
        <f t="shared" si="6"/>
        <v/>
      </c>
      <c r="V53" s="116">
        <v>1.12783831</v>
      </c>
      <c r="W53" s="108">
        <v>2.8272195199999999</v>
      </c>
      <c r="X53" s="108">
        <v>4.2760489800000006</v>
      </c>
      <c r="Y53" s="108">
        <v>5.4680307800000003</v>
      </c>
      <c r="Z53" s="117">
        <v>6.8693847000000003</v>
      </c>
      <c r="AB53" s="74">
        <v>9.3948945382522214E-5</v>
      </c>
      <c r="AC53" s="76">
        <v>1.1749115004941624E-2</v>
      </c>
      <c r="AD53" s="76">
        <v>2.1291167427819765E-2</v>
      </c>
      <c r="AE53" s="76">
        <v>2.6843236960646791E-2</v>
      </c>
      <c r="AF53" s="64">
        <v>3.1754933143223411E-2</v>
      </c>
      <c r="AG53" s="71" t="s">
        <v>21</v>
      </c>
      <c r="AH53" s="71">
        <v>8.2503643049416236E-3</v>
      </c>
      <c r="AI53" s="71">
        <v>1.6765383427819767E-2</v>
      </c>
      <c r="AJ53" s="71">
        <v>2.1397706060646796E-2</v>
      </c>
      <c r="AK53" s="71">
        <v>2.502309584322341E-2</v>
      </c>
    </row>
    <row r="54" spans="2:37" x14ac:dyDescent="0.35">
      <c r="B54" s="79" t="s">
        <v>51</v>
      </c>
      <c r="C54" s="78"/>
      <c r="D54" s="78"/>
      <c r="E54" s="78"/>
      <c r="F54" s="78" t="str">
        <f t="shared" si="4"/>
        <v/>
      </c>
      <c r="G54" s="78" t="str">
        <f t="shared" si="4"/>
        <v/>
      </c>
      <c r="H54" s="78" t="str">
        <f t="shared" si="4"/>
        <v/>
      </c>
      <c r="I54" s="78" t="str">
        <f t="shared" si="4"/>
        <v/>
      </c>
      <c r="J54" s="78" t="str">
        <f t="shared" si="4"/>
        <v/>
      </c>
      <c r="K54" s="78" t="str">
        <f t="shared" si="5"/>
        <v/>
      </c>
      <c r="L54" s="78" t="str">
        <f t="shared" si="5"/>
        <v/>
      </c>
      <c r="M54" s="78" t="str">
        <f t="shared" si="5"/>
        <v/>
      </c>
      <c r="N54" s="78" t="str">
        <f t="shared" si="5"/>
        <v/>
      </c>
      <c r="O54" s="77" t="str">
        <f t="shared" si="5"/>
        <v/>
      </c>
      <c r="P54" s="79"/>
      <c r="Q54" s="78"/>
      <c r="R54" s="95"/>
      <c r="S54" s="78"/>
      <c r="T54" s="77" t="str">
        <f t="shared" si="6"/>
        <v/>
      </c>
      <c r="V54" s="112"/>
      <c r="W54" s="107"/>
      <c r="X54" s="107"/>
      <c r="Y54" s="107"/>
      <c r="Z54" s="113"/>
      <c r="AB54" s="78"/>
      <c r="AC54" s="78"/>
      <c r="AD54" s="78"/>
      <c r="AE54" s="78"/>
      <c r="AF54" s="78"/>
      <c r="AG54" s="78"/>
      <c r="AH54" s="78"/>
      <c r="AI54" s="78"/>
      <c r="AJ54" s="78"/>
      <c r="AK54" s="78"/>
    </row>
    <row r="55" spans="2:37" x14ac:dyDescent="0.35">
      <c r="B55" s="56" t="s">
        <v>52</v>
      </c>
      <c r="C55" s="66" t="s">
        <v>30</v>
      </c>
      <c r="D55" s="66" t="s">
        <v>53</v>
      </c>
      <c r="E55" s="66" t="s">
        <v>57</v>
      </c>
      <c r="F55" s="75" t="str">
        <f t="shared" si="4"/>
        <v/>
      </c>
      <c r="G55" s="80">
        <f t="shared" si="4"/>
        <v>6.8475768082155034E-3</v>
      </c>
      <c r="H55" s="80">
        <f t="shared" si="4"/>
        <v>1.2197998831229358E-2</v>
      </c>
      <c r="I55" s="80">
        <f t="shared" si="4"/>
        <v>1.5213641648967737E-2</v>
      </c>
      <c r="J55" s="62">
        <f t="shared" si="4"/>
        <v>1.8371557274769131E-2</v>
      </c>
      <c r="K55" s="75" t="str">
        <f t="shared" si="5"/>
        <v/>
      </c>
      <c r="L55" s="80">
        <f t="shared" si="5"/>
        <v>3.1380146082155046E-3</v>
      </c>
      <c r="M55" s="80">
        <f t="shared" si="5"/>
        <v>7.460435831229361E-3</v>
      </c>
      <c r="N55" s="80">
        <f t="shared" si="5"/>
        <v>9.6089727489677371E-3</v>
      </c>
      <c r="O55" s="62">
        <f t="shared" si="5"/>
        <v>1.149652227476913E-2</v>
      </c>
      <c r="P55" s="55" t="s">
        <v>436</v>
      </c>
      <c r="Q55" s="53" t="s">
        <v>437</v>
      </c>
      <c r="R55" s="94" t="s">
        <v>32</v>
      </c>
      <c r="S55" s="71">
        <v>8.4131999999999992E-3</v>
      </c>
      <c r="T55" s="63">
        <f t="shared" si="6"/>
        <v>3.7847988312293586E-3</v>
      </c>
      <c r="V55" s="118">
        <v>1.12825252</v>
      </c>
      <c r="W55" s="61">
        <v>2.8451856700000002</v>
      </c>
      <c r="X55" s="61">
        <v>4.3544728199999998</v>
      </c>
      <c r="Y55" s="61">
        <v>5.65008234</v>
      </c>
      <c r="Z55" s="119">
        <v>7.2523072699999993</v>
      </c>
      <c r="AB55" s="75" t="s">
        <v>21</v>
      </c>
      <c r="AC55" s="80">
        <v>6.8475768082155034E-3</v>
      </c>
      <c r="AD55" s="80">
        <v>1.2197998831229358E-2</v>
      </c>
      <c r="AE55" s="80">
        <v>1.5213641648967737E-2</v>
      </c>
      <c r="AF55" s="62">
        <v>1.8371557274769131E-2</v>
      </c>
      <c r="AG55" s="71" t="s">
        <v>21</v>
      </c>
      <c r="AH55" s="71">
        <v>3.1380146082155046E-3</v>
      </c>
      <c r="AI55" s="71">
        <v>7.460435831229361E-3</v>
      </c>
      <c r="AJ55" s="71">
        <v>9.6089727489677371E-3</v>
      </c>
      <c r="AK55" s="71">
        <v>1.149652227476913E-2</v>
      </c>
    </row>
    <row r="56" spans="2:37" x14ac:dyDescent="0.35">
      <c r="B56" s="55" t="s">
        <v>52</v>
      </c>
      <c r="C56" s="53" t="s">
        <v>33</v>
      </c>
      <c r="D56" s="53" t="s">
        <v>53</v>
      </c>
      <c r="E56" s="53" t="s">
        <v>58</v>
      </c>
      <c r="F56" s="73" t="str">
        <f t="shared" si="4"/>
        <v/>
      </c>
      <c r="G56" s="60">
        <f t="shared" si="4"/>
        <v>8.3488984518304988E-3</v>
      </c>
      <c r="H56" s="71">
        <f t="shared" si="4"/>
        <v>1.5448299202200385E-2</v>
      </c>
      <c r="I56" s="71">
        <f t="shared" si="4"/>
        <v>1.9190795532457887E-2</v>
      </c>
      <c r="J56" s="63">
        <f t="shared" si="4"/>
        <v>2.2665498082097932E-2</v>
      </c>
      <c r="K56" s="73" t="str">
        <f t="shared" si="5"/>
        <v/>
      </c>
      <c r="L56" s="60">
        <f t="shared" si="5"/>
        <v>4.7287042518305003E-3</v>
      </c>
      <c r="M56" s="71">
        <f t="shared" si="5"/>
        <v>1.0836197202200387E-2</v>
      </c>
      <c r="N56" s="71">
        <f t="shared" si="5"/>
        <v>1.3705910232457886E-2</v>
      </c>
      <c r="O56" s="63">
        <f t="shared" si="5"/>
        <v>1.5917791782097932E-2</v>
      </c>
      <c r="P56" s="55" t="s">
        <v>438</v>
      </c>
      <c r="Q56" s="53" t="s">
        <v>439</v>
      </c>
      <c r="R56" s="94" t="s">
        <v>32</v>
      </c>
      <c r="S56" s="71">
        <v>1.0661549999999999E-2</v>
      </c>
      <c r="T56" s="63">
        <f t="shared" si="6"/>
        <v>4.7867492022003865E-3</v>
      </c>
      <c r="V56" s="114">
        <v>1.12740861</v>
      </c>
      <c r="W56" s="72">
        <v>2.8341380900000002</v>
      </c>
      <c r="X56" s="72">
        <v>4.3080694199999998</v>
      </c>
      <c r="Y56" s="72">
        <v>5.5440157900000004</v>
      </c>
      <c r="Z56" s="115">
        <v>7.0341179399999998</v>
      </c>
      <c r="AB56" s="73" t="s">
        <v>21</v>
      </c>
      <c r="AC56" s="71">
        <v>8.3488984518304988E-3</v>
      </c>
      <c r="AD56" s="71">
        <v>1.5448299202200385E-2</v>
      </c>
      <c r="AE56" s="71">
        <v>1.9190795532457887E-2</v>
      </c>
      <c r="AF56" s="63">
        <v>2.2665498082097932E-2</v>
      </c>
      <c r="AG56" s="71" t="s">
        <v>21</v>
      </c>
      <c r="AH56" s="71">
        <v>4.7287042518305003E-3</v>
      </c>
      <c r="AI56" s="71">
        <v>1.0836197202200387E-2</v>
      </c>
      <c r="AJ56" s="71">
        <v>1.3705910232457886E-2</v>
      </c>
      <c r="AK56" s="71">
        <v>1.5917791782097932E-2</v>
      </c>
    </row>
    <row r="57" spans="2:37" x14ac:dyDescent="0.35">
      <c r="B57" s="57" t="s">
        <v>52</v>
      </c>
      <c r="C57" s="67" t="s">
        <v>35</v>
      </c>
      <c r="D57" s="67" t="s">
        <v>53</v>
      </c>
      <c r="E57" s="67" t="s">
        <v>351</v>
      </c>
      <c r="F57" s="74">
        <f t="shared" si="4"/>
        <v>9.5213711915396668E-5</v>
      </c>
      <c r="G57" s="76">
        <f t="shared" si="4"/>
        <v>1.1771645767200134E-2</v>
      </c>
      <c r="H57" s="76">
        <f t="shared" si="4"/>
        <v>2.1094666904891663E-2</v>
      </c>
      <c r="I57" s="76">
        <f t="shared" si="4"/>
        <v>2.6652785510601112E-2</v>
      </c>
      <c r="J57" s="64">
        <f t="shared" si="4"/>
        <v>3.1283260997469642E-2</v>
      </c>
      <c r="K57" s="74" t="str">
        <f t="shared" si="5"/>
        <v/>
      </c>
      <c r="L57" s="76">
        <f t="shared" si="5"/>
        <v>8.2735575672001349E-3</v>
      </c>
      <c r="M57" s="76">
        <f t="shared" si="5"/>
        <v>1.6569314804891665E-2</v>
      </c>
      <c r="N57" s="76">
        <f t="shared" si="5"/>
        <v>2.1209060310601106E-2</v>
      </c>
      <c r="O57" s="64">
        <f t="shared" si="5"/>
        <v>2.4557703597469647E-2</v>
      </c>
      <c r="P57" s="55" t="s">
        <v>21</v>
      </c>
      <c r="Q57" s="53" t="s">
        <v>21</v>
      </c>
      <c r="R57" s="94" t="s">
        <v>21</v>
      </c>
      <c r="S57" s="71">
        <v>0</v>
      </c>
      <c r="T57" s="63">
        <f t="shared" si="6"/>
        <v>2.1094666904891663E-2</v>
      </c>
      <c r="V57" s="116">
        <v>1.12782765</v>
      </c>
      <c r="W57" s="108">
        <v>2.82709265</v>
      </c>
      <c r="X57" s="108">
        <v>4.2773112199999996</v>
      </c>
      <c r="Y57" s="108">
        <v>5.47146154</v>
      </c>
      <c r="Z57" s="117">
        <v>6.8802239900000011</v>
      </c>
      <c r="AB57" s="74">
        <v>9.5213711915396668E-5</v>
      </c>
      <c r="AC57" s="76">
        <v>1.1771645767200134E-2</v>
      </c>
      <c r="AD57" s="76">
        <v>2.1094666904891663E-2</v>
      </c>
      <c r="AE57" s="76">
        <v>2.6652785510601112E-2</v>
      </c>
      <c r="AF57" s="64">
        <v>3.1283260997469642E-2</v>
      </c>
      <c r="AG57" s="71" t="s">
        <v>21</v>
      </c>
      <c r="AH57" s="71">
        <v>8.2735575672001349E-3</v>
      </c>
      <c r="AI57" s="71">
        <v>1.6569314804891665E-2</v>
      </c>
      <c r="AJ57" s="71">
        <v>2.1209060310601106E-2</v>
      </c>
      <c r="AK57" s="71">
        <v>2.4557703597469647E-2</v>
      </c>
    </row>
    <row r="58" spans="2:37" x14ac:dyDescent="0.35">
      <c r="B58" s="55" t="s">
        <v>56</v>
      </c>
      <c r="C58" s="53" t="s">
        <v>30</v>
      </c>
      <c r="D58" s="53" t="s">
        <v>53</v>
      </c>
      <c r="E58" s="53" t="s">
        <v>440</v>
      </c>
      <c r="F58" s="73" t="str">
        <f t="shared" si="4"/>
        <v/>
      </c>
      <c r="G58" s="60">
        <f t="shared" si="4"/>
        <v>6.8031262355419606E-3</v>
      </c>
      <c r="H58" s="71">
        <f t="shared" si="4"/>
        <v>1.2208588817785819E-2</v>
      </c>
      <c r="I58" s="71">
        <f t="shared" si="4"/>
        <v>1.5421547223477819E-2</v>
      </c>
      <c r="J58" s="63">
        <f t="shared" si="4"/>
        <v>1.8365997663852055E-2</v>
      </c>
      <c r="K58" s="73" t="str">
        <f t="shared" si="5"/>
        <v/>
      </c>
      <c r="L58" s="60">
        <f t="shared" si="5"/>
        <v>3.0900068355419609E-3</v>
      </c>
      <c r="M58" s="71">
        <f t="shared" si="5"/>
        <v>7.471683317785827E-3</v>
      </c>
      <c r="N58" s="71">
        <f t="shared" si="5"/>
        <v>9.8261629234778144E-3</v>
      </c>
      <c r="O58" s="63">
        <f t="shared" si="5"/>
        <v>1.1493363563852051E-2</v>
      </c>
      <c r="P58" s="56" t="s">
        <v>441</v>
      </c>
      <c r="Q58" s="66" t="s">
        <v>442</v>
      </c>
      <c r="R58" s="100" t="s">
        <v>32</v>
      </c>
      <c r="S58" s="80">
        <v>1.5384999999999999E-2</v>
      </c>
      <c r="T58" s="62">
        <f t="shared" si="6"/>
        <v>-3.17641118221418E-3</v>
      </c>
      <c r="V58" s="114">
        <v>1.12900147</v>
      </c>
      <c r="W58" s="72">
        <v>2.84686233</v>
      </c>
      <c r="X58" s="72">
        <v>4.3561857499999999</v>
      </c>
      <c r="Y58" s="72">
        <v>5.6491357100000004</v>
      </c>
      <c r="Z58" s="115">
        <v>7.2497329099999996</v>
      </c>
      <c r="AB58" s="73" t="s">
        <v>21</v>
      </c>
      <c r="AC58" s="71">
        <v>6.8031262355419606E-3</v>
      </c>
      <c r="AD58" s="71">
        <v>1.2208588817785819E-2</v>
      </c>
      <c r="AE58" s="71">
        <v>1.5421547223477819E-2</v>
      </c>
      <c r="AF58" s="63">
        <v>1.8365997663852055E-2</v>
      </c>
      <c r="AG58" s="71" t="s">
        <v>21</v>
      </c>
      <c r="AH58" s="71">
        <v>3.0900068355419609E-3</v>
      </c>
      <c r="AI58" s="71">
        <v>7.471683317785827E-3</v>
      </c>
      <c r="AJ58" s="71">
        <v>9.8261629234778144E-3</v>
      </c>
      <c r="AK58" s="71">
        <v>1.1493363563852051E-2</v>
      </c>
    </row>
    <row r="59" spans="2:37" x14ac:dyDescent="0.35">
      <c r="B59" s="55" t="s">
        <v>56</v>
      </c>
      <c r="C59" s="53" t="s">
        <v>33</v>
      </c>
      <c r="D59" s="53" t="s">
        <v>53</v>
      </c>
      <c r="E59" s="53" t="s">
        <v>443</v>
      </c>
      <c r="F59" s="73" t="str">
        <f t="shared" si="4"/>
        <v/>
      </c>
      <c r="G59" s="60">
        <f t="shared" si="4"/>
        <v>8.2981226705043723E-3</v>
      </c>
      <c r="H59" s="71">
        <f t="shared" si="4"/>
        <v>1.5248795005055811E-2</v>
      </c>
      <c r="I59" s="71">
        <f t="shared" si="4"/>
        <v>1.8854006554645104E-2</v>
      </c>
      <c r="J59" s="63">
        <f t="shared" si="4"/>
        <v>2.2238090952505556E-2</v>
      </c>
      <c r="K59" s="73" t="str">
        <f t="shared" si="5"/>
        <v/>
      </c>
      <c r="L59" s="60">
        <f t="shared" si="5"/>
        <v>4.6752988705043748E-3</v>
      </c>
      <c r="M59" s="71">
        <f t="shared" si="5"/>
        <v>1.0631740105055808E-2</v>
      </c>
      <c r="N59" s="71">
        <f t="shared" si="5"/>
        <v>1.3363908454645104E-2</v>
      </c>
      <c r="O59" s="63">
        <f t="shared" si="5"/>
        <v>1.5483616552505557E-2</v>
      </c>
      <c r="P59" s="55" t="s">
        <v>444</v>
      </c>
      <c r="Q59" s="53" t="s">
        <v>445</v>
      </c>
      <c r="R59" s="94" t="s">
        <v>32</v>
      </c>
      <c r="S59" s="71">
        <v>1.093177E-2</v>
      </c>
      <c r="T59" s="63">
        <f t="shared" si="6"/>
        <v>4.3170250050558103E-3</v>
      </c>
      <c r="V59" s="114">
        <v>1.12749882</v>
      </c>
      <c r="W59" s="72">
        <v>2.8346277999999998</v>
      </c>
      <c r="X59" s="72">
        <v>4.3106145399999996</v>
      </c>
      <c r="Y59" s="72">
        <v>5.5513268499999997</v>
      </c>
      <c r="Z59" s="115">
        <v>7.0520133900000008</v>
      </c>
      <c r="AB59" s="73" t="s">
        <v>21</v>
      </c>
      <c r="AC59" s="71">
        <v>8.2981226705043723E-3</v>
      </c>
      <c r="AD59" s="71">
        <v>1.5248795005055811E-2</v>
      </c>
      <c r="AE59" s="71">
        <v>1.8854006554645104E-2</v>
      </c>
      <c r="AF59" s="63">
        <v>2.2238090952505556E-2</v>
      </c>
      <c r="AG59" s="71" t="s">
        <v>21</v>
      </c>
      <c r="AH59" s="71">
        <v>4.6752988705043748E-3</v>
      </c>
      <c r="AI59" s="71">
        <v>1.0631740105055808E-2</v>
      </c>
      <c r="AJ59" s="71">
        <v>1.3363908454645104E-2</v>
      </c>
      <c r="AK59" s="71">
        <v>1.5483616552505557E-2</v>
      </c>
    </row>
    <row r="60" spans="2:37" x14ac:dyDescent="0.35">
      <c r="B60" s="55" t="s">
        <v>56</v>
      </c>
      <c r="C60" s="53" t="s">
        <v>35</v>
      </c>
      <c r="D60" s="53" t="s">
        <v>53</v>
      </c>
      <c r="E60" s="53" t="s">
        <v>54</v>
      </c>
      <c r="F60" s="73" t="str">
        <f t="shared" si="4"/>
        <v/>
      </c>
      <c r="G60" s="60">
        <f t="shared" si="4"/>
        <v>1.0990350929617174E-2</v>
      </c>
      <c r="H60" s="71">
        <f t="shared" si="4"/>
        <v>1.9844814458283736E-2</v>
      </c>
      <c r="I60" s="71">
        <f t="shared" si="4"/>
        <v>2.5138372909111806E-2</v>
      </c>
      <c r="J60" s="63">
        <f t="shared" si="4"/>
        <v>2.9888873560273331E-2</v>
      </c>
      <c r="K60" s="73" t="str">
        <f t="shared" si="5"/>
        <v/>
      </c>
      <c r="L60" s="60">
        <f t="shared" si="5"/>
        <v>7.4748203296171808E-3</v>
      </c>
      <c r="M60" s="71">
        <f t="shared" si="5"/>
        <v>1.5317066358283737E-2</v>
      </c>
      <c r="N60" s="71">
        <f t="shared" si="5"/>
        <v>1.9705962709111811E-2</v>
      </c>
      <c r="O60" s="63">
        <f t="shared" si="5"/>
        <v>2.3174989560273335E-2</v>
      </c>
      <c r="P60" s="57" t="s">
        <v>446</v>
      </c>
      <c r="Q60" s="67" t="s">
        <v>447</v>
      </c>
      <c r="R60" s="96" t="s">
        <v>32</v>
      </c>
      <c r="S60" s="76">
        <v>1.577663E-2</v>
      </c>
      <c r="T60" s="64">
        <f t="shared" si="6"/>
        <v>4.0681844582837363E-3</v>
      </c>
      <c r="V60" s="114">
        <v>1.1283129700000001</v>
      </c>
      <c r="W60" s="72">
        <v>2.83163944</v>
      </c>
      <c r="X60" s="72">
        <v>4.2924455100000003</v>
      </c>
      <c r="Y60" s="72">
        <v>5.50293264</v>
      </c>
      <c r="Z60" s="115">
        <v>6.93795918</v>
      </c>
      <c r="AB60" s="73" t="s">
        <v>21</v>
      </c>
      <c r="AC60" s="71">
        <v>1.0990350929617174E-2</v>
      </c>
      <c r="AD60" s="71">
        <v>1.9844814458283736E-2</v>
      </c>
      <c r="AE60" s="71">
        <v>2.5138372909111806E-2</v>
      </c>
      <c r="AF60" s="63">
        <v>2.9888873560273331E-2</v>
      </c>
      <c r="AG60" s="71" t="s">
        <v>21</v>
      </c>
      <c r="AH60" s="71">
        <v>7.4748203296171808E-3</v>
      </c>
      <c r="AI60" s="71">
        <v>1.5317066358283737E-2</v>
      </c>
      <c r="AJ60" s="71">
        <v>1.9705962709111811E-2</v>
      </c>
      <c r="AK60" s="71">
        <v>2.3174989560273335E-2</v>
      </c>
    </row>
    <row r="61" spans="2:37" x14ac:dyDescent="0.35">
      <c r="B61" s="79" t="s">
        <v>59</v>
      </c>
      <c r="C61" s="78"/>
      <c r="D61" s="78"/>
      <c r="E61" s="78"/>
      <c r="F61" s="78" t="str">
        <f t="shared" si="4"/>
        <v/>
      </c>
      <c r="G61" s="78" t="str">
        <f t="shared" si="4"/>
        <v/>
      </c>
      <c r="H61" s="78" t="str">
        <f t="shared" si="4"/>
        <v/>
      </c>
      <c r="I61" s="78" t="str">
        <f t="shared" si="4"/>
        <v/>
      </c>
      <c r="J61" s="78" t="str">
        <f t="shared" si="4"/>
        <v/>
      </c>
      <c r="K61" s="78" t="str">
        <f t="shared" si="5"/>
        <v/>
      </c>
      <c r="L61" s="78" t="str">
        <f t="shared" si="5"/>
        <v/>
      </c>
      <c r="M61" s="78" t="str">
        <f t="shared" si="5"/>
        <v/>
      </c>
      <c r="N61" s="78" t="str">
        <f t="shared" si="5"/>
        <v/>
      </c>
      <c r="O61" s="77" t="str">
        <f t="shared" si="5"/>
        <v/>
      </c>
      <c r="P61" s="79"/>
      <c r="Q61" s="78"/>
      <c r="R61" s="95"/>
      <c r="S61" s="78"/>
      <c r="T61" s="77" t="str">
        <f t="shared" si="6"/>
        <v/>
      </c>
      <c r="V61" s="112"/>
      <c r="W61" s="107"/>
      <c r="X61" s="107"/>
      <c r="Y61" s="107"/>
      <c r="Z61" s="113"/>
      <c r="AB61" s="78"/>
      <c r="AC61" s="78"/>
      <c r="AD61" s="78"/>
      <c r="AE61" s="78"/>
      <c r="AF61" s="78"/>
      <c r="AG61" s="78"/>
      <c r="AH61" s="78"/>
      <c r="AI61" s="78"/>
      <c r="AJ61" s="78"/>
      <c r="AK61" s="78"/>
    </row>
    <row r="62" spans="2:37" x14ac:dyDescent="0.35">
      <c r="B62" s="56" t="s">
        <v>60</v>
      </c>
      <c r="C62" s="66" t="s">
        <v>61</v>
      </c>
      <c r="D62" s="66" t="s">
        <v>62</v>
      </c>
      <c r="E62" s="66" t="s">
        <v>181</v>
      </c>
      <c r="F62" s="75" t="str">
        <f t="shared" si="4"/>
        <v/>
      </c>
      <c r="G62" s="80">
        <f t="shared" si="4"/>
        <v>7.0849608486359909E-3</v>
      </c>
      <c r="H62" s="80">
        <f t="shared" si="4"/>
        <v>1.2586909804029503E-2</v>
      </c>
      <c r="I62" s="80">
        <f t="shared" si="4"/>
        <v>1.5435266458462651E-2</v>
      </c>
      <c r="J62" s="62">
        <f t="shared" si="4"/>
        <v>1.8544781292436394E-2</v>
      </c>
      <c r="K62" s="75" t="str">
        <f t="shared" si="5"/>
        <v/>
      </c>
      <c r="L62" s="80">
        <f t="shared" si="5"/>
        <v>3.3927519486359908E-3</v>
      </c>
      <c r="M62" s="80">
        <f t="shared" si="5"/>
        <v>7.8706075040295021E-3</v>
      </c>
      <c r="N62" s="80">
        <f t="shared" si="5"/>
        <v>9.8422198584626492E-3</v>
      </c>
      <c r="O62" s="62">
        <f t="shared" si="5"/>
        <v>1.1678068992436395E-2</v>
      </c>
      <c r="P62" s="55" t="s">
        <v>448</v>
      </c>
      <c r="Q62" s="53" t="s">
        <v>449</v>
      </c>
      <c r="R62" s="94" t="s">
        <v>32</v>
      </c>
      <c r="S62" s="71">
        <v>0</v>
      </c>
      <c r="T62" s="63">
        <f t="shared" si="6"/>
        <v>1.2586909804029503E-2</v>
      </c>
      <c r="V62" s="118">
        <v>1.12752092</v>
      </c>
      <c r="W62" s="61">
        <v>2.8423108999999998</v>
      </c>
      <c r="X62" s="61">
        <v>4.3471343999999998</v>
      </c>
      <c r="Y62" s="61">
        <v>5.6386748400000002</v>
      </c>
      <c r="Z62" s="119">
        <v>7.2359644599999999</v>
      </c>
      <c r="AB62" s="75" t="s">
        <v>21</v>
      </c>
      <c r="AC62" s="80">
        <v>7.0849608486359909E-3</v>
      </c>
      <c r="AD62" s="80">
        <v>1.2586909804029503E-2</v>
      </c>
      <c r="AE62" s="80">
        <v>1.5435266458462651E-2</v>
      </c>
      <c r="AF62" s="62">
        <v>1.8544781292436394E-2</v>
      </c>
      <c r="AG62" s="71" t="s">
        <v>21</v>
      </c>
      <c r="AH62" s="71">
        <v>3.3927519486359908E-3</v>
      </c>
      <c r="AI62" s="71">
        <v>7.8706075040295021E-3</v>
      </c>
      <c r="AJ62" s="71">
        <v>9.8422198584626492E-3</v>
      </c>
      <c r="AK62" s="71">
        <v>1.1678068992436395E-2</v>
      </c>
    </row>
    <row r="63" spans="2:37" x14ac:dyDescent="0.35">
      <c r="B63" s="57" t="s">
        <v>60</v>
      </c>
      <c r="C63" s="67" t="s">
        <v>63</v>
      </c>
      <c r="D63" s="67" t="s">
        <v>62</v>
      </c>
      <c r="E63" s="67" t="s">
        <v>21</v>
      </c>
      <c r="F63" s="74">
        <f t="shared" si="4"/>
        <v>1.1500374816154841E-3</v>
      </c>
      <c r="G63" s="76">
        <f t="shared" si="4"/>
        <v>1.0619887999205406E-2</v>
      </c>
      <c r="H63" s="76">
        <f t="shared" si="4"/>
        <v>1.7614261659776653E-2</v>
      </c>
      <c r="I63" s="76">
        <f t="shared" si="4"/>
        <v>2.159257974276823E-2</v>
      </c>
      <c r="J63" s="64">
        <f t="shared" si="4"/>
        <v>2.4864244302695963E-2</v>
      </c>
      <c r="K63" s="74" t="str">
        <f t="shared" si="5"/>
        <v/>
      </c>
      <c r="L63" s="76">
        <f t="shared" si="5"/>
        <v>7.097808799205409E-3</v>
      </c>
      <c r="M63" s="76">
        <f t="shared" si="5"/>
        <v>1.3067055759776656E-2</v>
      </c>
      <c r="N63" s="76">
        <f t="shared" si="5"/>
        <v>1.6158269442768228E-2</v>
      </c>
      <c r="O63" s="64">
        <f t="shared" si="5"/>
        <v>1.8149987902695962E-2</v>
      </c>
      <c r="P63" s="55" t="s">
        <v>21</v>
      </c>
      <c r="Q63" s="53" t="s">
        <v>21</v>
      </c>
      <c r="R63" s="94" t="s">
        <v>21</v>
      </c>
      <c r="S63" s="71">
        <v>0</v>
      </c>
      <c r="T63" s="63">
        <f t="shared" si="6"/>
        <v>1.7614261659776653E-2</v>
      </c>
      <c r="V63" s="116">
        <v>1.1257823300000001</v>
      </c>
      <c r="W63" s="108">
        <v>2.8287761700000003</v>
      </c>
      <c r="X63" s="108">
        <v>4.3066021299999999</v>
      </c>
      <c r="Y63" s="108">
        <v>5.5547282600000001</v>
      </c>
      <c r="Z63" s="117">
        <v>7.0794663600000005</v>
      </c>
      <c r="AB63" s="74">
        <v>1.1500374816154841E-3</v>
      </c>
      <c r="AC63" s="76">
        <v>1.0619887999205406E-2</v>
      </c>
      <c r="AD63" s="76">
        <v>1.7614261659776653E-2</v>
      </c>
      <c r="AE63" s="76">
        <v>2.159257974276823E-2</v>
      </c>
      <c r="AF63" s="64">
        <v>2.4864244302695963E-2</v>
      </c>
      <c r="AG63" s="71" t="s">
        <v>21</v>
      </c>
      <c r="AH63" s="71">
        <v>7.097808799205409E-3</v>
      </c>
      <c r="AI63" s="71">
        <v>1.3067055759776656E-2</v>
      </c>
      <c r="AJ63" s="71">
        <v>1.6158269442768228E-2</v>
      </c>
      <c r="AK63" s="71">
        <v>1.8149987902695962E-2</v>
      </c>
    </row>
    <row r="64" spans="2:37" x14ac:dyDescent="0.35">
      <c r="B64" s="56" t="s">
        <v>64</v>
      </c>
      <c r="C64" s="66" t="s">
        <v>65</v>
      </c>
      <c r="D64" s="66" t="s">
        <v>62</v>
      </c>
      <c r="E64" s="66" t="s">
        <v>181</v>
      </c>
      <c r="F64" s="75" t="str">
        <f t="shared" si="4"/>
        <v/>
      </c>
      <c r="G64" s="80">
        <f t="shared" si="4"/>
        <v>7.5013474234594986E-3</v>
      </c>
      <c r="H64" s="80">
        <f t="shared" si="4"/>
        <v>1.4174047400427322E-2</v>
      </c>
      <c r="I64" s="80">
        <f t="shared" si="4"/>
        <v>1.7530197459669609E-2</v>
      </c>
      <c r="J64" s="62">
        <f t="shared" si="4"/>
        <v>2.053614160246826E-2</v>
      </c>
      <c r="K64" s="75" t="str">
        <f t="shared" si="5"/>
        <v/>
      </c>
      <c r="L64" s="80">
        <f t="shared" si="5"/>
        <v>3.8344586234594987E-3</v>
      </c>
      <c r="M64" s="80">
        <f t="shared" si="5"/>
        <v>9.5244147004273239E-3</v>
      </c>
      <c r="N64" s="80">
        <f t="shared" si="5"/>
        <v>1.2011791159669615E-2</v>
      </c>
      <c r="O64" s="62">
        <f t="shared" si="5"/>
        <v>1.3745929202468258E-2</v>
      </c>
      <c r="P64" s="56" t="s">
        <v>21</v>
      </c>
      <c r="Q64" s="66" t="s">
        <v>21</v>
      </c>
      <c r="R64" s="100" t="s">
        <v>21</v>
      </c>
      <c r="S64" s="80">
        <v>0</v>
      </c>
      <c r="T64" s="62">
        <f t="shared" si="6"/>
        <v>1.4174047400427322E-2</v>
      </c>
      <c r="V64" s="118">
        <v>1.1288944400000001</v>
      </c>
      <c r="W64" s="61">
        <v>2.8422497099999999</v>
      </c>
      <c r="X64" s="61">
        <v>4.3306786900000001</v>
      </c>
      <c r="Y64" s="61">
        <v>5.5909677100000001</v>
      </c>
      <c r="Z64" s="119">
        <v>7.1335973999999993</v>
      </c>
      <c r="AB64" s="75" t="s">
        <v>21</v>
      </c>
      <c r="AC64" s="80">
        <v>7.5013474234594986E-3</v>
      </c>
      <c r="AD64" s="80">
        <v>1.4174047400427322E-2</v>
      </c>
      <c r="AE64" s="80">
        <v>1.7530197459669609E-2</v>
      </c>
      <c r="AF64" s="62">
        <v>2.053614160246826E-2</v>
      </c>
      <c r="AG64" s="80" t="s">
        <v>21</v>
      </c>
      <c r="AH64" s="80">
        <v>3.8344586234594987E-3</v>
      </c>
      <c r="AI64" s="80">
        <v>9.5244147004273239E-3</v>
      </c>
      <c r="AJ64" s="80">
        <v>1.2011791159669615E-2</v>
      </c>
      <c r="AK64" s="80">
        <v>1.3745929202468258E-2</v>
      </c>
    </row>
    <row r="65" spans="2:37" x14ac:dyDescent="0.35">
      <c r="B65" s="57" t="s">
        <v>64</v>
      </c>
      <c r="C65" s="67" t="s">
        <v>66</v>
      </c>
      <c r="D65" s="67" t="s">
        <v>62</v>
      </c>
      <c r="E65" s="67" t="s">
        <v>21</v>
      </c>
      <c r="F65" s="74" t="str">
        <f t="shared" si="4"/>
        <v/>
      </c>
      <c r="G65" s="76">
        <f t="shared" si="4"/>
        <v>1.0373600806798455E-2</v>
      </c>
      <c r="H65" s="76">
        <f t="shared" si="4"/>
        <v>1.8873805533263344E-2</v>
      </c>
      <c r="I65" s="76">
        <f t="shared" si="4"/>
        <v>2.2726502300350268E-2</v>
      </c>
      <c r="J65" s="64">
        <f t="shared" si="4"/>
        <v>2.6955663081781208E-2</v>
      </c>
      <c r="K65" s="74" t="str">
        <f t="shared" si="5"/>
        <v/>
      </c>
      <c r="L65" s="76">
        <f t="shared" si="5"/>
        <v>6.8417474067984539E-3</v>
      </c>
      <c r="M65" s="76">
        <f t="shared" si="5"/>
        <v>1.4339962733263345E-2</v>
      </c>
      <c r="N65" s="76">
        <f t="shared" si="5"/>
        <v>1.7299748500350272E-2</v>
      </c>
      <c r="O65" s="64">
        <f t="shared" si="5"/>
        <v>2.0250595081781207E-2</v>
      </c>
      <c r="P65" s="57" t="s">
        <v>21</v>
      </c>
      <c r="Q65" s="67" t="s">
        <v>21</v>
      </c>
      <c r="R65" s="96" t="s">
        <v>21</v>
      </c>
      <c r="S65" s="76"/>
      <c r="T65" s="64" t="str">
        <f t="shared" si="6"/>
        <v/>
      </c>
      <c r="V65" s="116">
        <v>1.1281678499999999</v>
      </c>
      <c r="W65" s="108">
        <v>2.8342598399999996</v>
      </c>
      <c r="X65" s="108">
        <v>4.3033334200000004</v>
      </c>
      <c r="Y65" s="108">
        <v>5.5379524199999999</v>
      </c>
      <c r="Z65" s="117">
        <v>7.0269417199999999</v>
      </c>
      <c r="AB65" s="74" t="s">
        <v>21</v>
      </c>
      <c r="AC65" s="76">
        <v>1.0373600806798455E-2</v>
      </c>
      <c r="AD65" s="76">
        <v>1.8873805533263344E-2</v>
      </c>
      <c r="AE65" s="76">
        <v>2.2726502300350268E-2</v>
      </c>
      <c r="AF65" s="64">
        <v>2.6955663081781208E-2</v>
      </c>
      <c r="AG65" s="76" t="s">
        <v>21</v>
      </c>
      <c r="AH65" s="76">
        <v>6.8417474067984539E-3</v>
      </c>
      <c r="AI65" s="76">
        <v>1.4339962733263345E-2</v>
      </c>
      <c r="AJ65" s="76">
        <v>1.7299748500350272E-2</v>
      </c>
      <c r="AK65" s="76">
        <v>2.0250595081781207E-2</v>
      </c>
    </row>
    <row r="66" spans="2:37" x14ac:dyDescent="0.35">
      <c r="B66" s="79" t="s">
        <v>228</v>
      </c>
      <c r="C66" s="78"/>
      <c r="D66" s="78"/>
      <c r="E66" s="78"/>
      <c r="F66" s="78" t="str">
        <f t="shared" si="4"/>
        <v/>
      </c>
      <c r="G66" s="78" t="str">
        <f t="shared" si="4"/>
        <v/>
      </c>
      <c r="H66" s="78" t="str">
        <f t="shared" si="4"/>
        <v/>
      </c>
      <c r="I66" s="78" t="str">
        <f t="shared" si="4"/>
        <v/>
      </c>
      <c r="J66" s="78" t="str">
        <f t="shared" si="4"/>
        <v/>
      </c>
      <c r="K66" s="78" t="str">
        <f t="shared" si="5"/>
        <v/>
      </c>
      <c r="L66" s="78" t="str">
        <f t="shared" si="5"/>
        <v/>
      </c>
      <c r="M66" s="78" t="str">
        <f t="shared" si="5"/>
        <v/>
      </c>
      <c r="N66" s="78" t="str">
        <f t="shared" si="5"/>
        <v/>
      </c>
      <c r="O66" s="77" t="str">
        <f t="shared" si="5"/>
        <v/>
      </c>
      <c r="P66" s="79"/>
      <c r="Q66" s="78"/>
      <c r="R66" s="95"/>
      <c r="S66" s="78"/>
      <c r="T66" s="77" t="str">
        <f t="shared" si="6"/>
        <v/>
      </c>
      <c r="V66" s="112"/>
      <c r="W66" s="107"/>
      <c r="X66" s="107"/>
      <c r="Y66" s="107"/>
      <c r="Z66" s="113"/>
      <c r="AB66" s="78"/>
      <c r="AC66" s="78"/>
      <c r="AD66" s="78"/>
      <c r="AE66" s="78"/>
      <c r="AF66" s="78"/>
      <c r="AG66" s="78"/>
      <c r="AH66" s="78"/>
      <c r="AI66" s="78"/>
      <c r="AJ66" s="78"/>
      <c r="AK66" s="78"/>
    </row>
    <row r="67" spans="2:37" x14ac:dyDescent="0.35">
      <c r="B67" s="56" t="s">
        <v>229</v>
      </c>
      <c r="C67" s="66" t="s">
        <v>61</v>
      </c>
      <c r="D67" s="66" t="s">
        <v>97</v>
      </c>
      <c r="E67" s="66" t="s">
        <v>21</v>
      </c>
      <c r="F67" s="75" t="str">
        <f t="shared" si="4"/>
        <v/>
      </c>
      <c r="G67" s="80">
        <f t="shared" si="4"/>
        <v>5.2992055120763756E-3</v>
      </c>
      <c r="H67" s="80">
        <f t="shared" si="4"/>
        <v>1.0239891202241086E-2</v>
      </c>
      <c r="I67" s="80">
        <f t="shared" si="4"/>
        <v>1.273126419311642E-2</v>
      </c>
      <c r="J67" s="62">
        <f t="shared" si="4"/>
        <v>1.500351191486176E-2</v>
      </c>
      <c r="K67" s="75" t="str">
        <f t="shared" si="5"/>
        <v/>
      </c>
      <c r="L67" s="80">
        <f t="shared" si="5"/>
        <v>1.4503723120763748E-3</v>
      </c>
      <c r="M67" s="80">
        <f t="shared" si="5"/>
        <v>5.3622358022410894E-3</v>
      </c>
      <c r="N67" s="80">
        <f t="shared" si="5"/>
        <v>6.9688060931164184E-3</v>
      </c>
      <c r="O67" s="62">
        <f t="shared" si="5"/>
        <v>7.9162048148617593E-3</v>
      </c>
      <c r="P67" s="55" t="s">
        <v>21</v>
      </c>
      <c r="Q67" s="53" t="s">
        <v>21</v>
      </c>
      <c r="R67" s="94" t="s">
        <v>21</v>
      </c>
      <c r="S67" s="71"/>
      <c r="T67" s="63" t="str">
        <f t="shared" si="6"/>
        <v/>
      </c>
      <c r="V67" s="118">
        <v>1.13077794</v>
      </c>
      <c r="W67" s="61">
        <v>2.8597467399999998</v>
      </c>
      <c r="X67" s="61">
        <v>4.3924827200000003</v>
      </c>
      <c r="Y67" s="61">
        <v>5.7260769099999997</v>
      </c>
      <c r="Z67" s="119">
        <v>7.4154693399999996</v>
      </c>
      <c r="AB67" s="75" t="s">
        <v>21</v>
      </c>
      <c r="AC67" s="80">
        <v>5.2992055120763756E-3</v>
      </c>
      <c r="AD67" s="80">
        <v>1.0239891202241086E-2</v>
      </c>
      <c r="AE67" s="80">
        <v>1.273126419311642E-2</v>
      </c>
      <c r="AF67" s="62">
        <v>1.500351191486176E-2</v>
      </c>
      <c r="AG67" s="71" t="s">
        <v>21</v>
      </c>
      <c r="AH67" s="71">
        <v>1.4503723120763748E-3</v>
      </c>
      <c r="AI67" s="71">
        <v>5.3622358022410894E-3</v>
      </c>
      <c r="AJ67" s="71">
        <v>6.9688060931164184E-3</v>
      </c>
      <c r="AK67" s="71">
        <v>7.9162048148617593E-3</v>
      </c>
    </row>
    <row r="68" spans="2:37" x14ac:dyDescent="0.35">
      <c r="B68" s="57" t="s">
        <v>229</v>
      </c>
      <c r="C68" s="67" t="s">
        <v>63</v>
      </c>
      <c r="D68" s="67" t="s">
        <v>97</v>
      </c>
      <c r="E68" s="67" t="s">
        <v>21</v>
      </c>
      <c r="F68" s="74" t="str">
        <f t="shared" si="4"/>
        <v/>
      </c>
      <c r="G68" s="76">
        <f t="shared" si="4"/>
        <v>8.176667181933446E-3</v>
      </c>
      <c r="H68" s="76">
        <f t="shared" si="4"/>
        <v>1.455181012224737E-2</v>
      </c>
      <c r="I68" s="76">
        <f t="shared" si="4"/>
        <v>1.8095647643113333E-2</v>
      </c>
      <c r="J68" s="64">
        <f t="shared" si="4"/>
        <v>2.1046818773923961E-2</v>
      </c>
      <c r="K68" s="74" t="str">
        <f t="shared" si="5"/>
        <v/>
      </c>
      <c r="L68" s="76">
        <f t="shared" si="5"/>
        <v>4.554489281933448E-3</v>
      </c>
      <c r="M68" s="76">
        <f t="shared" si="5"/>
        <v>9.9278652222473708E-3</v>
      </c>
      <c r="N68" s="76">
        <f t="shared" si="5"/>
        <v>1.2602712643113332E-2</v>
      </c>
      <c r="O68" s="64">
        <f t="shared" si="5"/>
        <v>1.4264958673923963E-2</v>
      </c>
      <c r="P68" s="55" t="s">
        <v>21</v>
      </c>
      <c r="Q68" s="53" t="s">
        <v>21</v>
      </c>
      <c r="R68" s="94" t="s">
        <v>21</v>
      </c>
      <c r="S68" s="71"/>
      <c r="T68" s="63" t="str">
        <f t="shared" si="6"/>
        <v/>
      </c>
      <c r="V68" s="116">
        <v>1.12929232</v>
      </c>
      <c r="W68" s="108">
        <v>2.8465960299999997</v>
      </c>
      <c r="X68" s="108">
        <v>4.3509631799999999</v>
      </c>
      <c r="Y68" s="108">
        <v>5.6384782500000004</v>
      </c>
      <c r="Z68" s="115">
        <v>7.2370571999999997</v>
      </c>
      <c r="AB68" s="74" t="s">
        <v>21</v>
      </c>
      <c r="AC68" s="76">
        <v>8.176667181933446E-3</v>
      </c>
      <c r="AD68" s="76">
        <v>1.455181012224737E-2</v>
      </c>
      <c r="AE68" s="76">
        <v>1.8095647643113333E-2</v>
      </c>
      <c r="AF68" s="64">
        <v>2.1046818773923961E-2</v>
      </c>
      <c r="AG68" s="71" t="s">
        <v>21</v>
      </c>
      <c r="AH68" s="71">
        <v>4.554489281933448E-3</v>
      </c>
      <c r="AI68" s="71">
        <v>9.9278652222473708E-3</v>
      </c>
      <c r="AJ68" s="71">
        <v>1.2602712643113332E-2</v>
      </c>
      <c r="AK68" s="71">
        <v>1.4264958673923963E-2</v>
      </c>
    </row>
    <row r="69" spans="2:37" x14ac:dyDescent="0.35">
      <c r="B69" s="56" t="s">
        <v>230</v>
      </c>
      <c r="C69" s="66" t="s">
        <v>65</v>
      </c>
      <c r="D69" s="66" t="s">
        <v>97</v>
      </c>
      <c r="E69" s="66" t="s">
        <v>21</v>
      </c>
      <c r="F69" s="75" t="str">
        <f t="shared" si="4"/>
        <v/>
      </c>
      <c r="G69" s="80">
        <f t="shared" si="4"/>
        <v>7.5036151381273619E-3</v>
      </c>
      <c r="H69" s="80">
        <f t="shared" si="4"/>
        <v>1.4226156360331988E-2</v>
      </c>
      <c r="I69" s="80">
        <f t="shared" si="4"/>
        <v>1.7529047585685853E-2</v>
      </c>
      <c r="J69" s="62">
        <f t="shared" si="4"/>
        <v>2.0935546400634678E-2</v>
      </c>
      <c r="K69" s="75" t="str">
        <f t="shared" si="5"/>
        <v/>
      </c>
      <c r="L69" s="80">
        <f t="shared" si="5"/>
        <v>3.8370284381273631E-3</v>
      </c>
      <c r="M69" s="80">
        <f t="shared" si="5"/>
        <v>9.5785996603319941E-3</v>
      </c>
      <c r="N69" s="80">
        <f t="shared" si="5"/>
        <v>1.2011238885685857E-2</v>
      </c>
      <c r="O69" s="62">
        <f t="shared" si="5"/>
        <v>1.4153530300634678E-2</v>
      </c>
      <c r="P69" s="56" t="s">
        <v>21</v>
      </c>
      <c r="Q69" s="66" t="s">
        <v>21</v>
      </c>
      <c r="R69" s="100" t="s">
        <v>21</v>
      </c>
      <c r="S69" s="80">
        <v>0</v>
      </c>
      <c r="T69" s="62">
        <f t="shared" si="6"/>
        <v>1.4226156360331988E-2</v>
      </c>
      <c r="V69" s="118">
        <v>1.12915382</v>
      </c>
      <c r="W69" s="61">
        <v>2.8427121900000003</v>
      </c>
      <c r="X69" s="61">
        <v>4.3306205799999997</v>
      </c>
      <c r="Y69" s="61">
        <v>5.5907409399999999</v>
      </c>
      <c r="Z69" s="119">
        <v>7.1256446200000001</v>
      </c>
      <c r="AB69" s="75" t="s">
        <v>21</v>
      </c>
      <c r="AC69" s="80">
        <v>7.5036151381273619E-3</v>
      </c>
      <c r="AD69" s="80">
        <v>1.4226156360331988E-2</v>
      </c>
      <c r="AE69" s="80">
        <v>1.7529047585685853E-2</v>
      </c>
      <c r="AF69" s="62">
        <v>2.0935546400634678E-2</v>
      </c>
      <c r="AG69" s="80" t="s">
        <v>21</v>
      </c>
      <c r="AH69" s="80">
        <v>3.8370284381273631E-3</v>
      </c>
      <c r="AI69" s="80">
        <v>9.5785996603319941E-3</v>
      </c>
      <c r="AJ69" s="80">
        <v>1.2011238885685857E-2</v>
      </c>
      <c r="AK69" s="80">
        <v>1.4153530300634678E-2</v>
      </c>
    </row>
    <row r="70" spans="2:37" x14ac:dyDescent="0.35">
      <c r="B70" s="57" t="s">
        <v>230</v>
      </c>
      <c r="C70" s="67" t="s">
        <v>66</v>
      </c>
      <c r="D70" s="67" t="s">
        <v>97</v>
      </c>
      <c r="E70" s="67" t="s">
        <v>21</v>
      </c>
      <c r="F70" s="74" t="str">
        <f t="shared" si="4"/>
        <v/>
      </c>
      <c r="G70" s="76">
        <f t="shared" si="4"/>
        <v>1.116616831148534E-2</v>
      </c>
      <c r="H70" s="76">
        <f t="shared" si="4"/>
        <v>2.0130559969279781E-2</v>
      </c>
      <c r="I70" s="76">
        <f t="shared" si="4"/>
        <v>2.5031707578121256E-2</v>
      </c>
      <c r="J70" s="64">
        <f t="shared" si="4"/>
        <v>2.9213715887641781E-2</v>
      </c>
      <c r="K70" s="74" t="str">
        <f t="shared" si="5"/>
        <v/>
      </c>
      <c r="L70" s="76">
        <f t="shared" si="5"/>
        <v>7.6555206114853388E-3</v>
      </c>
      <c r="M70" s="76">
        <f t="shared" si="5"/>
        <v>1.5604434369279782E-2</v>
      </c>
      <c r="N70" s="76">
        <f t="shared" si="5"/>
        <v>1.9601161678121252E-2</v>
      </c>
      <c r="O70" s="64">
        <f t="shared" si="5"/>
        <v>2.2506221287641785E-2</v>
      </c>
      <c r="P70" s="57" t="s">
        <v>21</v>
      </c>
      <c r="Q70" s="67" t="s">
        <v>21</v>
      </c>
      <c r="R70" s="96" t="s">
        <v>21</v>
      </c>
      <c r="S70" s="76">
        <v>0</v>
      </c>
      <c r="T70" s="64">
        <f t="shared" si="6"/>
        <v>2.0130559969279781E-2</v>
      </c>
      <c r="V70" s="114">
        <v>1.12819366</v>
      </c>
      <c r="W70" s="72">
        <v>2.8305914200000002</v>
      </c>
      <c r="X70" s="72">
        <v>4.2889547299999995</v>
      </c>
      <c r="Y70" s="108">
        <v>5.4997922900000002</v>
      </c>
      <c r="Z70" s="117">
        <v>6.9451892599999994</v>
      </c>
      <c r="AB70" s="74" t="s">
        <v>21</v>
      </c>
      <c r="AC70" s="76">
        <v>1.116616831148534E-2</v>
      </c>
      <c r="AD70" s="76">
        <v>2.0130559969279781E-2</v>
      </c>
      <c r="AE70" s="76">
        <v>2.5031707578121256E-2</v>
      </c>
      <c r="AF70" s="64">
        <v>2.9213715887641781E-2</v>
      </c>
      <c r="AG70" s="76" t="s">
        <v>21</v>
      </c>
      <c r="AH70" s="76">
        <v>7.6555206114853388E-3</v>
      </c>
      <c r="AI70" s="76">
        <v>1.5604434369279782E-2</v>
      </c>
      <c r="AJ70" s="76">
        <v>1.9601161678121252E-2</v>
      </c>
      <c r="AK70" s="76">
        <v>2.2506221287641785E-2</v>
      </c>
    </row>
    <row r="71" spans="2:37" x14ac:dyDescent="0.35">
      <c r="B71" s="57" t="s">
        <v>308</v>
      </c>
      <c r="C71" s="67" t="s">
        <v>61</v>
      </c>
      <c r="D71" s="67" t="s">
        <v>97</v>
      </c>
      <c r="E71" s="67" t="s">
        <v>21</v>
      </c>
      <c r="F71" s="74" t="str">
        <f t="shared" si="4"/>
        <v/>
      </c>
      <c r="G71" s="76">
        <f t="shared" si="4"/>
        <v>5.0766063440378104E-3</v>
      </c>
      <c r="H71" s="76">
        <f t="shared" si="4"/>
        <v>9.9981432393258657E-3</v>
      </c>
      <c r="I71" s="76">
        <f t="shared" si="4"/>
        <v>1.2600416140939088E-2</v>
      </c>
      <c r="J71" s="64">
        <f t="shared" si="4"/>
        <v>1.5181453861951945E-2</v>
      </c>
      <c r="K71" s="74" t="str">
        <f t="shared" si="5"/>
        <v/>
      </c>
      <c r="L71" s="76">
        <f t="shared" si="5"/>
        <v>1.2026258440378107E-3</v>
      </c>
      <c r="M71" s="76">
        <f t="shared" si="5"/>
        <v>5.0986379393258624E-3</v>
      </c>
      <c r="N71" s="76">
        <f t="shared" si="5"/>
        <v>6.8263447409390859E-3</v>
      </c>
      <c r="O71" s="64">
        <f t="shared" si="5"/>
        <v>8.1064724619519506E-3</v>
      </c>
      <c r="P71" s="57" t="s">
        <v>21</v>
      </c>
      <c r="Q71" s="67" t="s">
        <v>21</v>
      </c>
      <c r="R71" s="96" t="s">
        <v>21</v>
      </c>
      <c r="S71" s="76">
        <v>0</v>
      </c>
      <c r="T71" s="64">
        <f t="shared" si="6"/>
        <v>9.9981432393258657E-3</v>
      </c>
      <c r="V71" s="118">
        <v>1.1313339299999998</v>
      </c>
      <c r="W71" s="61">
        <v>2.8622046800000001</v>
      </c>
      <c r="X71" s="61">
        <v>4.3979438399999999</v>
      </c>
      <c r="Y71" s="61">
        <v>5.7340272599999995</v>
      </c>
      <c r="Z71" s="119">
        <v>7.4207421100000008</v>
      </c>
      <c r="AB71" s="74" t="s">
        <v>21</v>
      </c>
      <c r="AC71" s="76">
        <v>5.0766063440378104E-3</v>
      </c>
      <c r="AD71" s="76">
        <v>9.9981432393258657E-3</v>
      </c>
      <c r="AE71" s="76">
        <v>1.2600416140939088E-2</v>
      </c>
      <c r="AF71" s="64">
        <v>1.5181453861951945E-2</v>
      </c>
      <c r="AG71" s="76" t="s">
        <v>21</v>
      </c>
      <c r="AH71" s="76">
        <v>1.2026258440378107E-3</v>
      </c>
      <c r="AI71" s="76">
        <v>5.0986379393258624E-3</v>
      </c>
      <c r="AJ71" s="76">
        <v>6.8263447409390859E-3</v>
      </c>
      <c r="AK71" s="76">
        <v>8.1064724619519506E-3</v>
      </c>
    </row>
    <row r="72" spans="2:37" x14ac:dyDescent="0.35">
      <c r="B72" s="79" t="s">
        <v>303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7"/>
      <c r="P72" s="79"/>
      <c r="Q72" s="78"/>
      <c r="R72" s="95"/>
      <c r="S72" s="78"/>
      <c r="T72" s="77"/>
      <c r="V72" s="112"/>
      <c r="W72" s="107"/>
      <c r="X72" s="107"/>
      <c r="Y72" s="107"/>
      <c r="Z72" s="113"/>
      <c r="AB72" s="78"/>
      <c r="AC72" s="78"/>
      <c r="AD72" s="78"/>
      <c r="AE72" s="78"/>
      <c r="AF72" s="78"/>
      <c r="AG72" s="78"/>
      <c r="AH72" s="78"/>
      <c r="AI72" s="78"/>
      <c r="AJ72" s="78"/>
      <c r="AK72" s="78"/>
    </row>
    <row r="73" spans="2:37" s="137" customFormat="1" x14ac:dyDescent="0.35">
      <c r="B73" s="56" t="s">
        <v>305</v>
      </c>
      <c r="C73" s="66" t="s">
        <v>30</v>
      </c>
      <c r="D73" s="66" t="s">
        <v>306</v>
      </c>
      <c r="E73" s="66" t="s">
        <v>21</v>
      </c>
      <c r="F73" s="75" t="str">
        <f t="shared" ref="F73:J75" si="7">IF(ISNUMBER(AB73),AB73-((C$4-C$3)/V73),"")</f>
        <v/>
      </c>
      <c r="G73" s="80">
        <f t="shared" si="7"/>
        <v>5.7082899014153652E-3</v>
      </c>
      <c r="H73" s="80">
        <f t="shared" si="7"/>
        <v>1.0836782632691043E-2</v>
      </c>
      <c r="I73" s="80">
        <f t="shared" si="7"/>
        <v>1.3959271914476164E-2</v>
      </c>
      <c r="J73" s="62">
        <f t="shared" si="7"/>
        <v>1.7075709905280966E-2</v>
      </c>
      <c r="K73" s="75" t="str">
        <f t="shared" ref="K73:O75" si="8">IF(ISNUMBER(AG73),IF(AG73-((C$4-C$3)/V73)&lt;0,"",AG73-((C$4-C$3)/V73)),"")</f>
        <v/>
      </c>
      <c r="L73" s="80">
        <f t="shared" si="8"/>
        <v>1.9017049014153674E-3</v>
      </c>
      <c r="M73" s="80">
        <f t="shared" si="8"/>
        <v>6.0084087326910448E-3</v>
      </c>
      <c r="N73" s="80">
        <f t="shared" si="8"/>
        <v>8.2834047144761652E-3</v>
      </c>
      <c r="O73" s="62">
        <f t="shared" si="8"/>
        <v>1.0132818805280969E-2</v>
      </c>
      <c r="P73" s="55" t="s">
        <v>21</v>
      </c>
      <c r="Q73" s="53" t="s">
        <v>21</v>
      </c>
      <c r="R73" s="94" t="s">
        <v>21</v>
      </c>
      <c r="S73" s="71">
        <v>0</v>
      </c>
      <c r="T73" s="63">
        <f t="shared" si="6"/>
        <v>1.0836782632691043E-2</v>
      </c>
      <c r="U73" s="55"/>
      <c r="V73" s="118">
        <v>1.13061214</v>
      </c>
      <c r="W73" s="61">
        <v>2.8568265899999998</v>
      </c>
      <c r="X73" s="61">
        <v>4.38256611</v>
      </c>
      <c r="Y73" s="61">
        <v>5.6984752900000002</v>
      </c>
      <c r="Z73" s="119">
        <v>7.3358019199999998</v>
      </c>
      <c r="AB73" s="75" t="s">
        <v>21</v>
      </c>
      <c r="AC73" s="80">
        <v>5.7082899014153652E-3</v>
      </c>
      <c r="AD73" s="80">
        <v>1.0836782632691043E-2</v>
      </c>
      <c r="AE73" s="80">
        <v>1.3959271914476164E-2</v>
      </c>
      <c r="AF73" s="62">
        <v>1.7075709905280966E-2</v>
      </c>
      <c r="AG73" s="71" t="s">
        <v>21</v>
      </c>
      <c r="AH73" s="71">
        <v>1.9017049014153674E-3</v>
      </c>
      <c r="AI73" s="71">
        <v>6.0084087326910448E-3</v>
      </c>
      <c r="AJ73" s="71">
        <v>8.2834047144761652E-3</v>
      </c>
      <c r="AK73" s="71">
        <v>1.0132818805280969E-2</v>
      </c>
    </row>
    <row r="74" spans="2:37" s="137" customFormat="1" x14ac:dyDescent="0.35">
      <c r="B74" s="55" t="s">
        <v>305</v>
      </c>
      <c r="C74" s="67" t="s">
        <v>35</v>
      </c>
      <c r="D74" s="53" t="s">
        <v>306</v>
      </c>
      <c r="E74" s="53" t="s">
        <v>21</v>
      </c>
      <c r="F74" s="73">
        <f t="shared" si="7"/>
        <v>4.8415451479235511E-5</v>
      </c>
      <c r="G74" s="60">
        <f t="shared" si="7"/>
        <v>1.1653241977574265E-2</v>
      </c>
      <c r="H74" s="71">
        <f t="shared" si="7"/>
        <v>2.0903633131653825E-2</v>
      </c>
      <c r="I74" s="71">
        <f t="shared" si="7"/>
        <v>2.6176122975350033E-2</v>
      </c>
      <c r="J74" s="63">
        <f t="shared" si="7"/>
        <v>2.9955232033900804E-2</v>
      </c>
      <c r="K74" s="73" t="str">
        <f t="shared" si="8"/>
        <v/>
      </c>
      <c r="L74" s="60">
        <f t="shared" si="8"/>
        <v>8.1525465775742646E-3</v>
      </c>
      <c r="M74" s="71">
        <f t="shared" si="8"/>
        <v>1.6378093731653824E-2</v>
      </c>
      <c r="N74" s="71">
        <f t="shared" si="8"/>
        <v>2.073691017535003E-2</v>
      </c>
      <c r="O74" s="63">
        <f t="shared" si="8"/>
        <v>2.3244633033900813E-2</v>
      </c>
      <c r="P74" s="55" t="s">
        <v>21</v>
      </c>
      <c r="Q74" s="53" t="s">
        <v>21</v>
      </c>
      <c r="R74" s="94" t="s">
        <v>21</v>
      </c>
      <c r="S74" s="71">
        <v>0</v>
      </c>
      <c r="T74" s="63">
        <f t="shared" si="6"/>
        <v>2.0903633131653825E-2</v>
      </c>
      <c r="U74" s="55"/>
      <c r="V74" s="114">
        <v>1.1279052200000002</v>
      </c>
      <c r="W74" s="72">
        <v>2.8277905700000003</v>
      </c>
      <c r="X74" s="72">
        <v>4.27963001</v>
      </c>
      <c r="Y74" s="72">
        <v>5.4784936699999998</v>
      </c>
      <c r="Z74" s="115">
        <v>6.9081171699999997</v>
      </c>
      <c r="AB74" s="73">
        <v>4.8415451479235511E-5</v>
      </c>
      <c r="AC74" s="71">
        <v>1.1653241977574265E-2</v>
      </c>
      <c r="AD74" s="71">
        <v>2.0903633131653825E-2</v>
      </c>
      <c r="AE74" s="71">
        <v>2.6176122975350033E-2</v>
      </c>
      <c r="AF74" s="63">
        <v>2.9955232033900804E-2</v>
      </c>
      <c r="AG74" s="71" t="s">
        <v>21</v>
      </c>
      <c r="AH74" s="71">
        <v>8.1525465775742646E-3</v>
      </c>
      <c r="AI74" s="71">
        <v>1.6378093731653824E-2</v>
      </c>
      <c r="AJ74" s="71">
        <v>2.073691017535003E-2</v>
      </c>
      <c r="AK74" s="71">
        <v>2.3244633033900813E-2</v>
      </c>
    </row>
    <row r="75" spans="2:37" s="137" customFormat="1" x14ac:dyDescent="0.35">
      <c r="B75" s="57" t="s">
        <v>305</v>
      </c>
      <c r="C75" s="53" t="s">
        <v>33</v>
      </c>
      <c r="D75" s="67" t="s">
        <v>306</v>
      </c>
      <c r="E75" s="54" t="s">
        <v>21</v>
      </c>
      <c r="F75" s="74" t="str">
        <f t="shared" si="7"/>
        <v/>
      </c>
      <c r="G75" s="76">
        <f t="shared" si="7"/>
        <v>8.2479933068232269E-3</v>
      </c>
      <c r="H75" s="76">
        <f t="shared" si="7"/>
        <v>1.5262598852991659E-2</v>
      </c>
      <c r="I75" s="76">
        <f t="shared" si="7"/>
        <v>1.9059573359273177E-2</v>
      </c>
      <c r="J75" s="64">
        <f t="shared" si="7"/>
        <v>2.2532319533413496E-2</v>
      </c>
      <c r="K75" s="74" t="str">
        <f t="shared" si="8"/>
        <v/>
      </c>
      <c r="L75" s="76">
        <f t="shared" si="8"/>
        <v>4.6229644068232264E-3</v>
      </c>
      <c r="M75" s="76">
        <f t="shared" si="8"/>
        <v>1.0646995452991659E-2</v>
      </c>
      <c r="N75" s="76">
        <f t="shared" si="8"/>
        <v>1.3573725859273177E-2</v>
      </c>
      <c r="O75" s="64">
        <f t="shared" si="8"/>
        <v>1.5784177233413497E-2</v>
      </c>
      <c r="P75" s="55" t="s">
        <v>21</v>
      </c>
      <c r="Q75" s="53" t="s">
        <v>21</v>
      </c>
      <c r="R75" s="94" t="s">
        <v>21</v>
      </c>
      <c r="S75" s="71">
        <v>0</v>
      </c>
      <c r="T75" s="63">
        <f t="shared" si="6"/>
        <v>1.5262598852991659E-2</v>
      </c>
      <c r="U75" s="55"/>
      <c r="V75" s="116">
        <v>1.12900322</v>
      </c>
      <c r="W75" s="108">
        <v>2.8377204300000001</v>
      </c>
      <c r="X75" s="108">
        <v>4.3136833599999997</v>
      </c>
      <c r="Y75" s="108">
        <v>5.55175222</v>
      </c>
      <c r="Z75" s="115">
        <v>7.0451076299999995</v>
      </c>
      <c r="AB75" s="74" t="s">
        <v>21</v>
      </c>
      <c r="AC75" s="76">
        <v>8.2479933068232269E-3</v>
      </c>
      <c r="AD75" s="76">
        <v>1.5262598852991659E-2</v>
      </c>
      <c r="AE75" s="76">
        <v>1.9059573359273177E-2</v>
      </c>
      <c r="AF75" s="64">
        <v>2.2532319533413496E-2</v>
      </c>
      <c r="AG75" s="71" t="s">
        <v>21</v>
      </c>
      <c r="AH75" s="71">
        <v>4.6229644068232264E-3</v>
      </c>
      <c r="AI75" s="71">
        <v>1.0646995452991659E-2</v>
      </c>
      <c r="AJ75" s="71">
        <v>1.3573725859273177E-2</v>
      </c>
      <c r="AK75" s="71">
        <v>1.5784177233413497E-2</v>
      </c>
    </row>
    <row r="76" spans="2:37" s="137" customFormat="1" x14ac:dyDescent="0.35">
      <c r="B76" s="79" t="s">
        <v>304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9"/>
      <c r="Q76" s="78"/>
      <c r="R76" s="95"/>
      <c r="S76" s="78"/>
      <c r="T76" s="78"/>
      <c r="U76" s="55"/>
      <c r="V76" s="112"/>
      <c r="W76" s="107"/>
      <c r="X76" s="107"/>
      <c r="Y76" s="107"/>
      <c r="Z76" s="113"/>
      <c r="AB76" s="78"/>
      <c r="AC76" s="78"/>
      <c r="AD76" s="78"/>
      <c r="AE76" s="78"/>
      <c r="AF76" s="78"/>
      <c r="AG76" s="78"/>
      <c r="AH76" s="78"/>
      <c r="AI76" s="78"/>
      <c r="AJ76" s="78"/>
      <c r="AK76" s="78"/>
    </row>
    <row r="77" spans="2:37" s="137" customFormat="1" x14ac:dyDescent="0.35">
      <c r="B77" s="56" t="s">
        <v>307</v>
      </c>
      <c r="C77" s="66" t="s">
        <v>30</v>
      </c>
      <c r="D77" s="66" t="s">
        <v>131</v>
      </c>
      <c r="E77" s="66" t="s">
        <v>21</v>
      </c>
      <c r="F77" s="75" t="str">
        <f t="shared" ref="F77:J78" si="9">IF(ISNUMBER(AB77),AB77-((C$4-C$3)/V77),"")</f>
        <v/>
      </c>
      <c r="G77" s="80">
        <f t="shared" si="9"/>
        <v>5.7442182407573556E-3</v>
      </c>
      <c r="H77" s="80">
        <f t="shared" si="9"/>
        <v>1.0935024591776725E-2</v>
      </c>
      <c r="I77" s="80">
        <f t="shared" si="9"/>
        <v>1.380008195420577E-2</v>
      </c>
      <c r="J77" s="62">
        <f t="shared" si="9"/>
        <v>1.6463689560460536E-2</v>
      </c>
      <c r="K77" s="75" t="str">
        <f t="shared" ref="K77:O78" si="10">IF(ISNUMBER(AG77),IF(AG77-((C$4-C$3)/V77)&lt;0,"",AG77-((C$4-C$3)/V77)),"")</f>
        <v/>
      </c>
      <c r="L77" s="80">
        <f t="shared" si="10"/>
        <v>1.9412826407573529E-3</v>
      </c>
      <c r="M77" s="80">
        <f t="shared" si="10"/>
        <v>6.1140303917767268E-3</v>
      </c>
      <c r="N77" s="80">
        <f t="shared" si="10"/>
        <v>8.1152738542057696E-3</v>
      </c>
      <c r="O77" s="62">
        <f t="shared" si="10"/>
        <v>9.4858971604605356E-3</v>
      </c>
      <c r="P77" s="56" t="s">
        <v>21</v>
      </c>
      <c r="Q77" s="66" t="s">
        <v>21</v>
      </c>
      <c r="R77" s="100" t="s">
        <v>21</v>
      </c>
      <c r="S77" s="80">
        <v>0</v>
      </c>
      <c r="T77" s="62">
        <f t="shared" si="6"/>
        <v>1.0935024591776725E-2</v>
      </c>
      <c r="U77" s="55"/>
      <c r="V77" s="118">
        <v>1.1303904300000001</v>
      </c>
      <c r="W77" s="61">
        <v>2.8561825499999998</v>
      </c>
      <c r="X77" s="61">
        <v>4.3808495000000001</v>
      </c>
      <c r="Y77" s="61">
        <v>5.69844857</v>
      </c>
      <c r="Z77" s="119">
        <v>7.3495191400000008</v>
      </c>
      <c r="AB77" s="75" t="s">
        <v>21</v>
      </c>
      <c r="AC77" s="80">
        <v>5.7442182407573556E-3</v>
      </c>
      <c r="AD77" s="80">
        <v>1.0935024591776725E-2</v>
      </c>
      <c r="AE77" s="80">
        <v>1.380008195420577E-2</v>
      </c>
      <c r="AF77" s="62">
        <v>1.6463689560460536E-2</v>
      </c>
      <c r="AG77" s="80" t="s">
        <v>21</v>
      </c>
      <c r="AH77" s="80">
        <v>1.9412826407573529E-3</v>
      </c>
      <c r="AI77" s="80">
        <v>6.1140303917767268E-3</v>
      </c>
      <c r="AJ77" s="80">
        <v>8.1152738542057696E-3</v>
      </c>
      <c r="AK77" s="80">
        <v>9.4858971604605356E-3</v>
      </c>
    </row>
    <row r="78" spans="2:37" s="137" customFormat="1" x14ac:dyDescent="0.35">
      <c r="B78" s="57" t="s">
        <v>307</v>
      </c>
      <c r="C78" s="67" t="s">
        <v>35</v>
      </c>
      <c r="D78" s="67" t="s">
        <v>131</v>
      </c>
      <c r="E78" s="67" t="s">
        <v>21</v>
      </c>
      <c r="F78" s="74">
        <f t="shared" si="9"/>
        <v>6.5024150034147764E-5</v>
      </c>
      <c r="G78" s="76">
        <f t="shared" si="9"/>
        <v>1.1659495324132463E-2</v>
      </c>
      <c r="H78" s="76">
        <f t="shared" si="9"/>
        <v>2.0907597230789905E-2</v>
      </c>
      <c r="I78" s="76">
        <f t="shared" si="9"/>
        <v>2.6179119596375481E-2</v>
      </c>
      <c r="J78" s="64">
        <f t="shared" si="9"/>
        <v>3.034114345928985E-2</v>
      </c>
      <c r="K78" s="74" t="str">
        <f t="shared" si="10"/>
        <v/>
      </c>
      <c r="L78" s="76">
        <f t="shared" si="10"/>
        <v>8.1580998241324691E-3</v>
      </c>
      <c r="M78" s="76">
        <f t="shared" si="10"/>
        <v>1.6381305830789904E-2</v>
      </c>
      <c r="N78" s="76">
        <f t="shared" si="10"/>
        <v>2.0739192396375485E-2</v>
      </c>
      <c r="O78" s="64">
        <f t="shared" si="10"/>
        <v>2.3625321359289846E-2</v>
      </c>
      <c r="P78" s="57" t="s">
        <v>21</v>
      </c>
      <c r="Q78" s="67" t="s">
        <v>21</v>
      </c>
      <c r="R78" s="96" t="s">
        <v>21</v>
      </c>
      <c r="S78" s="76">
        <v>0</v>
      </c>
      <c r="T78" s="64">
        <f t="shared" si="6"/>
        <v>2.0907597230789905E-2</v>
      </c>
      <c r="U78" s="55"/>
      <c r="V78" s="114">
        <v>1.1279153900000001</v>
      </c>
      <c r="W78" s="72">
        <v>2.8277874999999999</v>
      </c>
      <c r="X78" s="72">
        <v>4.2796166700000002</v>
      </c>
      <c r="Y78" s="108">
        <v>5.4784714299999999</v>
      </c>
      <c r="Z78" s="117">
        <v>6.9027343600000002</v>
      </c>
      <c r="AB78" s="74">
        <v>6.5024150034147764E-5</v>
      </c>
      <c r="AC78" s="76">
        <v>1.1659495324132463E-2</v>
      </c>
      <c r="AD78" s="76">
        <v>2.0907597230789905E-2</v>
      </c>
      <c r="AE78" s="76">
        <v>2.6179119596375481E-2</v>
      </c>
      <c r="AF78" s="64">
        <v>3.034114345928985E-2</v>
      </c>
      <c r="AG78" s="76" t="s">
        <v>21</v>
      </c>
      <c r="AH78" s="76">
        <v>8.1580998241324691E-3</v>
      </c>
      <c r="AI78" s="76">
        <v>1.6381305830789904E-2</v>
      </c>
      <c r="AJ78" s="76">
        <v>2.0739192396375485E-2</v>
      </c>
      <c r="AK78" s="76">
        <v>2.3625321359289846E-2</v>
      </c>
    </row>
    <row r="79" spans="2:37" x14ac:dyDescent="0.35">
      <c r="B79" s="79" t="s">
        <v>67</v>
      </c>
      <c r="C79" s="78"/>
      <c r="D79" s="78"/>
      <c r="E79" s="78"/>
      <c r="F79" s="78" t="str">
        <f t="shared" si="4"/>
        <v/>
      </c>
      <c r="G79" s="78" t="str">
        <f t="shared" si="4"/>
        <v/>
      </c>
      <c r="H79" s="78" t="str">
        <f t="shared" si="4"/>
        <v/>
      </c>
      <c r="I79" s="78" t="str">
        <f t="shared" si="4"/>
        <v/>
      </c>
      <c r="J79" s="78" t="str">
        <f t="shared" si="4"/>
        <v/>
      </c>
      <c r="K79" s="78" t="str">
        <f t="shared" si="5"/>
        <v/>
      </c>
      <c r="L79" s="78" t="str">
        <f t="shared" si="5"/>
        <v/>
      </c>
      <c r="M79" s="78" t="str">
        <f t="shared" si="5"/>
        <v/>
      </c>
      <c r="N79" s="78" t="str">
        <f t="shared" si="5"/>
        <v/>
      </c>
      <c r="O79" s="77" t="str">
        <f t="shared" si="5"/>
        <v/>
      </c>
      <c r="P79" s="79"/>
      <c r="Q79" s="78"/>
      <c r="R79" s="95"/>
      <c r="S79" s="78"/>
      <c r="T79" s="77" t="str">
        <f t="shared" si="6"/>
        <v/>
      </c>
      <c r="V79" s="112"/>
      <c r="W79" s="107"/>
      <c r="X79" s="107"/>
      <c r="Y79" s="107"/>
      <c r="Z79" s="113"/>
      <c r="AB79" s="78"/>
      <c r="AC79" s="78"/>
      <c r="AD79" s="78"/>
      <c r="AE79" s="78"/>
      <c r="AF79" s="78"/>
      <c r="AG79" s="78"/>
      <c r="AH79" s="78"/>
      <c r="AI79" s="78"/>
      <c r="AJ79" s="78"/>
      <c r="AK79" s="78"/>
    </row>
    <row r="80" spans="2:37" x14ac:dyDescent="0.35">
      <c r="B80" s="56" t="s">
        <v>68</v>
      </c>
      <c r="C80" s="66" t="s">
        <v>61</v>
      </c>
      <c r="D80" s="66" t="s">
        <v>69</v>
      </c>
      <c r="E80" s="66" t="s">
        <v>21</v>
      </c>
      <c r="F80" s="75">
        <f t="shared" si="4"/>
        <v>4.744180697750398E-4</v>
      </c>
      <c r="G80" s="80">
        <f t="shared" si="4"/>
        <v>8.6288127711057067E-3</v>
      </c>
      <c r="H80" s="80">
        <f t="shared" si="4"/>
        <v>1.4649960122640283E-2</v>
      </c>
      <c r="I80" s="80">
        <f t="shared" si="4"/>
        <v>1.7707289177058175E-2</v>
      </c>
      <c r="J80" s="62">
        <f t="shared" si="4"/>
        <v>2.0733352133873784E-2</v>
      </c>
      <c r="K80" s="75" t="str">
        <f t="shared" si="5"/>
        <v/>
      </c>
      <c r="L80" s="80">
        <f t="shared" si="5"/>
        <v>5.0225617711057088E-3</v>
      </c>
      <c r="M80" s="80">
        <f t="shared" si="5"/>
        <v>1.0017080122640284E-2</v>
      </c>
      <c r="N80" s="80">
        <f t="shared" si="5"/>
        <v>1.2193307677058174E-2</v>
      </c>
      <c r="O80" s="62">
        <f t="shared" si="5"/>
        <v>1.3944349733873785E-2</v>
      </c>
      <c r="P80" s="56" t="s">
        <v>21</v>
      </c>
      <c r="Q80" s="66" t="s">
        <v>21</v>
      </c>
      <c r="R80" s="100" t="s">
        <v>21</v>
      </c>
      <c r="S80" s="80">
        <v>0</v>
      </c>
      <c r="T80" s="62">
        <f t="shared" si="6"/>
        <v>1.4649960122640283E-2</v>
      </c>
      <c r="V80" s="118">
        <v>1.1251049500000001</v>
      </c>
      <c r="W80" s="61">
        <v>2.82810154</v>
      </c>
      <c r="X80" s="61">
        <v>4.3089344399999998</v>
      </c>
      <c r="Y80" s="61">
        <v>5.5658108400000001</v>
      </c>
      <c r="Z80" s="119">
        <v>7.10416004</v>
      </c>
      <c r="AB80" s="75">
        <v>4.744180697750398E-4</v>
      </c>
      <c r="AC80" s="80">
        <v>8.6288127711057067E-3</v>
      </c>
      <c r="AD80" s="80">
        <v>1.4649960122640283E-2</v>
      </c>
      <c r="AE80" s="80">
        <v>1.7707289177058175E-2</v>
      </c>
      <c r="AF80" s="62">
        <v>2.0733352133873784E-2</v>
      </c>
      <c r="AG80" s="80" t="s">
        <v>21</v>
      </c>
      <c r="AH80" s="80">
        <v>5.0225617711057088E-3</v>
      </c>
      <c r="AI80" s="80">
        <v>1.0017080122640284E-2</v>
      </c>
      <c r="AJ80" s="80">
        <v>1.2193307677058174E-2</v>
      </c>
      <c r="AK80" s="80">
        <v>1.3944349733873785E-2</v>
      </c>
    </row>
    <row r="81" spans="2:37" x14ac:dyDescent="0.35">
      <c r="B81" s="57" t="s">
        <v>68</v>
      </c>
      <c r="C81" s="67" t="s">
        <v>63</v>
      </c>
      <c r="D81" s="67" t="s">
        <v>69</v>
      </c>
      <c r="E81" s="67" t="s">
        <v>81</v>
      </c>
      <c r="F81" s="74">
        <f t="shared" si="4"/>
        <v>2.0725585883330389E-3</v>
      </c>
      <c r="G81" s="76">
        <f t="shared" si="4"/>
        <v>1.1576899442441139E-2</v>
      </c>
      <c r="H81" s="76">
        <f t="shared" si="4"/>
        <v>1.8278910980569895E-2</v>
      </c>
      <c r="I81" s="76">
        <f t="shared" si="4"/>
        <v>2.177694285445507E-2</v>
      </c>
      <c r="J81" s="64">
        <f t="shared" si="4"/>
        <v>2.4959995131710995E-2</v>
      </c>
      <c r="K81" s="74" t="str">
        <f t="shared" si="5"/>
        <v/>
      </c>
      <c r="L81" s="76">
        <f t="shared" si="5"/>
        <v>8.0763412424411391E-3</v>
      </c>
      <c r="M81" s="76">
        <f t="shared" si="5"/>
        <v>1.3738919880569894E-2</v>
      </c>
      <c r="N81" s="76">
        <f t="shared" si="5"/>
        <v>1.6342635154455071E-2</v>
      </c>
      <c r="O81" s="64">
        <f t="shared" si="5"/>
        <v>1.8243110931710993E-2</v>
      </c>
      <c r="P81" s="57" t="s">
        <v>21</v>
      </c>
      <c r="Q81" s="67" t="s">
        <v>21</v>
      </c>
      <c r="R81" s="96" t="s">
        <v>21</v>
      </c>
      <c r="S81" s="76">
        <v>0</v>
      </c>
      <c r="T81" s="64">
        <f t="shared" si="6"/>
        <v>1.8278910980569895E-2</v>
      </c>
      <c r="V81" s="116">
        <v>1.12409552</v>
      </c>
      <c r="W81" s="108">
        <v>2.8211221700000002</v>
      </c>
      <c r="X81" s="108">
        <v>4.2923560800000002</v>
      </c>
      <c r="Y81" s="108">
        <v>5.5375546499999997</v>
      </c>
      <c r="Z81" s="117">
        <v>7.0608571300000005</v>
      </c>
      <c r="AB81" s="74">
        <v>2.0725585883330389E-3</v>
      </c>
      <c r="AC81" s="76">
        <v>1.1576899442441139E-2</v>
      </c>
      <c r="AD81" s="76">
        <v>1.8278910980569895E-2</v>
      </c>
      <c r="AE81" s="76">
        <v>2.177694285445507E-2</v>
      </c>
      <c r="AF81" s="64">
        <v>2.4959995131710995E-2</v>
      </c>
      <c r="AG81" s="76" t="s">
        <v>21</v>
      </c>
      <c r="AH81" s="76">
        <v>8.0763412424411391E-3</v>
      </c>
      <c r="AI81" s="76">
        <v>1.3738919880569894E-2</v>
      </c>
      <c r="AJ81" s="76">
        <v>1.6342635154455071E-2</v>
      </c>
      <c r="AK81" s="76">
        <v>1.8243110931710993E-2</v>
      </c>
    </row>
    <row r="82" spans="2:37" x14ac:dyDescent="0.35">
      <c r="B82" s="56" t="s">
        <v>70</v>
      </c>
      <c r="C82" s="66" t="s">
        <v>65</v>
      </c>
      <c r="D82" s="66" t="s">
        <v>69</v>
      </c>
      <c r="E82" s="66" t="s">
        <v>231</v>
      </c>
      <c r="F82" s="75">
        <f t="shared" si="4"/>
        <v>7.3549832827956609E-4</v>
      </c>
      <c r="G82" s="80">
        <f t="shared" si="4"/>
        <v>9.4852937146663475E-3</v>
      </c>
      <c r="H82" s="80">
        <f t="shared" si="4"/>
        <v>1.578029135389921E-2</v>
      </c>
      <c r="I82" s="80">
        <f t="shared" si="4"/>
        <v>1.9330905504897827E-2</v>
      </c>
      <c r="J82" s="62">
        <f t="shared" si="4"/>
        <v>2.2624753641953564E-2</v>
      </c>
      <c r="K82" s="75" t="str">
        <f t="shared" si="5"/>
        <v/>
      </c>
      <c r="L82" s="80">
        <f t="shared" si="5"/>
        <v>5.9136517146663476E-3</v>
      </c>
      <c r="M82" s="80">
        <f t="shared" si="5"/>
        <v>1.1177465953899207E-2</v>
      </c>
      <c r="N82" s="80">
        <f t="shared" si="5"/>
        <v>1.384770080489783E-2</v>
      </c>
      <c r="O82" s="62">
        <f t="shared" si="5"/>
        <v>1.5873988341953565E-2</v>
      </c>
      <c r="P82" s="55" t="s">
        <v>450</v>
      </c>
      <c r="Q82" s="53" t="s">
        <v>451</v>
      </c>
      <c r="R82" s="94">
        <v>47371</v>
      </c>
      <c r="S82" s="71">
        <v>1.2340009999999998E-2</v>
      </c>
      <c r="T82" s="63">
        <f t="shared" si="6"/>
        <v>3.4402813538992119E-3</v>
      </c>
      <c r="V82" s="118">
        <v>1.1243667100000001</v>
      </c>
      <c r="W82" s="61">
        <v>2.82135538</v>
      </c>
      <c r="X82" s="61">
        <v>4.2891355500000001</v>
      </c>
      <c r="Y82" s="61">
        <v>5.52268735</v>
      </c>
      <c r="Z82" s="119">
        <v>7.0134219499999997</v>
      </c>
      <c r="AB82" s="75">
        <v>7.3549832827956609E-4</v>
      </c>
      <c r="AC82" s="80">
        <v>9.4852937146663475E-3</v>
      </c>
      <c r="AD82" s="80">
        <v>1.578029135389921E-2</v>
      </c>
      <c r="AE82" s="80">
        <v>1.9330905504897827E-2</v>
      </c>
      <c r="AF82" s="62">
        <v>2.2624753641953564E-2</v>
      </c>
      <c r="AG82" s="71" t="s">
        <v>21</v>
      </c>
      <c r="AH82" s="71">
        <v>5.9136517146663476E-3</v>
      </c>
      <c r="AI82" s="71">
        <v>1.1177465953899207E-2</v>
      </c>
      <c r="AJ82" s="71">
        <v>1.384770080489783E-2</v>
      </c>
      <c r="AK82" s="71">
        <v>1.5873988341953565E-2</v>
      </c>
    </row>
    <row r="83" spans="2:37" x14ac:dyDescent="0.35">
      <c r="B83" s="55" t="s">
        <v>70</v>
      </c>
      <c r="C83" s="53" t="s">
        <v>66</v>
      </c>
      <c r="D83" s="53" t="s">
        <v>69</v>
      </c>
      <c r="E83" s="53" t="s">
        <v>81</v>
      </c>
      <c r="F83" s="73">
        <f t="shared" si="4"/>
        <v>2.2085086936165814E-3</v>
      </c>
      <c r="G83" s="60">
        <f t="shared" si="4"/>
        <v>1.3046925262338086E-2</v>
      </c>
      <c r="H83" s="60">
        <f t="shared" si="4"/>
        <v>2.1710959422541243E-2</v>
      </c>
      <c r="I83" s="60">
        <f t="shared" si="4"/>
        <v>2.6895896979317671E-2</v>
      </c>
      <c r="J83" s="63">
        <f t="shared" si="4"/>
        <v>3.0873459937666804E-2</v>
      </c>
      <c r="K83" s="73">
        <f t="shared" si="5"/>
        <v>8.8903293616582856E-5</v>
      </c>
      <c r="L83" s="60">
        <f t="shared" si="5"/>
        <v>9.5703120623380853E-3</v>
      </c>
      <c r="M83" s="60">
        <f t="shared" si="5"/>
        <v>1.7184570222541242E-2</v>
      </c>
      <c r="N83" s="60">
        <f t="shared" si="5"/>
        <v>2.1448423279317678E-2</v>
      </c>
      <c r="O83" s="63">
        <f t="shared" si="5"/>
        <v>2.4150150637666797E-2</v>
      </c>
      <c r="P83" s="55" t="s">
        <v>21</v>
      </c>
      <c r="Q83" s="53" t="s">
        <v>21</v>
      </c>
      <c r="R83" s="94" t="s">
        <v>21</v>
      </c>
      <c r="S83" s="71">
        <v>0</v>
      </c>
      <c r="T83" s="63">
        <f t="shared" si="6"/>
        <v>2.1710959422541243E-2</v>
      </c>
      <c r="V83" s="116">
        <v>1.1238525100000001</v>
      </c>
      <c r="W83" s="108">
        <v>2.8138706299999998</v>
      </c>
      <c r="X83" s="108">
        <v>4.2573161900000001</v>
      </c>
      <c r="Y83" s="108">
        <v>5.4484346300000004</v>
      </c>
      <c r="Z83" s="117">
        <v>6.8629735600000004</v>
      </c>
      <c r="AB83" s="73">
        <v>2.2085086936165814E-3</v>
      </c>
      <c r="AC83" s="71">
        <v>1.3046925262338086E-2</v>
      </c>
      <c r="AD83" s="71">
        <v>2.1710959422541243E-2</v>
      </c>
      <c r="AE83" s="71">
        <v>2.6895896979317671E-2</v>
      </c>
      <c r="AF83" s="63">
        <v>3.0873459937666804E-2</v>
      </c>
      <c r="AG83" s="71">
        <v>8.8903293616582856E-5</v>
      </c>
      <c r="AH83" s="71">
        <v>9.5703120623380853E-3</v>
      </c>
      <c r="AI83" s="71">
        <v>1.7184570222541242E-2</v>
      </c>
      <c r="AJ83" s="71">
        <v>2.1448423279317678E-2</v>
      </c>
      <c r="AK83" s="71">
        <v>2.4150150637666797E-2</v>
      </c>
    </row>
    <row r="84" spans="2:37" x14ac:dyDescent="0.35">
      <c r="B84" s="56" t="s">
        <v>71</v>
      </c>
      <c r="C84" s="66" t="s">
        <v>61</v>
      </c>
      <c r="D84" s="66" t="s">
        <v>69</v>
      </c>
      <c r="E84" s="66" t="s">
        <v>21</v>
      </c>
      <c r="F84" s="75" t="str">
        <f t="shared" si="4"/>
        <v/>
      </c>
      <c r="G84" s="80">
        <f t="shared" si="4"/>
        <v>6.2286137107877039E-3</v>
      </c>
      <c r="H84" s="80">
        <f t="shared" si="4"/>
        <v>1.1150877610007782E-2</v>
      </c>
      <c r="I84" s="80">
        <f t="shared" si="4"/>
        <v>1.3863849211624375E-2</v>
      </c>
      <c r="J84" s="62">
        <f t="shared" si="4"/>
        <v>1.6435147665393692E-2</v>
      </c>
      <c r="K84" s="75" t="str">
        <f t="shared" si="5"/>
        <v/>
      </c>
      <c r="L84" s="80">
        <f t="shared" si="5"/>
        <v>2.4707970107877043E-3</v>
      </c>
      <c r="M84" s="80">
        <f t="shared" si="5"/>
        <v>6.3470659100077886E-3</v>
      </c>
      <c r="N84" s="80">
        <f t="shared" si="5"/>
        <v>8.1842068116243782E-3</v>
      </c>
      <c r="O84" s="62">
        <f t="shared" si="5"/>
        <v>9.4553256653936955E-3</v>
      </c>
      <c r="P84" s="56" t="s">
        <v>21</v>
      </c>
      <c r="Q84" s="66" t="s">
        <v>21</v>
      </c>
      <c r="R84" s="100" t="s">
        <v>21</v>
      </c>
      <c r="S84" s="80">
        <v>0</v>
      </c>
      <c r="T84" s="62">
        <f t="shared" si="6"/>
        <v>1.1150877610007782E-2</v>
      </c>
      <c r="V84" s="118">
        <v>1.1289758999999999</v>
      </c>
      <c r="W84" s="61">
        <v>2.8504483300000003</v>
      </c>
      <c r="X84" s="61">
        <v>4.3716053800000001</v>
      </c>
      <c r="Y84" s="61">
        <v>5.6876935900000003</v>
      </c>
      <c r="Z84" s="119">
        <v>7.3390352000000005</v>
      </c>
      <c r="AB84" s="75" t="s">
        <v>21</v>
      </c>
      <c r="AC84" s="80">
        <v>6.2286137107877039E-3</v>
      </c>
      <c r="AD84" s="80">
        <v>1.1150877610007782E-2</v>
      </c>
      <c r="AE84" s="80">
        <v>1.3863849211624375E-2</v>
      </c>
      <c r="AF84" s="62">
        <v>1.6435147665393692E-2</v>
      </c>
      <c r="AG84" s="80" t="s">
        <v>21</v>
      </c>
      <c r="AH84" s="80">
        <v>2.4707970107877043E-3</v>
      </c>
      <c r="AI84" s="80">
        <v>6.3470659100077886E-3</v>
      </c>
      <c r="AJ84" s="80">
        <v>8.1842068116243782E-3</v>
      </c>
      <c r="AK84" s="80">
        <v>9.4553256653936955E-3</v>
      </c>
    </row>
    <row r="85" spans="2:37" x14ac:dyDescent="0.35">
      <c r="B85" s="57" t="s">
        <v>71</v>
      </c>
      <c r="C85" s="67" t="s">
        <v>63</v>
      </c>
      <c r="D85" s="67" t="s">
        <v>69</v>
      </c>
      <c r="E85" s="67" t="s">
        <v>21</v>
      </c>
      <c r="F85" s="74" t="str">
        <f t="shared" si="4"/>
        <v/>
      </c>
      <c r="G85" s="76">
        <f t="shared" si="4"/>
        <v>8.4605005411121734E-3</v>
      </c>
      <c r="H85" s="76">
        <f t="shared" si="4"/>
        <v>1.413666063850276E-2</v>
      </c>
      <c r="I85" s="76">
        <f t="shared" si="4"/>
        <v>1.7464834586219592E-2</v>
      </c>
      <c r="J85" s="64">
        <f t="shared" si="4"/>
        <v>2.0267095006404903E-2</v>
      </c>
      <c r="K85" s="74" t="str">
        <f t="shared" si="5"/>
        <v/>
      </c>
      <c r="L85" s="76">
        <f t="shared" si="5"/>
        <v>4.8539087411121739E-3</v>
      </c>
      <c r="M85" s="76">
        <f t="shared" si="5"/>
        <v>9.4977131385027627E-3</v>
      </c>
      <c r="N85" s="76">
        <f t="shared" si="5"/>
        <v>1.1953306986219591E-2</v>
      </c>
      <c r="O85" s="64">
        <f t="shared" si="5"/>
        <v>1.3460134906404905E-2</v>
      </c>
      <c r="P85" s="57" t="s">
        <v>21</v>
      </c>
      <c r="Q85" s="67" t="s">
        <v>21</v>
      </c>
      <c r="R85" s="96" t="s">
        <v>21</v>
      </c>
      <c r="S85" s="76">
        <v>0</v>
      </c>
      <c r="T85" s="64">
        <f t="shared" si="6"/>
        <v>1.413666063850276E-2</v>
      </c>
      <c r="V85" s="116">
        <v>1.1279259099999999</v>
      </c>
      <c r="W85" s="108">
        <v>2.84302308</v>
      </c>
      <c r="X85" s="108">
        <v>4.3505846799999999</v>
      </c>
      <c r="Y85" s="108">
        <v>5.6450719500000002</v>
      </c>
      <c r="Z85" s="117">
        <v>7.2589181700000003</v>
      </c>
      <c r="AB85" s="74" t="s">
        <v>21</v>
      </c>
      <c r="AC85" s="76">
        <v>8.4605005411121734E-3</v>
      </c>
      <c r="AD85" s="76">
        <v>1.413666063850276E-2</v>
      </c>
      <c r="AE85" s="76">
        <v>1.7464834586219592E-2</v>
      </c>
      <c r="AF85" s="64">
        <v>2.0267095006404903E-2</v>
      </c>
      <c r="AG85" s="76" t="s">
        <v>21</v>
      </c>
      <c r="AH85" s="76">
        <v>4.8539087411121739E-3</v>
      </c>
      <c r="AI85" s="76">
        <v>9.4977131385027627E-3</v>
      </c>
      <c r="AJ85" s="76">
        <v>1.1953306986219591E-2</v>
      </c>
      <c r="AK85" s="76">
        <v>1.3460134906404905E-2</v>
      </c>
    </row>
    <row r="86" spans="2:37" x14ac:dyDescent="0.35">
      <c r="B86" s="55" t="s">
        <v>72</v>
      </c>
      <c r="C86" s="53" t="s">
        <v>65</v>
      </c>
      <c r="D86" s="53" t="s">
        <v>69</v>
      </c>
      <c r="E86" s="53" t="s">
        <v>34</v>
      </c>
      <c r="F86" s="73" t="str">
        <f t="shared" si="4"/>
        <v/>
      </c>
      <c r="G86" s="60">
        <f t="shared" si="4"/>
        <v>7.0968264692672983E-3</v>
      </c>
      <c r="H86" s="60">
        <f t="shared" si="4"/>
        <v>1.3528656002962346E-2</v>
      </c>
      <c r="I86" s="60">
        <f t="shared" si="4"/>
        <v>1.6817057253711479E-2</v>
      </c>
      <c r="J86" s="63">
        <f t="shared" si="4"/>
        <v>2.0286230348748085E-2</v>
      </c>
      <c r="K86" s="73" t="str">
        <f t="shared" si="5"/>
        <v/>
      </c>
      <c r="L86" s="60">
        <f t="shared" si="5"/>
        <v>3.4040430692672975E-3</v>
      </c>
      <c r="M86" s="60">
        <f t="shared" si="5"/>
        <v>8.854482802962348E-3</v>
      </c>
      <c r="N86" s="60">
        <f t="shared" si="5"/>
        <v>1.1277293653711476E-2</v>
      </c>
      <c r="O86" s="63">
        <f t="shared" si="5"/>
        <v>1.3484757748748086E-2</v>
      </c>
      <c r="P86" s="55" t="s">
        <v>21</v>
      </c>
      <c r="Q86" s="53" t="s">
        <v>21</v>
      </c>
      <c r="R86" s="94" t="s">
        <v>21</v>
      </c>
      <c r="S86" s="71">
        <v>0</v>
      </c>
      <c r="T86" s="63">
        <f t="shared" si="6"/>
        <v>1.3528656002962346E-2</v>
      </c>
      <c r="V86" s="118">
        <v>1.12912981</v>
      </c>
      <c r="W86" s="61">
        <v>2.84524526</v>
      </c>
      <c r="X86" s="61">
        <v>4.34097752</v>
      </c>
      <c r="Y86" s="61">
        <v>5.6121349</v>
      </c>
      <c r="Z86" s="119">
        <v>7.164647490000001</v>
      </c>
      <c r="AB86" s="73" t="s">
        <v>21</v>
      </c>
      <c r="AC86" s="71">
        <v>7.0968264692672983E-3</v>
      </c>
      <c r="AD86" s="71">
        <v>1.3528656002962346E-2</v>
      </c>
      <c r="AE86" s="71">
        <v>1.6817057253711479E-2</v>
      </c>
      <c r="AF86" s="63">
        <v>2.0286230348748085E-2</v>
      </c>
      <c r="AG86" s="71" t="s">
        <v>21</v>
      </c>
      <c r="AH86" s="71">
        <v>3.4040430692672975E-3</v>
      </c>
      <c r="AI86" s="71">
        <v>8.854482802962348E-3</v>
      </c>
      <c r="AJ86" s="71">
        <v>1.1277293653711476E-2</v>
      </c>
      <c r="AK86" s="71">
        <v>1.3484757748748086E-2</v>
      </c>
    </row>
    <row r="87" spans="2:37" x14ac:dyDescent="0.35">
      <c r="B87" s="57" t="s">
        <v>72</v>
      </c>
      <c r="C87" s="67" t="s">
        <v>66</v>
      </c>
      <c r="D87" s="67" t="s">
        <v>69</v>
      </c>
      <c r="E87" s="67" t="s">
        <v>36</v>
      </c>
      <c r="F87" s="74" t="str">
        <f t="shared" si="4"/>
        <v/>
      </c>
      <c r="G87" s="76">
        <f t="shared" si="4"/>
        <v>1.0745760430963975E-2</v>
      </c>
      <c r="H87" s="76">
        <f t="shared" si="4"/>
        <v>1.9259600183370838E-2</v>
      </c>
      <c r="I87" s="76">
        <f t="shared" si="4"/>
        <v>2.4033247725361841E-2</v>
      </c>
      <c r="J87" s="64">
        <f t="shared" si="4"/>
        <v>2.7891659254864681E-2</v>
      </c>
      <c r="K87" s="74" t="str">
        <f t="shared" si="5"/>
        <v/>
      </c>
      <c r="L87" s="76">
        <f t="shared" si="5"/>
        <v>7.2246543309639737E-3</v>
      </c>
      <c r="M87" s="76">
        <f t="shared" si="5"/>
        <v>1.4729269083370836E-2</v>
      </c>
      <c r="N87" s="76">
        <f t="shared" si="5"/>
        <v>1.8605929225361841E-2</v>
      </c>
      <c r="O87" s="64">
        <f t="shared" si="5"/>
        <v>2.1189726054864685E-2</v>
      </c>
      <c r="P87" s="57" t="s">
        <v>21</v>
      </c>
      <c r="Q87" s="67" t="s">
        <v>21</v>
      </c>
      <c r="R87" s="96" t="s">
        <v>21</v>
      </c>
      <c r="S87" s="76">
        <v>0</v>
      </c>
      <c r="T87" s="64">
        <f t="shared" si="6"/>
        <v>1.9259600183370838E-2</v>
      </c>
      <c r="V87" s="116">
        <v>1.1284124</v>
      </c>
      <c r="W87" s="108">
        <v>2.8329608900000003</v>
      </c>
      <c r="X87" s="108">
        <v>4.2984923199999994</v>
      </c>
      <c r="Y87" s="108">
        <v>5.52032466</v>
      </c>
      <c r="Z87" s="117">
        <v>6.9890461099999994</v>
      </c>
      <c r="AB87" s="74" t="s">
        <v>21</v>
      </c>
      <c r="AC87" s="76">
        <v>1.0745760430963975E-2</v>
      </c>
      <c r="AD87" s="76">
        <v>1.9259600183370838E-2</v>
      </c>
      <c r="AE87" s="76">
        <v>2.4033247725361841E-2</v>
      </c>
      <c r="AF87" s="64">
        <v>2.7891659254864681E-2</v>
      </c>
      <c r="AG87" s="76" t="s">
        <v>21</v>
      </c>
      <c r="AH87" s="76">
        <v>7.2246543309639737E-3</v>
      </c>
      <c r="AI87" s="76">
        <v>1.4729269083370836E-2</v>
      </c>
      <c r="AJ87" s="76">
        <v>1.8605929225361841E-2</v>
      </c>
      <c r="AK87" s="76">
        <v>2.1189726054864685E-2</v>
      </c>
    </row>
    <row r="88" spans="2:37" x14ac:dyDescent="0.35">
      <c r="B88" s="57" t="s">
        <v>74</v>
      </c>
      <c r="C88" s="67" t="s">
        <v>61</v>
      </c>
      <c r="D88" s="67" t="s">
        <v>69</v>
      </c>
      <c r="E88" s="67" t="s">
        <v>314</v>
      </c>
      <c r="F88" s="74" t="str">
        <f t="shared" si="4"/>
        <v/>
      </c>
      <c r="G88" s="76">
        <f t="shared" si="4"/>
        <v>7.7141757228242954E-3</v>
      </c>
      <c r="H88" s="76">
        <f t="shared" si="4"/>
        <v>1.3584562324725186E-2</v>
      </c>
      <c r="I88" s="76">
        <f t="shared" si="4"/>
        <v>1.6884495346250233E-2</v>
      </c>
      <c r="J88" s="64">
        <f t="shared" si="4"/>
        <v>2.0011465179782802E-2</v>
      </c>
      <c r="K88" s="74" t="str">
        <f t="shared" si="5"/>
        <v/>
      </c>
      <c r="L88" s="76">
        <f t="shared" si="5"/>
        <v>4.0611028228242918E-3</v>
      </c>
      <c r="M88" s="76">
        <f t="shared" si="5"/>
        <v>8.9141393247251944E-3</v>
      </c>
      <c r="N88" s="76">
        <f t="shared" si="5"/>
        <v>1.1346427146250233E-2</v>
      </c>
      <c r="O88" s="64">
        <f t="shared" si="5"/>
        <v>1.3202091979782804E-2</v>
      </c>
      <c r="P88" s="57" t="s">
        <v>21</v>
      </c>
      <c r="Q88" s="67" t="s">
        <v>21</v>
      </c>
      <c r="R88" s="96" t="s">
        <v>21</v>
      </c>
      <c r="S88" s="76">
        <v>0</v>
      </c>
      <c r="T88" s="64">
        <f t="shared" si="6"/>
        <v>1.3584562324725186E-2</v>
      </c>
      <c r="V88" s="118">
        <v>1.1273625700000001</v>
      </c>
      <c r="W88" s="61">
        <v>2.8380440199999999</v>
      </c>
      <c r="X88" s="61">
        <v>4.3315461700000002</v>
      </c>
      <c r="Y88" s="61">
        <v>5.6018169800000006</v>
      </c>
      <c r="Z88" s="119">
        <v>7.15946806</v>
      </c>
      <c r="AB88" s="74" t="s">
        <v>21</v>
      </c>
      <c r="AC88" s="76">
        <v>7.7141757228242954E-3</v>
      </c>
      <c r="AD88" s="76">
        <v>1.3584562324725186E-2</v>
      </c>
      <c r="AE88" s="76">
        <v>1.6884495346250233E-2</v>
      </c>
      <c r="AF88" s="64">
        <v>2.0011465179782802E-2</v>
      </c>
      <c r="AG88" s="76" t="s">
        <v>21</v>
      </c>
      <c r="AH88" s="76">
        <v>4.0611028228242918E-3</v>
      </c>
      <c r="AI88" s="76">
        <v>8.9141393247251944E-3</v>
      </c>
      <c r="AJ88" s="76">
        <v>1.1346427146250233E-2</v>
      </c>
      <c r="AK88" s="76">
        <v>1.3202091979782804E-2</v>
      </c>
    </row>
    <row r="89" spans="2:37" x14ac:dyDescent="0.35">
      <c r="B89" s="55" t="s">
        <v>76</v>
      </c>
      <c r="C89" s="53" t="s">
        <v>65</v>
      </c>
      <c r="D89" s="53" t="s">
        <v>69</v>
      </c>
      <c r="E89" s="53" t="s">
        <v>34</v>
      </c>
      <c r="F89" s="73" t="str">
        <f t="shared" si="4"/>
        <v/>
      </c>
      <c r="G89" s="60">
        <f t="shared" si="4"/>
        <v>8.3771516557853316E-3</v>
      </c>
      <c r="H89" s="60">
        <f t="shared" si="4"/>
        <v>1.548960609598605E-2</v>
      </c>
      <c r="I89" s="60">
        <f t="shared" si="4"/>
        <v>1.9034935159750823E-2</v>
      </c>
      <c r="J89" s="63">
        <f t="shared" si="4"/>
        <v>2.2319786794412613E-2</v>
      </c>
      <c r="K89" s="73" t="str">
        <f t="shared" si="5"/>
        <v/>
      </c>
      <c r="L89" s="60">
        <f t="shared" si="5"/>
        <v>4.7591271557853301E-3</v>
      </c>
      <c r="M89" s="60">
        <f t="shared" si="5"/>
        <v>1.0878959195986049E-2</v>
      </c>
      <c r="N89" s="60">
        <f t="shared" si="5"/>
        <v>1.3548651059750822E-2</v>
      </c>
      <c r="O89" s="63">
        <f t="shared" si="5"/>
        <v>1.5567776294412614E-2</v>
      </c>
      <c r="P89" s="55" t="s">
        <v>21</v>
      </c>
      <c r="Q89" s="53" t="s">
        <v>21</v>
      </c>
      <c r="R89" s="94" t="s">
        <v>21</v>
      </c>
      <c r="S89" s="71">
        <v>0</v>
      </c>
      <c r="T89" s="63">
        <f t="shared" si="6"/>
        <v>1.548960609598605E-2</v>
      </c>
      <c r="V89" s="118">
        <v>1.1269641000000001</v>
      </c>
      <c r="W89" s="61">
        <v>2.83312309</v>
      </c>
      <c r="X89" s="61">
        <v>4.3065419499999997</v>
      </c>
      <c r="Y89" s="61">
        <v>5.5442569099999996</v>
      </c>
      <c r="Z89" s="119">
        <v>7.0421929499999996</v>
      </c>
      <c r="AB89" s="73" t="s">
        <v>21</v>
      </c>
      <c r="AC89" s="71">
        <v>8.3771516557853316E-3</v>
      </c>
      <c r="AD89" s="71">
        <v>1.548960609598605E-2</v>
      </c>
      <c r="AE89" s="71">
        <v>1.9034935159750823E-2</v>
      </c>
      <c r="AF89" s="63">
        <v>2.2319786794412613E-2</v>
      </c>
      <c r="AG89" s="71" t="s">
        <v>21</v>
      </c>
      <c r="AH89" s="71">
        <v>4.7591271557853301E-3</v>
      </c>
      <c r="AI89" s="71">
        <v>1.0878959195986049E-2</v>
      </c>
      <c r="AJ89" s="71">
        <v>1.3548651059750822E-2</v>
      </c>
      <c r="AK89" s="71">
        <v>1.5567776294412614E-2</v>
      </c>
    </row>
    <row r="90" spans="2:37" x14ac:dyDescent="0.35">
      <c r="B90" s="57" t="s">
        <v>76</v>
      </c>
      <c r="C90" s="67" t="s">
        <v>66</v>
      </c>
      <c r="D90" s="67" t="s">
        <v>69</v>
      </c>
      <c r="E90" s="67" t="s">
        <v>21</v>
      </c>
      <c r="F90" s="74">
        <f t="shared" ref="F90:J110" si="11">IF(ISNUMBER(AB90),AB90-((C$4-C$3)/V90),"")</f>
        <v>6.1840491163522686E-4</v>
      </c>
      <c r="G90" s="76">
        <f t="shared" si="11"/>
        <v>1.1971979516084438E-2</v>
      </c>
      <c r="H90" s="76">
        <f t="shared" si="11"/>
        <v>2.1456115649900083E-2</v>
      </c>
      <c r="I90" s="76">
        <f t="shared" si="11"/>
        <v>2.6435275976642952E-2</v>
      </c>
      <c r="J90" s="64">
        <f t="shared" si="11"/>
        <v>3.0123903807398135E-2</v>
      </c>
      <c r="K90" s="74" t="str">
        <f t="shared" ref="K90:O110" si="12">IF(ISNUMBER(AG90),IF(AG90-((C$4-C$3)/V90)&lt;0,"",AG90-((C$4-C$3)/V90)),"")</f>
        <v/>
      </c>
      <c r="L90" s="76">
        <f t="shared" si="12"/>
        <v>8.4810286160844402E-3</v>
      </c>
      <c r="M90" s="76">
        <f t="shared" si="12"/>
        <v>1.6932953049900085E-2</v>
      </c>
      <c r="N90" s="76">
        <f t="shared" si="12"/>
        <v>2.0996940976642953E-2</v>
      </c>
      <c r="O90" s="64">
        <f t="shared" si="12"/>
        <v>2.3413746407398135E-2</v>
      </c>
      <c r="P90" s="57" t="s">
        <v>21</v>
      </c>
      <c r="Q90" s="67" t="s">
        <v>21</v>
      </c>
      <c r="R90" s="96" t="s">
        <v>21</v>
      </c>
      <c r="S90" s="76">
        <v>0</v>
      </c>
      <c r="T90" s="64">
        <f t="shared" si="6"/>
        <v>2.1456115649900083E-2</v>
      </c>
      <c r="V90" s="116">
        <v>1.1268544999999999</v>
      </c>
      <c r="W90" s="108">
        <v>2.82434597</v>
      </c>
      <c r="X90" s="108">
        <v>4.2714578000000003</v>
      </c>
      <c r="Y90" s="108">
        <v>5.4667594600000005</v>
      </c>
      <c r="Z90" s="117">
        <v>6.8931666000000007</v>
      </c>
      <c r="AB90" s="74">
        <v>6.1840491163522686E-4</v>
      </c>
      <c r="AC90" s="76">
        <v>1.1971979516084438E-2</v>
      </c>
      <c r="AD90" s="76">
        <v>2.1456115649900083E-2</v>
      </c>
      <c r="AE90" s="76">
        <v>2.6435275976642952E-2</v>
      </c>
      <c r="AF90" s="64">
        <v>3.0123903807398135E-2</v>
      </c>
      <c r="AG90" s="76" t="s">
        <v>21</v>
      </c>
      <c r="AH90" s="76">
        <v>8.4810286160844402E-3</v>
      </c>
      <c r="AI90" s="76">
        <v>1.6932953049900085E-2</v>
      </c>
      <c r="AJ90" s="76">
        <v>2.0996940976642953E-2</v>
      </c>
      <c r="AK90" s="76">
        <v>2.3413746407398135E-2</v>
      </c>
    </row>
    <row r="91" spans="2:37" x14ac:dyDescent="0.35">
      <c r="B91" s="55" t="s">
        <v>77</v>
      </c>
      <c r="C91" s="53" t="s">
        <v>61</v>
      </c>
      <c r="D91" s="53" t="s">
        <v>69</v>
      </c>
      <c r="E91" s="53" t="s">
        <v>21</v>
      </c>
      <c r="F91" s="73" t="str">
        <f t="shared" si="11"/>
        <v/>
      </c>
      <c r="G91" s="60">
        <f t="shared" si="11"/>
        <v>6.5266676107189701E-3</v>
      </c>
      <c r="H91" s="60">
        <f t="shared" si="11"/>
        <v>1.1601164480699712E-2</v>
      </c>
      <c r="I91" s="60">
        <f t="shared" si="11"/>
        <v>1.4544963266149607E-2</v>
      </c>
      <c r="J91" s="63">
        <f t="shared" si="11"/>
        <v>1.7101443318082093E-2</v>
      </c>
      <c r="K91" s="73" t="str">
        <f t="shared" si="12"/>
        <v/>
      </c>
      <c r="L91" s="60">
        <f t="shared" si="12"/>
        <v>2.7928311107189691E-3</v>
      </c>
      <c r="M91" s="60">
        <f t="shared" si="12"/>
        <v>6.827737680699714E-3</v>
      </c>
      <c r="N91" s="60">
        <f t="shared" si="12"/>
        <v>8.9054296661496071E-3</v>
      </c>
      <c r="O91" s="63">
        <f t="shared" si="12"/>
        <v>1.0164311218082098E-2</v>
      </c>
      <c r="P91" s="55" t="s">
        <v>21</v>
      </c>
      <c r="Q91" s="53" t="s">
        <v>21</v>
      </c>
      <c r="R91" s="94" t="s">
        <v>21</v>
      </c>
      <c r="S91" s="71">
        <v>0</v>
      </c>
      <c r="T91" s="63">
        <f t="shared" si="6"/>
        <v>1.1601164480699712E-2</v>
      </c>
      <c r="V91" s="118">
        <v>1.1287714100000001</v>
      </c>
      <c r="W91" s="61">
        <v>2.8481849100000001</v>
      </c>
      <c r="X91" s="61">
        <v>4.3641602699999993</v>
      </c>
      <c r="Y91" s="61">
        <v>5.6701590299999998</v>
      </c>
      <c r="Z91" s="119">
        <v>7.3027586099999997</v>
      </c>
      <c r="AB91" s="73" t="s">
        <v>21</v>
      </c>
      <c r="AC91" s="71">
        <v>6.5266676107189701E-3</v>
      </c>
      <c r="AD91" s="71">
        <v>1.1601164480699712E-2</v>
      </c>
      <c r="AE91" s="71">
        <v>1.4544963266149607E-2</v>
      </c>
      <c r="AF91" s="63">
        <v>1.7101443318082093E-2</v>
      </c>
      <c r="AG91" s="71" t="s">
        <v>21</v>
      </c>
      <c r="AH91" s="71">
        <v>2.7928311107189691E-3</v>
      </c>
      <c r="AI91" s="71">
        <v>6.827737680699714E-3</v>
      </c>
      <c r="AJ91" s="71">
        <v>8.9054296661496071E-3</v>
      </c>
      <c r="AK91" s="71">
        <v>1.0164311218082098E-2</v>
      </c>
    </row>
    <row r="92" spans="2:37" x14ac:dyDescent="0.35">
      <c r="B92" s="57" t="s">
        <v>77</v>
      </c>
      <c r="C92" s="67" t="s">
        <v>63</v>
      </c>
      <c r="D92" s="67" t="s">
        <v>69</v>
      </c>
      <c r="E92" s="67" t="s">
        <v>21</v>
      </c>
      <c r="F92" s="74">
        <f t="shared" si="11"/>
        <v>4.4405401494055936E-4</v>
      </c>
      <c r="G92" s="76">
        <f t="shared" si="11"/>
        <v>8.9897610389238092E-3</v>
      </c>
      <c r="H92" s="76">
        <f t="shared" si="11"/>
        <v>1.5197491572480154E-2</v>
      </c>
      <c r="I92" s="76">
        <f t="shared" si="11"/>
        <v>1.8220647393800939E-2</v>
      </c>
      <c r="J92" s="64">
        <f t="shared" si="11"/>
        <v>2.0727890815370232E-2</v>
      </c>
      <c r="K92" s="74" t="str">
        <f t="shared" si="12"/>
        <v/>
      </c>
      <c r="L92" s="76">
        <f t="shared" si="12"/>
        <v>5.407737438923808E-3</v>
      </c>
      <c r="M92" s="76">
        <f t="shared" si="12"/>
        <v>1.0594832772480151E-2</v>
      </c>
      <c r="N92" s="76">
        <f t="shared" si="12"/>
        <v>1.2731746193800939E-2</v>
      </c>
      <c r="O92" s="64">
        <f t="shared" si="12"/>
        <v>1.3936838015370229E-2</v>
      </c>
      <c r="P92" s="57" t="s">
        <v>21</v>
      </c>
      <c r="Q92" s="67" t="s">
        <v>21</v>
      </c>
      <c r="R92" s="96" t="s">
        <v>21</v>
      </c>
      <c r="S92" s="76">
        <v>0</v>
      </c>
      <c r="T92" s="64">
        <f t="shared" si="6"/>
        <v>1.5197491572480154E-2</v>
      </c>
      <c r="V92" s="116">
        <v>1.1272319500000001</v>
      </c>
      <c r="W92" s="108">
        <v>2.8390056299999999</v>
      </c>
      <c r="X92" s="108">
        <v>4.3372239700000002</v>
      </c>
      <c r="Y92" s="108">
        <v>5.62217286</v>
      </c>
      <c r="Z92" s="117">
        <v>7.2253710299999998</v>
      </c>
      <c r="AB92" s="74">
        <v>4.4405401494055936E-4</v>
      </c>
      <c r="AC92" s="76">
        <v>8.9897610389238092E-3</v>
      </c>
      <c r="AD92" s="76">
        <v>1.5197491572480154E-2</v>
      </c>
      <c r="AE92" s="76">
        <v>1.8220647393800939E-2</v>
      </c>
      <c r="AF92" s="64">
        <v>2.0727890815370232E-2</v>
      </c>
      <c r="AG92" s="76" t="s">
        <v>21</v>
      </c>
      <c r="AH92" s="76">
        <v>5.407737438923808E-3</v>
      </c>
      <c r="AI92" s="76">
        <v>1.0594832772480151E-2</v>
      </c>
      <c r="AJ92" s="76">
        <v>1.2731746193800939E-2</v>
      </c>
      <c r="AK92" s="76">
        <v>1.3936838015370229E-2</v>
      </c>
    </row>
    <row r="93" spans="2:37" x14ac:dyDescent="0.35">
      <c r="B93" s="55" t="s">
        <v>78</v>
      </c>
      <c r="C93" s="53" t="s">
        <v>65</v>
      </c>
      <c r="D93" s="53" t="s">
        <v>69</v>
      </c>
      <c r="E93" s="53" t="s">
        <v>79</v>
      </c>
      <c r="F93" s="73" t="str">
        <f t="shared" si="11"/>
        <v/>
      </c>
      <c r="G93" s="60">
        <f t="shared" si="11"/>
        <v>7.7300965973909636E-3</v>
      </c>
      <c r="H93" s="60">
        <f t="shared" si="11"/>
        <v>1.4564493824778518E-2</v>
      </c>
      <c r="I93" s="60">
        <f t="shared" si="11"/>
        <v>1.8051679323896379E-2</v>
      </c>
      <c r="J93" s="63">
        <f t="shared" si="11"/>
        <v>2.1497714624126238E-2</v>
      </c>
      <c r="K93" s="73" t="str">
        <f t="shared" si="12"/>
        <v/>
      </c>
      <c r="L93" s="60">
        <f t="shared" si="12"/>
        <v>4.0775991973909641E-3</v>
      </c>
      <c r="M93" s="60">
        <f t="shared" si="12"/>
        <v>9.9284890247785182E-3</v>
      </c>
      <c r="N93" s="60">
        <f t="shared" si="12"/>
        <v>1.2546562323896379E-2</v>
      </c>
      <c r="O93" s="63">
        <f t="shared" si="12"/>
        <v>1.4729222124126241E-2</v>
      </c>
      <c r="P93" s="55" t="s">
        <v>21</v>
      </c>
      <c r="Q93" s="53" t="s">
        <v>21</v>
      </c>
      <c r="R93" s="94" t="s">
        <v>21</v>
      </c>
      <c r="S93" s="71">
        <v>0</v>
      </c>
      <c r="T93" s="63">
        <f t="shared" si="6"/>
        <v>1.4564493824778518E-2</v>
      </c>
      <c r="V93" s="118">
        <v>1.1285671400000001</v>
      </c>
      <c r="W93" s="61">
        <v>2.84017951</v>
      </c>
      <c r="X93" s="61">
        <v>4.3241904299999998</v>
      </c>
      <c r="Y93" s="61">
        <v>5.5767758600000006</v>
      </c>
      <c r="Z93" s="119">
        <v>7.0970313500000008</v>
      </c>
      <c r="AB93" s="73" t="s">
        <v>21</v>
      </c>
      <c r="AC93" s="71">
        <v>7.7300965973909636E-3</v>
      </c>
      <c r="AD93" s="71">
        <v>1.4564493824778518E-2</v>
      </c>
      <c r="AE93" s="71">
        <v>1.8051679323896379E-2</v>
      </c>
      <c r="AF93" s="63">
        <v>2.1497714624126238E-2</v>
      </c>
      <c r="AG93" s="71" t="s">
        <v>21</v>
      </c>
      <c r="AH93" s="71">
        <v>4.0775991973909641E-3</v>
      </c>
      <c r="AI93" s="71">
        <v>9.9284890247785182E-3</v>
      </c>
      <c r="AJ93" s="71">
        <v>1.2546562323896379E-2</v>
      </c>
      <c r="AK93" s="71">
        <v>1.4729222124126241E-2</v>
      </c>
    </row>
    <row r="94" spans="2:37" x14ac:dyDescent="0.35">
      <c r="B94" s="57" t="s">
        <v>78</v>
      </c>
      <c r="C94" s="67" t="s">
        <v>66</v>
      </c>
      <c r="D94" s="67" t="s">
        <v>69</v>
      </c>
      <c r="E94" s="67" t="s">
        <v>133</v>
      </c>
      <c r="F94" s="74">
        <f t="shared" si="11"/>
        <v>1.4049624109020373E-4</v>
      </c>
      <c r="G94" s="76">
        <f t="shared" si="11"/>
        <v>1.1743860520194539E-2</v>
      </c>
      <c r="H94" s="76">
        <f t="shared" si="11"/>
        <v>2.1288118038350595E-2</v>
      </c>
      <c r="I94" s="76">
        <f t="shared" si="11"/>
        <v>2.6262883857538472E-2</v>
      </c>
      <c r="J94" s="64">
        <f t="shared" si="11"/>
        <v>3.0332376256439138E-2</v>
      </c>
      <c r="K94" s="74" t="str">
        <f t="shared" si="12"/>
        <v/>
      </c>
      <c r="L94" s="76">
        <f t="shared" si="12"/>
        <v>8.2454879201945414E-3</v>
      </c>
      <c r="M94" s="76">
        <f t="shared" si="12"/>
        <v>1.6762733838350596E-2</v>
      </c>
      <c r="N94" s="76">
        <f t="shared" si="12"/>
        <v>2.082415105753847E-2</v>
      </c>
      <c r="O94" s="64">
        <f t="shared" si="12"/>
        <v>2.361777535643915E-2</v>
      </c>
      <c r="P94" s="57" t="s">
        <v>21</v>
      </c>
      <c r="Q94" s="67" t="s">
        <v>21</v>
      </c>
      <c r="R94" s="96" t="s">
        <v>21</v>
      </c>
      <c r="S94" s="76">
        <v>0</v>
      </c>
      <c r="T94" s="64">
        <f t="shared" si="6"/>
        <v>2.1288118038350595E-2</v>
      </c>
      <c r="V94" s="116">
        <v>1.12774916</v>
      </c>
      <c r="W94" s="108">
        <v>2.8270765300000003</v>
      </c>
      <c r="X94" s="108">
        <v>4.2759220100000004</v>
      </c>
      <c r="Y94" s="108">
        <v>5.4731437600000001</v>
      </c>
      <c r="Z94" s="117">
        <v>6.8973879200000008</v>
      </c>
      <c r="AB94" s="74">
        <v>1.4049624109020373E-4</v>
      </c>
      <c r="AC94" s="76">
        <v>1.1743860520194539E-2</v>
      </c>
      <c r="AD94" s="76">
        <v>2.1288118038350595E-2</v>
      </c>
      <c r="AE94" s="76">
        <v>2.6262883857538472E-2</v>
      </c>
      <c r="AF94" s="64">
        <v>3.0332376256439138E-2</v>
      </c>
      <c r="AG94" s="76" t="s">
        <v>21</v>
      </c>
      <c r="AH94" s="76">
        <v>8.2454879201945414E-3</v>
      </c>
      <c r="AI94" s="76">
        <v>1.6762733838350596E-2</v>
      </c>
      <c r="AJ94" s="76">
        <v>2.082415105753847E-2</v>
      </c>
      <c r="AK94" s="76">
        <v>2.361777535643915E-2</v>
      </c>
    </row>
    <row r="95" spans="2:37" x14ac:dyDescent="0.35">
      <c r="B95" s="55" t="s">
        <v>80</v>
      </c>
      <c r="C95" s="53" t="s">
        <v>61</v>
      </c>
      <c r="D95" s="53" t="s">
        <v>69</v>
      </c>
      <c r="E95" s="53" t="s">
        <v>21</v>
      </c>
      <c r="F95" s="73" t="str">
        <f t="shared" si="11"/>
        <v/>
      </c>
      <c r="G95" s="60">
        <f t="shared" si="11"/>
        <v>6.2049156616019157E-3</v>
      </c>
      <c r="H95" s="71">
        <f t="shared" si="11"/>
        <v>1.2031708329868379E-2</v>
      </c>
      <c r="I95" s="71">
        <f t="shared" si="11"/>
        <v>1.4893213760405612E-2</v>
      </c>
      <c r="J95" s="63">
        <f t="shared" si="11"/>
        <v>1.7847880423971042E-2</v>
      </c>
      <c r="K95" s="73" t="str">
        <f t="shared" si="12"/>
        <v/>
      </c>
      <c r="L95" s="60">
        <f t="shared" si="12"/>
        <v>2.4447060616019172E-3</v>
      </c>
      <c r="M95" s="71">
        <f t="shared" si="12"/>
        <v>7.2836732298683839E-3</v>
      </c>
      <c r="N95" s="71">
        <f t="shared" si="12"/>
        <v>9.2739221604056128E-3</v>
      </c>
      <c r="O95" s="63">
        <f t="shared" si="12"/>
        <v>1.0950786623971042E-2</v>
      </c>
      <c r="P95" s="55" t="s">
        <v>21</v>
      </c>
      <c r="Q95" s="53" t="s">
        <v>21</v>
      </c>
      <c r="R95" s="94" t="s">
        <v>21</v>
      </c>
      <c r="S95" s="71">
        <v>0</v>
      </c>
      <c r="T95" s="63">
        <f t="shared" si="6"/>
        <v>1.2031708329868379E-2</v>
      </c>
      <c r="V95" s="118">
        <v>1.1296297900000001</v>
      </c>
      <c r="W95" s="61">
        <v>2.8518197399999998</v>
      </c>
      <c r="X95" s="61">
        <v>4.3644487000000005</v>
      </c>
      <c r="Y95" s="61">
        <v>5.6644968100000002</v>
      </c>
      <c r="Z95" s="119">
        <v>7.27939282</v>
      </c>
      <c r="AB95" s="73" t="s">
        <v>21</v>
      </c>
      <c r="AC95" s="71">
        <v>6.2049156616019157E-3</v>
      </c>
      <c r="AD95" s="71">
        <v>1.2031708329868379E-2</v>
      </c>
      <c r="AE95" s="71">
        <v>1.4893213760405612E-2</v>
      </c>
      <c r="AF95" s="63">
        <v>1.7847880423971042E-2</v>
      </c>
      <c r="AG95" s="71" t="s">
        <v>21</v>
      </c>
      <c r="AH95" s="71">
        <v>2.4447060616019172E-3</v>
      </c>
      <c r="AI95" s="71">
        <v>7.2836732298683839E-3</v>
      </c>
      <c r="AJ95" s="71">
        <v>9.2739221604056128E-3</v>
      </c>
      <c r="AK95" s="71">
        <v>1.0950786623971042E-2</v>
      </c>
    </row>
    <row r="96" spans="2:37" x14ac:dyDescent="0.35">
      <c r="B96" s="55" t="s">
        <v>80</v>
      </c>
      <c r="C96" s="53" t="s">
        <v>63</v>
      </c>
      <c r="D96" s="53" t="s">
        <v>69</v>
      </c>
      <c r="E96" s="53" t="s">
        <v>36</v>
      </c>
      <c r="F96" s="73">
        <f t="shared" si="11"/>
        <v>3.0479660586467741E-4</v>
      </c>
      <c r="G96" s="60">
        <f t="shared" si="11"/>
        <v>9.1219224871130645E-3</v>
      </c>
      <c r="H96" s="71">
        <f t="shared" si="11"/>
        <v>1.5258509754963208E-2</v>
      </c>
      <c r="I96" s="71">
        <f t="shared" si="11"/>
        <v>1.8894774563680855E-2</v>
      </c>
      <c r="J96" s="63">
        <f t="shared" si="11"/>
        <v>2.2250771388042569E-2</v>
      </c>
      <c r="K96" s="73" t="str">
        <f t="shared" si="12"/>
        <v/>
      </c>
      <c r="L96" s="60">
        <f t="shared" si="12"/>
        <v>5.5455310871130679E-3</v>
      </c>
      <c r="M96" s="71">
        <f t="shared" si="12"/>
        <v>1.0657446754963208E-2</v>
      </c>
      <c r="N96" s="71">
        <f t="shared" si="12"/>
        <v>1.3420327263680854E-2</v>
      </c>
      <c r="O96" s="63">
        <f t="shared" si="12"/>
        <v>1.5495359188042571E-2</v>
      </c>
      <c r="P96" s="55" t="s">
        <v>21</v>
      </c>
      <c r="Q96" s="53" t="s">
        <v>21</v>
      </c>
      <c r="R96" s="94" t="s">
        <v>21</v>
      </c>
      <c r="S96" s="71">
        <v>0</v>
      </c>
      <c r="T96" s="63">
        <f t="shared" si="6"/>
        <v>1.5258509754963208E-2</v>
      </c>
      <c r="V96" s="116">
        <v>1.1274397899999999</v>
      </c>
      <c r="W96" s="108">
        <v>2.83874074</v>
      </c>
      <c r="X96" s="108">
        <v>4.33718877</v>
      </c>
      <c r="Y96" s="108">
        <v>5.6156781499999999</v>
      </c>
      <c r="Z96" s="117">
        <v>7.1923703100000003</v>
      </c>
      <c r="AB96" s="73">
        <v>3.0479660586467741E-4</v>
      </c>
      <c r="AC96" s="71">
        <v>9.1219224871130645E-3</v>
      </c>
      <c r="AD96" s="71">
        <v>1.5258509754963208E-2</v>
      </c>
      <c r="AE96" s="71">
        <v>1.8894774563680855E-2</v>
      </c>
      <c r="AF96" s="63">
        <v>2.2250771388042569E-2</v>
      </c>
      <c r="AG96" s="71" t="s">
        <v>21</v>
      </c>
      <c r="AH96" s="71">
        <v>5.5455310871130679E-3</v>
      </c>
      <c r="AI96" s="71">
        <v>1.0657446754963208E-2</v>
      </c>
      <c r="AJ96" s="71">
        <v>1.3420327263680854E-2</v>
      </c>
      <c r="AK96" s="71">
        <v>1.5495359188042571E-2</v>
      </c>
    </row>
    <row r="97" spans="2:37" x14ac:dyDescent="0.35">
      <c r="B97" s="56" t="s">
        <v>82</v>
      </c>
      <c r="C97" s="66" t="s">
        <v>65</v>
      </c>
      <c r="D97" s="66" t="s">
        <v>69</v>
      </c>
      <c r="E97" s="66" t="s">
        <v>34</v>
      </c>
      <c r="F97" s="75" t="str">
        <f t="shared" si="11"/>
        <v/>
      </c>
      <c r="G97" s="80">
        <f t="shared" si="11"/>
        <v>8.3368791771348365E-3</v>
      </c>
      <c r="H97" s="80">
        <f t="shared" si="11"/>
        <v>1.5551810254375954E-2</v>
      </c>
      <c r="I97" s="80">
        <f t="shared" si="11"/>
        <v>1.9090054636689724E-2</v>
      </c>
      <c r="J97" s="62">
        <f t="shared" si="11"/>
        <v>2.2420851562575221E-2</v>
      </c>
      <c r="K97" s="75" t="str">
        <f t="shared" si="12"/>
        <v/>
      </c>
      <c r="L97" s="80">
        <f t="shared" si="12"/>
        <v>4.716371577134836E-3</v>
      </c>
      <c r="M97" s="80">
        <f t="shared" si="12"/>
        <v>1.0942510254375953E-2</v>
      </c>
      <c r="N97" s="80">
        <f t="shared" si="12"/>
        <v>1.3604982336689726E-2</v>
      </c>
      <c r="O97" s="62">
        <f t="shared" si="12"/>
        <v>1.5670794362575222E-2</v>
      </c>
      <c r="P97" s="56" t="s">
        <v>21</v>
      </c>
      <c r="Q97" s="66" t="s">
        <v>21</v>
      </c>
      <c r="R97" s="100" t="s">
        <v>21</v>
      </c>
      <c r="S97" s="80">
        <v>0</v>
      </c>
      <c r="T97" s="62">
        <f t="shared" si="6"/>
        <v>1.5551810254375954E-2</v>
      </c>
      <c r="V97" s="114">
        <v>1.12776444</v>
      </c>
      <c r="W97" s="72">
        <v>2.8348666200000001</v>
      </c>
      <c r="X97" s="72">
        <v>4.3078183299999999</v>
      </c>
      <c r="Y97" s="72">
        <v>5.5446519499999996</v>
      </c>
      <c r="Z97" s="115">
        <v>7.04025414</v>
      </c>
      <c r="AB97" s="75" t="s">
        <v>21</v>
      </c>
      <c r="AC97" s="80">
        <v>8.3368791771348365E-3</v>
      </c>
      <c r="AD97" s="80">
        <v>1.5551810254375954E-2</v>
      </c>
      <c r="AE97" s="80">
        <v>1.9090054636689724E-2</v>
      </c>
      <c r="AF97" s="62">
        <v>2.2420851562575221E-2</v>
      </c>
      <c r="AG97" s="80" t="s">
        <v>21</v>
      </c>
      <c r="AH97" s="80">
        <v>4.716371577134836E-3</v>
      </c>
      <c r="AI97" s="80">
        <v>1.0942510254375953E-2</v>
      </c>
      <c r="AJ97" s="80">
        <v>1.3604982336689726E-2</v>
      </c>
      <c r="AK97" s="80">
        <v>1.5670794362575222E-2</v>
      </c>
    </row>
    <row r="98" spans="2:37" x14ac:dyDescent="0.35">
      <c r="B98" s="57" t="s">
        <v>82</v>
      </c>
      <c r="C98" s="67" t="s">
        <v>66</v>
      </c>
      <c r="D98" s="67" t="s">
        <v>69</v>
      </c>
      <c r="E98" s="67" t="s">
        <v>21</v>
      </c>
      <c r="F98" s="74">
        <f t="shared" si="11"/>
        <v>1.9646237144803694E-4</v>
      </c>
      <c r="G98" s="76">
        <f t="shared" si="11"/>
        <v>1.20617140297739E-2</v>
      </c>
      <c r="H98" s="76">
        <f t="shared" si="11"/>
        <v>2.1568295280288158E-2</v>
      </c>
      <c r="I98" s="76">
        <f t="shared" si="11"/>
        <v>2.6637069930435523E-2</v>
      </c>
      <c r="J98" s="64">
        <f t="shared" si="11"/>
        <v>3.0702847162955706E-2</v>
      </c>
      <c r="K98" s="74" t="str">
        <f t="shared" si="12"/>
        <v/>
      </c>
      <c r="L98" s="76">
        <f t="shared" si="12"/>
        <v>8.570455529773903E-3</v>
      </c>
      <c r="M98" s="76">
        <f t="shared" si="12"/>
        <v>1.7043586380288158E-2</v>
      </c>
      <c r="N98" s="76">
        <f t="shared" si="12"/>
        <v>2.119570703043552E-2</v>
      </c>
      <c r="O98" s="64">
        <f t="shared" si="12"/>
        <v>2.3985624362955701E-2</v>
      </c>
      <c r="P98" s="57" t="s">
        <v>21</v>
      </c>
      <c r="Q98" s="67" t="s">
        <v>21</v>
      </c>
      <c r="R98" s="96" t="s">
        <v>21</v>
      </c>
      <c r="S98" s="76">
        <v>0</v>
      </c>
      <c r="T98" s="64">
        <f t="shared" si="6"/>
        <v>2.1568295280288158E-2</v>
      </c>
      <c r="V98" s="114">
        <v>1.1276241</v>
      </c>
      <c r="W98" s="72">
        <v>2.82535186</v>
      </c>
      <c r="X98" s="72">
        <v>4.2715359900000003</v>
      </c>
      <c r="Y98" s="72">
        <v>5.4648167900000004</v>
      </c>
      <c r="Z98" s="115">
        <v>6.8822310799999995</v>
      </c>
      <c r="AB98" s="74">
        <v>1.9646237144803694E-4</v>
      </c>
      <c r="AC98" s="76">
        <v>1.20617140297739E-2</v>
      </c>
      <c r="AD98" s="76">
        <v>2.1568295280288158E-2</v>
      </c>
      <c r="AE98" s="76">
        <v>2.6637069930435523E-2</v>
      </c>
      <c r="AF98" s="64">
        <v>3.0702847162955706E-2</v>
      </c>
      <c r="AG98" s="76" t="s">
        <v>21</v>
      </c>
      <c r="AH98" s="76">
        <v>8.570455529773903E-3</v>
      </c>
      <c r="AI98" s="76">
        <v>1.7043586380288158E-2</v>
      </c>
      <c r="AJ98" s="76">
        <v>2.119570703043552E-2</v>
      </c>
      <c r="AK98" s="76">
        <v>2.3985624362955701E-2</v>
      </c>
    </row>
    <row r="99" spans="2:37" x14ac:dyDescent="0.35">
      <c r="B99" s="79" t="s">
        <v>452</v>
      </c>
      <c r="C99" s="78"/>
      <c r="D99" s="78"/>
      <c r="E99" s="78"/>
      <c r="F99" s="78" t="str">
        <f t="shared" si="11"/>
        <v/>
      </c>
      <c r="G99" s="78" t="str">
        <f t="shared" si="11"/>
        <v/>
      </c>
      <c r="H99" s="78" t="str">
        <f t="shared" si="11"/>
        <v/>
      </c>
      <c r="I99" s="78" t="str">
        <f t="shared" si="11"/>
        <v/>
      </c>
      <c r="J99" s="78" t="str">
        <f t="shared" si="11"/>
        <v/>
      </c>
      <c r="K99" s="78" t="str">
        <f t="shared" si="12"/>
        <v/>
      </c>
      <c r="L99" s="78" t="str">
        <f t="shared" si="12"/>
        <v/>
      </c>
      <c r="M99" s="78" t="str">
        <f t="shared" si="12"/>
        <v/>
      </c>
      <c r="N99" s="78" t="str">
        <f t="shared" si="12"/>
        <v/>
      </c>
      <c r="O99" s="77" t="str">
        <f t="shared" si="12"/>
        <v/>
      </c>
      <c r="P99" s="79"/>
      <c r="Q99" s="78"/>
      <c r="R99" s="95"/>
      <c r="S99" s="78"/>
      <c r="T99" s="77" t="str">
        <f t="shared" si="6"/>
        <v/>
      </c>
      <c r="V99" s="112"/>
      <c r="W99" s="107"/>
      <c r="X99" s="107"/>
      <c r="Y99" s="107"/>
      <c r="Z99" s="113"/>
      <c r="AB99" s="78"/>
      <c r="AC99" s="78"/>
      <c r="AD99" s="78"/>
      <c r="AE99" s="78"/>
      <c r="AF99" s="78"/>
      <c r="AG99" s="78"/>
      <c r="AH99" s="78"/>
      <c r="AI99" s="78"/>
      <c r="AJ99" s="78"/>
      <c r="AK99" s="78"/>
    </row>
    <row r="100" spans="2:37" x14ac:dyDescent="0.35">
      <c r="B100" s="55" t="s">
        <v>84</v>
      </c>
      <c r="C100" s="53" t="s">
        <v>85</v>
      </c>
      <c r="D100" s="53" t="s">
        <v>20</v>
      </c>
      <c r="E100" s="53" t="s">
        <v>453</v>
      </c>
      <c r="F100" s="73">
        <f t="shared" si="11"/>
        <v>4.6543288082614726E-4</v>
      </c>
      <c r="G100" s="60">
        <f t="shared" si="11"/>
        <v>8.4392283376957811E-3</v>
      </c>
      <c r="H100" s="71">
        <f t="shared" si="11"/>
        <v>1.4268820581348176E-2</v>
      </c>
      <c r="I100" s="71">
        <f t="shared" si="11"/>
        <v>1.7242879450854467E-2</v>
      </c>
      <c r="J100" s="63">
        <f t="shared" si="11"/>
        <v>2.0003428057421311E-2</v>
      </c>
      <c r="K100" s="73" t="str">
        <f t="shared" si="12"/>
        <v/>
      </c>
      <c r="L100" s="60">
        <f t="shared" si="12"/>
        <v>4.8243724376957793E-3</v>
      </c>
      <c r="M100" s="71">
        <f t="shared" si="12"/>
        <v>9.6231089813481763E-3</v>
      </c>
      <c r="N100" s="71">
        <f t="shared" si="12"/>
        <v>1.1716461850854464E-2</v>
      </c>
      <c r="O100" s="63">
        <f t="shared" si="12"/>
        <v>1.319539565742131E-2</v>
      </c>
      <c r="P100" s="55" t="s">
        <v>21</v>
      </c>
      <c r="Q100" s="53" t="s">
        <v>21</v>
      </c>
      <c r="R100" s="94" t="s">
        <v>21</v>
      </c>
      <c r="S100" s="71">
        <v>0</v>
      </c>
      <c r="T100" s="63">
        <f t="shared" si="6"/>
        <v>1.4268820581348176E-2</v>
      </c>
      <c r="V100" s="114">
        <v>1.1251874099999999</v>
      </c>
      <c r="W100" s="72">
        <v>2.8293890499999996</v>
      </c>
      <c r="X100" s="72">
        <v>4.3155533400000001</v>
      </c>
      <c r="Y100" s="72">
        <v>5.5786127700000003</v>
      </c>
      <c r="Z100" s="115">
        <v>7.1332830599999992</v>
      </c>
      <c r="AB100" s="73">
        <v>4.6543288082614726E-4</v>
      </c>
      <c r="AC100" s="71">
        <v>8.4392283376957811E-3</v>
      </c>
      <c r="AD100" s="71">
        <v>1.4268820581348176E-2</v>
      </c>
      <c r="AE100" s="71">
        <v>1.7242879450854467E-2</v>
      </c>
      <c r="AF100" s="63">
        <v>2.0003428057421311E-2</v>
      </c>
      <c r="AG100" s="71" t="s">
        <v>21</v>
      </c>
      <c r="AH100" s="71">
        <v>4.8243724376957793E-3</v>
      </c>
      <c r="AI100" s="71">
        <v>9.6231089813481763E-3</v>
      </c>
      <c r="AJ100" s="71">
        <v>1.1716461850854464E-2</v>
      </c>
      <c r="AK100" s="71">
        <v>1.319539565742131E-2</v>
      </c>
    </row>
    <row r="101" spans="2:37" x14ac:dyDescent="0.35">
      <c r="B101" s="55" t="s">
        <v>86</v>
      </c>
      <c r="C101" s="53" t="s">
        <v>85</v>
      </c>
      <c r="D101" s="53" t="s">
        <v>20</v>
      </c>
      <c r="E101" s="53" t="s">
        <v>453</v>
      </c>
      <c r="F101" s="73">
        <f t="shared" si="11"/>
        <v>5.1423841029417904E-4</v>
      </c>
      <c r="G101" s="60">
        <f t="shared" si="11"/>
        <v>8.6904609069348038E-3</v>
      </c>
      <c r="H101" s="71">
        <f t="shared" si="11"/>
        <v>1.4378270086307291E-2</v>
      </c>
      <c r="I101" s="71">
        <f t="shared" si="11"/>
        <v>1.734579221702541E-2</v>
      </c>
      <c r="J101" s="63">
        <f t="shared" si="11"/>
        <v>2.0197142973518933E-2</v>
      </c>
      <c r="K101" s="73" t="str">
        <f t="shared" si="12"/>
        <v/>
      </c>
      <c r="L101" s="60">
        <f t="shared" si="12"/>
        <v>5.0867744069348058E-3</v>
      </c>
      <c r="M101" s="71">
        <f t="shared" si="12"/>
        <v>9.7364038863072943E-3</v>
      </c>
      <c r="N101" s="71">
        <f t="shared" si="12"/>
        <v>1.182323371702541E-2</v>
      </c>
      <c r="O101" s="63">
        <f t="shared" si="12"/>
        <v>1.339463127351893E-2</v>
      </c>
      <c r="P101" s="55" t="s">
        <v>21</v>
      </c>
      <c r="Q101" s="53" t="s">
        <v>21</v>
      </c>
      <c r="R101" s="94" t="s">
        <v>21</v>
      </c>
      <c r="S101" s="71">
        <v>0</v>
      </c>
      <c r="T101" s="63">
        <f t="shared" si="6"/>
        <v>1.4378270086307291E-2</v>
      </c>
      <c r="V101" s="114">
        <v>1.1250743400000001</v>
      </c>
      <c r="W101" s="72">
        <v>2.8283650800000002</v>
      </c>
      <c r="X101" s="72">
        <v>4.3134498399999996</v>
      </c>
      <c r="Y101" s="72">
        <v>5.5736020100000001</v>
      </c>
      <c r="Z101" s="115">
        <v>7.1240380500000002</v>
      </c>
      <c r="AB101" s="73">
        <v>5.1423841029417904E-4</v>
      </c>
      <c r="AC101" s="71">
        <v>8.6904609069348038E-3</v>
      </c>
      <c r="AD101" s="71">
        <v>1.4378270086307291E-2</v>
      </c>
      <c r="AE101" s="71">
        <v>1.734579221702541E-2</v>
      </c>
      <c r="AF101" s="63">
        <v>2.0197142973518933E-2</v>
      </c>
      <c r="AG101" s="71" t="s">
        <v>21</v>
      </c>
      <c r="AH101" s="71">
        <v>5.0867744069348058E-3</v>
      </c>
      <c r="AI101" s="71">
        <v>9.7364038863072943E-3</v>
      </c>
      <c r="AJ101" s="71">
        <v>1.182323371702541E-2</v>
      </c>
      <c r="AK101" s="71">
        <v>1.339463127351893E-2</v>
      </c>
    </row>
    <row r="102" spans="2:37" x14ac:dyDescent="0.35">
      <c r="B102" s="55" t="s">
        <v>87</v>
      </c>
      <c r="C102" s="53" t="s">
        <v>85</v>
      </c>
      <c r="D102" s="53" t="s">
        <v>20</v>
      </c>
      <c r="E102" s="53" t="s">
        <v>88</v>
      </c>
      <c r="F102" s="73">
        <f t="shared" si="11"/>
        <v>3.2560133186837047E-4</v>
      </c>
      <c r="G102" s="60">
        <f t="shared" si="11"/>
        <v>8.5424497335233347E-3</v>
      </c>
      <c r="H102" s="71">
        <f t="shared" si="11"/>
        <v>1.4538087151158745E-2</v>
      </c>
      <c r="I102" s="71">
        <f t="shared" si="11"/>
        <v>1.7236849990955896E-2</v>
      </c>
      <c r="J102" s="63">
        <f t="shared" si="11"/>
        <v>2.0049921661285646E-2</v>
      </c>
      <c r="K102" s="73" t="str">
        <f t="shared" si="12"/>
        <v/>
      </c>
      <c r="L102" s="60">
        <f t="shared" si="12"/>
        <v>4.9327413335233366E-3</v>
      </c>
      <c r="M102" s="71">
        <f t="shared" si="12"/>
        <v>9.901088551158746E-3</v>
      </c>
      <c r="N102" s="71">
        <f t="shared" si="12"/>
        <v>1.1710365790955893E-2</v>
      </c>
      <c r="O102" s="63">
        <f t="shared" si="12"/>
        <v>1.3243034161285645E-2</v>
      </c>
      <c r="P102" s="55" t="s">
        <v>21</v>
      </c>
      <c r="Q102" s="53" t="s">
        <v>21</v>
      </c>
      <c r="R102" s="94" t="s">
        <v>21</v>
      </c>
      <c r="S102" s="71">
        <v>0</v>
      </c>
      <c r="T102" s="63">
        <f t="shared" si="6"/>
        <v>1.4538087151158745E-2</v>
      </c>
      <c r="V102" s="114">
        <v>1.1254353400000001</v>
      </c>
      <c r="W102" s="72">
        <v>2.8287360700000002</v>
      </c>
      <c r="X102" s="72">
        <v>4.3125414700000002</v>
      </c>
      <c r="Y102" s="72">
        <v>5.5773451999999999</v>
      </c>
      <c r="Z102" s="115">
        <v>7.1304937299999995</v>
      </c>
      <c r="AB102" s="73">
        <v>3.2560133186837047E-4</v>
      </c>
      <c r="AC102" s="71">
        <v>8.5424497335233347E-3</v>
      </c>
      <c r="AD102" s="71">
        <v>1.4538087151158745E-2</v>
      </c>
      <c r="AE102" s="71">
        <v>1.7236849990955896E-2</v>
      </c>
      <c r="AF102" s="63">
        <v>2.0049921661285646E-2</v>
      </c>
      <c r="AG102" s="71" t="s">
        <v>21</v>
      </c>
      <c r="AH102" s="71">
        <v>4.9327413335233366E-3</v>
      </c>
      <c r="AI102" s="71">
        <v>9.901088551158746E-3</v>
      </c>
      <c r="AJ102" s="71">
        <v>1.1710365790955893E-2</v>
      </c>
      <c r="AK102" s="71">
        <v>1.3243034161285645E-2</v>
      </c>
    </row>
    <row r="103" spans="2:37" x14ac:dyDescent="0.35">
      <c r="B103" s="55" t="s">
        <v>89</v>
      </c>
      <c r="C103" s="53" t="s">
        <v>85</v>
      </c>
      <c r="D103" s="53" t="s">
        <v>20</v>
      </c>
      <c r="E103" s="53" t="s">
        <v>314</v>
      </c>
      <c r="F103" s="73" t="str">
        <f t="shared" si="11"/>
        <v/>
      </c>
      <c r="G103" s="60">
        <f t="shared" si="11"/>
        <v>7.1579197540703318E-3</v>
      </c>
      <c r="H103" s="71">
        <f t="shared" si="11"/>
        <v>1.2414845278289002E-2</v>
      </c>
      <c r="I103" s="71">
        <f t="shared" si="11"/>
        <v>1.5346638122527874E-2</v>
      </c>
      <c r="J103" s="63">
        <f t="shared" si="11"/>
        <v>1.8135810947207769E-2</v>
      </c>
      <c r="K103" s="73" t="str">
        <f t="shared" si="12"/>
        <v/>
      </c>
      <c r="L103" s="60">
        <f t="shared" si="12"/>
        <v>3.4701216540703314E-3</v>
      </c>
      <c r="M103" s="71">
        <f t="shared" si="12"/>
        <v>7.689203778289003E-3</v>
      </c>
      <c r="N103" s="71">
        <f t="shared" si="12"/>
        <v>9.74866172252788E-3</v>
      </c>
      <c r="O103" s="63">
        <f t="shared" si="12"/>
        <v>1.1251895647207768E-2</v>
      </c>
      <c r="P103" s="55" t="s">
        <v>21</v>
      </c>
      <c r="Q103" s="53" t="s">
        <v>21</v>
      </c>
      <c r="R103" s="94" t="s">
        <v>21</v>
      </c>
      <c r="S103" s="71">
        <v>0</v>
      </c>
      <c r="T103" s="63">
        <f t="shared" si="6"/>
        <v>1.2414845278289002E-2</v>
      </c>
      <c r="V103" s="114">
        <v>1.1277993099999999</v>
      </c>
      <c r="W103" s="72">
        <v>2.8421217799999998</v>
      </c>
      <c r="X103" s="72">
        <v>4.3491643599999996</v>
      </c>
      <c r="Y103" s="72">
        <v>5.64206772</v>
      </c>
      <c r="Z103" s="115">
        <v>7.2484027900000001</v>
      </c>
      <c r="AB103" s="73" t="s">
        <v>21</v>
      </c>
      <c r="AC103" s="71">
        <v>7.1579197540703318E-3</v>
      </c>
      <c r="AD103" s="71">
        <v>1.2414845278289002E-2</v>
      </c>
      <c r="AE103" s="71">
        <v>1.5346638122527874E-2</v>
      </c>
      <c r="AF103" s="63">
        <v>1.8135810947207769E-2</v>
      </c>
      <c r="AG103" s="71" t="s">
        <v>21</v>
      </c>
      <c r="AH103" s="71">
        <v>3.4701216540703314E-3</v>
      </c>
      <c r="AI103" s="71">
        <v>7.689203778289003E-3</v>
      </c>
      <c r="AJ103" s="71">
        <v>9.74866172252788E-3</v>
      </c>
      <c r="AK103" s="71">
        <v>1.1251895647207768E-2</v>
      </c>
    </row>
    <row r="104" spans="2:37" x14ac:dyDescent="0.35">
      <c r="B104" s="55" t="s">
        <v>90</v>
      </c>
      <c r="C104" s="53" t="s">
        <v>85</v>
      </c>
      <c r="D104" s="53" t="s">
        <v>20</v>
      </c>
      <c r="E104" s="53" t="s">
        <v>75</v>
      </c>
      <c r="F104" s="73">
        <f t="shared" si="11"/>
        <v>4.0388433800670528E-4</v>
      </c>
      <c r="G104" s="60">
        <f t="shared" si="11"/>
        <v>8.8130548509666971E-3</v>
      </c>
      <c r="H104" s="71">
        <f t="shared" si="11"/>
        <v>1.481813600974098E-2</v>
      </c>
      <c r="I104" s="71">
        <f t="shared" si="11"/>
        <v>1.7871955335821702E-2</v>
      </c>
      <c r="J104" s="63">
        <f t="shared" si="11"/>
        <v>2.0516103874041649E-2</v>
      </c>
      <c r="K104" s="73" t="str">
        <f t="shared" si="12"/>
        <v/>
      </c>
      <c r="L104" s="60">
        <f t="shared" si="12"/>
        <v>5.213901350966701E-3</v>
      </c>
      <c r="M104" s="71">
        <f t="shared" si="12"/>
        <v>1.018953370974098E-2</v>
      </c>
      <c r="N104" s="71">
        <f t="shared" si="12"/>
        <v>1.23621834358217E-2</v>
      </c>
      <c r="O104" s="63">
        <f t="shared" si="12"/>
        <v>1.3724822774041648E-2</v>
      </c>
      <c r="P104" s="55" t="s">
        <v>21</v>
      </c>
      <c r="Q104" s="53" t="s">
        <v>21</v>
      </c>
      <c r="R104" s="94" t="s">
        <v>21</v>
      </c>
      <c r="S104" s="71">
        <v>0</v>
      </c>
      <c r="T104" s="63">
        <f t="shared" si="6"/>
        <v>1.481813600974098E-2</v>
      </c>
      <c r="V104" s="114">
        <v>1.12528647</v>
      </c>
      <c r="W104" s="72">
        <v>2.8279234</v>
      </c>
      <c r="X104" s="72">
        <v>4.30771865</v>
      </c>
      <c r="Y104" s="72">
        <v>5.5613266499999998</v>
      </c>
      <c r="Z104" s="115">
        <v>7.1017809900000008</v>
      </c>
      <c r="AB104" s="73">
        <v>4.0388433800670528E-4</v>
      </c>
      <c r="AC104" s="71">
        <v>8.8130548509666971E-3</v>
      </c>
      <c r="AD104" s="71">
        <v>1.481813600974098E-2</v>
      </c>
      <c r="AE104" s="71">
        <v>1.7871955335821702E-2</v>
      </c>
      <c r="AF104" s="63">
        <v>2.0516103874041649E-2</v>
      </c>
      <c r="AG104" s="71" t="s">
        <v>21</v>
      </c>
      <c r="AH104" s="71">
        <v>5.213901350966701E-3</v>
      </c>
      <c r="AI104" s="71">
        <v>1.018953370974098E-2</v>
      </c>
      <c r="AJ104" s="71">
        <v>1.23621834358217E-2</v>
      </c>
      <c r="AK104" s="71">
        <v>1.3724822774041648E-2</v>
      </c>
    </row>
    <row r="105" spans="2:37" x14ac:dyDescent="0.35">
      <c r="B105" s="55" t="s">
        <v>91</v>
      </c>
      <c r="C105" s="53" t="s">
        <v>85</v>
      </c>
      <c r="D105" s="53" t="s">
        <v>20</v>
      </c>
      <c r="E105" s="53" t="s">
        <v>92</v>
      </c>
      <c r="F105" s="73" t="str">
        <f t="shared" si="11"/>
        <v/>
      </c>
      <c r="G105" s="60">
        <f t="shared" si="11"/>
        <v>7.8255034193473148E-3</v>
      </c>
      <c r="H105" s="71">
        <f t="shared" si="11"/>
        <v>1.3663920975830763E-2</v>
      </c>
      <c r="I105" s="71">
        <f t="shared" si="11"/>
        <v>1.6544199494893139E-2</v>
      </c>
      <c r="J105" s="63">
        <f t="shared" si="11"/>
        <v>1.9338862395663983E-2</v>
      </c>
      <c r="K105" s="73" t="str">
        <f t="shared" si="12"/>
        <v/>
      </c>
      <c r="L105" s="60">
        <f t="shared" si="12"/>
        <v>4.1781038193473138E-3</v>
      </c>
      <c r="M105" s="71">
        <f t="shared" si="12"/>
        <v>8.9955999758307686E-3</v>
      </c>
      <c r="N105" s="71">
        <f t="shared" si="12"/>
        <v>1.0996439594893137E-2</v>
      </c>
      <c r="O105" s="63">
        <f t="shared" si="12"/>
        <v>1.2508567695663983E-2</v>
      </c>
      <c r="P105" s="55" t="s">
        <v>21</v>
      </c>
      <c r="Q105" s="53" t="s">
        <v>21</v>
      </c>
      <c r="R105" s="94" t="s">
        <v>21</v>
      </c>
      <c r="S105" s="71">
        <v>0</v>
      </c>
      <c r="T105" s="63">
        <f t="shared" si="6"/>
        <v>1.3663920975830763E-2</v>
      </c>
      <c r="V105" s="114">
        <v>1.1266219200000001</v>
      </c>
      <c r="W105" s="72">
        <v>2.8361563699999999</v>
      </c>
      <c r="X105" s="72">
        <v>4.3292257100000002</v>
      </c>
      <c r="Y105" s="72">
        <v>5.6018286799999997</v>
      </c>
      <c r="Z105" s="115">
        <v>7.1738568700000007</v>
      </c>
      <c r="AB105" s="73" t="s">
        <v>21</v>
      </c>
      <c r="AC105" s="71">
        <v>7.8255034193473148E-3</v>
      </c>
      <c r="AD105" s="71">
        <v>1.3663920975830763E-2</v>
      </c>
      <c r="AE105" s="71">
        <v>1.6544199494893139E-2</v>
      </c>
      <c r="AF105" s="63">
        <v>1.9338862395663983E-2</v>
      </c>
      <c r="AG105" s="71" t="s">
        <v>21</v>
      </c>
      <c r="AH105" s="71">
        <v>4.1781038193473138E-3</v>
      </c>
      <c r="AI105" s="71">
        <v>8.9955999758307686E-3</v>
      </c>
      <c r="AJ105" s="71">
        <v>1.0996439594893137E-2</v>
      </c>
      <c r="AK105" s="71">
        <v>1.2508567695663983E-2</v>
      </c>
    </row>
    <row r="106" spans="2:37" x14ac:dyDescent="0.35">
      <c r="B106" s="55" t="s">
        <v>309</v>
      </c>
      <c r="C106" s="53" t="s">
        <v>85</v>
      </c>
      <c r="D106" s="53" t="s">
        <v>20</v>
      </c>
      <c r="E106" s="53" t="s">
        <v>315</v>
      </c>
      <c r="F106" s="73" t="str">
        <f t="shared" si="11"/>
        <v/>
      </c>
      <c r="G106" s="60">
        <f t="shared" si="11"/>
        <v>6.2726013241652372E-3</v>
      </c>
      <c r="H106" s="71">
        <f t="shared" si="11"/>
        <v>1.1834372897394675E-2</v>
      </c>
      <c r="I106" s="71">
        <f t="shared" si="11"/>
        <v>1.4769215291432715E-2</v>
      </c>
      <c r="J106" s="63">
        <f t="shared" si="11"/>
        <v>1.7591018712602807E-2</v>
      </c>
      <c r="K106" s="73" t="str">
        <f t="shared" si="12"/>
        <v/>
      </c>
      <c r="L106" s="60">
        <f t="shared" si="12"/>
        <v>2.5166605241652372E-3</v>
      </c>
      <c r="M106" s="71">
        <f t="shared" si="12"/>
        <v>7.0737819973946785E-3</v>
      </c>
      <c r="N106" s="71">
        <f t="shared" si="12"/>
        <v>9.142626391432717E-3</v>
      </c>
      <c r="O106" s="63">
        <f t="shared" si="12"/>
        <v>1.0683087512602805E-2</v>
      </c>
      <c r="P106" s="55" t="s">
        <v>21</v>
      </c>
      <c r="Q106" s="53" t="s">
        <v>21</v>
      </c>
      <c r="R106" s="94" t="s">
        <v>21</v>
      </c>
      <c r="S106" s="71">
        <v>0</v>
      </c>
      <c r="T106" s="63">
        <f t="shared" si="6"/>
        <v>1.1834372897394675E-2</v>
      </c>
      <c r="V106" s="114">
        <v>1.1302936800000001</v>
      </c>
      <c r="W106" s="72">
        <v>2.8528041800000001</v>
      </c>
      <c r="X106" s="72">
        <v>4.36801569</v>
      </c>
      <c r="Y106" s="72">
        <v>5.6695652000000001</v>
      </c>
      <c r="Z106" s="115">
        <v>7.28739895</v>
      </c>
      <c r="AB106" s="73" t="s">
        <v>21</v>
      </c>
      <c r="AC106" s="71">
        <v>6.2726013241652372E-3</v>
      </c>
      <c r="AD106" s="71">
        <v>1.1834372897394675E-2</v>
      </c>
      <c r="AE106" s="71">
        <v>1.4769215291432715E-2</v>
      </c>
      <c r="AF106" s="63">
        <v>1.7591018712602807E-2</v>
      </c>
      <c r="AG106" s="71" t="s">
        <v>21</v>
      </c>
      <c r="AH106" s="71">
        <v>2.5166605241652372E-3</v>
      </c>
      <c r="AI106" s="71">
        <v>7.0737819973946785E-3</v>
      </c>
      <c r="AJ106" s="71">
        <v>9.142626391432717E-3</v>
      </c>
      <c r="AK106" s="71">
        <v>1.0683087512602805E-2</v>
      </c>
    </row>
    <row r="107" spans="2:37" x14ac:dyDescent="0.35">
      <c r="B107" s="55" t="s">
        <v>310</v>
      </c>
      <c r="C107" s="53" t="s">
        <v>85</v>
      </c>
      <c r="D107" s="53" t="s">
        <v>20</v>
      </c>
      <c r="E107" s="53" t="s">
        <v>73</v>
      </c>
      <c r="F107" s="73">
        <f t="shared" si="11"/>
        <v>2.7243828525465481E-4</v>
      </c>
      <c r="G107" s="60">
        <f t="shared" si="11"/>
        <v>9.9543625505929111E-3</v>
      </c>
      <c r="H107" s="71">
        <f t="shared" si="11"/>
        <v>1.7612195729900977E-2</v>
      </c>
      <c r="I107" s="71">
        <f t="shared" si="11"/>
        <v>2.1000567605336001E-2</v>
      </c>
      <c r="J107" s="63">
        <f t="shared" si="11"/>
        <v>2.4539294471842495E-2</v>
      </c>
      <c r="K107" s="73" t="str">
        <f t="shared" si="12"/>
        <v/>
      </c>
      <c r="L107" s="60">
        <f t="shared" si="12"/>
        <v>6.3961024505929161E-3</v>
      </c>
      <c r="M107" s="71">
        <f t="shared" si="12"/>
        <v>1.3035943229900978E-2</v>
      </c>
      <c r="N107" s="71">
        <f t="shared" si="12"/>
        <v>1.5535901005336002E-2</v>
      </c>
      <c r="O107" s="63">
        <f t="shared" si="12"/>
        <v>1.7813256271842492E-2</v>
      </c>
      <c r="P107" s="55" t="s">
        <v>21</v>
      </c>
      <c r="Q107" s="53" t="s">
        <v>21</v>
      </c>
      <c r="R107" s="94" t="s">
        <v>21</v>
      </c>
      <c r="S107" s="71">
        <v>0</v>
      </c>
      <c r="T107" s="63">
        <f t="shared" si="6"/>
        <v>1.7612195729900977E-2</v>
      </c>
      <c r="V107" s="114">
        <v>1.12555608</v>
      </c>
      <c r="W107" s="72">
        <v>2.82110474</v>
      </c>
      <c r="X107" s="72">
        <v>4.2707875300000007</v>
      </c>
      <c r="Y107" s="72">
        <v>5.4764340499999999</v>
      </c>
      <c r="Z107" s="115">
        <v>6.9132352699999995</v>
      </c>
      <c r="AB107" s="73">
        <v>2.7243828525465481E-4</v>
      </c>
      <c r="AC107" s="71">
        <v>9.9543625505929111E-3</v>
      </c>
      <c r="AD107" s="71">
        <v>1.7612195729900977E-2</v>
      </c>
      <c r="AE107" s="71">
        <v>2.1000567605336001E-2</v>
      </c>
      <c r="AF107" s="63">
        <v>2.4539294471842495E-2</v>
      </c>
      <c r="AG107" s="71" t="s">
        <v>21</v>
      </c>
      <c r="AH107" s="71">
        <v>6.3961024505929161E-3</v>
      </c>
      <c r="AI107" s="71">
        <v>1.3035943229900978E-2</v>
      </c>
      <c r="AJ107" s="71">
        <v>1.5535901005336002E-2</v>
      </c>
      <c r="AK107" s="71">
        <v>1.7813256271842492E-2</v>
      </c>
    </row>
    <row r="108" spans="2:37" x14ac:dyDescent="0.35">
      <c r="B108" s="55" t="s">
        <v>311</v>
      </c>
      <c r="C108" s="53" t="s">
        <v>85</v>
      </c>
      <c r="D108" s="53" t="s">
        <v>20</v>
      </c>
      <c r="E108" s="53" t="s">
        <v>48</v>
      </c>
      <c r="F108" s="73">
        <f t="shared" si="11"/>
        <v>2.0657860211018546E-3</v>
      </c>
      <c r="G108" s="60">
        <f t="shared" si="11"/>
        <v>1.5447982482607604E-2</v>
      </c>
      <c r="H108" s="71">
        <f t="shared" si="11"/>
        <v>2.5534414951172563E-2</v>
      </c>
      <c r="I108" s="71">
        <f t="shared" si="11"/>
        <v>3.127077348629663E-2</v>
      </c>
      <c r="J108" s="63">
        <f t="shared" si="11"/>
        <v>3.4760583422042177E-2</v>
      </c>
      <c r="K108" s="73" t="str">
        <f t="shared" si="12"/>
        <v/>
      </c>
      <c r="L108" s="60">
        <f t="shared" si="12"/>
        <v>1.1947746182607601E-2</v>
      </c>
      <c r="M108" s="71">
        <f t="shared" si="12"/>
        <v>2.0894654351172562E-2</v>
      </c>
      <c r="N108" s="71">
        <f t="shared" si="12"/>
        <v>2.5651070186296629E-2</v>
      </c>
      <c r="O108" s="63">
        <f t="shared" si="12"/>
        <v>2.7892359522042175E-2</v>
      </c>
      <c r="P108" s="55" t="s">
        <v>21</v>
      </c>
      <c r="Q108" s="53" t="s">
        <v>21</v>
      </c>
      <c r="R108" s="94" t="s">
        <v>21</v>
      </c>
      <c r="S108" s="71">
        <v>0</v>
      </c>
      <c r="T108" s="63">
        <f t="shared" si="6"/>
        <v>2.5534414951172563E-2</v>
      </c>
      <c r="V108" s="114">
        <v>1.1209273</v>
      </c>
      <c r="W108" s="72">
        <v>2.7769083299999999</v>
      </c>
      <c r="X108" s="72">
        <v>4.1392287200000002</v>
      </c>
      <c r="Y108" s="72">
        <v>5.2049597299999997</v>
      </c>
      <c r="Z108" s="115">
        <v>6.4180563800000003</v>
      </c>
      <c r="AB108" s="73">
        <v>2.0657860211018546E-3</v>
      </c>
      <c r="AC108" s="71">
        <v>1.5447982482607604E-2</v>
      </c>
      <c r="AD108" s="71">
        <v>2.5534414951172563E-2</v>
      </c>
      <c r="AE108" s="71">
        <v>3.127077348629663E-2</v>
      </c>
      <c r="AF108" s="63">
        <v>3.4760583422042177E-2</v>
      </c>
      <c r="AG108" s="71" t="s">
        <v>21</v>
      </c>
      <c r="AH108" s="71">
        <v>1.1947746182607601E-2</v>
      </c>
      <c r="AI108" s="71">
        <v>2.0894654351172562E-2</v>
      </c>
      <c r="AJ108" s="71">
        <v>2.5651070186296629E-2</v>
      </c>
      <c r="AK108" s="71">
        <v>2.7892359522042175E-2</v>
      </c>
    </row>
    <row r="109" spans="2:37" x14ac:dyDescent="0.35">
      <c r="B109" s="55" t="s">
        <v>312</v>
      </c>
      <c r="C109" s="53" t="s">
        <v>85</v>
      </c>
      <c r="D109" s="53" t="s">
        <v>20</v>
      </c>
      <c r="E109" s="53" t="s">
        <v>161</v>
      </c>
      <c r="F109" s="73" t="str">
        <f t="shared" si="11"/>
        <v/>
      </c>
      <c r="G109" s="60">
        <f t="shared" si="11"/>
        <v>6.6550666123953925E-3</v>
      </c>
      <c r="H109" s="71">
        <f t="shared" si="11"/>
        <v>1.2344312313179081E-2</v>
      </c>
      <c r="I109" s="71">
        <f t="shared" si="11"/>
        <v>1.6368219485498135E-2</v>
      </c>
      <c r="J109" s="63">
        <f t="shared" si="11"/>
        <v>1.873987991659945E-2</v>
      </c>
      <c r="K109" s="73" t="str">
        <f t="shared" si="12"/>
        <v/>
      </c>
      <c r="L109" s="60">
        <f t="shared" si="12"/>
        <v>2.9303278123953909E-3</v>
      </c>
      <c r="M109" s="71">
        <f t="shared" si="12"/>
        <v>7.6144794131790833E-3</v>
      </c>
      <c r="N109" s="71">
        <f t="shared" si="12"/>
        <v>1.0809863585498137E-2</v>
      </c>
      <c r="O109" s="63">
        <f t="shared" si="12"/>
        <v>1.1891826816599452E-2</v>
      </c>
      <c r="P109" s="55" t="s">
        <v>316</v>
      </c>
      <c r="Q109" s="53" t="s">
        <v>317</v>
      </c>
      <c r="R109" s="94">
        <v>47788</v>
      </c>
      <c r="S109" s="71">
        <v>1.060494E-2</v>
      </c>
      <c r="T109" s="63">
        <f t="shared" si="6"/>
        <v>1.7393723131790811E-3</v>
      </c>
      <c r="V109" s="114">
        <v>1.13004452</v>
      </c>
      <c r="W109" s="72">
        <v>2.8496493200000002</v>
      </c>
      <c r="X109" s="72">
        <v>4.3579482</v>
      </c>
      <c r="Y109" s="72">
        <v>5.6368566100000006</v>
      </c>
      <c r="Z109" s="115">
        <v>7.2211300100000004</v>
      </c>
      <c r="AB109" s="73" t="s">
        <v>21</v>
      </c>
      <c r="AC109" s="71">
        <v>6.6550666123953925E-3</v>
      </c>
      <c r="AD109" s="71">
        <v>1.2344312313179081E-2</v>
      </c>
      <c r="AE109" s="71">
        <v>1.6368219485498135E-2</v>
      </c>
      <c r="AF109" s="63">
        <v>1.873987991659945E-2</v>
      </c>
      <c r="AG109" s="71" t="s">
        <v>21</v>
      </c>
      <c r="AH109" s="71">
        <v>2.9303278123953909E-3</v>
      </c>
      <c r="AI109" s="71">
        <v>7.6144794131790833E-3</v>
      </c>
      <c r="AJ109" s="71">
        <v>1.0809863585498137E-2</v>
      </c>
      <c r="AK109" s="71">
        <v>1.1891826816599452E-2</v>
      </c>
    </row>
    <row r="110" spans="2:37" x14ac:dyDescent="0.35">
      <c r="B110" s="57" t="s">
        <v>313</v>
      </c>
      <c r="C110" s="53" t="s">
        <v>85</v>
      </c>
      <c r="D110" s="67" t="s">
        <v>20</v>
      </c>
      <c r="E110" s="67" t="s">
        <v>276</v>
      </c>
      <c r="F110" s="74" t="str">
        <f t="shared" si="11"/>
        <v/>
      </c>
      <c r="G110" s="76">
        <f t="shared" si="11"/>
        <v>8.4256581028655866E-3</v>
      </c>
      <c r="H110" s="76">
        <f t="shared" si="11"/>
        <v>1.5933558313338418E-2</v>
      </c>
      <c r="I110" s="76">
        <f t="shared" si="11"/>
        <v>2.0304518836275359E-2</v>
      </c>
      <c r="J110" s="64">
        <f t="shared" si="11"/>
        <v>2.3953657158715801E-2</v>
      </c>
      <c r="K110" s="74" t="str">
        <f t="shared" si="12"/>
        <v/>
      </c>
      <c r="L110" s="76">
        <f t="shared" si="12"/>
        <v>4.8092274028655865E-3</v>
      </c>
      <c r="M110" s="76">
        <f t="shared" si="12"/>
        <v>1.1332307113338418E-2</v>
      </c>
      <c r="N110" s="76">
        <f t="shared" si="12"/>
        <v>1.4832538036275357E-2</v>
      </c>
      <c r="O110" s="64">
        <f t="shared" si="12"/>
        <v>1.7224043858715801E-2</v>
      </c>
      <c r="P110" s="57" t="s">
        <v>21</v>
      </c>
      <c r="Q110" s="67" t="s">
        <v>21</v>
      </c>
      <c r="R110" s="96" t="s">
        <v>21</v>
      </c>
      <c r="S110" s="76">
        <v>0</v>
      </c>
      <c r="T110" s="64">
        <f t="shared" si="6"/>
        <v>1.5933558313338418E-2</v>
      </c>
      <c r="V110" s="116">
        <v>1.12786019</v>
      </c>
      <c r="W110" s="108">
        <v>2.8344964699999999</v>
      </c>
      <c r="X110" s="108">
        <v>4.3036472799999999</v>
      </c>
      <c r="Y110" s="108">
        <v>5.5226354600000001</v>
      </c>
      <c r="Z110" s="117">
        <v>6.9773330699999994</v>
      </c>
      <c r="AB110" s="74" t="s">
        <v>21</v>
      </c>
      <c r="AC110" s="76">
        <v>8.4256581028655866E-3</v>
      </c>
      <c r="AD110" s="76">
        <v>1.5933558313338418E-2</v>
      </c>
      <c r="AE110" s="76">
        <v>2.0304518836275359E-2</v>
      </c>
      <c r="AF110" s="64">
        <v>2.3953657158715801E-2</v>
      </c>
      <c r="AG110" s="76" t="s">
        <v>21</v>
      </c>
      <c r="AH110" s="76">
        <v>4.8092274028655865E-3</v>
      </c>
      <c r="AI110" s="76">
        <v>1.1332307113338418E-2</v>
      </c>
      <c r="AJ110" s="76">
        <v>1.4832538036275357E-2</v>
      </c>
      <c r="AK110" s="76">
        <v>1.7224043858715801E-2</v>
      </c>
    </row>
    <row r="111" spans="2:37" x14ac:dyDescent="0.35">
      <c r="B111" s="53" t="s">
        <v>21</v>
      </c>
      <c r="C111" s="53" t="s">
        <v>21</v>
      </c>
      <c r="E111" s="53" t="s">
        <v>21</v>
      </c>
      <c r="F111" s="71" t="s">
        <v>21</v>
      </c>
      <c r="G111" s="71"/>
      <c r="H111" s="71" t="s">
        <v>21</v>
      </c>
      <c r="I111" s="71"/>
      <c r="J111" s="71" t="s">
        <v>21</v>
      </c>
      <c r="K111" s="71" t="s">
        <v>21</v>
      </c>
      <c r="L111" s="71"/>
      <c r="M111" s="71" t="s">
        <v>21</v>
      </c>
      <c r="N111" s="71"/>
      <c r="O111" s="71" t="s">
        <v>21</v>
      </c>
      <c r="R111" s="94"/>
      <c r="V111" s="72"/>
      <c r="W111" s="72"/>
      <c r="X111" s="72"/>
      <c r="Y111" s="72"/>
      <c r="Z111" s="72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</row>
    <row r="112" spans="2:37" ht="15.5" x14ac:dyDescent="0.35">
      <c r="B112" s="122" t="s">
        <v>93</v>
      </c>
      <c r="C112" s="53" t="s">
        <v>21</v>
      </c>
      <c r="E112" s="53" t="s">
        <v>21</v>
      </c>
      <c r="F112" s="71" t="s">
        <v>21</v>
      </c>
      <c r="G112" s="71"/>
      <c r="H112" s="71" t="s">
        <v>21</v>
      </c>
      <c r="I112" s="71"/>
      <c r="J112" s="71" t="s">
        <v>21</v>
      </c>
      <c r="K112" s="71" t="s">
        <v>21</v>
      </c>
      <c r="L112" s="71"/>
      <c r="M112" s="71" t="s">
        <v>21</v>
      </c>
      <c r="N112" s="71"/>
      <c r="O112" s="71" t="s">
        <v>21</v>
      </c>
      <c r="R112" s="94"/>
      <c r="V112" s="72"/>
      <c r="W112" s="72"/>
      <c r="X112" s="72"/>
      <c r="Y112" s="72"/>
      <c r="Z112" s="72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</row>
    <row r="113" spans="2:37" x14ac:dyDescent="0.35">
      <c r="B113" s="85" t="s">
        <v>5</v>
      </c>
      <c r="C113" s="84" t="s">
        <v>6</v>
      </c>
      <c r="D113" s="84" t="s">
        <v>7</v>
      </c>
      <c r="E113" s="84" t="s">
        <v>8</v>
      </c>
      <c r="F113" s="83" t="s">
        <v>9</v>
      </c>
      <c r="G113" s="82" t="s">
        <v>10</v>
      </c>
      <c r="H113" s="82" t="s">
        <v>11</v>
      </c>
      <c r="I113" s="82" t="s">
        <v>12</v>
      </c>
      <c r="J113" s="81" t="s">
        <v>13</v>
      </c>
      <c r="K113" s="83" t="s">
        <v>9</v>
      </c>
      <c r="L113" s="82" t="s">
        <v>10</v>
      </c>
      <c r="M113" s="82" t="s">
        <v>11</v>
      </c>
      <c r="N113" s="82" t="s">
        <v>12</v>
      </c>
      <c r="O113" s="81" t="s">
        <v>13</v>
      </c>
      <c r="P113" s="70" t="s">
        <v>14</v>
      </c>
      <c r="Q113" s="58" t="s">
        <v>15</v>
      </c>
      <c r="R113" s="58" t="s">
        <v>16</v>
      </c>
      <c r="S113" s="58" t="s">
        <v>409</v>
      </c>
      <c r="T113" s="58" t="s">
        <v>18</v>
      </c>
      <c r="V113" s="110" t="s">
        <v>9</v>
      </c>
      <c r="W113" s="106" t="s">
        <v>10</v>
      </c>
      <c r="X113" s="106" t="s">
        <v>11</v>
      </c>
      <c r="Y113" s="106" t="s">
        <v>12</v>
      </c>
      <c r="Z113" s="111" t="s">
        <v>13</v>
      </c>
      <c r="AB113" s="83" t="s">
        <v>9</v>
      </c>
      <c r="AC113" s="82" t="s">
        <v>10</v>
      </c>
      <c r="AD113" s="82" t="s">
        <v>11</v>
      </c>
      <c r="AE113" s="82" t="s">
        <v>12</v>
      </c>
      <c r="AF113" s="81" t="s">
        <v>13</v>
      </c>
      <c r="AG113" s="58" t="s">
        <v>9</v>
      </c>
      <c r="AH113" s="58" t="s">
        <v>10</v>
      </c>
      <c r="AI113" s="58" t="s">
        <v>11</v>
      </c>
      <c r="AJ113" s="58" t="s">
        <v>12</v>
      </c>
      <c r="AK113" s="58" t="s">
        <v>13</v>
      </c>
    </row>
    <row r="114" spans="2:37" x14ac:dyDescent="0.35">
      <c r="B114" s="79" t="s">
        <v>94</v>
      </c>
      <c r="C114" s="78"/>
      <c r="D114" s="78"/>
      <c r="E114" s="78"/>
      <c r="F114" s="79"/>
      <c r="G114" s="78"/>
      <c r="H114" s="78"/>
      <c r="I114" s="78"/>
      <c r="J114" s="78"/>
      <c r="K114" s="78"/>
      <c r="L114" s="78"/>
      <c r="M114" s="78"/>
      <c r="N114" s="78"/>
      <c r="O114" s="77"/>
      <c r="P114" s="79"/>
      <c r="Q114" s="78"/>
      <c r="R114" s="95"/>
      <c r="S114" s="78"/>
      <c r="T114" s="77"/>
      <c r="V114" s="112"/>
      <c r="W114" s="107"/>
      <c r="X114" s="107"/>
      <c r="Y114" s="107"/>
      <c r="Z114" s="113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</row>
    <row r="115" spans="2:37" x14ac:dyDescent="0.35">
      <c r="B115" s="56" t="s">
        <v>95</v>
      </c>
      <c r="C115" s="66" t="s">
        <v>85</v>
      </c>
      <c r="D115" s="66" t="s">
        <v>43</v>
      </c>
      <c r="E115" s="66" t="s">
        <v>232</v>
      </c>
      <c r="F115" s="75" t="str">
        <f t="shared" ref="F115:J130" si="13">IF(ISNUMBER(AB115),AB115-((C$4-C$3)/V115),"")</f>
        <v/>
      </c>
      <c r="G115" s="80">
        <f t="shared" si="13"/>
        <v>6.6717853547769721E-3</v>
      </c>
      <c r="H115" s="80">
        <f t="shared" si="13"/>
        <v>1.2787521019932123E-2</v>
      </c>
      <c r="I115" s="80">
        <f t="shared" si="13"/>
        <v>1.5660259759705562E-2</v>
      </c>
      <c r="J115" s="62">
        <f t="shared" si="13"/>
        <v>1.8347013267797883E-2</v>
      </c>
      <c r="K115" s="75" t="str">
        <f t="shared" ref="K115:O130" si="14">IF(ISNUMBER(AG115),IF(AG115-((C$4-C$3)/V115)&lt;0,"",AG115-((C$4-C$3)/V115)),"")</f>
        <v/>
      </c>
      <c r="L115" s="80">
        <f t="shared" si="14"/>
        <v>2.9485752547769731E-3</v>
      </c>
      <c r="M115" s="80">
        <f t="shared" si="14"/>
        <v>8.0803433199321244E-3</v>
      </c>
      <c r="N115" s="80">
        <f t="shared" si="14"/>
        <v>1.0078352059705562E-2</v>
      </c>
      <c r="O115" s="62">
        <f t="shared" si="14"/>
        <v>1.1477625467797882E-2</v>
      </c>
      <c r="P115" s="56" t="s">
        <v>21</v>
      </c>
      <c r="Q115" s="66" t="s">
        <v>21</v>
      </c>
      <c r="R115" s="100" t="s">
        <v>21</v>
      </c>
      <c r="S115" s="80">
        <v>0</v>
      </c>
      <c r="T115" s="63">
        <f t="shared" ref="T115:T138" si="15">IF(S115="","",H115-S115)</f>
        <v>1.2787521019932123E-2</v>
      </c>
      <c r="V115" s="118">
        <v>1.1300482999999999</v>
      </c>
      <c r="W115" s="61">
        <v>2.8496425700000003</v>
      </c>
      <c r="X115" s="61">
        <v>4.3536941799999997</v>
      </c>
      <c r="Y115" s="61">
        <v>5.6416685800000002</v>
      </c>
      <c r="Z115" s="119">
        <v>7.2409821099999991</v>
      </c>
      <c r="AB115" s="75" t="s">
        <v>21</v>
      </c>
      <c r="AC115" s="80">
        <v>6.6717853547769721E-3</v>
      </c>
      <c r="AD115" s="80">
        <v>1.2787521019932123E-2</v>
      </c>
      <c r="AE115" s="80">
        <v>1.5660259759705562E-2</v>
      </c>
      <c r="AF115" s="62">
        <v>1.8347013267797883E-2</v>
      </c>
      <c r="AG115" s="80" t="s">
        <v>21</v>
      </c>
      <c r="AH115" s="80">
        <v>2.9485752547769731E-3</v>
      </c>
      <c r="AI115" s="80">
        <v>8.0803433199321244E-3</v>
      </c>
      <c r="AJ115" s="80">
        <v>1.0078352059705562E-2</v>
      </c>
      <c r="AK115" s="80">
        <v>1.1477625467797882E-2</v>
      </c>
    </row>
    <row r="116" spans="2:37" x14ac:dyDescent="0.35">
      <c r="B116" s="57" t="s">
        <v>95</v>
      </c>
      <c r="C116" s="67" t="s">
        <v>35</v>
      </c>
      <c r="D116" s="67" t="s">
        <v>43</v>
      </c>
      <c r="E116" s="67" t="s">
        <v>233</v>
      </c>
      <c r="F116" s="74" t="str">
        <f t="shared" si="13"/>
        <v/>
      </c>
      <c r="G116" s="76">
        <f t="shared" si="13"/>
        <v>1.0267705237973067E-2</v>
      </c>
      <c r="H116" s="76">
        <f t="shared" si="13"/>
        <v>1.868864918144373E-2</v>
      </c>
      <c r="I116" s="76">
        <f t="shared" si="13"/>
        <v>2.2639900588650071E-2</v>
      </c>
      <c r="J116" s="64">
        <f t="shared" si="13"/>
        <v>2.6280997059662074E-2</v>
      </c>
      <c r="K116" s="74" t="str">
        <f t="shared" si="14"/>
        <v/>
      </c>
      <c r="L116" s="76">
        <f t="shared" si="14"/>
        <v>6.7320982379730663E-3</v>
      </c>
      <c r="M116" s="76">
        <f t="shared" si="14"/>
        <v>1.4152923081443728E-2</v>
      </c>
      <c r="N116" s="76">
        <f t="shared" si="14"/>
        <v>1.7212555388650071E-2</v>
      </c>
      <c r="O116" s="64">
        <f t="shared" si="14"/>
        <v>1.9576963059662077E-2</v>
      </c>
      <c r="P116" s="57" t="s">
        <v>21</v>
      </c>
      <c r="Q116" s="67" t="s">
        <v>21</v>
      </c>
      <c r="R116" s="96" t="s">
        <v>21</v>
      </c>
      <c r="S116" s="76">
        <v>0</v>
      </c>
      <c r="T116" s="64">
        <f t="shared" si="15"/>
        <v>1.868864918144373E-2</v>
      </c>
      <c r="V116" s="116">
        <v>1.12875883</v>
      </c>
      <c r="W116" s="108">
        <v>2.8358468399999999</v>
      </c>
      <c r="X116" s="108">
        <v>4.3064972099999999</v>
      </c>
      <c r="Y116" s="108">
        <v>5.5423218800000003</v>
      </c>
      <c r="Z116" s="117">
        <v>7.0412477400000011</v>
      </c>
      <c r="AB116" s="74" t="s">
        <v>21</v>
      </c>
      <c r="AC116" s="76">
        <v>1.0267705237973067E-2</v>
      </c>
      <c r="AD116" s="76">
        <v>1.868864918144373E-2</v>
      </c>
      <c r="AE116" s="76">
        <v>2.2639900588650071E-2</v>
      </c>
      <c r="AF116" s="64">
        <v>2.6280997059662074E-2</v>
      </c>
      <c r="AG116" s="76" t="s">
        <v>21</v>
      </c>
      <c r="AH116" s="76">
        <v>6.7320982379730663E-3</v>
      </c>
      <c r="AI116" s="76">
        <v>1.4152923081443728E-2</v>
      </c>
      <c r="AJ116" s="76">
        <v>1.7212555388650071E-2</v>
      </c>
      <c r="AK116" s="76">
        <v>1.9576963059662077E-2</v>
      </c>
    </row>
    <row r="117" spans="2:37" x14ac:dyDescent="0.35">
      <c r="B117" s="55" t="s">
        <v>96</v>
      </c>
      <c r="C117" s="53" t="s">
        <v>85</v>
      </c>
      <c r="D117" s="53" t="s">
        <v>97</v>
      </c>
      <c r="E117" s="53" t="s">
        <v>21</v>
      </c>
      <c r="F117" s="73" t="str">
        <f t="shared" si="13"/>
        <v/>
      </c>
      <c r="G117" s="60">
        <f t="shared" si="13"/>
        <v>6.9823204684438716E-3</v>
      </c>
      <c r="H117" s="60">
        <f t="shared" si="13"/>
        <v>1.3024291639067622E-2</v>
      </c>
      <c r="I117" s="60">
        <f t="shared" si="13"/>
        <v>1.6290115337678251E-2</v>
      </c>
      <c r="J117" s="63">
        <f t="shared" si="13"/>
        <v>1.92161483234644E-2</v>
      </c>
      <c r="K117" s="73" t="str">
        <f t="shared" si="14"/>
        <v/>
      </c>
      <c r="L117" s="60">
        <f t="shared" si="14"/>
        <v>3.2820660684438705E-3</v>
      </c>
      <c r="M117" s="60">
        <f t="shared" si="14"/>
        <v>8.3283778390676241E-3</v>
      </c>
      <c r="N117" s="60">
        <f t="shared" si="14"/>
        <v>1.0731648137678251E-2</v>
      </c>
      <c r="O117" s="63">
        <f t="shared" si="14"/>
        <v>1.2381529223464399E-2</v>
      </c>
      <c r="P117" s="55" t="s">
        <v>21</v>
      </c>
      <c r="Q117" s="53" t="s">
        <v>21</v>
      </c>
      <c r="R117" s="94" t="s">
        <v>21</v>
      </c>
      <c r="S117" s="71">
        <v>0</v>
      </c>
      <c r="T117" s="63">
        <f t="shared" si="15"/>
        <v>1.3024291639067622E-2</v>
      </c>
      <c r="V117" s="114">
        <v>1.1292768899999999</v>
      </c>
      <c r="W117" s="72">
        <v>2.8460589500000002</v>
      </c>
      <c r="X117" s="72">
        <v>4.34759137</v>
      </c>
      <c r="Y117" s="72">
        <v>5.6269375400000001</v>
      </c>
      <c r="Z117" s="115">
        <v>7.2042168399999991</v>
      </c>
      <c r="AB117" s="73" t="s">
        <v>21</v>
      </c>
      <c r="AC117" s="71">
        <v>6.9823204684438716E-3</v>
      </c>
      <c r="AD117" s="71">
        <v>1.3024291639067622E-2</v>
      </c>
      <c r="AE117" s="71">
        <v>1.6290115337678251E-2</v>
      </c>
      <c r="AF117" s="63">
        <v>1.92161483234644E-2</v>
      </c>
      <c r="AG117" s="71" t="s">
        <v>21</v>
      </c>
      <c r="AH117" s="71">
        <v>3.2820660684438705E-3</v>
      </c>
      <c r="AI117" s="71">
        <v>8.3283778390676241E-3</v>
      </c>
      <c r="AJ117" s="71">
        <v>1.0731648137678251E-2</v>
      </c>
      <c r="AK117" s="71">
        <v>1.2381529223464399E-2</v>
      </c>
    </row>
    <row r="118" spans="2:37" x14ac:dyDescent="0.35">
      <c r="B118" s="57" t="s">
        <v>96</v>
      </c>
      <c r="C118" s="67" t="s">
        <v>35</v>
      </c>
      <c r="D118" s="67" t="s">
        <v>97</v>
      </c>
      <c r="E118" s="67" t="s">
        <v>44</v>
      </c>
      <c r="F118" s="74">
        <f t="shared" si="13"/>
        <v>6.4362258579516319E-4</v>
      </c>
      <c r="G118" s="76">
        <f t="shared" si="13"/>
        <v>1.0442499284213626E-2</v>
      </c>
      <c r="H118" s="76">
        <f t="shared" si="13"/>
        <v>1.8266856742817757E-2</v>
      </c>
      <c r="I118" s="76">
        <f t="shared" si="13"/>
        <v>2.2924205220048732E-2</v>
      </c>
      <c r="J118" s="64">
        <f t="shared" si="13"/>
        <v>2.6462069122940558E-2</v>
      </c>
      <c r="K118" s="74" t="str">
        <f t="shared" si="14"/>
        <v/>
      </c>
      <c r="L118" s="76">
        <f t="shared" si="14"/>
        <v>6.9134989842136244E-3</v>
      </c>
      <c r="M118" s="76">
        <f t="shared" si="14"/>
        <v>1.3726823842817754E-2</v>
      </c>
      <c r="N118" s="76">
        <f t="shared" si="14"/>
        <v>1.7495101020048733E-2</v>
      </c>
      <c r="O118" s="64">
        <f t="shared" si="14"/>
        <v>1.9758210522940561E-2</v>
      </c>
      <c r="P118" s="57" t="s">
        <v>21</v>
      </c>
      <c r="Q118" s="67" t="s">
        <v>21</v>
      </c>
      <c r="R118" s="96" t="s">
        <v>21</v>
      </c>
      <c r="S118" s="76">
        <v>0</v>
      </c>
      <c r="T118" s="64">
        <f t="shared" si="15"/>
        <v>1.8266856742817757E-2</v>
      </c>
      <c r="V118" s="116">
        <v>1.12687487</v>
      </c>
      <c r="W118" s="108">
        <v>2.8312796800000002</v>
      </c>
      <c r="X118" s="108">
        <v>4.3049364099999998</v>
      </c>
      <c r="Y118" s="108">
        <v>5.5392257499999999</v>
      </c>
      <c r="Z118" s="117">
        <v>7.0337692800000005</v>
      </c>
      <c r="AB118" s="74">
        <v>6.4362258579516319E-4</v>
      </c>
      <c r="AC118" s="76">
        <v>1.0442499284213626E-2</v>
      </c>
      <c r="AD118" s="76">
        <v>1.8266856742817757E-2</v>
      </c>
      <c r="AE118" s="76">
        <v>2.2924205220048732E-2</v>
      </c>
      <c r="AF118" s="64">
        <v>2.6462069122940558E-2</v>
      </c>
      <c r="AG118" s="76" t="s">
        <v>21</v>
      </c>
      <c r="AH118" s="76">
        <v>6.9134989842136244E-3</v>
      </c>
      <c r="AI118" s="76">
        <v>1.3726823842817754E-2</v>
      </c>
      <c r="AJ118" s="76">
        <v>1.7495101020048733E-2</v>
      </c>
      <c r="AK118" s="76">
        <v>1.9758210522940561E-2</v>
      </c>
    </row>
    <row r="119" spans="2:37" x14ac:dyDescent="0.35">
      <c r="B119" s="55" t="s">
        <v>98</v>
      </c>
      <c r="C119" s="53" t="s">
        <v>85</v>
      </c>
      <c r="D119" s="53" t="s">
        <v>47</v>
      </c>
      <c r="E119" s="53" t="s">
        <v>21</v>
      </c>
      <c r="F119" s="73" t="str">
        <f t="shared" si="13"/>
        <v/>
      </c>
      <c r="G119" s="60">
        <f t="shared" si="13"/>
        <v>7.4930272592251285E-3</v>
      </c>
      <c r="H119" s="60">
        <f t="shared" si="13"/>
        <v>1.4168964536037037E-2</v>
      </c>
      <c r="I119" s="60">
        <f t="shared" si="13"/>
        <v>1.742702251733531E-2</v>
      </c>
      <c r="J119" s="63">
        <f t="shared" si="13"/>
        <v>2.0487511134211142E-2</v>
      </c>
      <c r="K119" s="73" t="str">
        <f t="shared" si="14"/>
        <v/>
      </c>
      <c r="L119" s="60">
        <f t="shared" si="14"/>
        <v>3.8264514592251261E-3</v>
      </c>
      <c r="M119" s="60">
        <f t="shared" si="14"/>
        <v>9.5198428360370388E-3</v>
      </c>
      <c r="N119" s="60">
        <f t="shared" si="14"/>
        <v>1.190680961733531E-2</v>
      </c>
      <c r="O119" s="63">
        <f t="shared" si="14"/>
        <v>1.3695878934211141E-2</v>
      </c>
      <c r="P119" s="55" t="s">
        <v>21</v>
      </c>
      <c r="Q119" s="53" t="s">
        <v>21</v>
      </c>
      <c r="R119" s="94" t="s">
        <v>21</v>
      </c>
      <c r="S119" s="71">
        <v>0</v>
      </c>
      <c r="T119" s="63">
        <f t="shared" si="15"/>
        <v>1.4168964536037037E-2</v>
      </c>
      <c r="V119" s="114">
        <v>1.12883673</v>
      </c>
      <c r="W119" s="72">
        <v>2.8421786899999999</v>
      </c>
      <c r="X119" s="72">
        <v>4.3306288399999993</v>
      </c>
      <c r="Y119" s="72">
        <v>5.5921723800000001</v>
      </c>
      <c r="Z119" s="115">
        <v>7.1365106900000006</v>
      </c>
      <c r="AB119" s="73" t="s">
        <v>21</v>
      </c>
      <c r="AC119" s="71">
        <v>7.4930272592251285E-3</v>
      </c>
      <c r="AD119" s="71">
        <v>1.4168964536037037E-2</v>
      </c>
      <c r="AE119" s="71">
        <v>1.742702251733531E-2</v>
      </c>
      <c r="AF119" s="63">
        <v>2.0487511134211142E-2</v>
      </c>
      <c r="AG119" s="71" t="s">
        <v>21</v>
      </c>
      <c r="AH119" s="71">
        <v>3.8264514592251261E-3</v>
      </c>
      <c r="AI119" s="71">
        <v>9.5198428360370388E-3</v>
      </c>
      <c r="AJ119" s="71">
        <v>1.190680961733531E-2</v>
      </c>
      <c r="AK119" s="71">
        <v>1.3695878934211141E-2</v>
      </c>
    </row>
    <row r="120" spans="2:37" x14ac:dyDescent="0.35">
      <c r="B120" s="57" t="s">
        <v>98</v>
      </c>
      <c r="C120" s="67" t="s">
        <v>35</v>
      </c>
      <c r="D120" s="67" t="s">
        <v>47</v>
      </c>
      <c r="E120" s="67" t="s">
        <v>454</v>
      </c>
      <c r="F120" s="74">
        <f t="shared" si="13"/>
        <v>2.1520436857666147E-4</v>
      </c>
      <c r="G120" s="76">
        <f t="shared" si="13"/>
        <v>1.1020886676914997E-2</v>
      </c>
      <c r="H120" s="76">
        <f t="shared" si="13"/>
        <v>1.9924530708847431E-2</v>
      </c>
      <c r="I120" s="76">
        <f t="shared" si="13"/>
        <v>2.4930626908303097E-2</v>
      </c>
      <c r="J120" s="64">
        <f t="shared" si="13"/>
        <v>2.8922336954227058E-2</v>
      </c>
      <c r="K120" s="74" t="str">
        <f t="shared" si="14"/>
        <v/>
      </c>
      <c r="L120" s="76">
        <f t="shared" si="14"/>
        <v>7.5081337769149986E-3</v>
      </c>
      <c r="M120" s="76">
        <f t="shared" si="14"/>
        <v>1.5398541408847432E-2</v>
      </c>
      <c r="N120" s="76">
        <f t="shared" si="14"/>
        <v>1.9500955608303099E-2</v>
      </c>
      <c r="O120" s="64">
        <f t="shared" si="14"/>
        <v>2.2217640554227053E-2</v>
      </c>
      <c r="P120" s="57" t="s">
        <v>455</v>
      </c>
      <c r="Q120" s="67" t="s">
        <v>456</v>
      </c>
      <c r="R120" s="96" t="s">
        <v>32</v>
      </c>
      <c r="S120" s="76">
        <v>1.1668009999999999E-2</v>
      </c>
      <c r="T120" s="64">
        <f t="shared" si="15"/>
        <v>8.256520708847432E-3</v>
      </c>
      <c r="V120" s="116">
        <v>1.1275521199999998</v>
      </c>
      <c r="W120" s="108">
        <v>2.8300827399999999</v>
      </c>
      <c r="X120" s="108">
        <v>4.2901817199999996</v>
      </c>
      <c r="Y120" s="108">
        <v>5.5023498200000001</v>
      </c>
      <c r="Z120" s="117">
        <v>6.9521596500000005</v>
      </c>
      <c r="AB120" s="74">
        <v>2.1520436857666147E-4</v>
      </c>
      <c r="AC120" s="76">
        <v>1.1020886676914997E-2</v>
      </c>
      <c r="AD120" s="76">
        <v>1.9924530708847431E-2</v>
      </c>
      <c r="AE120" s="76">
        <v>2.4930626908303097E-2</v>
      </c>
      <c r="AF120" s="64">
        <v>2.8922336954227058E-2</v>
      </c>
      <c r="AG120" s="76" t="s">
        <v>21</v>
      </c>
      <c r="AH120" s="76">
        <v>7.5081337769149986E-3</v>
      </c>
      <c r="AI120" s="76">
        <v>1.5398541408847432E-2</v>
      </c>
      <c r="AJ120" s="76">
        <v>1.9500955608303099E-2</v>
      </c>
      <c r="AK120" s="76">
        <v>2.2217640554227053E-2</v>
      </c>
    </row>
    <row r="121" spans="2:37" x14ac:dyDescent="0.35">
      <c r="B121" s="55" t="s">
        <v>99</v>
      </c>
      <c r="C121" s="53" t="s">
        <v>85</v>
      </c>
      <c r="D121" s="53" t="s">
        <v>69</v>
      </c>
      <c r="E121" s="53" t="s">
        <v>100</v>
      </c>
      <c r="F121" s="73" t="str">
        <f t="shared" si="13"/>
        <v/>
      </c>
      <c r="G121" s="60">
        <f t="shared" si="13"/>
        <v>8.0143789459932724E-3</v>
      </c>
      <c r="H121" s="60">
        <f t="shared" si="13"/>
        <v>1.5017717101993252E-2</v>
      </c>
      <c r="I121" s="60">
        <f t="shared" si="13"/>
        <v>1.8479986402896713E-2</v>
      </c>
      <c r="J121" s="63">
        <f t="shared" si="13"/>
        <v>2.1868446977817549E-2</v>
      </c>
      <c r="K121" s="73" t="str">
        <f t="shared" si="14"/>
        <v/>
      </c>
      <c r="L121" s="60">
        <f t="shared" si="14"/>
        <v>4.3776516459932725E-3</v>
      </c>
      <c r="M121" s="60">
        <f t="shared" si="14"/>
        <v>1.0395817801993249E-2</v>
      </c>
      <c r="N121" s="60">
        <f t="shared" si="14"/>
        <v>1.2985278002896712E-2</v>
      </c>
      <c r="O121" s="63">
        <f t="shared" si="14"/>
        <v>1.510919897781755E-2</v>
      </c>
      <c r="P121" s="55" t="s">
        <v>21</v>
      </c>
      <c r="Q121" s="53" t="s">
        <v>21</v>
      </c>
      <c r="R121" s="94" t="s">
        <v>21</v>
      </c>
      <c r="S121" s="71">
        <v>0</v>
      </c>
      <c r="T121" s="63">
        <f t="shared" si="15"/>
        <v>1.5017717101993252E-2</v>
      </c>
      <c r="V121" s="114">
        <v>1.12930055</v>
      </c>
      <c r="W121" s="72">
        <v>2.8397388399999999</v>
      </c>
      <c r="X121" s="72">
        <v>4.3186390999999995</v>
      </c>
      <c r="Y121" s="72">
        <v>5.5645391499999999</v>
      </c>
      <c r="Z121" s="115">
        <v>7.0747668400000006</v>
      </c>
      <c r="AB121" s="73" t="s">
        <v>21</v>
      </c>
      <c r="AC121" s="71">
        <v>8.0143789459932724E-3</v>
      </c>
      <c r="AD121" s="71">
        <v>1.5017717101993252E-2</v>
      </c>
      <c r="AE121" s="71">
        <v>1.8479986402896713E-2</v>
      </c>
      <c r="AF121" s="63">
        <v>2.1868446977817549E-2</v>
      </c>
      <c r="AG121" s="71" t="s">
        <v>21</v>
      </c>
      <c r="AH121" s="71">
        <v>4.3776516459932725E-3</v>
      </c>
      <c r="AI121" s="71">
        <v>1.0395817801993249E-2</v>
      </c>
      <c r="AJ121" s="71">
        <v>1.2985278002896712E-2</v>
      </c>
      <c r="AK121" s="71">
        <v>1.510919897781755E-2</v>
      </c>
    </row>
    <row r="122" spans="2:37" x14ac:dyDescent="0.35">
      <c r="B122" s="57" t="s">
        <v>99</v>
      </c>
      <c r="C122" s="67" t="s">
        <v>35</v>
      </c>
      <c r="D122" s="67" t="s">
        <v>69</v>
      </c>
      <c r="E122" s="67" t="s">
        <v>226</v>
      </c>
      <c r="F122" s="74" t="str">
        <f t="shared" si="13"/>
        <v/>
      </c>
      <c r="G122" s="76">
        <f t="shared" si="13"/>
        <v>1.1097226783105572E-2</v>
      </c>
      <c r="H122" s="76">
        <f t="shared" si="13"/>
        <v>2.0140522602465977E-2</v>
      </c>
      <c r="I122" s="76">
        <f t="shared" si="13"/>
        <v>2.5230994769959651E-2</v>
      </c>
      <c r="J122" s="64">
        <f t="shared" si="13"/>
        <v>2.8875535550998657E-2</v>
      </c>
      <c r="K122" s="74" t="str">
        <f t="shared" si="14"/>
        <v/>
      </c>
      <c r="L122" s="76">
        <f t="shared" si="14"/>
        <v>7.585100883105573E-3</v>
      </c>
      <c r="M122" s="76">
        <f t="shared" si="14"/>
        <v>1.5615098402465978E-2</v>
      </c>
      <c r="N122" s="76">
        <f t="shared" si="14"/>
        <v>1.9800019769959654E-2</v>
      </c>
      <c r="O122" s="64">
        <f t="shared" si="14"/>
        <v>2.2173397550998661E-2</v>
      </c>
      <c r="P122" s="57" t="s">
        <v>457</v>
      </c>
      <c r="Q122" s="67" t="s">
        <v>458</v>
      </c>
      <c r="R122" s="96" t="s">
        <v>32</v>
      </c>
      <c r="S122" s="76">
        <v>1.492866E-2</v>
      </c>
      <c r="T122" s="64">
        <f t="shared" si="15"/>
        <v>5.2118626024659775E-3</v>
      </c>
      <c r="V122" s="116">
        <v>1.1291836899999999</v>
      </c>
      <c r="W122" s="108">
        <v>2.83272682</v>
      </c>
      <c r="X122" s="108">
        <v>4.2911200799999998</v>
      </c>
      <c r="Y122" s="108">
        <v>5.5000543899999998</v>
      </c>
      <c r="Z122" s="117">
        <v>6.9489962899999993</v>
      </c>
      <c r="AB122" s="74" t="s">
        <v>21</v>
      </c>
      <c r="AC122" s="76">
        <v>1.1097226783105572E-2</v>
      </c>
      <c r="AD122" s="76">
        <v>2.0140522602465977E-2</v>
      </c>
      <c r="AE122" s="76">
        <v>2.5230994769959651E-2</v>
      </c>
      <c r="AF122" s="64">
        <v>2.8875535550998657E-2</v>
      </c>
      <c r="AG122" s="76" t="s">
        <v>21</v>
      </c>
      <c r="AH122" s="76">
        <v>7.585100883105573E-3</v>
      </c>
      <c r="AI122" s="76">
        <v>1.5615098402465978E-2</v>
      </c>
      <c r="AJ122" s="76">
        <v>1.9800019769959654E-2</v>
      </c>
      <c r="AK122" s="76">
        <v>2.2173397550998661E-2</v>
      </c>
    </row>
    <row r="123" spans="2:37" x14ac:dyDescent="0.35">
      <c r="B123" s="55" t="s">
        <v>101</v>
      </c>
      <c r="C123" s="53" t="s">
        <v>85</v>
      </c>
      <c r="D123" s="53" t="s">
        <v>31</v>
      </c>
      <c r="E123" s="53" t="s">
        <v>21</v>
      </c>
      <c r="F123" s="73" t="str">
        <f t="shared" si="13"/>
        <v/>
      </c>
      <c r="G123" s="60">
        <f t="shared" si="13"/>
        <v>7.3104189755134174E-3</v>
      </c>
      <c r="H123" s="60">
        <f t="shared" si="13"/>
        <v>1.3836020082581991E-2</v>
      </c>
      <c r="I123" s="60">
        <f t="shared" si="13"/>
        <v>1.7255689376699235E-2</v>
      </c>
      <c r="J123" s="63">
        <f t="shared" si="13"/>
        <v>2.0462480137343232E-2</v>
      </c>
      <c r="K123" s="73" t="str">
        <f t="shared" si="14"/>
        <v/>
      </c>
      <c r="L123" s="60">
        <f t="shared" si="14"/>
        <v>3.6314453755134173E-3</v>
      </c>
      <c r="M123" s="60">
        <f t="shared" si="14"/>
        <v>9.1746239825819913E-3</v>
      </c>
      <c r="N123" s="60">
        <f t="shared" si="14"/>
        <v>1.1729887476699232E-2</v>
      </c>
      <c r="O123" s="63">
        <f t="shared" si="14"/>
        <v>1.3669434237343231E-2</v>
      </c>
      <c r="P123" s="55" t="s">
        <v>21</v>
      </c>
      <c r="Q123" s="53" t="s">
        <v>21</v>
      </c>
      <c r="R123" s="94" t="s">
        <v>21</v>
      </c>
      <c r="S123" s="71">
        <v>0</v>
      </c>
      <c r="T123" s="63">
        <f t="shared" si="15"/>
        <v>1.3836020082581991E-2</v>
      </c>
      <c r="V123" s="114">
        <v>1.13005076</v>
      </c>
      <c r="W123" s="72">
        <v>2.8456028899999999</v>
      </c>
      <c r="X123" s="72">
        <v>4.3378084599999998</v>
      </c>
      <c r="Y123" s="72">
        <v>5.6025401099999996</v>
      </c>
      <c r="Z123" s="115">
        <v>7.1484029000000007</v>
      </c>
      <c r="AB123" s="73" t="s">
        <v>21</v>
      </c>
      <c r="AC123" s="71">
        <v>7.3104189755134174E-3</v>
      </c>
      <c r="AD123" s="71">
        <v>1.3836020082581991E-2</v>
      </c>
      <c r="AE123" s="71">
        <v>1.7255689376699235E-2</v>
      </c>
      <c r="AF123" s="63">
        <v>2.0462480137343232E-2</v>
      </c>
      <c r="AG123" s="71" t="s">
        <v>21</v>
      </c>
      <c r="AH123" s="71">
        <v>3.6314453755134173E-3</v>
      </c>
      <c r="AI123" s="71">
        <v>9.1746239825819913E-3</v>
      </c>
      <c r="AJ123" s="71">
        <v>1.1729887476699232E-2</v>
      </c>
      <c r="AK123" s="71">
        <v>1.3669434237343231E-2</v>
      </c>
    </row>
    <row r="124" spans="2:37" x14ac:dyDescent="0.35">
      <c r="B124" s="57" t="s">
        <v>101</v>
      </c>
      <c r="C124" s="67" t="s">
        <v>35</v>
      </c>
      <c r="D124" s="67" t="s">
        <v>31</v>
      </c>
      <c r="E124" s="67" t="s">
        <v>21</v>
      </c>
      <c r="F124" s="74" t="str">
        <f t="shared" si="13"/>
        <v/>
      </c>
      <c r="G124" s="76">
        <f t="shared" si="13"/>
        <v>1.0207810927993558E-2</v>
      </c>
      <c r="H124" s="76">
        <f t="shared" si="13"/>
        <v>1.8592441523106591E-2</v>
      </c>
      <c r="I124" s="76">
        <f t="shared" si="13"/>
        <v>2.2838913433430419E-2</v>
      </c>
      <c r="J124" s="64">
        <f t="shared" si="13"/>
        <v>2.6375495558525645E-2</v>
      </c>
      <c r="K124" s="74" t="str">
        <f t="shared" si="14"/>
        <v/>
      </c>
      <c r="L124" s="76">
        <f t="shared" si="14"/>
        <v>6.6703045279935605E-3</v>
      </c>
      <c r="M124" s="76">
        <f t="shared" si="14"/>
        <v>1.405573232310659E-2</v>
      </c>
      <c r="N124" s="76">
        <f t="shared" si="14"/>
        <v>1.7411487833430418E-2</v>
      </c>
      <c r="O124" s="64">
        <f t="shared" si="14"/>
        <v>1.9672657158525644E-2</v>
      </c>
      <c r="P124" s="57" t="s">
        <v>21</v>
      </c>
      <c r="Q124" s="67" t="s">
        <v>21</v>
      </c>
      <c r="R124" s="96" t="s">
        <v>21</v>
      </c>
      <c r="S124" s="76">
        <v>0</v>
      </c>
      <c r="T124" s="64">
        <f t="shared" si="15"/>
        <v>1.8592441523106591E-2</v>
      </c>
      <c r="V124" s="116">
        <v>1.1287965199999999</v>
      </c>
      <c r="W124" s="108">
        <v>2.8361977199999999</v>
      </c>
      <c r="X124" s="108">
        <v>4.3076709099999997</v>
      </c>
      <c r="Y124" s="108">
        <v>5.5418794799999995</v>
      </c>
      <c r="Z124" s="117">
        <v>7.0382168699999994</v>
      </c>
      <c r="AB124" s="74" t="s">
        <v>21</v>
      </c>
      <c r="AC124" s="76">
        <v>1.0207810927993558E-2</v>
      </c>
      <c r="AD124" s="76">
        <v>1.8592441523106591E-2</v>
      </c>
      <c r="AE124" s="76">
        <v>2.2838913433430419E-2</v>
      </c>
      <c r="AF124" s="64">
        <v>2.6375495558525645E-2</v>
      </c>
      <c r="AG124" s="76" t="s">
        <v>21</v>
      </c>
      <c r="AH124" s="76">
        <v>6.6703045279935605E-3</v>
      </c>
      <c r="AI124" s="76">
        <v>1.405573232310659E-2</v>
      </c>
      <c r="AJ124" s="76">
        <v>1.7411487833430418E-2</v>
      </c>
      <c r="AK124" s="76">
        <v>1.9672657158525644E-2</v>
      </c>
    </row>
    <row r="125" spans="2:37" x14ac:dyDescent="0.35">
      <c r="B125" s="55" t="s">
        <v>102</v>
      </c>
      <c r="C125" s="53" t="s">
        <v>85</v>
      </c>
      <c r="D125" s="53" t="s">
        <v>69</v>
      </c>
      <c r="E125" s="53" t="s">
        <v>459</v>
      </c>
      <c r="F125" s="73" t="str">
        <f t="shared" si="13"/>
        <v/>
      </c>
      <c r="G125" s="60">
        <f t="shared" si="13"/>
        <v>7.9981643800782661E-3</v>
      </c>
      <c r="H125" s="60">
        <f t="shared" si="13"/>
        <v>1.5010073797179304E-2</v>
      </c>
      <c r="I125" s="60">
        <f t="shared" si="13"/>
        <v>1.8524845264374153E-2</v>
      </c>
      <c r="J125" s="63">
        <f t="shared" si="13"/>
        <v>2.1714810029967099E-2</v>
      </c>
      <c r="K125" s="73" t="str">
        <f t="shared" si="14"/>
        <v/>
      </c>
      <c r="L125" s="60">
        <f t="shared" si="14"/>
        <v>4.3603607800782665E-3</v>
      </c>
      <c r="M125" s="60">
        <f t="shared" si="14"/>
        <v>1.0387036597179305E-2</v>
      </c>
      <c r="N125" s="60">
        <f t="shared" si="14"/>
        <v>1.3029737464374152E-2</v>
      </c>
      <c r="O125" s="63">
        <f t="shared" si="14"/>
        <v>1.4952789429967098E-2</v>
      </c>
      <c r="P125" s="55" t="s">
        <v>21</v>
      </c>
      <c r="Q125" s="53" t="s">
        <v>21</v>
      </c>
      <c r="R125" s="94" t="s">
        <v>21</v>
      </c>
      <c r="S125" s="71">
        <v>0</v>
      </c>
      <c r="T125" s="63">
        <f t="shared" si="15"/>
        <v>1.5010073797179304E-2</v>
      </c>
      <c r="V125" s="114">
        <v>1.1282511099999999</v>
      </c>
      <c r="W125" s="72">
        <v>2.8379040799999999</v>
      </c>
      <c r="X125" s="72">
        <v>4.3169354499999999</v>
      </c>
      <c r="Y125" s="72">
        <v>5.56233705</v>
      </c>
      <c r="Z125" s="115">
        <v>7.07522012</v>
      </c>
      <c r="AB125" s="73" t="s">
        <v>21</v>
      </c>
      <c r="AC125" s="71">
        <v>7.9981643800782661E-3</v>
      </c>
      <c r="AD125" s="71">
        <v>1.5010073797179304E-2</v>
      </c>
      <c r="AE125" s="71">
        <v>1.8524845264374153E-2</v>
      </c>
      <c r="AF125" s="63">
        <v>2.1714810029967099E-2</v>
      </c>
      <c r="AG125" s="71" t="s">
        <v>21</v>
      </c>
      <c r="AH125" s="71">
        <v>4.3603607800782665E-3</v>
      </c>
      <c r="AI125" s="71">
        <v>1.0387036597179305E-2</v>
      </c>
      <c r="AJ125" s="71">
        <v>1.3029737464374152E-2</v>
      </c>
      <c r="AK125" s="71">
        <v>1.4952789429967098E-2</v>
      </c>
    </row>
    <row r="126" spans="2:37" x14ac:dyDescent="0.35">
      <c r="B126" s="57" t="s">
        <v>102</v>
      </c>
      <c r="C126" s="67" t="s">
        <v>35</v>
      </c>
      <c r="D126" s="67" t="s">
        <v>69</v>
      </c>
      <c r="E126" s="67" t="s">
        <v>161</v>
      </c>
      <c r="F126" s="74" t="str">
        <f t="shared" si="13"/>
        <v/>
      </c>
      <c r="G126" s="76">
        <f t="shared" si="13"/>
        <v>1.1075233314827491E-2</v>
      </c>
      <c r="H126" s="76">
        <f t="shared" si="13"/>
        <v>2.0129806015945488E-2</v>
      </c>
      <c r="I126" s="76">
        <f t="shared" si="13"/>
        <v>2.483661134864177E-2</v>
      </c>
      <c r="J126" s="64">
        <f t="shared" si="13"/>
        <v>2.8830761793885922E-2</v>
      </c>
      <c r="K126" s="74" t="str">
        <f t="shared" si="14"/>
        <v/>
      </c>
      <c r="L126" s="76">
        <f t="shared" si="14"/>
        <v>7.5628792148274906E-3</v>
      </c>
      <c r="M126" s="76">
        <f t="shared" si="14"/>
        <v>1.5604055015945492E-2</v>
      </c>
      <c r="N126" s="76">
        <f t="shared" si="14"/>
        <v>1.9407803548641765E-2</v>
      </c>
      <c r="O126" s="64">
        <f t="shared" si="14"/>
        <v>2.2126124693885925E-2</v>
      </c>
      <c r="P126" s="57" t="s">
        <v>21</v>
      </c>
      <c r="Q126" s="67" t="s">
        <v>21</v>
      </c>
      <c r="R126" s="96" t="s">
        <v>21</v>
      </c>
      <c r="S126" s="76">
        <v>0</v>
      </c>
      <c r="T126" s="64">
        <f t="shared" si="15"/>
        <v>2.0129806015945488E-2</v>
      </c>
      <c r="V126" s="114">
        <v>1.1281869899999999</v>
      </c>
      <c r="W126" s="72">
        <v>2.83100058</v>
      </c>
      <c r="X126" s="72">
        <v>4.2895174999999997</v>
      </c>
      <c r="Y126" s="72">
        <v>5.5020881200000007</v>
      </c>
      <c r="Z126" s="115">
        <v>6.9538890599999998</v>
      </c>
      <c r="AB126" s="74" t="s">
        <v>21</v>
      </c>
      <c r="AC126" s="76">
        <v>1.1075233314827491E-2</v>
      </c>
      <c r="AD126" s="76">
        <v>2.0129806015945488E-2</v>
      </c>
      <c r="AE126" s="76">
        <v>2.483661134864177E-2</v>
      </c>
      <c r="AF126" s="64">
        <v>2.8830761793885922E-2</v>
      </c>
      <c r="AG126" s="76" t="s">
        <v>21</v>
      </c>
      <c r="AH126" s="76">
        <v>7.5628792148274906E-3</v>
      </c>
      <c r="AI126" s="76">
        <v>1.5604055015945492E-2</v>
      </c>
      <c r="AJ126" s="76">
        <v>1.9407803548641765E-2</v>
      </c>
      <c r="AK126" s="76">
        <v>2.2126124693885925E-2</v>
      </c>
    </row>
    <row r="127" spans="2:37" x14ac:dyDescent="0.35">
      <c r="B127" s="56" t="s">
        <v>104</v>
      </c>
      <c r="C127" s="66" t="s">
        <v>85</v>
      </c>
      <c r="D127" s="66" t="s">
        <v>43</v>
      </c>
      <c r="E127" s="65" t="s">
        <v>417</v>
      </c>
      <c r="F127" s="80" t="str">
        <f t="shared" si="13"/>
        <v/>
      </c>
      <c r="G127" s="80">
        <f t="shared" si="13"/>
        <v>6.5625024358185007E-3</v>
      </c>
      <c r="H127" s="80">
        <f t="shared" si="13"/>
        <v>1.2794459992196061E-2</v>
      </c>
      <c r="I127" s="80">
        <f t="shared" si="13"/>
        <v>1.5664668953943806E-2</v>
      </c>
      <c r="J127" s="62">
        <f t="shared" si="13"/>
        <v>1.8400647175687165E-2</v>
      </c>
      <c r="K127" s="80" t="str">
        <f t="shared" si="14"/>
        <v/>
      </c>
      <c r="L127" s="80">
        <f t="shared" si="14"/>
        <v>2.8303469358185009E-3</v>
      </c>
      <c r="M127" s="80">
        <f t="shared" si="14"/>
        <v>8.0871367921960605E-3</v>
      </c>
      <c r="N127" s="80">
        <f t="shared" si="14"/>
        <v>1.0082822253943807E-2</v>
      </c>
      <c r="O127" s="62">
        <f t="shared" si="14"/>
        <v>1.1533443075687164E-2</v>
      </c>
      <c r="P127" s="56" t="s">
        <v>21</v>
      </c>
      <c r="Q127" s="66" t="s">
        <v>21</v>
      </c>
      <c r="R127" s="100" t="s">
        <v>21</v>
      </c>
      <c r="S127" s="80">
        <v>0</v>
      </c>
      <c r="T127" s="62">
        <f t="shared" si="15"/>
        <v>1.2794459992196061E-2</v>
      </c>
      <c r="V127" s="118">
        <v>1.1300158600000001</v>
      </c>
      <c r="W127" s="61">
        <v>2.85077449</v>
      </c>
      <c r="X127" s="61">
        <v>4.35487571</v>
      </c>
      <c r="Y127" s="61">
        <v>5.6427551400000002</v>
      </c>
      <c r="Z127" s="119">
        <v>7.24094383</v>
      </c>
      <c r="AB127" s="80" t="s">
        <v>21</v>
      </c>
      <c r="AC127" s="80">
        <v>6.5625024358185007E-3</v>
      </c>
      <c r="AD127" s="80">
        <v>1.2794459992196061E-2</v>
      </c>
      <c r="AE127" s="80">
        <v>1.5664668953943806E-2</v>
      </c>
      <c r="AF127" s="62">
        <v>1.8400647175687165E-2</v>
      </c>
      <c r="AG127" s="80" t="s">
        <v>21</v>
      </c>
      <c r="AH127" s="80">
        <v>2.8303469358185009E-3</v>
      </c>
      <c r="AI127" s="80">
        <v>8.0871367921960605E-3</v>
      </c>
      <c r="AJ127" s="80">
        <v>1.0082822253943807E-2</v>
      </c>
      <c r="AK127" s="80">
        <v>1.1533443075687164E-2</v>
      </c>
    </row>
    <row r="128" spans="2:37" x14ac:dyDescent="0.35">
      <c r="B128" s="57" t="s">
        <v>104</v>
      </c>
      <c r="C128" s="67" t="s">
        <v>35</v>
      </c>
      <c r="D128" s="67" t="s">
        <v>43</v>
      </c>
      <c r="E128" s="54" t="s">
        <v>417</v>
      </c>
      <c r="F128" s="76" t="str">
        <f t="shared" si="13"/>
        <v/>
      </c>
      <c r="G128" s="76">
        <f t="shared" si="13"/>
        <v>1.0869739753155564E-2</v>
      </c>
      <c r="H128" s="76">
        <f t="shared" si="13"/>
        <v>1.9652114757658289E-2</v>
      </c>
      <c r="I128" s="76">
        <f t="shared" si="13"/>
        <v>2.3880546810296045E-2</v>
      </c>
      <c r="J128" s="64">
        <f t="shared" si="13"/>
        <v>2.7308919107641685E-2</v>
      </c>
      <c r="K128" s="76" t="str">
        <f t="shared" si="14"/>
        <v/>
      </c>
      <c r="L128" s="76">
        <f t="shared" si="14"/>
        <v>7.3511711531555664E-3</v>
      </c>
      <c r="M128" s="76">
        <f t="shared" si="14"/>
        <v>1.5123475157658292E-2</v>
      </c>
      <c r="N128" s="76">
        <f t="shared" si="14"/>
        <v>1.8454238810296043E-2</v>
      </c>
      <c r="O128" s="64">
        <f t="shared" si="14"/>
        <v>2.0608252207641675E-2</v>
      </c>
      <c r="P128" s="67" t="s">
        <v>21</v>
      </c>
      <c r="Q128" s="67" t="s">
        <v>21</v>
      </c>
      <c r="R128" s="96" t="s">
        <v>21</v>
      </c>
      <c r="S128" s="76">
        <v>0</v>
      </c>
      <c r="T128" s="64">
        <f t="shared" si="15"/>
        <v>1.9652114757658289E-2</v>
      </c>
      <c r="V128" s="116">
        <v>1.1283869900000001</v>
      </c>
      <c r="W128" s="108">
        <v>2.83234012</v>
      </c>
      <c r="X128" s="108">
        <v>4.2947825799999997</v>
      </c>
      <c r="Y128" s="108">
        <v>5.5171510700000006</v>
      </c>
      <c r="Z128" s="117">
        <v>6.9953728100000001</v>
      </c>
      <c r="AB128" s="76" t="s">
        <v>21</v>
      </c>
      <c r="AC128" s="76">
        <v>1.0869739753155564E-2</v>
      </c>
      <c r="AD128" s="76">
        <v>1.9652114757658289E-2</v>
      </c>
      <c r="AE128" s="76">
        <v>2.3880546810296045E-2</v>
      </c>
      <c r="AF128" s="64">
        <v>2.7308919107641685E-2</v>
      </c>
      <c r="AG128" s="76" t="s">
        <v>21</v>
      </c>
      <c r="AH128" s="76">
        <v>7.3511711531555664E-3</v>
      </c>
      <c r="AI128" s="76">
        <v>1.5123475157658292E-2</v>
      </c>
      <c r="AJ128" s="76">
        <v>1.8454238810296043E-2</v>
      </c>
      <c r="AK128" s="76">
        <v>2.0608252207641675E-2</v>
      </c>
    </row>
    <row r="129" spans="2:37" x14ac:dyDescent="0.35">
      <c r="B129" s="55" t="s">
        <v>105</v>
      </c>
      <c r="C129" s="53" t="s">
        <v>85</v>
      </c>
      <c r="D129" s="53" t="s">
        <v>43</v>
      </c>
      <c r="E129" s="53" t="s">
        <v>417</v>
      </c>
      <c r="F129" s="73" t="str">
        <f t="shared" si="13"/>
        <v/>
      </c>
      <c r="G129" s="60">
        <f t="shared" si="13"/>
        <v>6.6126291489036725E-3</v>
      </c>
      <c r="H129" s="60">
        <f t="shared" si="13"/>
        <v>1.2688525451267514E-2</v>
      </c>
      <c r="I129" s="60">
        <f t="shared" si="13"/>
        <v>1.556591801755839E-2</v>
      </c>
      <c r="J129" s="63">
        <f t="shared" si="13"/>
        <v>1.8202801420519981E-2</v>
      </c>
      <c r="K129" s="73" t="str">
        <f t="shared" si="14"/>
        <v/>
      </c>
      <c r="L129" s="60">
        <f t="shared" si="14"/>
        <v>2.8848293489036718E-3</v>
      </c>
      <c r="M129" s="60">
        <f t="shared" si="14"/>
        <v>7.9763359512675172E-3</v>
      </c>
      <c r="N129" s="60">
        <f t="shared" si="14"/>
        <v>9.9796914175583895E-3</v>
      </c>
      <c r="O129" s="63">
        <f t="shared" si="14"/>
        <v>1.1326925220519979E-2</v>
      </c>
      <c r="P129" s="55" t="s">
        <v>21</v>
      </c>
      <c r="Q129" s="53" t="s">
        <v>21</v>
      </c>
      <c r="R129" s="94" t="s">
        <v>21</v>
      </c>
      <c r="S129" s="71">
        <v>0</v>
      </c>
      <c r="T129" s="63">
        <f t="shared" si="15"/>
        <v>1.2688525451267514E-2</v>
      </c>
      <c r="V129" s="114">
        <v>1.1300899899999999</v>
      </c>
      <c r="W129" s="72">
        <v>2.8500971900000001</v>
      </c>
      <c r="X129" s="72">
        <v>4.35527468</v>
      </c>
      <c r="Y129" s="72">
        <v>5.6447556699999994</v>
      </c>
      <c r="Z129" s="115">
        <v>7.2476191199999995</v>
      </c>
      <c r="AB129" s="73" t="s">
        <v>21</v>
      </c>
      <c r="AC129" s="71">
        <v>6.6126291489036725E-3</v>
      </c>
      <c r="AD129" s="71">
        <v>1.2688525451267514E-2</v>
      </c>
      <c r="AE129" s="71">
        <v>1.556591801755839E-2</v>
      </c>
      <c r="AF129" s="63">
        <v>1.8202801420519981E-2</v>
      </c>
      <c r="AG129" s="71" t="s">
        <v>21</v>
      </c>
      <c r="AH129" s="71">
        <v>2.8848293489036718E-3</v>
      </c>
      <c r="AI129" s="71">
        <v>7.9763359512675172E-3</v>
      </c>
      <c r="AJ129" s="71">
        <v>9.9796914175583895E-3</v>
      </c>
      <c r="AK129" s="71">
        <v>1.1326925220519979E-2</v>
      </c>
    </row>
    <row r="130" spans="2:37" x14ac:dyDescent="0.35">
      <c r="B130" s="57" t="s">
        <v>105</v>
      </c>
      <c r="C130" s="67" t="s">
        <v>35</v>
      </c>
      <c r="D130" s="67" t="s">
        <v>43</v>
      </c>
      <c r="E130" s="67" t="s">
        <v>21</v>
      </c>
      <c r="F130" s="74" t="str">
        <f t="shared" si="13"/>
        <v/>
      </c>
      <c r="G130" s="76">
        <f t="shared" si="13"/>
        <v>1.068595297177243E-2</v>
      </c>
      <c r="H130" s="76">
        <f t="shared" si="13"/>
        <v>1.936117524950141E-2</v>
      </c>
      <c r="I130" s="76">
        <f t="shared" si="13"/>
        <v>2.3497375537629733E-2</v>
      </c>
      <c r="J130" s="64">
        <f t="shared" si="13"/>
        <v>2.7028889810948253E-2</v>
      </c>
      <c r="K130" s="74" t="str">
        <f t="shared" si="14"/>
        <v/>
      </c>
      <c r="L130" s="76">
        <f t="shared" si="14"/>
        <v>7.162892771772433E-3</v>
      </c>
      <c r="M130" s="76">
        <f t="shared" si="14"/>
        <v>1.4831201749501411E-2</v>
      </c>
      <c r="N130" s="76">
        <f t="shared" si="14"/>
        <v>1.8071679537629733E-2</v>
      </c>
      <c r="O130" s="64">
        <f t="shared" si="14"/>
        <v>2.0327710710948257E-2</v>
      </c>
      <c r="P130" s="57" t="s">
        <v>21</v>
      </c>
      <c r="Q130" s="67" t="s">
        <v>21</v>
      </c>
      <c r="R130" s="96" t="s">
        <v>21</v>
      </c>
      <c r="S130" s="76">
        <v>0</v>
      </c>
      <c r="T130" s="64">
        <f t="shared" si="15"/>
        <v>1.936117524950141E-2</v>
      </c>
      <c r="V130" s="114">
        <v>1.1284933500000001</v>
      </c>
      <c r="W130" s="72">
        <v>2.8333930199999999</v>
      </c>
      <c r="X130" s="72">
        <v>4.2982982500000002</v>
      </c>
      <c r="Y130" s="72">
        <v>5.5247826099999999</v>
      </c>
      <c r="Z130" s="115">
        <v>7.0088284900000009</v>
      </c>
      <c r="AB130" s="74" t="s">
        <v>21</v>
      </c>
      <c r="AC130" s="76">
        <v>1.068595297177243E-2</v>
      </c>
      <c r="AD130" s="76">
        <v>1.936117524950141E-2</v>
      </c>
      <c r="AE130" s="76">
        <v>2.3497375537629733E-2</v>
      </c>
      <c r="AF130" s="64">
        <v>2.7028889810948253E-2</v>
      </c>
      <c r="AG130" s="76" t="s">
        <v>21</v>
      </c>
      <c r="AH130" s="76">
        <v>7.162892771772433E-3</v>
      </c>
      <c r="AI130" s="76">
        <v>1.4831201749501411E-2</v>
      </c>
      <c r="AJ130" s="76">
        <v>1.8071679537629733E-2</v>
      </c>
      <c r="AK130" s="76">
        <v>2.0327710710948257E-2</v>
      </c>
    </row>
    <row r="131" spans="2:37" x14ac:dyDescent="0.35">
      <c r="B131" s="56" t="s">
        <v>106</v>
      </c>
      <c r="C131" s="66" t="s">
        <v>85</v>
      </c>
      <c r="D131" s="66" t="s">
        <v>62</v>
      </c>
      <c r="E131" s="66" t="s">
        <v>460</v>
      </c>
      <c r="F131" s="75" t="str">
        <f t="shared" ref="F131:J138" si="16">IF(ISNUMBER(AB131),AB131-((C$4-C$3)/V131),"")</f>
        <v/>
      </c>
      <c r="G131" s="80">
        <f t="shared" si="16"/>
        <v>7.4445044850974295E-3</v>
      </c>
      <c r="H131" s="80">
        <f t="shared" si="16"/>
        <v>1.407589520326828E-2</v>
      </c>
      <c r="I131" s="80">
        <f t="shared" si="16"/>
        <v>1.7287054582557991E-2</v>
      </c>
      <c r="J131" s="62">
        <f t="shared" si="16"/>
        <v>2.0198544494121215E-2</v>
      </c>
      <c r="K131" s="75" t="str">
        <f t="shared" ref="K131:O138" si="17">IF(ISNUMBER(AG131),IF(AG131-((C$4-C$3)/V131)&lt;0,"",AG131-((C$4-C$3)/V131)),"")</f>
        <v/>
      </c>
      <c r="L131" s="80">
        <f t="shared" si="17"/>
        <v>3.7744596850974319E-3</v>
      </c>
      <c r="M131" s="80">
        <f t="shared" si="17"/>
        <v>9.4233358032682814E-3</v>
      </c>
      <c r="N131" s="80">
        <f t="shared" si="17"/>
        <v>1.1762986582557993E-2</v>
      </c>
      <c r="O131" s="62">
        <f t="shared" si="17"/>
        <v>1.3399407994121214E-2</v>
      </c>
      <c r="P131" s="56" t="s">
        <v>461</v>
      </c>
      <c r="Q131" s="66" t="s">
        <v>462</v>
      </c>
      <c r="R131" s="100" t="s">
        <v>32</v>
      </c>
      <c r="S131" s="80">
        <v>1.1738930000000002E-2</v>
      </c>
      <c r="T131" s="62">
        <f t="shared" si="15"/>
        <v>2.3369652032682788E-3</v>
      </c>
      <c r="V131" s="118">
        <v>1.1292886600000001</v>
      </c>
      <c r="W131" s="61">
        <v>2.8433324799999999</v>
      </c>
      <c r="X131" s="61">
        <v>4.3328376400000002</v>
      </c>
      <c r="Y131" s="61">
        <v>5.5964265500000003</v>
      </c>
      <c r="Z131" s="119">
        <v>7.1474236900000001</v>
      </c>
      <c r="AB131" s="75" t="s">
        <v>21</v>
      </c>
      <c r="AC131" s="80">
        <v>7.4445044850974295E-3</v>
      </c>
      <c r="AD131" s="80">
        <v>1.407589520326828E-2</v>
      </c>
      <c r="AE131" s="80">
        <v>1.7287054582557991E-2</v>
      </c>
      <c r="AF131" s="62">
        <v>2.0198544494121215E-2</v>
      </c>
      <c r="AG131" s="80" t="s">
        <v>21</v>
      </c>
      <c r="AH131" s="80">
        <v>3.7744596850974319E-3</v>
      </c>
      <c r="AI131" s="80">
        <v>9.4233358032682814E-3</v>
      </c>
      <c r="AJ131" s="80">
        <v>1.1762986582557993E-2</v>
      </c>
      <c r="AK131" s="80">
        <v>1.3399407994121214E-2</v>
      </c>
    </row>
    <row r="132" spans="2:37" x14ac:dyDescent="0.35">
      <c r="B132" s="57" t="s">
        <v>106</v>
      </c>
      <c r="C132" s="67" t="s">
        <v>35</v>
      </c>
      <c r="D132" s="67" t="s">
        <v>62</v>
      </c>
      <c r="E132" s="67" t="s">
        <v>463</v>
      </c>
      <c r="F132" s="74" t="str">
        <f t="shared" si="16"/>
        <v/>
      </c>
      <c r="G132" s="76">
        <f t="shared" si="16"/>
        <v>1.1106639257330558E-2</v>
      </c>
      <c r="H132" s="76">
        <f t="shared" si="16"/>
        <v>2.0034256893884231E-2</v>
      </c>
      <c r="I132" s="76">
        <f t="shared" si="16"/>
        <v>2.4159414329471683E-2</v>
      </c>
      <c r="J132" s="64">
        <f t="shared" si="16"/>
        <v>2.7975845353937372E-2</v>
      </c>
      <c r="K132" s="76" t="str">
        <f t="shared" si="17"/>
        <v/>
      </c>
      <c r="L132" s="76">
        <f t="shared" si="17"/>
        <v>7.5948649573305627E-3</v>
      </c>
      <c r="M132" s="76">
        <f t="shared" si="17"/>
        <v>1.5508161593884228E-2</v>
      </c>
      <c r="N132" s="76">
        <f t="shared" si="17"/>
        <v>1.8733774929471689E-2</v>
      </c>
      <c r="O132" s="76">
        <f t="shared" si="17"/>
        <v>2.1273544553937377E-2</v>
      </c>
      <c r="P132" s="67" t="s">
        <v>21</v>
      </c>
      <c r="Q132" s="67" t="s">
        <v>21</v>
      </c>
      <c r="R132" s="96" t="s">
        <v>21</v>
      </c>
      <c r="S132" s="76">
        <v>0</v>
      </c>
      <c r="T132" s="76">
        <f t="shared" si="15"/>
        <v>2.0034256893884231E-2</v>
      </c>
      <c r="V132" s="116">
        <v>1.12837813</v>
      </c>
      <c r="W132" s="108">
        <v>2.8312054400000002</v>
      </c>
      <c r="X132" s="108">
        <v>4.2903707500000001</v>
      </c>
      <c r="Y132" s="108">
        <v>5.5093426299999999</v>
      </c>
      <c r="Z132" s="117">
        <v>6.9769174899999991</v>
      </c>
      <c r="AB132" s="74" t="s">
        <v>21</v>
      </c>
      <c r="AC132" s="76">
        <v>1.1106639257330558E-2</v>
      </c>
      <c r="AD132" s="76">
        <v>2.0034256893884231E-2</v>
      </c>
      <c r="AE132" s="76">
        <v>2.4159414329471683E-2</v>
      </c>
      <c r="AF132" s="64">
        <v>2.7975845353937372E-2</v>
      </c>
      <c r="AG132" s="76" t="s">
        <v>21</v>
      </c>
      <c r="AH132" s="76">
        <v>7.5948649573305627E-3</v>
      </c>
      <c r="AI132" s="76">
        <v>1.5508161593884228E-2</v>
      </c>
      <c r="AJ132" s="76">
        <v>1.8733774929471689E-2</v>
      </c>
      <c r="AK132" s="76">
        <v>2.1273544553937377E-2</v>
      </c>
    </row>
    <row r="133" spans="2:37" x14ac:dyDescent="0.35">
      <c r="B133" s="55" t="s">
        <v>107</v>
      </c>
      <c r="C133" s="53" t="s">
        <v>85</v>
      </c>
      <c r="D133" s="53" t="s">
        <v>62</v>
      </c>
      <c r="E133" s="53" t="s">
        <v>266</v>
      </c>
      <c r="F133" s="73" t="str">
        <f t="shared" si="16"/>
        <v/>
      </c>
      <c r="G133" s="60">
        <f t="shared" si="16"/>
        <v>7.3764284845458947E-3</v>
      </c>
      <c r="H133" s="60">
        <f t="shared" si="16"/>
        <v>1.3972443332320381E-2</v>
      </c>
      <c r="I133" s="60">
        <f t="shared" si="16"/>
        <v>1.7339268974394008E-2</v>
      </c>
      <c r="J133" s="63">
        <f t="shared" si="16"/>
        <v>2.0197592343548423E-2</v>
      </c>
      <c r="K133" s="73" t="str">
        <f t="shared" si="17"/>
        <v/>
      </c>
      <c r="L133" s="60">
        <f t="shared" si="17"/>
        <v>3.7022867845458926E-3</v>
      </c>
      <c r="M133" s="60">
        <f t="shared" si="17"/>
        <v>9.3159571323203801E-3</v>
      </c>
      <c r="N133" s="60">
        <f t="shared" si="17"/>
        <v>1.1815744574394008E-2</v>
      </c>
      <c r="O133" s="63">
        <f t="shared" si="17"/>
        <v>1.3398672443548424E-2</v>
      </c>
      <c r="P133" s="55" t="s">
        <v>21</v>
      </c>
      <c r="Q133" s="53" t="s">
        <v>21</v>
      </c>
      <c r="R133" s="94" t="s">
        <v>21</v>
      </c>
      <c r="S133" s="71">
        <v>0</v>
      </c>
      <c r="T133" s="63">
        <f t="shared" si="15"/>
        <v>1.3972443332320381E-2</v>
      </c>
      <c r="V133" s="114">
        <v>1.1289202599999999</v>
      </c>
      <c r="W133" s="72">
        <v>2.8430782000000003</v>
      </c>
      <c r="X133" s="72">
        <v>4.3337542100000004</v>
      </c>
      <c r="Y133" s="72">
        <v>5.5970112500000004</v>
      </c>
      <c r="Z133" s="115">
        <v>7.14750584</v>
      </c>
      <c r="AB133" s="73" t="s">
        <v>21</v>
      </c>
      <c r="AC133" s="71">
        <v>7.3764284845458947E-3</v>
      </c>
      <c r="AD133" s="71">
        <v>1.3972443332320381E-2</v>
      </c>
      <c r="AE133" s="71">
        <v>1.7339268974394008E-2</v>
      </c>
      <c r="AF133" s="63">
        <v>2.0197592343548423E-2</v>
      </c>
      <c r="AG133" s="71" t="s">
        <v>21</v>
      </c>
      <c r="AH133" s="71">
        <v>3.7022867845458926E-3</v>
      </c>
      <c r="AI133" s="71">
        <v>9.3159571323203801E-3</v>
      </c>
      <c r="AJ133" s="71">
        <v>1.1815744574394008E-2</v>
      </c>
      <c r="AK133" s="71">
        <v>1.3398672443548424E-2</v>
      </c>
    </row>
    <row r="134" spans="2:37" x14ac:dyDescent="0.35">
      <c r="B134" s="55" t="s">
        <v>107</v>
      </c>
      <c r="C134" s="53" t="s">
        <v>35</v>
      </c>
      <c r="D134" s="53" t="s">
        <v>62</v>
      </c>
      <c r="E134" s="53" t="s">
        <v>291</v>
      </c>
      <c r="F134" s="73" t="str">
        <f t="shared" si="16"/>
        <v/>
      </c>
      <c r="G134" s="60">
        <f t="shared" si="16"/>
        <v>1.0441415146907627E-2</v>
      </c>
      <c r="H134" s="60">
        <f t="shared" si="16"/>
        <v>1.8973918410494062E-2</v>
      </c>
      <c r="I134" s="60">
        <f t="shared" si="16"/>
        <v>2.2823726999252898E-2</v>
      </c>
      <c r="J134" s="63">
        <f t="shared" si="16"/>
        <v>2.6660535672531568E-2</v>
      </c>
      <c r="K134" s="73" t="str">
        <f t="shared" si="17"/>
        <v/>
      </c>
      <c r="L134" s="60">
        <f t="shared" si="17"/>
        <v>6.9114958469076275E-3</v>
      </c>
      <c r="M134" s="60">
        <f t="shared" si="17"/>
        <v>1.4441065510494063E-2</v>
      </c>
      <c r="N134" s="60">
        <f t="shared" si="17"/>
        <v>1.7397491399252899E-2</v>
      </c>
      <c r="O134" s="63">
        <f t="shared" si="17"/>
        <v>1.9956849372531567E-2</v>
      </c>
      <c r="P134" s="55" t="s">
        <v>21</v>
      </c>
      <c r="Q134" s="53" t="s">
        <v>21</v>
      </c>
      <c r="R134" s="94" t="s">
        <v>21</v>
      </c>
      <c r="S134" s="71">
        <v>0</v>
      </c>
      <c r="T134" s="63">
        <f t="shared" si="15"/>
        <v>1.8973918410494062E-2</v>
      </c>
      <c r="V134" s="114">
        <v>1.12848342</v>
      </c>
      <c r="W134" s="72">
        <v>2.8345213599999997</v>
      </c>
      <c r="X134" s="72">
        <v>4.3027296899999996</v>
      </c>
      <c r="Y134" s="72">
        <v>5.5362299500000001</v>
      </c>
      <c r="Z134" s="115">
        <v>7.0289627800000005</v>
      </c>
      <c r="AB134" s="73" t="s">
        <v>21</v>
      </c>
      <c r="AC134" s="71">
        <v>1.0441415146907627E-2</v>
      </c>
      <c r="AD134" s="71">
        <v>1.8973918410494062E-2</v>
      </c>
      <c r="AE134" s="71">
        <v>2.2823726999252898E-2</v>
      </c>
      <c r="AF134" s="63">
        <v>2.6660535672531568E-2</v>
      </c>
      <c r="AG134" s="71" t="s">
        <v>21</v>
      </c>
      <c r="AH134" s="71">
        <v>6.9114958469076275E-3</v>
      </c>
      <c r="AI134" s="71">
        <v>1.4441065510494063E-2</v>
      </c>
      <c r="AJ134" s="71">
        <v>1.7397491399252899E-2</v>
      </c>
      <c r="AK134" s="71">
        <v>1.9956849372531567E-2</v>
      </c>
    </row>
    <row r="135" spans="2:37" x14ac:dyDescent="0.35">
      <c r="B135" s="97" t="s">
        <v>83</v>
      </c>
      <c r="C135" s="98"/>
      <c r="D135" s="98"/>
      <c r="E135" s="98"/>
      <c r="F135" s="98" t="str">
        <f t="shared" si="16"/>
        <v/>
      </c>
      <c r="G135" s="98" t="str">
        <f t="shared" si="16"/>
        <v/>
      </c>
      <c r="H135" s="98" t="str">
        <f t="shared" si="16"/>
        <v/>
      </c>
      <c r="I135" s="98" t="str">
        <f t="shared" si="16"/>
        <v/>
      </c>
      <c r="J135" s="98" t="str">
        <f t="shared" si="16"/>
        <v/>
      </c>
      <c r="K135" s="98" t="str">
        <f t="shared" si="17"/>
        <v/>
      </c>
      <c r="L135" s="98" t="str">
        <f t="shared" si="17"/>
        <v/>
      </c>
      <c r="M135" s="98" t="str">
        <f t="shared" si="17"/>
        <v/>
      </c>
      <c r="N135" s="98" t="str">
        <f t="shared" si="17"/>
        <v/>
      </c>
      <c r="O135" s="77" t="str">
        <f t="shared" si="17"/>
        <v/>
      </c>
      <c r="P135" s="97"/>
      <c r="Q135" s="98"/>
      <c r="R135" s="101"/>
      <c r="S135" s="98"/>
      <c r="T135" s="99" t="str">
        <f t="shared" si="15"/>
        <v/>
      </c>
      <c r="V135" s="120"/>
      <c r="W135" s="109"/>
      <c r="X135" s="109"/>
      <c r="Y135" s="109"/>
      <c r="Z135" s="121"/>
      <c r="AB135" s="78"/>
      <c r="AC135" s="78"/>
      <c r="AD135" s="78"/>
      <c r="AE135" s="78"/>
      <c r="AF135" s="78"/>
      <c r="AG135" s="98"/>
      <c r="AH135" s="98"/>
      <c r="AI135" s="98"/>
      <c r="AJ135" s="98"/>
      <c r="AK135" s="98"/>
    </row>
    <row r="136" spans="2:37" x14ac:dyDescent="0.35">
      <c r="B136" s="56" t="s">
        <v>108</v>
      </c>
      <c r="C136" s="66" t="s">
        <v>85</v>
      </c>
      <c r="D136" s="66" t="s">
        <v>20</v>
      </c>
      <c r="E136" s="65" t="s">
        <v>58</v>
      </c>
      <c r="F136" s="80" t="str">
        <f t="shared" si="16"/>
        <v/>
      </c>
      <c r="G136" s="80">
        <f t="shared" si="16"/>
        <v>7.336786727301231E-3</v>
      </c>
      <c r="H136" s="80">
        <f t="shared" si="16"/>
        <v>1.3539391230948768E-2</v>
      </c>
      <c r="I136" s="80">
        <f t="shared" si="16"/>
        <v>1.7700539738110737E-2</v>
      </c>
      <c r="J136" s="62">
        <f t="shared" si="16"/>
        <v>2.0895679566469365E-2</v>
      </c>
      <c r="K136" s="80" t="str">
        <f t="shared" si="17"/>
        <v/>
      </c>
      <c r="L136" s="80">
        <f t="shared" si="17"/>
        <v>3.660084727301231E-3</v>
      </c>
      <c r="M136" s="80">
        <f t="shared" si="17"/>
        <v>8.8659491309487706E-3</v>
      </c>
      <c r="N136" s="80">
        <f t="shared" si="17"/>
        <v>1.2183761438110736E-2</v>
      </c>
      <c r="O136" s="62">
        <f t="shared" si="17"/>
        <v>1.4115157166469364E-2</v>
      </c>
      <c r="P136" s="56" t="s">
        <v>464</v>
      </c>
      <c r="Q136" s="66" t="s">
        <v>465</v>
      </c>
      <c r="R136" s="100">
        <v>47580</v>
      </c>
      <c r="S136" s="80">
        <v>1.094623E-2</v>
      </c>
      <c r="T136" s="62">
        <f t="shared" si="15"/>
        <v>2.5931612309487689E-3</v>
      </c>
      <c r="V136" s="118">
        <v>1.12884491</v>
      </c>
      <c r="W136" s="61">
        <v>2.8435256600000001</v>
      </c>
      <c r="X136" s="61">
        <v>4.3395720200000003</v>
      </c>
      <c r="Y136" s="61">
        <v>5.5983652100000008</v>
      </c>
      <c r="Z136" s="119">
        <v>7.1312456100000006</v>
      </c>
      <c r="AB136" s="80" t="s">
        <v>21</v>
      </c>
      <c r="AC136" s="80">
        <v>7.336786727301231E-3</v>
      </c>
      <c r="AD136" s="80">
        <v>1.3539391230948768E-2</v>
      </c>
      <c r="AE136" s="80">
        <v>1.7700539738110737E-2</v>
      </c>
      <c r="AF136" s="62">
        <v>2.0895679566469365E-2</v>
      </c>
      <c r="AG136" s="80" t="s">
        <v>21</v>
      </c>
      <c r="AH136" s="80">
        <v>3.660084727301231E-3</v>
      </c>
      <c r="AI136" s="80">
        <v>8.8659491309487706E-3</v>
      </c>
      <c r="AJ136" s="80">
        <v>1.2183761438110736E-2</v>
      </c>
      <c r="AK136" s="80">
        <v>1.4115157166469364E-2</v>
      </c>
    </row>
    <row r="137" spans="2:37" x14ac:dyDescent="0.35">
      <c r="B137" s="55" t="s">
        <v>109</v>
      </c>
      <c r="C137" s="53" t="s">
        <v>85</v>
      </c>
      <c r="D137" s="53" t="s">
        <v>20</v>
      </c>
      <c r="E137" s="59" t="s">
        <v>54</v>
      </c>
      <c r="F137" s="60">
        <f t="shared" si="16"/>
        <v>1.3195780712491785E-3</v>
      </c>
      <c r="G137" s="60">
        <f t="shared" si="16"/>
        <v>1.3325834931962779E-2</v>
      </c>
      <c r="H137" s="60">
        <f t="shared" si="16"/>
        <v>2.3558573739878276E-2</v>
      </c>
      <c r="I137" s="60">
        <f t="shared" si="16"/>
        <v>2.967248820938221E-2</v>
      </c>
      <c r="J137" s="63">
        <f t="shared" si="16"/>
        <v>3.10249365129973E-2</v>
      </c>
      <c r="K137" s="60" t="str">
        <f t="shared" si="17"/>
        <v/>
      </c>
      <c r="L137" s="60">
        <f t="shared" si="17"/>
        <v>9.8284143319627842E-3</v>
      </c>
      <c r="M137" s="60">
        <f t="shared" si="17"/>
        <v>1.8960181239878277E-2</v>
      </c>
      <c r="N137" s="60">
        <f t="shared" si="17"/>
        <v>2.4099829909382212E-2</v>
      </c>
      <c r="O137" s="63">
        <f t="shared" si="17"/>
        <v>2.4258667812997292E-2</v>
      </c>
      <c r="P137" s="55" t="s">
        <v>466</v>
      </c>
      <c r="Q137" s="53" t="s">
        <v>467</v>
      </c>
      <c r="R137" s="94">
        <v>47618</v>
      </c>
      <c r="S137" s="71">
        <v>1.401322E-2</v>
      </c>
      <c r="T137" s="63">
        <f t="shared" si="15"/>
        <v>9.5453537398782762E-3</v>
      </c>
      <c r="V137" s="114">
        <v>1.1227490099999999</v>
      </c>
      <c r="W137" s="72">
        <v>2.7962051000000003</v>
      </c>
      <c r="X137" s="72">
        <v>4.1797388400000006</v>
      </c>
      <c r="Y137" s="72">
        <v>5.2679484800000003</v>
      </c>
      <c r="Z137" s="115">
        <v>6.5564624899999995</v>
      </c>
      <c r="AB137" s="71">
        <v>1.3195780712491785E-3</v>
      </c>
      <c r="AC137" s="71">
        <v>1.3325834931962779E-2</v>
      </c>
      <c r="AD137" s="71">
        <v>2.3558573739878276E-2</v>
      </c>
      <c r="AE137" s="71">
        <v>2.967248820938221E-2</v>
      </c>
      <c r="AF137" s="63">
        <v>3.10249365129973E-2</v>
      </c>
      <c r="AG137" s="71" t="s">
        <v>21</v>
      </c>
      <c r="AH137" s="71">
        <v>9.8284143319627842E-3</v>
      </c>
      <c r="AI137" s="71">
        <v>1.8960181239878277E-2</v>
      </c>
      <c r="AJ137" s="71">
        <v>2.4099829909382212E-2</v>
      </c>
      <c r="AK137" s="71">
        <v>2.4258667812997292E-2</v>
      </c>
    </row>
    <row r="138" spans="2:37" x14ac:dyDescent="0.35">
      <c r="B138" s="57" t="s">
        <v>111</v>
      </c>
      <c r="C138" s="67" t="s">
        <v>85</v>
      </c>
      <c r="D138" s="67" t="s">
        <v>20</v>
      </c>
      <c r="E138" s="54" t="s">
        <v>112</v>
      </c>
      <c r="F138" s="76" t="str">
        <f t="shared" si="16"/>
        <v/>
      </c>
      <c r="G138" s="76">
        <f t="shared" si="16"/>
        <v>9.4796201142146423E-3</v>
      </c>
      <c r="H138" s="76">
        <f t="shared" si="16"/>
        <v>1.6475618947218044E-2</v>
      </c>
      <c r="I138" s="76">
        <f t="shared" si="16"/>
        <v>1.9986477319320302E-2</v>
      </c>
      <c r="J138" s="64">
        <f t="shared" si="16"/>
        <v>2.3110187296846191E-2</v>
      </c>
      <c r="K138" s="76" t="str">
        <f t="shared" si="17"/>
        <v/>
      </c>
      <c r="L138" s="76">
        <f t="shared" si="17"/>
        <v>5.9058904142146413E-3</v>
      </c>
      <c r="M138" s="76">
        <f t="shared" si="17"/>
        <v>1.1884614347218048E-2</v>
      </c>
      <c r="N138" s="76">
        <f t="shared" si="17"/>
        <v>1.4513000719320299E-2</v>
      </c>
      <c r="O138" s="64">
        <f t="shared" si="17"/>
        <v>1.637372359684619E-2</v>
      </c>
      <c r="P138" s="57" t="s">
        <v>21</v>
      </c>
      <c r="Q138" s="67" t="s">
        <v>21</v>
      </c>
      <c r="R138" s="96" t="s">
        <v>21</v>
      </c>
      <c r="S138" s="76">
        <v>0</v>
      </c>
      <c r="T138" s="64">
        <f t="shared" si="15"/>
        <v>1.6475618947218044E-2</v>
      </c>
      <c r="V138" s="116">
        <v>1.1268776</v>
      </c>
      <c r="W138" s="108">
        <v>2.82648703</v>
      </c>
      <c r="X138" s="108">
        <v>4.2892143899999997</v>
      </c>
      <c r="Y138" s="108">
        <v>5.5117296800000002</v>
      </c>
      <c r="Z138" s="117">
        <v>6.9829560500000003</v>
      </c>
      <c r="AB138" s="76" t="s">
        <v>21</v>
      </c>
      <c r="AC138" s="76">
        <v>9.4796201142146423E-3</v>
      </c>
      <c r="AD138" s="76">
        <v>1.6475618947218044E-2</v>
      </c>
      <c r="AE138" s="76">
        <v>1.9986477319320302E-2</v>
      </c>
      <c r="AF138" s="64">
        <v>2.3110187296846191E-2</v>
      </c>
      <c r="AG138" s="76" t="s">
        <v>21</v>
      </c>
      <c r="AH138" s="76">
        <v>5.9058904142146413E-3</v>
      </c>
      <c r="AI138" s="76">
        <v>1.1884614347218048E-2</v>
      </c>
      <c r="AJ138" s="76">
        <v>1.4513000719320299E-2</v>
      </c>
      <c r="AK138" s="76">
        <v>1.637372359684619E-2</v>
      </c>
    </row>
    <row r="139" spans="2:37" x14ac:dyDescent="0.35">
      <c r="P139" s="128"/>
      <c r="Q139" s="128"/>
      <c r="R139" s="44"/>
      <c r="S139" s="128"/>
      <c r="T139" s="128"/>
      <c r="V139" s="72"/>
      <c r="W139" s="72"/>
      <c r="X139" s="72"/>
      <c r="Y139" s="72"/>
      <c r="Z139" s="72"/>
    </row>
    <row r="140" spans="2:37" ht="15.5" x14ac:dyDescent="0.35">
      <c r="B140" s="122" t="s">
        <v>113</v>
      </c>
      <c r="R140" s="94"/>
      <c r="S140" s="71"/>
      <c r="T140" s="71"/>
      <c r="V140" s="72"/>
      <c r="W140" s="72"/>
      <c r="X140" s="72"/>
      <c r="Y140" s="72"/>
      <c r="Z140" s="72"/>
    </row>
    <row r="141" spans="2:37" x14ac:dyDescent="0.35">
      <c r="B141" s="85" t="s">
        <v>5</v>
      </c>
      <c r="C141" s="84" t="s">
        <v>6</v>
      </c>
      <c r="D141" s="84" t="s">
        <v>7</v>
      </c>
      <c r="E141" s="84" t="s">
        <v>8</v>
      </c>
      <c r="F141" s="83" t="s">
        <v>9</v>
      </c>
      <c r="G141" s="82" t="s">
        <v>10</v>
      </c>
      <c r="H141" s="82" t="s">
        <v>11</v>
      </c>
      <c r="I141" s="82" t="s">
        <v>12</v>
      </c>
      <c r="J141" s="81" t="s">
        <v>13</v>
      </c>
      <c r="K141" s="83" t="s">
        <v>9</v>
      </c>
      <c r="L141" s="82" t="s">
        <v>10</v>
      </c>
      <c r="M141" s="82" t="s">
        <v>11</v>
      </c>
      <c r="N141" s="82" t="s">
        <v>12</v>
      </c>
      <c r="O141" s="81" t="s">
        <v>13</v>
      </c>
      <c r="P141" s="70" t="s">
        <v>14</v>
      </c>
      <c r="Q141" s="58" t="s">
        <v>15</v>
      </c>
      <c r="R141" s="58" t="s">
        <v>16</v>
      </c>
      <c r="S141" s="58" t="s">
        <v>409</v>
      </c>
      <c r="T141" s="58" t="s">
        <v>18</v>
      </c>
      <c r="V141" s="110" t="s">
        <v>9</v>
      </c>
      <c r="W141" s="106" t="s">
        <v>10</v>
      </c>
      <c r="X141" s="106" t="s">
        <v>11</v>
      </c>
      <c r="Y141" s="106" t="s">
        <v>12</v>
      </c>
      <c r="Z141" s="111" t="s">
        <v>13</v>
      </c>
      <c r="AB141" s="83" t="s">
        <v>9</v>
      </c>
      <c r="AC141" s="82" t="s">
        <v>10</v>
      </c>
      <c r="AD141" s="82" t="s">
        <v>11</v>
      </c>
      <c r="AE141" s="82" t="s">
        <v>12</v>
      </c>
      <c r="AF141" s="81" t="s">
        <v>13</v>
      </c>
      <c r="AG141" s="58" t="s">
        <v>9</v>
      </c>
      <c r="AH141" s="58" t="s">
        <v>10</v>
      </c>
      <c r="AI141" s="58" t="s">
        <v>11</v>
      </c>
      <c r="AJ141" s="58" t="s">
        <v>12</v>
      </c>
      <c r="AK141" s="58" t="s">
        <v>13</v>
      </c>
    </row>
    <row r="142" spans="2:37" x14ac:dyDescent="0.35">
      <c r="B142" s="79" t="s">
        <v>114</v>
      </c>
      <c r="C142" s="9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7"/>
      <c r="P142" s="79"/>
      <c r="Q142" s="78"/>
      <c r="R142" s="95"/>
      <c r="S142" s="78"/>
      <c r="T142" s="77"/>
      <c r="V142" s="112"/>
      <c r="W142" s="107"/>
      <c r="X142" s="107"/>
      <c r="Y142" s="107"/>
      <c r="Z142" s="113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</row>
    <row r="143" spans="2:37" x14ac:dyDescent="0.35">
      <c r="B143" s="56" t="s">
        <v>319</v>
      </c>
      <c r="C143" s="66" t="s">
        <v>234</v>
      </c>
      <c r="D143" s="66" t="s">
        <v>20</v>
      </c>
      <c r="E143" s="66" t="s">
        <v>21</v>
      </c>
      <c r="F143" s="75">
        <f t="shared" ref="F143:J173" si="18">IF(ISNUMBER(AB143),AB143-((C$4-C$3)/V143),"")</f>
        <v>9.8489126044735715E-4</v>
      </c>
      <c r="G143" s="80">
        <f t="shared" si="18"/>
        <v>1.5410187392720258E-2</v>
      </c>
      <c r="H143" s="80">
        <f t="shared" si="18"/>
        <v>3.091828131709384E-2</v>
      </c>
      <c r="I143" s="80">
        <f t="shared" si="18"/>
        <v>3.7044197000865621E-2</v>
      </c>
      <c r="J143" s="62">
        <f t="shared" si="18"/>
        <v>4.1206147118120644E-2</v>
      </c>
      <c r="K143" s="80" t="str">
        <f t="shared" ref="K143:O173" si="19">IF(ISNUMBER(AG143),IF(AG143-((C$4-C$3)/V143)&lt;0,"",AG143-((C$4-C$3)/V143)),"")</f>
        <v/>
      </c>
      <c r="L143" s="80">
        <f t="shared" si="19"/>
        <v>1.1909601892720258E-2</v>
      </c>
      <c r="M143" s="80">
        <f t="shared" si="19"/>
        <v>2.6125150517093836E-2</v>
      </c>
      <c r="N143" s="80">
        <f t="shared" si="19"/>
        <v>3.1224247600865625E-2</v>
      </c>
      <c r="O143" s="62">
        <f t="shared" si="19"/>
        <v>3.4125482618120644E-2</v>
      </c>
      <c r="P143" s="56" t="s">
        <v>21</v>
      </c>
      <c r="Q143" s="66" t="s">
        <v>21</v>
      </c>
      <c r="R143" s="100" t="s">
        <v>21</v>
      </c>
      <c r="S143" s="75">
        <v>0</v>
      </c>
      <c r="T143" s="62">
        <f t="shared" ref="T143:T276" si="20">IF(S143="","",H143-S143)</f>
        <v>3.091828131709384E-2</v>
      </c>
      <c r="V143" s="114">
        <v>1.1238932700000002</v>
      </c>
      <c r="W143" s="72">
        <v>2.7847178800000001</v>
      </c>
      <c r="X143" s="72">
        <v>4.0967280299999995</v>
      </c>
      <c r="Y143" s="72">
        <v>5.0839084200000002</v>
      </c>
      <c r="Z143" s="115">
        <v>6.1557034900000005</v>
      </c>
      <c r="AB143" s="80">
        <v>9.8489126044735715E-4</v>
      </c>
      <c r="AC143" s="80">
        <v>1.5410187392720258E-2</v>
      </c>
      <c r="AD143" s="80">
        <v>3.091828131709384E-2</v>
      </c>
      <c r="AE143" s="80">
        <v>3.7044197000865621E-2</v>
      </c>
      <c r="AF143" s="62">
        <v>4.1206147118120644E-2</v>
      </c>
      <c r="AG143" s="80" t="s">
        <v>21</v>
      </c>
      <c r="AH143" s="80">
        <v>1.1909601892720258E-2</v>
      </c>
      <c r="AI143" s="80">
        <v>2.6125150517093836E-2</v>
      </c>
      <c r="AJ143" s="80">
        <v>3.1224247600865625E-2</v>
      </c>
      <c r="AK143" s="80">
        <v>3.4125482618120644E-2</v>
      </c>
    </row>
    <row r="144" spans="2:37" x14ac:dyDescent="0.35">
      <c r="B144" s="55" t="s">
        <v>177</v>
      </c>
      <c r="C144" s="53" t="s">
        <v>234</v>
      </c>
      <c r="D144" s="53" t="s">
        <v>43</v>
      </c>
      <c r="E144" s="53" t="s">
        <v>21</v>
      </c>
      <c r="F144" s="73">
        <f t="shared" si="18"/>
        <v>6.4307304890709807E-4</v>
      </c>
      <c r="G144" s="60">
        <f t="shared" si="18"/>
        <v>1.60897581149478E-2</v>
      </c>
      <c r="H144" s="60">
        <f t="shared" si="18"/>
        <v>2.9106683772057794E-2</v>
      </c>
      <c r="I144" s="60">
        <f t="shared" si="18"/>
        <v>3.7343579711819376E-2</v>
      </c>
      <c r="J144" s="63">
        <f t="shared" si="18"/>
        <v>4.065962233358527E-2</v>
      </c>
      <c r="K144" s="60" t="str">
        <f t="shared" si="19"/>
        <v/>
      </c>
      <c r="L144" s="60">
        <f t="shared" si="19"/>
        <v>1.25868087149478E-2</v>
      </c>
      <c r="M144" s="60">
        <f t="shared" si="19"/>
        <v>2.4375174772057799E-2</v>
      </c>
      <c r="N144" s="60">
        <f t="shared" si="19"/>
        <v>3.1503652311819376E-2</v>
      </c>
      <c r="O144" s="63">
        <f t="shared" si="19"/>
        <v>3.360265673358527E-2</v>
      </c>
      <c r="P144" s="55" t="s">
        <v>21</v>
      </c>
      <c r="Q144" s="53" t="s">
        <v>21</v>
      </c>
      <c r="R144" s="94" t="s">
        <v>21</v>
      </c>
      <c r="S144" s="73">
        <v>0</v>
      </c>
      <c r="T144" s="63">
        <f t="shared" si="20"/>
        <v>2.9106683772057794E-2</v>
      </c>
      <c r="V144" s="114">
        <v>1.1246973499999999</v>
      </c>
      <c r="W144" s="72">
        <v>2.7798753400000003</v>
      </c>
      <c r="X144" s="72">
        <v>4.1058790599999995</v>
      </c>
      <c r="Y144" s="72">
        <v>5.0980652800000001</v>
      </c>
      <c r="Z144" s="115">
        <v>6.1786174000000003</v>
      </c>
      <c r="AB144" s="71">
        <v>6.4307304890709807E-4</v>
      </c>
      <c r="AC144" s="71">
        <v>1.60897581149478E-2</v>
      </c>
      <c r="AD144" s="71">
        <v>2.9106683772057794E-2</v>
      </c>
      <c r="AE144" s="71">
        <v>3.7343579711819376E-2</v>
      </c>
      <c r="AF144" s="63">
        <v>4.065962233358527E-2</v>
      </c>
      <c r="AG144" s="71" t="s">
        <v>21</v>
      </c>
      <c r="AH144" s="71">
        <v>1.25868087149478E-2</v>
      </c>
      <c r="AI144" s="71">
        <v>2.4375174772057799E-2</v>
      </c>
      <c r="AJ144" s="71">
        <v>3.1503652311819376E-2</v>
      </c>
      <c r="AK144" s="71">
        <v>3.360265673358527E-2</v>
      </c>
    </row>
    <row r="145" spans="2:37" x14ac:dyDescent="0.35">
      <c r="B145" s="55" t="s">
        <v>122</v>
      </c>
      <c r="C145" s="53" t="s">
        <v>234</v>
      </c>
      <c r="D145" s="53" t="s">
        <v>97</v>
      </c>
      <c r="E145" s="53" t="s">
        <v>269</v>
      </c>
      <c r="F145" s="73">
        <f t="shared" si="18"/>
        <v>1.6318782641935609E-4</v>
      </c>
      <c r="G145" s="60">
        <f t="shared" si="18"/>
        <v>1.5628364662045143E-2</v>
      </c>
      <c r="H145" s="60">
        <f t="shared" si="18"/>
        <v>2.8322853060877326E-2</v>
      </c>
      <c r="I145" s="60">
        <f t="shared" si="18"/>
        <v>3.6373117154964066E-2</v>
      </c>
      <c r="J145" s="63">
        <f t="shared" si="18"/>
        <v>4.2165674412106023E-2</v>
      </c>
      <c r="K145" s="60" t="str">
        <f t="shared" si="19"/>
        <v/>
      </c>
      <c r="L145" s="60">
        <f t="shared" si="19"/>
        <v>1.2129812962045143E-2</v>
      </c>
      <c r="M145" s="60">
        <f t="shared" si="19"/>
        <v>2.3616997760877327E-2</v>
      </c>
      <c r="N145" s="60">
        <f t="shared" si="19"/>
        <v>3.0576350454964069E-2</v>
      </c>
      <c r="O145" s="63">
        <f t="shared" si="19"/>
        <v>3.5037914412106026E-2</v>
      </c>
      <c r="P145" s="55" t="s">
        <v>21</v>
      </c>
      <c r="Q145" s="53" t="s">
        <v>21</v>
      </c>
      <c r="R145" s="94" t="s">
        <v>21</v>
      </c>
      <c r="S145" s="73">
        <v>0</v>
      </c>
      <c r="T145" s="63">
        <f t="shared" si="20"/>
        <v>2.8322853060877326E-2</v>
      </c>
      <c r="V145" s="114">
        <v>1.1256993399999999</v>
      </c>
      <c r="W145" s="72">
        <v>2.7852722299999999</v>
      </c>
      <c r="X145" s="72">
        <v>4.1194612099999999</v>
      </c>
      <c r="Y145" s="72">
        <v>5.1237400400000004</v>
      </c>
      <c r="Z145" s="115">
        <v>6.1837904999999997</v>
      </c>
      <c r="AB145" s="71">
        <v>1.6318782641935609E-4</v>
      </c>
      <c r="AC145" s="71">
        <v>1.5628364662045143E-2</v>
      </c>
      <c r="AD145" s="71">
        <v>2.8322853060877326E-2</v>
      </c>
      <c r="AE145" s="71">
        <v>3.6373117154964066E-2</v>
      </c>
      <c r="AF145" s="63">
        <v>4.2165674412106023E-2</v>
      </c>
      <c r="AG145" s="71" t="s">
        <v>21</v>
      </c>
      <c r="AH145" s="71">
        <v>1.2129812962045143E-2</v>
      </c>
      <c r="AI145" s="71">
        <v>2.3616997760877327E-2</v>
      </c>
      <c r="AJ145" s="71">
        <v>3.0576350454964069E-2</v>
      </c>
      <c r="AK145" s="71">
        <v>3.5037914412106026E-2</v>
      </c>
    </row>
    <row r="146" spans="2:37" x14ac:dyDescent="0.35">
      <c r="B146" s="55" t="s">
        <v>170</v>
      </c>
      <c r="C146" s="53" t="s">
        <v>234</v>
      </c>
      <c r="D146" s="53" t="s">
        <v>20</v>
      </c>
      <c r="E146" s="53" t="s">
        <v>21</v>
      </c>
      <c r="F146" s="73">
        <f t="shared" si="18"/>
        <v>3.1538616328273608E-3</v>
      </c>
      <c r="G146" s="60">
        <f t="shared" si="18"/>
        <v>1.5925468399505781E-2</v>
      </c>
      <c r="H146" s="60">
        <f t="shared" si="18"/>
        <v>2.7044575701985027E-2</v>
      </c>
      <c r="I146" s="60">
        <f t="shared" si="18"/>
        <v>3.1821213577797582E-2</v>
      </c>
      <c r="J146" s="63">
        <f t="shared" si="18"/>
        <v>3.6117740921646643E-2</v>
      </c>
      <c r="K146" s="60">
        <f t="shared" si="19"/>
        <v>1.0637731328273599E-3</v>
      </c>
      <c r="L146" s="60">
        <f t="shared" si="19"/>
        <v>1.2425354899505784E-2</v>
      </c>
      <c r="M146" s="60">
        <f t="shared" si="19"/>
        <v>2.2368963201985021E-2</v>
      </c>
      <c r="N146" s="60">
        <f t="shared" si="19"/>
        <v>2.6191864177797577E-2</v>
      </c>
      <c r="O146" s="63">
        <f t="shared" si="19"/>
        <v>2.9211713221646635E-2</v>
      </c>
      <c r="P146" s="55" t="s">
        <v>468</v>
      </c>
      <c r="Q146" s="53" t="s">
        <v>469</v>
      </c>
      <c r="R146" s="94">
        <v>47505</v>
      </c>
      <c r="S146" s="73">
        <v>2.0086159999999999E-2</v>
      </c>
      <c r="T146" s="63">
        <f t="shared" si="20"/>
        <v>6.9584157019850282E-3</v>
      </c>
      <c r="V146" s="114">
        <v>1.1179228299999999</v>
      </c>
      <c r="W146" s="72">
        <v>2.7691026700000001</v>
      </c>
      <c r="X146" s="72">
        <v>4.1191513100000003</v>
      </c>
      <c r="Y146" s="72">
        <v>5.1671399600000001</v>
      </c>
      <c r="Z146" s="115">
        <v>6.3475623699999995</v>
      </c>
      <c r="AB146" s="71">
        <v>3.1538616328273608E-3</v>
      </c>
      <c r="AC146" s="71">
        <v>1.5925468399505781E-2</v>
      </c>
      <c r="AD146" s="71">
        <v>2.7044575701985027E-2</v>
      </c>
      <c r="AE146" s="71">
        <v>3.1821213577797582E-2</v>
      </c>
      <c r="AF146" s="63">
        <v>3.6117740921646643E-2</v>
      </c>
      <c r="AG146" s="71">
        <v>1.0637731328273599E-3</v>
      </c>
      <c r="AH146" s="71">
        <v>1.2425354899505784E-2</v>
      </c>
      <c r="AI146" s="71">
        <v>2.2368963201985021E-2</v>
      </c>
      <c r="AJ146" s="71">
        <v>2.6191864177797577E-2</v>
      </c>
      <c r="AK146" s="71">
        <v>2.9211713221646635E-2</v>
      </c>
    </row>
    <row r="147" spans="2:37" x14ac:dyDescent="0.35">
      <c r="B147" s="55" t="s">
        <v>153</v>
      </c>
      <c r="C147" s="53" t="s">
        <v>234</v>
      </c>
      <c r="D147" s="53" t="s">
        <v>20</v>
      </c>
      <c r="E147" s="53" t="s">
        <v>123</v>
      </c>
      <c r="F147" s="73">
        <f t="shared" si="18"/>
        <v>2.4753654329314288E-3</v>
      </c>
      <c r="G147" s="60">
        <f t="shared" si="18"/>
        <v>1.7743103532817099E-2</v>
      </c>
      <c r="H147" s="60">
        <f t="shared" si="18"/>
        <v>2.6275701065401863E-2</v>
      </c>
      <c r="I147" s="60">
        <f t="shared" si="18"/>
        <v>3.1171470808781333E-2</v>
      </c>
      <c r="J147" s="63">
        <f t="shared" si="18"/>
        <v>3.4069945455466308E-2</v>
      </c>
      <c r="K147" s="60">
        <f t="shared" si="19"/>
        <v>3.6196753293142939E-4</v>
      </c>
      <c r="L147" s="60">
        <f t="shared" si="19"/>
        <v>1.4222735432817098E-2</v>
      </c>
      <c r="M147" s="60">
        <f t="shared" si="19"/>
        <v>2.1620910065401858E-2</v>
      </c>
      <c r="N147" s="60">
        <f t="shared" si="19"/>
        <v>2.5554476808781333E-2</v>
      </c>
      <c r="O147" s="63">
        <f t="shared" si="19"/>
        <v>2.7219532855466307E-2</v>
      </c>
      <c r="P147" s="55" t="s">
        <v>470</v>
      </c>
      <c r="Q147" s="53" t="s">
        <v>471</v>
      </c>
      <c r="R147" s="94">
        <v>47484</v>
      </c>
      <c r="S147" s="73">
        <v>1.7319810000000001E-2</v>
      </c>
      <c r="T147" s="63">
        <f t="shared" si="20"/>
        <v>8.9558910654018616E-3</v>
      </c>
      <c r="V147" s="114">
        <v>1.11974372</v>
      </c>
      <c r="W147" s="72">
        <v>2.7613617000000001</v>
      </c>
      <c r="X147" s="72">
        <v>4.1113912299999997</v>
      </c>
      <c r="Y147" s="72">
        <v>5.1753449900000001</v>
      </c>
      <c r="Z147" s="115">
        <v>6.3965505199999999</v>
      </c>
      <c r="AB147" s="71">
        <v>2.4753654329314288E-3</v>
      </c>
      <c r="AC147" s="71">
        <v>1.7743103532817099E-2</v>
      </c>
      <c r="AD147" s="71">
        <v>2.6275701065401863E-2</v>
      </c>
      <c r="AE147" s="71">
        <v>3.1171470808781333E-2</v>
      </c>
      <c r="AF147" s="63">
        <v>3.4069945455466308E-2</v>
      </c>
      <c r="AG147" s="71">
        <v>3.6196753293142939E-4</v>
      </c>
      <c r="AH147" s="71">
        <v>1.4222735432817098E-2</v>
      </c>
      <c r="AI147" s="71">
        <v>2.1620910065401858E-2</v>
      </c>
      <c r="AJ147" s="71">
        <v>2.5554476808781333E-2</v>
      </c>
      <c r="AK147" s="71">
        <v>2.7219532855466307E-2</v>
      </c>
    </row>
    <row r="148" spans="2:37" x14ac:dyDescent="0.35">
      <c r="B148" s="55" t="s">
        <v>176</v>
      </c>
      <c r="C148" s="53" t="s">
        <v>234</v>
      </c>
      <c r="D148" s="53" t="s">
        <v>47</v>
      </c>
      <c r="E148" s="53" t="s">
        <v>21</v>
      </c>
      <c r="F148" s="73">
        <f t="shared" si="18"/>
        <v>2.905297117760163E-3</v>
      </c>
      <c r="G148" s="60">
        <f t="shared" si="18"/>
        <v>1.4045315341604209E-2</v>
      </c>
      <c r="H148" s="60">
        <f t="shared" si="18"/>
        <v>2.3310107936645837E-2</v>
      </c>
      <c r="I148" s="60">
        <f t="shared" si="18"/>
        <v>2.658787637287232E-2</v>
      </c>
      <c r="J148" s="63">
        <f t="shared" si="18"/>
        <v>2.9489173766068875E-2</v>
      </c>
      <c r="K148" s="60">
        <f t="shared" si="19"/>
        <v>8.0450831776015998E-4</v>
      </c>
      <c r="L148" s="60">
        <f t="shared" si="19"/>
        <v>1.0547141041604209E-2</v>
      </c>
      <c r="M148" s="60">
        <f t="shared" si="19"/>
        <v>1.8710902936645835E-2</v>
      </c>
      <c r="N148" s="60">
        <f t="shared" si="19"/>
        <v>2.1081615272872327E-2</v>
      </c>
      <c r="O148" s="63">
        <f t="shared" si="19"/>
        <v>2.2732775166068874E-2</v>
      </c>
      <c r="P148" s="55" t="s">
        <v>21</v>
      </c>
      <c r="Q148" s="53" t="s">
        <v>21</v>
      </c>
      <c r="R148" s="94" t="s">
        <v>21</v>
      </c>
      <c r="S148" s="73">
        <v>0</v>
      </c>
      <c r="T148" s="63">
        <f t="shared" si="20"/>
        <v>2.3310107936645837E-2</v>
      </c>
      <c r="V148" s="114">
        <v>1.1186997299999999</v>
      </c>
      <c r="W148" s="72">
        <v>2.78436621</v>
      </c>
      <c r="X148" s="72">
        <v>4.1686173899999996</v>
      </c>
      <c r="Y148" s="72">
        <v>5.2949366900000001</v>
      </c>
      <c r="Z148" s="115">
        <v>6.6181784199999996</v>
      </c>
      <c r="AB148" s="71">
        <v>2.905297117760163E-3</v>
      </c>
      <c r="AC148" s="71">
        <v>1.4045315341604209E-2</v>
      </c>
      <c r="AD148" s="71">
        <v>2.3310107936645837E-2</v>
      </c>
      <c r="AE148" s="71">
        <v>2.658787637287232E-2</v>
      </c>
      <c r="AF148" s="63">
        <v>2.9489173766068875E-2</v>
      </c>
      <c r="AG148" s="71">
        <v>8.0450831776015998E-4</v>
      </c>
      <c r="AH148" s="71">
        <v>1.0547141041604209E-2</v>
      </c>
      <c r="AI148" s="71">
        <v>1.8710902936645835E-2</v>
      </c>
      <c r="AJ148" s="71">
        <v>2.1081615272872327E-2</v>
      </c>
      <c r="AK148" s="71">
        <v>2.2732775166068874E-2</v>
      </c>
    </row>
    <row r="149" spans="2:37" x14ac:dyDescent="0.35">
      <c r="B149" s="55" t="s">
        <v>325</v>
      </c>
      <c r="C149" s="53" t="s">
        <v>234</v>
      </c>
      <c r="D149" s="53" t="s">
        <v>69</v>
      </c>
      <c r="E149" s="53" t="s">
        <v>116</v>
      </c>
      <c r="F149" s="73">
        <f t="shared" si="18"/>
        <v>5.0388050674490814E-4</v>
      </c>
      <c r="G149" s="60">
        <f t="shared" si="18"/>
        <v>1.2233292918202548E-2</v>
      </c>
      <c r="H149" s="60">
        <f t="shared" si="18"/>
        <v>2.3192726599535817E-2</v>
      </c>
      <c r="I149" s="60">
        <f t="shared" si="18"/>
        <v>2.881245326951605E-2</v>
      </c>
      <c r="J149" s="63">
        <f t="shared" si="18"/>
        <v>3.3064530729008036E-2</v>
      </c>
      <c r="K149" s="60" t="str">
        <f t="shared" si="19"/>
        <v/>
      </c>
      <c r="L149" s="60">
        <f t="shared" si="19"/>
        <v>8.723335818202553E-3</v>
      </c>
      <c r="M149" s="60">
        <f t="shared" si="19"/>
        <v>1.8597063599535817E-2</v>
      </c>
      <c r="N149" s="60">
        <f t="shared" si="19"/>
        <v>2.3260620369516045E-2</v>
      </c>
      <c r="O149" s="63">
        <f t="shared" si="19"/>
        <v>2.6247282229008038E-2</v>
      </c>
      <c r="P149" s="55" t="s">
        <v>376</v>
      </c>
      <c r="Q149" s="53" t="s">
        <v>377</v>
      </c>
      <c r="R149" s="94" t="s">
        <v>32</v>
      </c>
      <c r="S149" s="73">
        <v>1.3220300000000001E-2</v>
      </c>
      <c r="T149" s="63">
        <f t="shared" si="20"/>
        <v>9.9724265995358163E-3</v>
      </c>
      <c r="V149" s="114">
        <v>1.1250247099999999</v>
      </c>
      <c r="W149" s="72">
        <v>2.8054512300000001</v>
      </c>
      <c r="X149" s="72">
        <v>4.1950182099999997</v>
      </c>
      <c r="Y149" s="72">
        <v>5.2946385399999993</v>
      </c>
      <c r="Z149" s="115">
        <v>6.5384510699999998</v>
      </c>
      <c r="AB149" s="71">
        <v>5.0388050674490814E-4</v>
      </c>
      <c r="AC149" s="71">
        <v>1.2233292918202548E-2</v>
      </c>
      <c r="AD149" s="71">
        <v>2.3192726599535817E-2</v>
      </c>
      <c r="AE149" s="71">
        <v>2.881245326951605E-2</v>
      </c>
      <c r="AF149" s="63">
        <v>3.3064530729008036E-2</v>
      </c>
      <c r="AG149" s="71" t="s">
        <v>21</v>
      </c>
      <c r="AH149" s="71">
        <v>8.723335818202553E-3</v>
      </c>
      <c r="AI149" s="71">
        <v>1.8597063599535817E-2</v>
      </c>
      <c r="AJ149" s="71">
        <v>2.3260620369516045E-2</v>
      </c>
      <c r="AK149" s="71">
        <v>2.6247282229008038E-2</v>
      </c>
    </row>
    <row r="150" spans="2:37" x14ac:dyDescent="0.35">
      <c r="B150" s="55" t="s">
        <v>173</v>
      </c>
      <c r="C150" s="53" t="s">
        <v>234</v>
      </c>
      <c r="D150" s="53" t="s">
        <v>20</v>
      </c>
      <c r="E150" s="53" t="s">
        <v>290</v>
      </c>
      <c r="F150" s="73">
        <f t="shared" si="18"/>
        <v>1.5297628652101826E-3</v>
      </c>
      <c r="G150" s="60">
        <f t="shared" si="18"/>
        <v>1.2760436759513216E-2</v>
      </c>
      <c r="H150" s="60">
        <f t="shared" si="18"/>
        <v>2.1967886020305014E-2</v>
      </c>
      <c r="I150" s="60">
        <f t="shared" si="18"/>
        <v>2.644671605359759E-2</v>
      </c>
      <c r="J150" s="63">
        <f t="shared" si="18"/>
        <v>3.0524294651816455E-2</v>
      </c>
      <c r="K150" s="60" t="str">
        <f t="shared" si="19"/>
        <v/>
      </c>
      <c r="L150" s="60">
        <f t="shared" si="19"/>
        <v>9.2551894595132161E-3</v>
      </c>
      <c r="M150" s="60">
        <f t="shared" si="19"/>
        <v>1.7388036120305012E-2</v>
      </c>
      <c r="N150" s="60">
        <f t="shared" si="19"/>
        <v>2.0945147253597588E-2</v>
      </c>
      <c r="O150" s="63">
        <f t="shared" si="19"/>
        <v>2.3756367851816455E-2</v>
      </c>
      <c r="P150" s="55" t="s">
        <v>472</v>
      </c>
      <c r="Q150" s="53" t="s">
        <v>473</v>
      </c>
      <c r="R150" s="94">
        <v>47644</v>
      </c>
      <c r="S150" s="73">
        <v>1.466869E-2</v>
      </c>
      <c r="T150" s="63">
        <f t="shared" si="20"/>
        <v>7.2991960203050137E-3</v>
      </c>
      <c r="V150" s="114">
        <v>1.1222797899999999</v>
      </c>
      <c r="W150" s="72">
        <v>2.7996565800000002</v>
      </c>
      <c r="X150" s="72">
        <v>4.20022071</v>
      </c>
      <c r="Y150" s="72">
        <v>5.3281743500000003</v>
      </c>
      <c r="Z150" s="115">
        <v>6.6294081800000004</v>
      </c>
      <c r="AB150" s="71">
        <v>1.5297628652101826E-3</v>
      </c>
      <c r="AC150" s="71">
        <v>1.2760436759513216E-2</v>
      </c>
      <c r="AD150" s="71">
        <v>2.1967886020305014E-2</v>
      </c>
      <c r="AE150" s="71">
        <v>2.644671605359759E-2</v>
      </c>
      <c r="AF150" s="63">
        <v>3.0524294651816455E-2</v>
      </c>
      <c r="AG150" s="71" t="s">
        <v>21</v>
      </c>
      <c r="AH150" s="71">
        <v>9.2551894595132161E-3</v>
      </c>
      <c r="AI150" s="71">
        <v>1.7388036120305012E-2</v>
      </c>
      <c r="AJ150" s="71">
        <v>2.0945147253597588E-2</v>
      </c>
      <c r="AK150" s="71">
        <v>2.3756367851816455E-2</v>
      </c>
    </row>
    <row r="151" spans="2:37" x14ac:dyDescent="0.35">
      <c r="B151" s="55" t="s">
        <v>130</v>
      </c>
      <c r="C151" s="53" t="s">
        <v>234</v>
      </c>
      <c r="D151" s="53" t="s">
        <v>131</v>
      </c>
      <c r="E151" s="53" t="s">
        <v>21</v>
      </c>
      <c r="F151" s="73">
        <f t="shared" si="18"/>
        <v>1.2893390846660871E-4</v>
      </c>
      <c r="G151" s="60">
        <f t="shared" si="18"/>
        <v>1.1652516595831851E-2</v>
      </c>
      <c r="H151" s="60">
        <f t="shared" si="18"/>
        <v>2.1385788292753088E-2</v>
      </c>
      <c r="I151" s="60">
        <f t="shared" si="18"/>
        <v>2.7528390903182924E-2</v>
      </c>
      <c r="J151" s="63">
        <f t="shared" si="18"/>
        <v>3.1517070022751364E-2</v>
      </c>
      <c r="K151" s="60" t="str">
        <f t="shared" si="19"/>
        <v/>
      </c>
      <c r="L151" s="60">
        <f t="shared" si="19"/>
        <v>8.1335214958318559E-3</v>
      </c>
      <c r="M151" s="60">
        <f t="shared" si="19"/>
        <v>1.6811028592753092E-2</v>
      </c>
      <c r="N151" s="60">
        <f t="shared" si="19"/>
        <v>2.2001621803182918E-2</v>
      </c>
      <c r="O151" s="63">
        <f t="shared" si="19"/>
        <v>2.4734448022751359E-2</v>
      </c>
      <c r="P151" s="55" t="s">
        <v>474</v>
      </c>
      <c r="Q151" s="53" t="s">
        <v>475</v>
      </c>
      <c r="R151" s="94">
        <v>47532</v>
      </c>
      <c r="S151" s="73">
        <v>1.277059E-2</v>
      </c>
      <c r="T151" s="63">
        <f t="shared" si="20"/>
        <v>8.6151982927530884E-3</v>
      </c>
      <c r="V151" s="114">
        <v>1.1258293000000001</v>
      </c>
      <c r="W151" s="72">
        <v>2.8105460200000003</v>
      </c>
      <c r="X151" s="72">
        <v>4.2188301199999998</v>
      </c>
      <c r="Y151" s="72">
        <v>5.3381506099999996</v>
      </c>
      <c r="Z151" s="115">
        <v>6.61465572</v>
      </c>
      <c r="AB151" s="71">
        <v>1.2893390846660871E-4</v>
      </c>
      <c r="AC151" s="71">
        <v>1.1652516595831851E-2</v>
      </c>
      <c r="AD151" s="71">
        <v>2.1385788292753088E-2</v>
      </c>
      <c r="AE151" s="71">
        <v>2.7528390903182924E-2</v>
      </c>
      <c r="AF151" s="63">
        <v>3.1517070022751364E-2</v>
      </c>
      <c r="AG151" s="71" t="s">
        <v>21</v>
      </c>
      <c r="AH151" s="71">
        <v>8.1335214958318559E-3</v>
      </c>
      <c r="AI151" s="71">
        <v>1.6811028592753092E-2</v>
      </c>
      <c r="AJ151" s="71">
        <v>2.2001621803182918E-2</v>
      </c>
      <c r="AK151" s="71">
        <v>2.4734448022751359E-2</v>
      </c>
    </row>
    <row r="152" spans="2:37" x14ac:dyDescent="0.35">
      <c r="B152" s="55" t="s">
        <v>118</v>
      </c>
      <c r="C152" s="53" t="s">
        <v>234</v>
      </c>
      <c r="D152" s="53" t="s">
        <v>20</v>
      </c>
      <c r="E152" s="53" t="s">
        <v>21</v>
      </c>
      <c r="F152" s="73">
        <f t="shared" si="18"/>
        <v>3.9150055196073182E-4</v>
      </c>
      <c r="G152" s="60">
        <f t="shared" si="18"/>
        <v>1.1628147934028429E-2</v>
      </c>
      <c r="H152" s="60">
        <f t="shared" si="18"/>
        <v>2.1097929225470418E-2</v>
      </c>
      <c r="I152" s="60">
        <f t="shared" si="18"/>
        <v>2.6383850715453648E-2</v>
      </c>
      <c r="J152" s="63">
        <f t="shared" si="18"/>
        <v>2.9711037754016806E-2</v>
      </c>
      <c r="K152" s="60" t="str">
        <f t="shared" si="19"/>
        <v/>
      </c>
      <c r="L152" s="60">
        <f t="shared" si="19"/>
        <v>8.1089822340284327E-3</v>
      </c>
      <c r="M152" s="60">
        <f t="shared" si="19"/>
        <v>1.6526149525470418E-2</v>
      </c>
      <c r="N152" s="60">
        <f t="shared" si="19"/>
        <v>2.087984421545365E-2</v>
      </c>
      <c r="O152" s="63">
        <f t="shared" si="19"/>
        <v>2.2960826554016808E-2</v>
      </c>
      <c r="P152" s="55" t="s">
        <v>476</v>
      </c>
      <c r="Q152" s="53" t="s">
        <v>477</v>
      </c>
      <c r="R152" s="94">
        <v>47557</v>
      </c>
      <c r="S152" s="73">
        <v>1.303054E-2</v>
      </c>
      <c r="T152" s="63">
        <f t="shared" si="20"/>
        <v>8.0673892254704178E-3</v>
      </c>
      <c r="V152" s="114">
        <v>1.1252846699999999</v>
      </c>
      <c r="W152" s="72">
        <v>2.8097642400000002</v>
      </c>
      <c r="X152" s="72">
        <v>4.2206856199999994</v>
      </c>
      <c r="Y152" s="72">
        <v>5.3577848800000005</v>
      </c>
      <c r="Z152" s="115">
        <v>6.6754124700000004</v>
      </c>
      <c r="AB152" s="71">
        <v>3.9150055196073182E-4</v>
      </c>
      <c r="AC152" s="71">
        <v>1.1628147934028429E-2</v>
      </c>
      <c r="AD152" s="71">
        <v>2.1097929225470418E-2</v>
      </c>
      <c r="AE152" s="71">
        <v>2.6383850715453648E-2</v>
      </c>
      <c r="AF152" s="63">
        <v>2.9711037754016806E-2</v>
      </c>
      <c r="AG152" s="71" t="s">
        <v>21</v>
      </c>
      <c r="AH152" s="71">
        <v>8.1089822340284327E-3</v>
      </c>
      <c r="AI152" s="71">
        <v>1.6526149525470418E-2</v>
      </c>
      <c r="AJ152" s="71">
        <v>2.087984421545365E-2</v>
      </c>
      <c r="AK152" s="71">
        <v>2.2960826554016808E-2</v>
      </c>
    </row>
    <row r="153" spans="2:37" x14ac:dyDescent="0.35">
      <c r="B153" s="55" t="s">
        <v>320</v>
      </c>
      <c r="C153" s="53" t="s">
        <v>234</v>
      </c>
      <c r="D153" s="53" t="s">
        <v>20</v>
      </c>
      <c r="E153" s="53" t="s">
        <v>123</v>
      </c>
      <c r="F153" s="73">
        <f t="shared" si="18"/>
        <v>3.4391960102654693E-4</v>
      </c>
      <c r="G153" s="60">
        <f t="shared" si="18"/>
        <v>1.1800498473144096E-2</v>
      </c>
      <c r="H153" s="60">
        <f t="shared" si="18"/>
        <v>2.0210522148488112E-2</v>
      </c>
      <c r="I153" s="60">
        <f t="shared" si="18"/>
        <v>2.4319737451970528E-2</v>
      </c>
      <c r="J153" s="63">
        <f t="shared" si="18"/>
        <v>2.7524471727072706E-2</v>
      </c>
      <c r="K153" s="60" t="str">
        <f t="shared" si="19"/>
        <v/>
      </c>
      <c r="L153" s="60">
        <f t="shared" si="19"/>
        <v>8.2847866731440983E-3</v>
      </c>
      <c r="M153" s="60">
        <f t="shared" si="19"/>
        <v>1.5643589948488114E-2</v>
      </c>
      <c r="N153" s="60">
        <f t="shared" si="19"/>
        <v>1.8845432751970526E-2</v>
      </c>
      <c r="O153" s="63">
        <f t="shared" si="19"/>
        <v>2.0795288527072707E-2</v>
      </c>
      <c r="P153" s="55" t="s">
        <v>21</v>
      </c>
      <c r="Q153" s="53" t="s">
        <v>21</v>
      </c>
      <c r="R153" s="94" t="s">
        <v>21</v>
      </c>
      <c r="S153" s="73">
        <v>0</v>
      </c>
      <c r="T153" s="63">
        <f t="shared" si="20"/>
        <v>2.0210522148488112E-2</v>
      </c>
      <c r="V153" s="114">
        <v>1.1253707900000001</v>
      </c>
      <c r="W153" s="72">
        <v>2.8074415200000002</v>
      </c>
      <c r="X153" s="72">
        <v>4.2270309800000003</v>
      </c>
      <c r="Y153" s="72">
        <v>5.3860622099999995</v>
      </c>
      <c r="Z153" s="115">
        <v>6.7526355999999996</v>
      </c>
      <c r="AB153" s="71">
        <v>3.4391960102654693E-4</v>
      </c>
      <c r="AC153" s="71">
        <v>1.1800498473144096E-2</v>
      </c>
      <c r="AD153" s="71">
        <v>2.0210522148488112E-2</v>
      </c>
      <c r="AE153" s="71">
        <v>2.4319737451970528E-2</v>
      </c>
      <c r="AF153" s="63">
        <v>2.7524471727072706E-2</v>
      </c>
      <c r="AG153" s="71" t="s">
        <v>21</v>
      </c>
      <c r="AH153" s="71">
        <v>8.2847866731440983E-3</v>
      </c>
      <c r="AI153" s="71">
        <v>1.5643589948488114E-2</v>
      </c>
      <c r="AJ153" s="71">
        <v>1.8845432751970526E-2</v>
      </c>
      <c r="AK153" s="71">
        <v>2.0795288527072707E-2</v>
      </c>
    </row>
    <row r="154" spans="2:37" x14ac:dyDescent="0.35">
      <c r="B154" s="55" t="s">
        <v>334</v>
      </c>
      <c r="C154" s="53" t="s">
        <v>234</v>
      </c>
      <c r="D154" s="53" t="s">
        <v>20</v>
      </c>
      <c r="E154" s="53" t="s">
        <v>318</v>
      </c>
      <c r="F154" s="73" t="str">
        <f t="shared" si="18"/>
        <v/>
      </c>
      <c r="G154" s="60">
        <f t="shared" si="18"/>
        <v>1.0179266492736729E-2</v>
      </c>
      <c r="H154" s="60">
        <f t="shared" si="18"/>
        <v>1.9992606779965779E-2</v>
      </c>
      <c r="I154" s="60">
        <f t="shared" si="18"/>
        <v>2.4203986423180661E-2</v>
      </c>
      <c r="J154" s="63">
        <f t="shared" si="18"/>
        <v>2.8140607231308096E-2</v>
      </c>
      <c r="K154" s="60" t="str">
        <f t="shared" si="19"/>
        <v/>
      </c>
      <c r="L154" s="60">
        <f t="shared" si="19"/>
        <v>6.6278695927367319E-3</v>
      </c>
      <c r="M154" s="60">
        <f t="shared" si="19"/>
        <v>1.5423737579965782E-2</v>
      </c>
      <c r="N154" s="60">
        <f t="shared" si="19"/>
        <v>1.8733045523180659E-2</v>
      </c>
      <c r="O154" s="63">
        <f t="shared" si="19"/>
        <v>2.1406719331308097E-2</v>
      </c>
      <c r="P154" s="55" t="s">
        <v>21</v>
      </c>
      <c r="Q154" s="53" t="s">
        <v>21</v>
      </c>
      <c r="R154" s="94" t="s">
        <v>21</v>
      </c>
      <c r="S154" s="73">
        <v>0</v>
      </c>
      <c r="T154" s="63">
        <f t="shared" si="20"/>
        <v>1.9992606779965779E-2</v>
      </c>
      <c r="V154" s="114">
        <v>1.12683391</v>
      </c>
      <c r="W154" s="72">
        <v>2.8202806000000002</v>
      </c>
      <c r="X154" s="72">
        <v>4.24631837</v>
      </c>
      <c r="Y154" s="72">
        <v>5.4034166699999995</v>
      </c>
      <c r="Z154" s="115">
        <v>6.7587476899999999</v>
      </c>
      <c r="AB154" s="71" t="s">
        <v>21</v>
      </c>
      <c r="AC154" s="71">
        <v>1.0179266492736729E-2</v>
      </c>
      <c r="AD154" s="71">
        <v>1.9992606779965779E-2</v>
      </c>
      <c r="AE154" s="71">
        <v>2.4203986423180661E-2</v>
      </c>
      <c r="AF154" s="63">
        <v>2.8140607231308096E-2</v>
      </c>
      <c r="AG154" s="71" t="s">
        <v>21</v>
      </c>
      <c r="AH154" s="71">
        <v>6.6278695927367319E-3</v>
      </c>
      <c r="AI154" s="71">
        <v>1.5423737579965782E-2</v>
      </c>
      <c r="AJ154" s="71">
        <v>1.8733045523180659E-2</v>
      </c>
      <c r="AK154" s="71">
        <v>2.1406719331308097E-2</v>
      </c>
    </row>
    <row r="155" spans="2:37" x14ac:dyDescent="0.35">
      <c r="B155" s="55" t="s">
        <v>119</v>
      </c>
      <c r="C155" s="53" t="s">
        <v>234</v>
      </c>
      <c r="D155" s="53" t="s">
        <v>120</v>
      </c>
      <c r="E155" s="53" t="s">
        <v>21</v>
      </c>
      <c r="F155" s="73" t="str">
        <f t="shared" si="18"/>
        <v/>
      </c>
      <c r="G155" s="60">
        <f t="shared" si="18"/>
        <v>1.0187163611072868E-2</v>
      </c>
      <c r="H155" s="60">
        <f t="shared" si="18"/>
        <v>1.9397644622631726E-2</v>
      </c>
      <c r="I155" s="60">
        <f t="shared" si="18"/>
        <v>2.5071993815107073E-2</v>
      </c>
      <c r="J155" s="63">
        <f t="shared" si="18"/>
        <v>3.0771810052420315E-2</v>
      </c>
      <c r="K155" s="60" t="str">
        <f t="shared" si="19"/>
        <v/>
      </c>
      <c r="L155" s="60">
        <f t="shared" si="19"/>
        <v>6.6356035110728693E-3</v>
      </c>
      <c r="M155" s="60">
        <f t="shared" si="19"/>
        <v>1.4831801122631726E-2</v>
      </c>
      <c r="N155" s="60">
        <f t="shared" si="19"/>
        <v>1.9587945315107075E-2</v>
      </c>
      <c r="O155" s="63">
        <f t="shared" si="19"/>
        <v>2.3997579952420314E-2</v>
      </c>
      <c r="P155" s="55" t="s">
        <v>21</v>
      </c>
      <c r="Q155" s="53" t="s">
        <v>21</v>
      </c>
      <c r="R155" s="94" t="s">
        <v>21</v>
      </c>
      <c r="S155" s="73">
        <v>0</v>
      </c>
      <c r="T155" s="63">
        <f t="shared" si="20"/>
        <v>1.9397644622631726E-2</v>
      </c>
      <c r="V155" s="114">
        <v>1.1283019400000001</v>
      </c>
      <c r="W155" s="72">
        <v>2.8253825900000002</v>
      </c>
      <c r="X155" s="72">
        <v>4.2568851099999998</v>
      </c>
      <c r="Y155" s="72">
        <v>5.4112174899999994</v>
      </c>
      <c r="Z155" s="115">
        <v>6.7162911699999999</v>
      </c>
      <c r="AB155" s="71" t="s">
        <v>21</v>
      </c>
      <c r="AC155" s="71">
        <v>1.0187163611072868E-2</v>
      </c>
      <c r="AD155" s="71">
        <v>1.9397644622631726E-2</v>
      </c>
      <c r="AE155" s="71">
        <v>2.5071993815107073E-2</v>
      </c>
      <c r="AF155" s="63">
        <v>3.0771810052420315E-2</v>
      </c>
      <c r="AG155" s="71" t="s">
        <v>21</v>
      </c>
      <c r="AH155" s="71">
        <v>6.6356035110728693E-3</v>
      </c>
      <c r="AI155" s="71">
        <v>1.4831801122631726E-2</v>
      </c>
      <c r="AJ155" s="71">
        <v>1.9587945315107075E-2</v>
      </c>
      <c r="AK155" s="71">
        <v>2.3997579952420314E-2</v>
      </c>
    </row>
    <row r="156" spans="2:37" x14ac:dyDescent="0.35">
      <c r="B156" s="55" t="s">
        <v>321</v>
      </c>
      <c r="C156" s="53" t="s">
        <v>234</v>
      </c>
      <c r="D156" s="53" t="s">
        <v>97</v>
      </c>
      <c r="E156" s="53" t="s">
        <v>21</v>
      </c>
      <c r="F156" s="73" t="str">
        <f t="shared" si="18"/>
        <v/>
      </c>
      <c r="G156" s="60">
        <f t="shared" si="18"/>
        <v>1.0045910693015482E-2</v>
      </c>
      <c r="H156" s="60">
        <f t="shared" si="18"/>
        <v>1.915636799738309E-2</v>
      </c>
      <c r="I156" s="60">
        <f t="shared" si="18"/>
        <v>2.4401755197560496E-2</v>
      </c>
      <c r="J156" s="63">
        <f t="shared" si="18"/>
        <v>3.0044343272580383E-2</v>
      </c>
      <c r="K156" s="60" t="str">
        <f t="shared" si="19"/>
        <v/>
      </c>
      <c r="L156" s="60">
        <f t="shared" si="19"/>
        <v>6.4910771930154817E-3</v>
      </c>
      <c r="M156" s="60">
        <f t="shared" si="19"/>
        <v>1.4589791197383092E-2</v>
      </c>
      <c r="N156" s="60">
        <f t="shared" si="19"/>
        <v>1.8924944497560495E-2</v>
      </c>
      <c r="O156" s="63">
        <f t="shared" si="19"/>
        <v>2.3279724072580391E-2</v>
      </c>
      <c r="P156" s="55" t="s">
        <v>21</v>
      </c>
      <c r="Q156" s="53" t="s">
        <v>21</v>
      </c>
      <c r="R156" s="94" t="s">
        <v>21</v>
      </c>
      <c r="S156" s="73">
        <v>0</v>
      </c>
      <c r="T156" s="63">
        <f t="shared" si="20"/>
        <v>1.915636799738309E-2</v>
      </c>
      <c r="V156" s="114">
        <v>1.1272702100000001</v>
      </c>
      <c r="W156" s="72">
        <v>2.8233113300000001</v>
      </c>
      <c r="X156" s="72">
        <v>4.2574942599999996</v>
      </c>
      <c r="Y156" s="72">
        <v>5.4204751900000003</v>
      </c>
      <c r="Z156" s="115">
        <v>6.7428437300000006</v>
      </c>
      <c r="AB156" s="71" t="s">
        <v>21</v>
      </c>
      <c r="AC156" s="71">
        <v>1.0045910693015482E-2</v>
      </c>
      <c r="AD156" s="71">
        <v>1.915636799738309E-2</v>
      </c>
      <c r="AE156" s="71">
        <v>2.4401755197560496E-2</v>
      </c>
      <c r="AF156" s="63">
        <v>3.0044343272580383E-2</v>
      </c>
      <c r="AG156" s="71" t="s">
        <v>21</v>
      </c>
      <c r="AH156" s="71">
        <v>6.4910771930154817E-3</v>
      </c>
      <c r="AI156" s="71">
        <v>1.4589791197383092E-2</v>
      </c>
      <c r="AJ156" s="71">
        <v>1.8924944497560495E-2</v>
      </c>
      <c r="AK156" s="71">
        <v>2.3279724072580391E-2</v>
      </c>
    </row>
    <row r="157" spans="2:37" x14ac:dyDescent="0.35">
      <c r="B157" s="55" t="s">
        <v>115</v>
      </c>
      <c r="C157" s="53" t="s">
        <v>234</v>
      </c>
      <c r="D157" s="53" t="s">
        <v>31</v>
      </c>
      <c r="E157" s="53" t="s">
        <v>36</v>
      </c>
      <c r="F157" s="73" t="str">
        <f t="shared" si="18"/>
        <v/>
      </c>
      <c r="G157" s="60">
        <f t="shared" si="18"/>
        <v>9.5937734428624341E-3</v>
      </c>
      <c r="H157" s="60">
        <f t="shared" si="18"/>
        <v>1.8925133401471578E-2</v>
      </c>
      <c r="I157" s="60">
        <f t="shared" si="18"/>
        <v>2.4177283366848067E-2</v>
      </c>
      <c r="J157" s="63">
        <f t="shared" si="18"/>
        <v>2.9161224135564216E-2</v>
      </c>
      <c r="K157" s="60" t="str">
        <f t="shared" si="19"/>
        <v/>
      </c>
      <c r="L157" s="60">
        <f t="shared" si="19"/>
        <v>6.0249387428624344E-3</v>
      </c>
      <c r="M157" s="60">
        <f t="shared" si="19"/>
        <v>1.4357815201471575E-2</v>
      </c>
      <c r="N157" s="60">
        <f t="shared" si="19"/>
        <v>1.8702284066848068E-2</v>
      </c>
      <c r="O157" s="63">
        <f t="shared" si="19"/>
        <v>2.2411969335564219E-2</v>
      </c>
      <c r="P157" s="55" t="s">
        <v>478</v>
      </c>
      <c r="Q157" s="53" t="s">
        <v>479</v>
      </c>
      <c r="R157" s="94">
        <v>47492</v>
      </c>
      <c r="S157" s="73">
        <v>1.0781130000000002E-2</v>
      </c>
      <c r="T157" s="63">
        <f t="shared" si="20"/>
        <v>8.1440034014715768E-3</v>
      </c>
      <c r="V157" s="114">
        <v>1.1272544799999999</v>
      </c>
      <c r="W157" s="72">
        <v>2.8263293200000001</v>
      </c>
      <c r="X157" s="72">
        <v>4.2633670099999996</v>
      </c>
      <c r="Y157" s="72">
        <v>5.4285045700000003</v>
      </c>
      <c r="Z157" s="115">
        <v>6.7652772200000006</v>
      </c>
      <c r="AB157" s="71" t="s">
        <v>21</v>
      </c>
      <c r="AC157" s="71">
        <v>9.5937734428624341E-3</v>
      </c>
      <c r="AD157" s="71">
        <v>1.8925133401471578E-2</v>
      </c>
      <c r="AE157" s="71">
        <v>2.4177283366848067E-2</v>
      </c>
      <c r="AF157" s="63">
        <v>2.9161224135564216E-2</v>
      </c>
      <c r="AG157" s="71" t="s">
        <v>21</v>
      </c>
      <c r="AH157" s="71">
        <v>6.0249387428624344E-3</v>
      </c>
      <c r="AI157" s="71">
        <v>1.4357815201471575E-2</v>
      </c>
      <c r="AJ157" s="71">
        <v>1.8702284066848068E-2</v>
      </c>
      <c r="AK157" s="71">
        <v>2.2411969335564219E-2</v>
      </c>
    </row>
    <row r="158" spans="2:37" x14ac:dyDescent="0.35">
      <c r="B158" s="55" t="s">
        <v>328</v>
      </c>
      <c r="C158" s="53" t="s">
        <v>234</v>
      </c>
      <c r="D158" s="53" t="s">
        <v>257</v>
      </c>
      <c r="E158" s="53" t="s">
        <v>480</v>
      </c>
      <c r="F158" s="73">
        <f t="shared" si="18"/>
        <v>2.8345525873435268E-4</v>
      </c>
      <c r="G158" s="60">
        <f t="shared" si="18"/>
        <v>1.0330098505818331E-2</v>
      </c>
      <c r="H158" s="60">
        <f t="shared" si="18"/>
        <v>1.8403228000669524E-2</v>
      </c>
      <c r="I158" s="60">
        <f t="shared" si="18"/>
        <v>2.2143444950227246E-2</v>
      </c>
      <c r="J158" s="63">
        <f t="shared" si="18"/>
        <v>2.5772513918307784E-2</v>
      </c>
      <c r="K158" s="60" t="str">
        <f t="shared" si="19"/>
        <v/>
      </c>
      <c r="L158" s="60">
        <f t="shared" si="19"/>
        <v>6.7835416058183379E-3</v>
      </c>
      <c r="M158" s="60">
        <f t="shared" si="19"/>
        <v>1.3834086200669522E-2</v>
      </c>
      <c r="N158" s="60">
        <f t="shared" si="19"/>
        <v>1.6680156350227245E-2</v>
      </c>
      <c r="O158" s="63">
        <f t="shared" si="19"/>
        <v>1.9045548418307787E-2</v>
      </c>
      <c r="P158" s="55" t="s">
        <v>21</v>
      </c>
      <c r="Q158" s="53" t="s">
        <v>21</v>
      </c>
      <c r="R158" s="94" t="s">
        <v>21</v>
      </c>
      <c r="S158" s="73">
        <v>0</v>
      </c>
      <c r="T158" s="63">
        <f t="shared" si="20"/>
        <v>1.8403228000669524E-2</v>
      </c>
      <c r="V158" s="114">
        <v>1.1254895500000002</v>
      </c>
      <c r="W158" s="72">
        <v>2.8181561300000002</v>
      </c>
      <c r="X158" s="72">
        <v>4.2585086600000004</v>
      </c>
      <c r="Y158" s="72">
        <v>5.45005206</v>
      </c>
      <c r="Z158" s="115">
        <v>6.8635875500000001</v>
      </c>
      <c r="AB158" s="71">
        <v>2.8345525873435268E-4</v>
      </c>
      <c r="AC158" s="71">
        <v>1.0330098505818331E-2</v>
      </c>
      <c r="AD158" s="71">
        <v>1.8403228000669524E-2</v>
      </c>
      <c r="AE158" s="71">
        <v>2.2143444950227246E-2</v>
      </c>
      <c r="AF158" s="63">
        <v>2.5772513918307784E-2</v>
      </c>
      <c r="AG158" s="71" t="s">
        <v>21</v>
      </c>
      <c r="AH158" s="71">
        <v>6.7835416058183379E-3</v>
      </c>
      <c r="AI158" s="71">
        <v>1.3834086200669522E-2</v>
      </c>
      <c r="AJ158" s="71">
        <v>1.6680156350227245E-2</v>
      </c>
      <c r="AK158" s="71">
        <v>1.9045548418307787E-2</v>
      </c>
    </row>
    <row r="159" spans="2:37" x14ac:dyDescent="0.35">
      <c r="B159" s="55" t="s">
        <v>134</v>
      </c>
      <c r="C159" s="53" t="s">
        <v>234</v>
      </c>
      <c r="D159" s="53" t="s">
        <v>43</v>
      </c>
      <c r="E159" s="53" t="s">
        <v>21</v>
      </c>
      <c r="F159" s="73" t="str">
        <f t="shared" si="18"/>
        <v/>
      </c>
      <c r="G159" s="60">
        <f t="shared" si="18"/>
        <v>9.5083907602448014E-3</v>
      </c>
      <c r="H159" s="60">
        <f t="shared" si="18"/>
        <v>1.8344970851778008E-2</v>
      </c>
      <c r="I159" s="60">
        <f t="shared" si="18"/>
        <v>2.3423289323292087E-2</v>
      </c>
      <c r="J159" s="63">
        <f t="shared" si="18"/>
        <v>2.8709722382610412E-2</v>
      </c>
      <c r="K159" s="60" t="str">
        <f t="shared" si="19"/>
        <v/>
      </c>
      <c r="L159" s="60">
        <f t="shared" si="19"/>
        <v>5.9372347602448024E-3</v>
      </c>
      <c r="M159" s="60">
        <f t="shared" si="19"/>
        <v>1.3776388651778011E-2</v>
      </c>
      <c r="N159" s="60">
        <f t="shared" si="19"/>
        <v>1.795481222329209E-2</v>
      </c>
      <c r="O159" s="63">
        <f t="shared" si="19"/>
        <v>2.1963961882610409E-2</v>
      </c>
      <c r="P159" s="55" t="s">
        <v>481</v>
      </c>
      <c r="Q159" s="53" t="s">
        <v>482</v>
      </c>
      <c r="R159" s="94" t="s">
        <v>32</v>
      </c>
      <c r="S159" s="73">
        <v>1.3858580000000001E-2</v>
      </c>
      <c r="T159" s="63">
        <f t="shared" si="20"/>
        <v>4.4863908517780073E-3</v>
      </c>
      <c r="V159" s="114">
        <v>1.12771048</v>
      </c>
      <c r="W159" s="72">
        <v>2.8279926399999997</v>
      </c>
      <c r="X159" s="72">
        <v>4.2708620499999999</v>
      </c>
      <c r="Y159" s="72">
        <v>5.44670202</v>
      </c>
      <c r="Z159" s="115">
        <v>6.7961368599999998</v>
      </c>
      <c r="AB159" s="71" t="s">
        <v>21</v>
      </c>
      <c r="AC159" s="71">
        <v>9.5083907602448014E-3</v>
      </c>
      <c r="AD159" s="71">
        <v>1.8344970851778008E-2</v>
      </c>
      <c r="AE159" s="71">
        <v>2.3423289323292087E-2</v>
      </c>
      <c r="AF159" s="63">
        <v>2.8709722382610412E-2</v>
      </c>
      <c r="AG159" s="71" t="s">
        <v>21</v>
      </c>
      <c r="AH159" s="71">
        <v>5.9372347602448024E-3</v>
      </c>
      <c r="AI159" s="71">
        <v>1.3776388651778011E-2</v>
      </c>
      <c r="AJ159" s="71">
        <v>1.795481222329209E-2</v>
      </c>
      <c r="AK159" s="71">
        <v>2.1963961882610409E-2</v>
      </c>
    </row>
    <row r="160" spans="2:37" x14ac:dyDescent="0.35">
      <c r="B160" s="55" t="s">
        <v>132</v>
      </c>
      <c r="C160" s="53" t="s">
        <v>234</v>
      </c>
      <c r="D160" s="53" t="s">
        <v>20</v>
      </c>
      <c r="E160" s="53" t="s">
        <v>21</v>
      </c>
      <c r="F160" s="73" t="str">
        <f t="shared" si="18"/>
        <v/>
      </c>
      <c r="G160" s="60">
        <f t="shared" si="18"/>
        <v>1.0349992365476976E-2</v>
      </c>
      <c r="H160" s="60">
        <f t="shared" si="18"/>
        <v>1.8619046049990495E-2</v>
      </c>
      <c r="I160" s="60">
        <f t="shared" si="18"/>
        <v>2.182923427671728E-2</v>
      </c>
      <c r="J160" s="63">
        <f t="shared" si="18"/>
        <v>2.5546708540025713E-2</v>
      </c>
      <c r="K160" s="60" t="str">
        <f t="shared" si="19"/>
        <v/>
      </c>
      <c r="L160" s="60">
        <f t="shared" si="19"/>
        <v>6.8028181654769763E-3</v>
      </c>
      <c r="M160" s="60">
        <f t="shared" si="19"/>
        <v>1.4051303449990496E-2</v>
      </c>
      <c r="N160" s="60">
        <f t="shared" si="19"/>
        <v>1.637176777671728E-2</v>
      </c>
      <c r="O160" s="63">
        <f t="shared" si="19"/>
        <v>1.8822805840025714E-2</v>
      </c>
      <c r="P160" s="55" t="s">
        <v>483</v>
      </c>
      <c r="Q160" s="53" t="s">
        <v>484</v>
      </c>
      <c r="R160" s="94">
        <v>47567</v>
      </c>
      <c r="S160" s="73">
        <v>1.296166E-2</v>
      </c>
      <c r="T160" s="63">
        <f t="shared" si="20"/>
        <v>5.6573860499904947E-3</v>
      </c>
      <c r="V160" s="114">
        <v>1.12748637</v>
      </c>
      <c r="W160" s="72">
        <v>2.8223820399999999</v>
      </c>
      <c r="X160" s="72">
        <v>4.2604279900000002</v>
      </c>
      <c r="Y160" s="72">
        <v>5.4494729499999996</v>
      </c>
      <c r="Z160" s="115">
        <v>6.8670689199999995</v>
      </c>
      <c r="AB160" s="71" t="s">
        <v>21</v>
      </c>
      <c r="AC160" s="71">
        <v>1.0349992365476976E-2</v>
      </c>
      <c r="AD160" s="71">
        <v>1.8619046049990495E-2</v>
      </c>
      <c r="AE160" s="71">
        <v>2.182923427671728E-2</v>
      </c>
      <c r="AF160" s="63">
        <v>2.5546708540025713E-2</v>
      </c>
      <c r="AG160" s="71" t="s">
        <v>21</v>
      </c>
      <c r="AH160" s="71">
        <v>6.8028181654769763E-3</v>
      </c>
      <c r="AI160" s="71">
        <v>1.4051303449990496E-2</v>
      </c>
      <c r="AJ160" s="71">
        <v>1.637176777671728E-2</v>
      </c>
      <c r="AK160" s="71">
        <v>1.8822805840025714E-2</v>
      </c>
    </row>
    <row r="161" spans="2:37" x14ac:dyDescent="0.35">
      <c r="B161" s="55" t="s">
        <v>335</v>
      </c>
      <c r="C161" s="53" t="s">
        <v>234</v>
      </c>
      <c r="D161" s="53" t="s">
        <v>20</v>
      </c>
      <c r="E161" s="53" t="s">
        <v>133</v>
      </c>
      <c r="F161" s="73" t="str">
        <f t="shared" si="18"/>
        <v/>
      </c>
      <c r="G161" s="60">
        <f t="shared" si="18"/>
        <v>9.9953345687692485E-3</v>
      </c>
      <c r="H161" s="60">
        <f t="shared" si="18"/>
        <v>1.8587655504809911E-2</v>
      </c>
      <c r="I161" s="60">
        <f t="shared" si="18"/>
        <v>2.2163286639219661E-2</v>
      </c>
      <c r="J161" s="63">
        <f t="shared" si="18"/>
        <v>2.5438952783850603E-2</v>
      </c>
      <c r="K161" s="60" t="str">
        <f t="shared" si="19"/>
        <v/>
      </c>
      <c r="L161" s="60">
        <f t="shared" si="19"/>
        <v>6.4394946687692488E-3</v>
      </c>
      <c r="M161" s="60">
        <f t="shared" si="19"/>
        <v>1.4019790504809908E-2</v>
      </c>
      <c r="N161" s="60">
        <f t="shared" si="19"/>
        <v>1.670359423921966E-2</v>
      </c>
      <c r="O161" s="63">
        <f t="shared" si="19"/>
        <v>1.87189600838506E-2</v>
      </c>
      <c r="P161" s="55" t="s">
        <v>21</v>
      </c>
      <c r="Q161" s="53" t="s">
        <v>21</v>
      </c>
      <c r="R161" s="94" t="s">
        <v>21</v>
      </c>
      <c r="S161" s="73">
        <v>0</v>
      </c>
      <c r="T161" s="63">
        <f t="shared" si="20"/>
        <v>1.8587655504809911E-2</v>
      </c>
      <c r="V161" s="114">
        <v>1.1267692600000001</v>
      </c>
      <c r="W161" s="72">
        <v>2.82387743</v>
      </c>
      <c r="X161" s="72">
        <v>4.2642458999999997</v>
      </c>
      <c r="Y161" s="72">
        <v>5.4528988600000003</v>
      </c>
      <c r="Z161" s="115">
        <v>6.8698943799999999</v>
      </c>
      <c r="AB161" s="71" t="s">
        <v>21</v>
      </c>
      <c r="AC161" s="71">
        <v>9.9953345687692485E-3</v>
      </c>
      <c r="AD161" s="71">
        <v>1.8587655504809911E-2</v>
      </c>
      <c r="AE161" s="71">
        <v>2.2163286639219661E-2</v>
      </c>
      <c r="AF161" s="63">
        <v>2.5438952783850603E-2</v>
      </c>
      <c r="AG161" s="71" t="s">
        <v>21</v>
      </c>
      <c r="AH161" s="71">
        <v>6.4394946687692488E-3</v>
      </c>
      <c r="AI161" s="71">
        <v>1.4019790504809908E-2</v>
      </c>
      <c r="AJ161" s="71">
        <v>1.670359423921966E-2</v>
      </c>
      <c r="AK161" s="71">
        <v>1.87189600838506E-2</v>
      </c>
    </row>
    <row r="162" spans="2:37" x14ac:dyDescent="0.35">
      <c r="B162" s="55" t="s">
        <v>126</v>
      </c>
      <c r="C162" s="53" t="s">
        <v>234</v>
      </c>
      <c r="D162" s="53" t="s">
        <v>69</v>
      </c>
      <c r="E162" s="53" t="s">
        <v>135</v>
      </c>
      <c r="F162" s="73" t="str">
        <f t="shared" si="18"/>
        <v/>
      </c>
      <c r="G162" s="60">
        <f t="shared" si="18"/>
        <v>9.4581870991797476E-3</v>
      </c>
      <c r="H162" s="60">
        <f t="shared" si="18"/>
        <v>1.8101577450850496E-2</v>
      </c>
      <c r="I162" s="60">
        <f t="shared" si="18"/>
        <v>2.3142351922228334E-2</v>
      </c>
      <c r="J162" s="63">
        <f t="shared" si="18"/>
        <v>2.8590276487064512E-2</v>
      </c>
      <c r="K162" s="60" t="str">
        <f t="shared" si="19"/>
        <v/>
      </c>
      <c r="L162" s="60">
        <f t="shared" si="19"/>
        <v>5.8830774991797466E-3</v>
      </c>
      <c r="M162" s="60">
        <f t="shared" si="19"/>
        <v>1.3531190050850498E-2</v>
      </c>
      <c r="N162" s="60">
        <f t="shared" si="19"/>
        <v>1.7676159822228334E-2</v>
      </c>
      <c r="O162" s="63">
        <f t="shared" si="19"/>
        <v>2.184642578706451E-2</v>
      </c>
      <c r="P162" s="55" t="s">
        <v>485</v>
      </c>
      <c r="Q162" s="53" t="s">
        <v>486</v>
      </c>
      <c r="R162" s="94">
        <v>47484</v>
      </c>
      <c r="S162" s="73">
        <v>1.215285E-2</v>
      </c>
      <c r="T162" s="63">
        <f t="shared" si="20"/>
        <v>5.9487274508504967E-3</v>
      </c>
      <c r="V162" s="114">
        <v>1.1291248300000001</v>
      </c>
      <c r="W162" s="72">
        <v>2.8331331199999998</v>
      </c>
      <c r="X162" s="72">
        <v>4.2789805599999999</v>
      </c>
      <c r="Y162" s="72">
        <v>5.4597812599999997</v>
      </c>
      <c r="Z162" s="115">
        <v>6.8153077800000004</v>
      </c>
      <c r="AB162" s="71" t="s">
        <v>21</v>
      </c>
      <c r="AC162" s="71">
        <v>9.4581870991797476E-3</v>
      </c>
      <c r="AD162" s="71">
        <v>1.8101577450850496E-2</v>
      </c>
      <c r="AE162" s="71">
        <v>2.3142351922228334E-2</v>
      </c>
      <c r="AF162" s="63">
        <v>2.8590276487064512E-2</v>
      </c>
      <c r="AG162" s="71" t="s">
        <v>21</v>
      </c>
      <c r="AH162" s="71">
        <v>5.8830774991797466E-3</v>
      </c>
      <c r="AI162" s="71">
        <v>1.3531190050850498E-2</v>
      </c>
      <c r="AJ162" s="71">
        <v>1.7676159822228334E-2</v>
      </c>
      <c r="AK162" s="71">
        <v>2.184642578706451E-2</v>
      </c>
    </row>
    <row r="163" spans="2:37" x14ac:dyDescent="0.35">
      <c r="B163" s="55" t="s">
        <v>127</v>
      </c>
      <c r="C163" s="53" t="s">
        <v>234</v>
      </c>
      <c r="D163" s="53" t="s">
        <v>62</v>
      </c>
      <c r="E163" s="53" t="s">
        <v>487</v>
      </c>
      <c r="F163" s="73" t="str">
        <f t="shared" si="18"/>
        <v/>
      </c>
      <c r="G163" s="60">
        <f t="shared" si="18"/>
        <v>9.3188861121831362E-3</v>
      </c>
      <c r="H163" s="60">
        <f t="shared" si="18"/>
        <v>1.7846210281294364E-2</v>
      </c>
      <c r="I163" s="60">
        <f t="shared" si="18"/>
        <v>2.2573678378308197E-2</v>
      </c>
      <c r="J163" s="63">
        <f t="shared" si="18"/>
        <v>2.7362316935108762E-2</v>
      </c>
      <c r="K163" s="60" t="str">
        <f t="shared" si="19"/>
        <v/>
      </c>
      <c r="L163" s="60">
        <f t="shared" si="19"/>
        <v>5.7399797121831337E-3</v>
      </c>
      <c r="M163" s="60">
        <f t="shared" si="19"/>
        <v>1.3273466181294363E-2</v>
      </c>
      <c r="N163" s="60">
        <f t="shared" si="19"/>
        <v>1.7109318778308201E-2</v>
      </c>
      <c r="O163" s="63">
        <f t="shared" si="19"/>
        <v>2.0629793135108761E-2</v>
      </c>
      <c r="P163" s="55" t="s">
        <v>488</v>
      </c>
      <c r="Q163" s="53" t="s">
        <v>489</v>
      </c>
      <c r="R163" s="94">
        <v>47635</v>
      </c>
      <c r="S163" s="73">
        <v>1.210166E-2</v>
      </c>
      <c r="T163" s="63">
        <f t="shared" si="20"/>
        <v>5.7445502812943638E-3</v>
      </c>
      <c r="V163" s="114">
        <v>1.1275789000000001</v>
      </c>
      <c r="W163" s="72">
        <v>2.8303126599999997</v>
      </c>
      <c r="X163" s="72">
        <v>4.2789505999999999</v>
      </c>
      <c r="Y163" s="72">
        <v>5.4673173300000002</v>
      </c>
      <c r="Z163" s="115">
        <v>6.8489658300000009</v>
      </c>
      <c r="AB163" s="71" t="s">
        <v>21</v>
      </c>
      <c r="AC163" s="71">
        <v>9.3188861121831362E-3</v>
      </c>
      <c r="AD163" s="71">
        <v>1.7846210281294364E-2</v>
      </c>
      <c r="AE163" s="71">
        <v>2.2573678378308197E-2</v>
      </c>
      <c r="AF163" s="63">
        <v>2.7362316935108762E-2</v>
      </c>
      <c r="AG163" s="71" t="s">
        <v>21</v>
      </c>
      <c r="AH163" s="71">
        <v>5.7399797121831337E-3</v>
      </c>
      <c r="AI163" s="71">
        <v>1.3273466181294363E-2</v>
      </c>
      <c r="AJ163" s="71">
        <v>1.7109318778308201E-2</v>
      </c>
      <c r="AK163" s="71">
        <v>2.0629793135108761E-2</v>
      </c>
    </row>
    <row r="164" spans="2:37" x14ac:dyDescent="0.35">
      <c r="B164" s="55" t="s">
        <v>330</v>
      </c>
      <c r="C164" s="53" t="s">
        <v>234</v>
      </c>
      <c r="D164" s="53" t="s">
        <v>31</v>
      </c>
      <c r="E164" s="53" t="s">
        <v>21</v>
      </c>
      <c r="F164" s="73" t="str">
        <f t="shared" si="18"/>
        <v/>
      </c>
      <c r="G164" s="60">
        <f t="shared" si="18"/>
        <v>9.7297226760338171E-3</v>
      </c>
      <c r="H164" s="60">
        <f t="shared" si="18"/>
        <v>1.7514848538478237E-2</v>
      </c>
      <c r="I164" s="60">
        <f t="shared" si="18"/>
        <v>2.1752785384888493E-2</v>
      </c>
      <c r="J164" s="63">
        <f t="shared" si="18"/>
        <v>2.5857516705725343E-2</v>
      </c>
      <c r="K164" s="60" t="str">
        <f t="shared" si="19"/>
        <v/>
      </c>
      <c r="L164" s="60">
        <f t="shared" si="19"/>
        <v>6.16475267603382E-3</v>
      </c>
      <c r="M164" s="60">
        <f t="shared" si="19"/>
        <v>1.2938955338478239E-2</v>
      </c>
      <c r="N164" s="60">
        <f t="shared" si="19"/>
        <v>1.6288294984888495E-2</v>
      </c>
      <c r="O164" s="63">
        <f t="shared" si="19"/>
        <v>1.9129758605725335E-2</v>
      </c>
      <c r="P164" s="55" t="s">
        <v>21</v>
      </c>
      <c r="Q164" s="53" t="s">
        <v>21</v>
      </c>
      <c r="R164" s="94" t="s">
        <v>21</v>
      </c>
      <c r="S164" s="73">
        <v>0</v>
      </c>
      <c r="T164" s="63">
        <f t="shared" si="20"/>
        <v>1.7514848538478237E-2</v>
      </c>
      <c r="V164" s="114">
        <v>1.1276922</v>
      </c>
      <c r="W164" s="72">
        <v>2.82598349</v>
      </c>
      <c r="X164" s="72">
        <v>4.2765293900000003</v>
      </c>
      <c r="Y164" s="72">
        <v>5.4752659399999999</v>
      </c>
      <c r="Z164" s="115">
        <v>6.8886826000000001</v>
      </c>
      <c r="AB164" s="71" t="s">
        <v>21</v>
      </c>
      <c r="AC164" s="71">
        <v>9.7297226760338171E-3</v>
      </c>
      <c r="AD164" s="71">
        <v>1.7514848538478237E-2</v>
      </c>
      <c r="AE164" s="71">
        <v>2.1752785384888493E-2</v>
      </c>
      <c r="AF164" s="63">
        <v>2.5857516705725343E-2</v>
      </c>
      <c r="AG164" s="71" t="s">
        <v>21</v>
      </c>
      <c r="AH164" s="71">
        <v>6.16475267603382E-3</v>
      </c>
      <c r="AI164" s="71">
        <v>1.2938955338478239E-2</v>
      </c>
      <c r="AJ164" s="71">
        <v>1.6288294984888495E-2</v>
      </c>
      <c r="AK164" s="71">
        <v>1.9129758605725335E-2</v>
      </c>
    </row>
    <row r="165" spans="2:37" x14ac:dyDescent="0.35">
      <c r="B165" s="55" t="s">
        <v>332</v>
      </c>
      <c r="C165" s="53" t="s">
        <v>234</v>
      </c>
      <c r="D165" s="53" t="s">
        <v>97</v>
      </c>
      <c r="E165" s="53" t="s">
        <v>21</v>
      </c>
      <c r="F165" s="73" t="str">
        <f t="shared" si="18"/>
        <v/>
      </c>
      <c r="G165" s="60">
        <f t="shared" si="18"/>
        <v>9.3018098274155244E-3</v>
      </c>
      <c r="H165" s="60">
        <f t="shared" si="18"/>
        <v>1.7466282920425458E-2</v>
      </c>
      <c r="I165" s="60">
        <f t="shared" si="18"/>
        <v>2.1314210909556708E-2</v>
      </c>
      <c r="J165" s="63">
        <f t="shared" si="18"/>
        <v>2.4265850244495048E-2</v>
      </c>
      <c r="K165" s="60" t="str">
        <f t="shared" si="19"/>
        <v/>
      </c>
      <c r="L165" s="60">
        <f t="shared" si="19"/>
        <v>5.7221515274155244E-3</v>
      </c>
      <c r="M165" s="60">
        <f t="shared" si="19"/>
        <v>1.2888886320425457E-2</v>
      </c>
      <c r="N165" s="60">
        <f t="shared" si="19"/>
        <v>1.5849737009556705E-2</v>
      </c>
      <c r="O165" s="63">
        <f t="shared" si="19"/>
        <v>1.7540328644495045E-2</v>
      </c>
      <c r="P165" s="55" t="s">
        <v>380</v>
      </c>
      <c r="Q165" s="53" t="s">
        <v>381</v>
      </c>
      <c r="R165" s="94">
        <v>47497</v>
      </c>
      <c r="S165" s="73">
        <v>1.1518980000000002E-2</v>
      </c>
      <c r="T165" s="63">
        <f t="shared" si="20"/>
        <v>5.9473029204254561E-3</v>
      </c>
      <c r="V165" s="114">
        <v>1.1262633500000001</v>
      </c>
      <c r="W165" s="72">
        <v>2.8271995800000003</v>
      </c>
      <c r="X165" s="72">
        <v>4.2792302800000002</v>
      </c>
      <c r="Y165" s="72">
        <v>5.4832437199999999</v>
      </c>
      <c r="Z165" s="115">
        <v>6.9293032500000002</v>
      </c>
      <c r="AB165" s="71" t="s">
        <v>21</v>
      </c>
      <c r="AC165" s="71">
        <v>9.3018098274155244E-3</v>
      </c>
      <c r="AD165" s="71">
        <v>1.7466282920425458E-2</v>
      </c>
      <c r="AE165" s="71">
        <v>2.1314210909556708E-2</v>
      </c>
      <c r="AF165" s="63">
        <v>2.4265850244495048E-2</v>
      </c>
      <c r="AG165" s="71" t="s">
        <v>21</v>
      </c>
      <c r="AH165" s="71">
        <v>5.7221515274155244E-3</v>
      </c>
      <c r="AI165" s="71">
        <v>1.2888886320425457E-2</v>
      </c>
      <c r="AJ165" s="71">
        <v>1.5849737009556705E-2</v>
      </c>
      <c r="AK165" s="71">
        <v>1.7540328644495045E-2</v>
      </c>
    </row>
    <row r="166" spans="2:37" x14ac:dyDescent="0.35">
      <c r="B166" s="55" t="s">
        <v>121</v>
      </c>
      <c r="C166" s="53" t="s">
        <v>234</v>
      </c>
      <c r="D166" s="53" t="s">
        <v>69</v>
      </c>
      <c r="E166" s="53" t="s">
        <v>133</v>
      </c>
      <c r="F166" s="73" t="str">
        <f t="shared" si="18"/>
        <v/>
      </c>
      <c r="G166" s="60">
        <f t="shared" si="18"/>
        <v>8.7336086002461032E-3</v>
      </c>
      <c r="H166" s="60">
        <f t="shared" si="18"/>
        <v>1.7430142338282568E-2</v>
      </c>
      <c r="I166" s="60">
        <f t="shared" si="18"/>
        <v>2.3305327591413516E-2</v>
      </c>
      <c r="J166" s="63">
        <f t="shared" si="18"/>
        <v>2.7511224052524087E-2</v>
      </c>
      <c r="K166" s="60" t="str">
        <f t="shared" si="19"/>
        <v/>
      </c>
      <c r="L166" s="60">
        <f t="shared" si="19"/>
        <v>5.1304854002461016E-3</v>
      </c>
      <c r="M166" s="60">
        <f t="shared" si="19"/>
        <v>1.2851572638282568E-2</v>
      </c>
      <c r="N166" s="60">
        <f t="shared" si="19"/>
        <v>1.7833980891413519E-2</v>
      </c>
      <c r="O166" s="63">
        <f t="shared" si="19"/>
        <v>2.0782883652524082E-2</v>
      </c>
      <c r="P166" s="55" t="s">
        <v>21</v>
      </c>
      <c r="Q166" s="53" t="s">
        <v>21</v>
      </c>
      <c r="R166" s="94" t="s">
        <v>21</v>
      </c>
      <c r="S166" s="73">
        <v>0</v>
      </c>
      <c r="T166" s="63">
        <f t="shared" si="20"/>
        <v>1.7430142338282568E-2</v>
      </c>
      <c r="V166" s="114">
        <v>1.12867359</v>
      </c>
      <c r="W166" s="72">
        <v>2.8341412699999999</v>
      </c>
      <c r="X166" s="72">
        <v>4.2884001600000001</v>
      </c>
      <c r="Y166" s="72">
        <v>5.4691793400000002</v>
      </c>
      <c r="Z166" s="115">
        <v>6.8423345400000004</v>
      </c>
      <c r="AB166" s="71" t="s">
        <v>21</v>
      </c>
      <c r="AC166" s="71">
        <v>8.7336086002461032E-3</v>
      </c>
      <c r="AD166" s="71">
        <v>1.7430142338282568E-2</v>
      </c>
      <c r="AE166" s="71">
        <v>2.3305327591413516E-2</v>
      </c>
      <c r="AF166" s="63">
        <v>2.7511224052524087E-2</v>
      </c>
      <c r="AG166" s="71" t="s">
        <v>21</v>
      </c>
      <c r="AH166" s="71">
        <v>5.1304854002461016E-3</v>
      </c>
      <c r="AI166" s="71">
        <v>1.2851572638282568E-2</v>
      </c>
      <c r="AJ166" s="71">
        <v>1.7833980891413519E-2</v>
      </c>
      <c r="AK166" s="71">
        <v>2.0782883652524082E-2</v>
      </c>
    </row>
    <row r="167" spans="2:37" x14ac:dyDescent="0.35">
      <c r="B167" s="55" t="s">
        <v>333</v>
      </c>
      <c r="C167" s="53" t="s">
        <v>234</v>
      </c>
      <c r="D167" s="53" t="s">
        <v>20</v>
      </c>
      <c r="E167" s="53" t="s">
        <v>238</v>
      </c>
      <c r="F167" s="73" t="str">
        <f t="shared" si="18"/>
        <v/>
      </c>
      <c r="G167" s="60">
        <f t="shared" si="18"/>
        <v>9.2903966771460539E-3</v>
      </c>
      <c r="H167" s="60">
        <f t="shared" si="18"/>
        <v>1.7624457595097946E-2</v>
      </c>
      <c r="I167" s="60">
        <f t="shared" si="18"/>
        <v>2.1806495425946419E-2</v>
      </c>
      <c r="J167" s="63">
        <f t="shared" si="18"/>
        <v>2.503957406064725E-2</v>
      </c>
      <c r="K167" s="60" t="str">
        <f t="shared" si="19"/>
        <v/>
      </c>
      <c r="L167" s="60">
        <f t="shared" si="19"/>
        <v>5.7096293771460548E-3</v>
      </c>
      <c r="M167" s="60">
        <f t="shared" si="19"/>
        <v>1.3048835995097945E-2</v>
      </c>
      <c r="N167" s="60">
        <f t="shared" si="19"/>
        <v>1.6343798525946418E-2</v>
      </c>
      <c r="O167" s="63">
        <f t="shared" si="19"/>
        <v>1.8319548260647248E-2</v>
      </c>
      <c r="P167" s="55" t="s">
        <v>21</v>
      </c>
      <c r="Q167" s="53" t="s">
        <v>21</v>
      </c>
      <c r="R167" s="94" t="s">
        <v>21</v>
      </c>
      <c r="S167" s="73">
        <v>0</v>
      </c>
      <c r="T167" s="63">
        <f t="shared" si="20"/>
        <v>1.7624457595097946E-2</v>
      </c>
      <c r="V167" s="114">
        <v>1.12808387</v>
      </c>
      <c r="W167" s="72">
        <v>2.8301488999999997</v>
      </c>
      <c r="X167" s="72">
        <v>4.2807520100000005</v>
      </c>
      <c r="Y167" s="72">
        <v>5.4765221899999998</v>
      </c>
      <c r="Z167" s="115">
        <v>6.9022845799999999</v>
      </c>
      <c r="AB167" s="71" t="s">
        <v>21</v>
      </c>
      <c r="AC167" s="71">
        <v>9.2903966771460539E-3</v>
      </c>
      <c r="AD167" s="71">
        <v>1.7624457595097946E-2</v>
      </c>
      <c r="AE167" s="71">
        <v>2.1806495425946419E-2</v>
      </c>
      <c r="AF167" s="63">
        <v>2.503957406064725E-2</v>
      </c>
      <c r="AG167" s="71" t="s">
        <v>21</v>
      </c>
      <c r="AH167" s="71">
        <v>5.7096293771460548E-3</v>
      </c>
      <c r="AI167" s="71">
        <v>1.3048835995097945E-2</v>
      </c>
      <c r="AJ167" s="71">
        <v>1.6343798525946418E-2</v>
      </c>
      <c r="AK167" s="71">
        <v>1.8319548260647248E-2</v>
      </c>
    </row>
    <row r="168" spans="2:37" x14ac:dyDescent="0.35">
      <c r="B168" s="55" t="s">
        <v>329</v>
      </c>
      <c r="C168" s="53" t="s">
        <v>234</v>
      </c>
      <c r="D168" s="53" t="s">
        <v>43</v>
      </c>
      <c r="E168" s="53" t="s">
        <v>21</v>
      </c>
      <c r="F168" s="73" t="str">
        <f t="shared" si="18"/>
        <v/>
      </c>
      <c r="G168" s="60">
        <f t="shared" si="18"/>
        <v>8.9234513766996999E-3</v>
      </c>
      <c r="H168" s="60">
        <f t="shared" si="18"/>
        <v>1.6833988792645985E-2</v>
      </c>
      <c r="I168" s="60">
        <f t="shared" si="18"/>
        <v>2.1405646426045123E-2</v>
      </c>
      <c r="J168" s="63">
        <f t="shared" si="18"/>
        <v>2.5653045413327583E-2</v>
      </c>
      <c r="K168" s="60" t="str">
        <f t="shared" si="19"/>
        <v/>
      </c>
      <c r="L168" s="60">
        <f t="shared" si="19"/>
        <v>5.328575376699703E-3</v>
      </c>
      <c r="M168" s="60">
        <f t="shared" si="19"/>
        <v>1.2248401892645987E-2</v>
      </c>
      <c r="N168" s="60">
        <f t="shared" si="19"/>
        <v>1.5939056926045123E-2</v>
      </c>
      <c r="O168" s="63">
        <f t="shared" si="19"/>
        <v>1.8925461013327583E-2</v>
      </c>
      <c r="P168" s="55" t="s">
        <v>21</v>
      </c>
      <c r="Q168" s="53" t="s">
        <v>21</v>
      </c>
      <c r="R168" s="94" t="s">
        <v>21</v>
      </c>
      <c r="S168" s="73">
        <v>0</v>
      </c>
      <c r="T168" s="63">
        <f t="shared" si="20"/>
        <v>1.6833988792645985E-2</v>
      </c>
      <c r="V168" s="114">
        <v>1.1280599099999999</v>
      </c>
      <c r="W168" s="72">
        <v>2.83180794</v>
      </c>
      <c r="X168" s="72">
        <v>4.2912459500000004</v>
      </c>
      <c r="Y168" s="72">
        <v>5.4967278400000001</v>
      </c>
      <c r="Z168" s="115">
        <v>6.9172153400000003</v>
      </c>
      <c r="AB168" s="71" t="s">
        <v>21</v>
      </c>
      <c r="AC168" s="71">
        <v>8.9234513766996999E-3</v>
      </c>
      <c r="AD168" s="71">
        <v>1.6833988792645985E-2</v>
      </c>
      <c r="AE168" s="71">
        <v>2.1405646426045123E-2</v>
      </c>
      <c r="AF168" s="63">
        <v>2.5653045413327583E-2</v>
      </c>
      <c r="AG168" s="71" t="s">
        <v>21</v>
      </c>
      <c r="AH168" s="71">
        <v>5.328575376699703E-3</v>
      </c>
      <c r="AI168" s="71">
        <v>1.2248401892645987E-2</v>
      </c>
      <c r="AJ168" s="71">
        <v>1.5939056926045123E-2</v>
      </c>
      <c r="AK168" s="71">
        <v>1.8925461013327583E-2</v>
      </c>
    </row>
    <row r="169" spans="2:37" x14ac:dyDescent="0.35">
      <c r="B169" s="55" t="s">
        <v>242</v>
      </c>
      <c r="C169" s="53" t="s">
        <v>234</v>
      </c>
      <c r="D169" s="53" t="s">
        <v>20</v>
      </c>
      <c r="E169" s="53" t="s">
        <v>21</v>
      </c>
      <c r="F169" s="73" t="str">
        <f t="shared" si="18"/>
        <v/>
      </c>
      <c r="G169" s="60">
        <f t="shared" si="18"/>
        <v>8.4603127796726262E-3</v>
      </c>
      <c r="H169" s="60">
        <f t="shared" si="18"/>
        <v>1.7230501411549339E-2</v>
      </c>
      <c r="I169" s="60">
        <f t="shared" si="18"/>
        <v>2.0865034864642432E-2</v>
      </c>
      <c r="J169" s="63">
        <f t="shared" si="18"/>
        <v>2.4547031251236032E-2</v>
      </c>
      <c r="K169" s="60" t="str">
        <f t="shared" si="19"/>
        <v/>
      </c>
      <c r="L169" s="60">
        <f t="shared" si="19"/>
        <v>4.8447968796726257E-3</v>
      </c>
      <c r="M169" s="60">
        <f t="shared" si="19"/>
        <v>1.2649396411549342E-2</v>
      </c>
      <c r="N169" s="60">
        <f t="shared" si="19"/>
        <v>1.5401530364642431E-2</v>
      </c>
      <c r="O169" s="63">
        <f t="shared" si="19"/>
        <v>1.7823865351236031E-2</v>
      </c>
      <c r="P169" s="55" t="s">
        <v>21</v>
      </c>
      <c r="Q169" s="53" t="s">
        <v>21</v>
      </c>
      <c r="R169" s="94" t="s">
        <v>21</v>
      </c>
      <c r="S169" s="73">
        <v>0</v>
      </c>
      <c r="T169" s="63">
        <f t="shared" si="20"/>
        <v>1.7230501411549339E-2</v>
      </c>
      <c r="V169" s="114">
        <v>1.1292103899999999</v>
      </c>
      <c r="W169" s="72">
        <v>2.8374232500000001</v>
      </c>
      <c r="X169" s="72">
        <v>4.2951989500000005</v>
      </c>
      <c r="Y169" s="72">
        <v>5.5036038599999992</v>
      </c>
      <c r="Z169" s="115">
        <v>6.9438798899999998</v>
      </c>
      <c r="AB169" s="71" t="s">
        <v>21</v>
      </c>
      <c r="AC169" s="71">
        <v>8.4603127796726262E-3</v>
      </c>
      <c r="AD169" s="71">
        <v>1.7230501411549339E-2</v>
      </c>
      <c r="AE169" s="71">
        <v>2.0865034864642432E-2</v>
      </c>
      <c r="AF169" s="63">
        <v>2.4547031251236032E-2</v>
      </c>
      <c r="AG169" s="71" t="s">
        <v>21</v>
      </c>
      <c r="AH169" s="71">
        <v>4.8447968796726257E-3</v>
      </c>
      <c r="AI169" s="71">
        <v>1.2649396411549342E-2</v>
      </c>
      <c r="AJ169" s="71">
        <v>1.5401530364642431E-2</v>
      </c>
      <c r="AK169" s="71">
        <v>1.7823865351236031E-2</v>
      </c>
    </row>
    <row r="170" spans="2:37" x14ac:dyDescent="0.35">
      <c r="B170" s="55" t="s">
        <v>237</v>
      </c>
      <c r="C170" s="53" t="s">
        <v>234</v>
      </c>
      <c r="D170" s="53" t="s">
        <v>31</v>
      </c>
      <c r="E170" s="53" t="s">
        <v>143</v>
      </c>
      <c r="F170" s="73" t="str">
        <f t="shared" si="18"/>
        <v/>
      </c>
      <c r="G170" s="60">
        <f t="shared" si="18"/>
        <v>9.0404420869254452E-3</v>
      </c>
      <c r="H170" s="60">
        <f t="shared" si="18"/>
        <v>1.6659979201408569E-2</v>
      </c>
      <c r="I170" s="60">
        <f t="shared" si="18"/>
        <v>2.1505130997823432E-2</v>
      </c>
      <c r="J170" s="63">
        <f t="shared" si="18"/>
        <v>2.6366689235253635E-2</v>
      </c>
      <c r="K170" s="60" t="str">
        <f t="shared" si="19"/>
        <v/>
      </c>
      <c r="L170" s="60">
        <f t="shared" si="19"/>
        <v>5.4493743869254464E-3</v>
      </c>
      <c r="M170" s="60">
        <f t="shared" si="19"/>
        <v>1.2071980101408569E-2</v>
      </c>
      <c r="N170" s="60">
        <f t="shared" si="19"/>
        <v>1.6037690697823431E-2</v>
      </c>
      <c r="O170" s="63">
        <f t="shared" si="19"/>
        <v>1.963511233525363E-2</v>
      </c>
      <c r="P170" s="55" t="s">
        <v>21</v>
      </c>
      <c r="Q170" s="53" t="s">
        <v>21</v>
      </c>
      <c r="R170" s="94" t="s">
        <v>21</v>
      </c>
      <c r="S170" s="73">
        <v>0</v>
      </c>
      <c r="T170" s="63">
        <f t="shared" si="20"/>
        <v>1.6659979201408569E-2</v>
      </c>
      <c r="V170" s="114">
        <v>1.1287360499999999</v>
      </c>
      <c r="W170" s="72">
        <v>2.8327002700000001</v>
      </c>
      <c r="X170" s="72">
        <v>4.2933117300000001</v>
      </c>
      <c r="Y170" s="72">
        <v>5.49742307</v>
      </c>
      <c r="Z170" s="115">
        <v>6.9017980000000003</v>
      </c>
      <c r="AB170" s="71" t="s">
        <v>21</v>
      </c>
      <c r="AC170" s="71">
        <v>9.0404420869254452E-3</v>
      </c>
      <c r="AD170" s="71">
        <v>1.6659979201408569E-2</v>
      </c>
      <c r="AE170" s="71">
        <v>2.1505130997823432E-2</v>
      </c>
      <c r="AF170" s="63">
        <v>2.6366689235253635E-2</v>
      </c>
      <c r="AG170" s="71" t="s">
        <v>21</v>
      </c>
      <c r="AH170" s="71">
        <v>5.4493743869254464E-3</v>
      </c>
      <c r="AI170" s="71">
        <v>1.2071980101408569E-2</v>
      </c>
      <c r="AJ170" s="71">
        <v>1.6037690697823431E-2</v>
      </c>
      <c r="AK170" s="71">
        <v>1.963511233525363E-2</v>
      </c>
    </row>
    <row r="171" spans="2:37" x14ac:dyDescent="0.35">
      <c r="B171" s="55" t="s">
        <v>237</v>
      </c>
      <c r="C171" s="53" t="s">
        <v>234</v>
      </c>
      <c r="D171" s="53" t="s">
        <v>31</v>
      </c>
      <c r="E171" s="53" t="s">
        <v>21</v>
      </c>
      <c r="F171" s="73" t="str">
        <f t="shared" si="18"/>
        <v/>
      </c>
      <c r="G171" s="60">
        <f t="shared" si="18"/>
        <v>9.0404420869254452E-3</v>
      </c>
      <c r="H171" s="60">
        <f t="shared" si="18"/>
        <v>1.6659979201408569E-2</v>
      </c>
      <c r="I171" s="60">
        <f t="shared" si="18"/>
        <v>2.1505130997823432E-2</v>
      </c>
      <c r="J171" s="63">
        <f t="shared" si="18"/>
        <v>2.6366689235253635E-2</v>
      </c>
      <c r="K171" s="60" t="str">
        <f t="shared" si="19"/>
        <v/>
      </c>
      <c r="L171" s="60">
        <f t="shared" si="19"/>
        <v>5.4493743869254464E-3</v>
      </c>
      <c r="M171" s="60">
        <f t="shared" si="19"/>
        <v>1.2071980101408569E-2</v>
      </c>
      <c r="N171" s="60">
        <f t="shared" si="19"/>
        <v>1.6037690697823431E-2</v>
      </c>
      <c r="O171" s="63">
        <f t="shared" si="19"/>
        <v>1.963511233525363E-2</v>
      </c>
      <c r="P171" s="55" t="s">
        <v>21</v>
      </c>
      <c r="Q171" s="53" t="s">
        <v>21</v>
      </c>
      <c r="R171" s="94" t="s">
        <v>21</v>
      </c>
      <c r="S171" s="73">
        <v>0</v>
      </c>
      <c r="T171" s="63">
        <f t="shared" si="20"/>
        <v>1.6659979201408569E-2</v>
      </c>
      <c r="V171" s="114">
        <v>1.1287360499999999</v>
      </c>
      <c r="W171" s="72">
        <v>2.8327002700000001</v>
      </c>
      <c r="X171" s="72">
        <v>4.2933117300000001</v>
      </c>
      <c r="Y171" s="72">
        <v>5.49742307</v>
      </c>
      <c r="Z171" s="115">
        <v>6.9017980000000003</v>
      </c>
      <c r="AB171" s="71" t="s">
        <v>21</v>
      </c>
      <c r="AC171" s="71">
        <v>9.0404420869254452E-3</v>
      </c>
      <c r="AD171" s="71">
        <v>1.6659979201408569E-2</v>
      </c>
      <c r="AE171" s="71">
        <v>2.1505130997823432E-2</v>
      </c>
      <c r="AF171" s="63">
        <v>2.6366689235253635E-2</v>
      </c>
      <c r="AG171" s="71" t="s">
        <v>21</v>
      </c>
      <c r="AH171" s="71">
        <v>5.4493743869254464E-3</v>
      </c>
      <c r="AI171" s="71">
        <v>1.2071980101408569E-2</v>
      </c>
      <c r="AJ171" s="71">
        <v>1.6037690697823431E-2</v>
      </c>
      <c r="AK171" s="71">
        <v>1.963511233525363E-2</v>
      </c>
    </row>
    <row r="172" spans="2:37" x14ac:dyDescent="0.35">
      <c r="B172" s="55" t="s">
        <v>239</v>
      </c>
      <c r="C172" s="53" t="s">
        <v>234</v>
      </c>
      <c r="D172" s="53" t="s">
        <v>43</v>
      </c>
      <c r="E172" s="53" t="s">
        <v>110</v>
      </c>
      <c r="F172" s="73" t="str">
        <f t="shared" si="18"/>
        <v/>
      </c>
      <c r="G172" s="60">
        <f t="shared" si="18"/>
        <v>8.7382195919214704E-3</v>
      </c>
      <c r="H172" s="60">
        <f t="shared" si="18"/>
        <v>1.6514641853371214E-2</v>
      </c>
      <c r="I172" s="60">
        <f t="shared" si="18"/>
        <v>2.0976441240081578E-2</v>
      </c>
      <c r="J172" s="63">
        <f t="shared" si="18"/>
        <v>2.4891869855431511E-2</v>
      </c>
      <c r="K172" s="60" t="str">
        <f t="shared" si="19"/>
        <v/>
      </c>
      <c r="L172" s="60">
        <f t="shared" si="19"/>
        <v>5.1353431919214741E-3</v>
      </c>
      <c r="M172" s="60">
        <f t="shared" si="19"/>
        <v>1.1924446353371216E-2</v>
      </c>
      <c r="N172" s="60">
        <f t="shared" si="19"/>
        <v>1.5508726940081576E-2</v>
      </c>
      <c r="O172" s="63">
        <f t="shared" si="19"/>
        <v>1.8165144155431509E-2</v>
      </c>
      <c r="P172" s="55" t="s">
        <v>21</v>
      </c>
      <c r="Q172" s="53" t="s">
        <v>21</v>
      </c>
      <c r="R172" s="94" t="s">
        <v>21</v>
      </c>
      <c r="S172" s="73">
        <v>0</v>
      </c>
      <c r="T172" s="63">
        <f t="shared" si="20"/>
        <v>1.6514641853371214E-2</v>
      </c>
      <c r="V172" s="114">
        <v>1.1288977199999999</v>
      </c>
      <c r="W172" s="72">
        <v>2.8344477299999999</v>
      </c>
      <c r="X172" s="72">
        <v>4.2971899899999997</v>
      </c>
      <c r="Y172" s="72">
        <v>5.5080625400000001</v>
      </c>
      <c r="Z172" s="115">
        <v>6.9436168599999997</v>
      </c>
      <c r="AB172" s="71" t="s">
        <v>21</v>
      </c>
      <c r="AC172" s="71">
        <v>8.7382195919214704E-3</v>
      </c>
      <c r="AD172" s="71">
        <v>1.6514641853371214E-2</v>
      </c>
      <c r="AE172" s="71">
        <v>2.0976441240081578E-2</v>
      </c>
      <c r="AF172" s="63">
        <v>2.4891869855431511E-2</v>
      </c>
      <c r="AG172" s="71" t="s">
        <v>21</v>
      </c>
      <c r="AH172" s="71">
        <v>5.1353431919214741E-3</v>
      </c>
      <c r="AI172" s="71">
        <v>1.1924446353371216E-2</v>
      </c>
      <c r="AJ172" s="71">
        <v>1.5508726940081576E-2</v>
      </c>
      <c r="AK172" s="71">
        <v>1.8165144155431509E-2</v>
      </c>
    </row>
    <row r="173" spans="2:37" x14ac:dyDescent="0.35">
      <c r="B173" s="55" t="s">
        <v>331</v>
      </c>
      <c r="C173" s="53" t="s">
        <v>234</v>
      </c>
      <c r="D173" s="53" t="s">
        <v>62</v>
      </c>
      <c r="E173" s="53" t="s">
        <v>21</v>
      </c>
      <c r="F173" s="73" t="str">
        <f t="shared" si="18"/>
        <v/>
      </c>
      <c r="G173" s="60">
        <f t="shared" si="18"/>
        <v>8.5640291850464546E-3</v>
      </c>
      <c r="H173" s="60">
        <f t="shared" si="18"/>
        <v>1.6311748280539808E-2</v>
      </c>
      <c r="I173" s="60">
        <f t="shared" si="18"/>
        <v>2.0377995025776096E-2</v>
      </c>
      <c r="J173" s="63">
        <f t="shared" si="18"/>
        <v>2.4756391625852043E-2</v>
      </c>
      <c r="K173" s="60" t="str">
        <f t="shared" si="19"/>
        <v/>
      </c>
      <c r="L173" s="60">
        <f t="shared" si="19"/>
        <v>4.9535402850464545E-3</v>
      </c>
      <c r="M173" s="60">
        <f t="shared" si="19"/>
        <v>1.1717595680539802E-2</v>
      </c>
      <c r="N173" s="60">
        <f t="shared" si="19"/>
        <v>1.4910768525776098E-2</v>
      </c>
      <c r="O173" s="63">
        <f t="shared" si="19"/>
        <v>1.8045259425852042E-2</v>
      </c>
      <c r="P173" s="55" t="s">
        <v>21</v>
      </c>
      <c r="Q173" s="53" t="s">
        <v>21</v>
      </c>
      <c r="R173" s="94" t="s">
        <v>21</v>
      </c>
      <c r="S173" s="73">
        <v>0</v>
      </c>
      <c r="T173" s="63">
        <f t="shared" si="20"/>
        <v>1.6311748280539808E-2</v>
      </c>
      <c r="V173" s="114">
        <v>1.12827663</v>
      </c>
      <c r="W173" s="72">
        <v>2.8343947000000003</v>
      </c>
      <c r="X173" s="72">
        <v>4.2995151600000003</v>
      </c>
      <c r="Y173" s="72">
        <v>5.5111957900000004</v>
      </c>
      <c r="Z173" s="115">
        <v>6.9233966999999996</v>
      </c>
      <c r="AB173" s="71" t="s">
        <v>21</v>
      </c>
      <c r="AC173" s="71">
        <v>8.5640291850464546E-3</v>
      </c>
      <c r="AD173" s="71">
        <v>1.6311748280539808E-2</v>
      </c>
      <c r="AE173" s="71">
        <v>2.0377995025776096E-2</v>
      </c>
      <c r="AF173" s="63">
        <v>2.4756391625852043E-2</v>
      </c>
      <c r="AG173" s="71" t="s">
        <v>21</v>
      </c>
      <c r="AH173" s="71">
        <v>4.9535402850464545E-3</v>
      </c>
      <c r="AI173" s="71">
        <v>1.1717595680539802E-2</v>
      </c>
      <c r="AJ173" s="71">
        <v>1.4910768525776098E-2</v>
      </c>
      <c r="AK173" s="71">
        <v>1.8045259425852042E-2</v>
      </c>
    </row>
    <row r="174" spans="2:37" x14ac:dyDescent="0.35">
      <c r="B174" s="55" t="s">
        <v>373</v>
      </c>
      <c r="C174" s="53" t="s">
        <v>234</v>
      </c>
      <c r="D174" s="53" t="s">
        <v>20</v>
      </c>
      <c r="E174" s="53" t="s">
        <v>21</v>
      </c>
      <c r="F174" s="73" t="str">
        <f t="shared" ref="F174:J224" si="21">IF(ISNUMBER(AB174),AB174-((C$4-C$3)/V174),"")</f>
        <v/>
      </c>
      <c r="G174" s="60">
        <f t="shared" si="21"/>
        <v>4.9465337545904001E-3</v>
      </c>
      <c r="H174" s="60">
        <f t="shared" si="21"/>
        <v>9.6606166663913001E-3</v>
      </c>
      <c r="I174" s="60">
        <f t="shared" si="21"/>
        <v>1.2157587267781447E-2</v>
      </c>
      <c r="J174" s="63">
        <f t="shared" si="21"/>
        <v>1.4628955388641892E-2</v>
      </c>
      <c r="K174" s="60" t="str">
        <f t="shared" ref="K174:O224" si="22">IF(ISNUMBER(AG174),IF(AG174-((C$4-C$3)/V174)&lt;0,"",AG174-((C$4-C$3)/V174)),"")</f>
        <v/>
      </c>
      <c r="L174" s="60">
        <f t="shared" si="22"/>
        <v>1.0572444545904011E-3</v>
      </c>
      <c r="M174" s="60">
        <f t="shared" si="22"/>
        <v>4.7288880663912992E-3</v>
      </c>
      <c r="N174" s="60">
        <f t="shared" si="22"/>
        <v>6.3442350677814473E-3</v>
      </c>
      <c r="O174" s="63">
        <f t="shared" si="22"/>
        <v>7.5057656886418902E-3</v>
      </c>
      <c r="P174" s="55" t="s">
        <v>21</v>
      </c>
      <c r="Q174" s="53" t="s">
        <v>21</v>
      </c>
      <c r="R174" s="94" t="s">
        <v>21</v>
      </c>
      <c r="S174" s="73">
        <v>0</v>
      </c>
      <c r="T174" s="63">
        <f t="shared" si="20"/>
        <v>9.6606166663913001E-3</v>
      </c>
      <c r="V174" s="114">
        <v>1.13132454</v>
      </c>
      <c r="W174" s="72">
        <v>2.8629392300000003</v>
      </c>
      <c r="X174" s="72">
        <v>4.4023858999999996</v>
      </c>
      <c r="Y174" s="72">
        <v>5.7454886099999998</v>
      </c>
      <c r="Z174" s="115">
        <v>7.4457310200000002</v>
      </c>
      <c r="AB174" s="71" t="s">
        <v>21</v>
      </c>
      <c r="AC174" s="71">
        <v>4.9465337545904001E-3</v>
      </c>
      <c r="AD174" s="71">
        <v>9.6606166663913001E-3</v>
      </c>
      <c r="AE174" s="71">
        <v>1.2157587267781447E-2</v>
      </c>
      <c r="AF174" s="63">
        <v>1.4628955388641892E-2</v>
      </c>
      <c r="AG174" s="71" t="s">
        <v>21</v>
      </c>
      <c r="AH174" s="71">
        <v>1.0572444545904011E-3</v>
      </c>
      <c r="AI174" s="71">
        <v>4.7288880663912992E-3</v>
      </c>
      <c r="AJ174" s="71">
        <v>6.3442350677814473E-3</v>
      </c>
      <c r="AK174" s="71">
        <v>7.5057656886418902E-3</v>
      </c>
    </row>
    <row r="175" spans="2:37" x14ac:dyDescent="0.35">
      <c r="B175" s="55" t="s">
        <v>137</v>
      </c>
      <c r="C175" s="53" t="s">
        <v>234</v>
      </c>
      <c r="D175" s="53" t="s">
        <v>31</v>
      </c>
      <c r="E175" s="53" t="s">
        <v>81</v>
      </c>
      <c r="F175" s="73" t="str">
        <f t="shared" si="21"/>
        <v/>
      </c>
      <c r="G175" s="60">
        <f t="shared" si="21"/>
        <v>7.7571963077557472E-3</v>
      </c>
      <c r="H175" s="60">
        <f t="shared" si="21"/>
        <v>1.5020142301718328E-2</v>
      </c>
      <c r="I175" s="60">
        <f t="shared" si="21"/>
        <v>1.8777396199618934E-2</v>
      </c>
      <c r="J175" s="63">
        <f t="shared" si="21"/>
        <v>2.30413743378521E-2</v>
      </c>
      <c r="K175" s="60" t="str">
        <f t="shared" si="22"/>
        <v/>
      </c>
      <c r="L175" s="60">
        <f t="shared" si="22"/>
        <v>4.1064517077557487E-3</v>
      </c>
      <c r="M175" s="60">
        <f t="shared" si="22"/>
        <v>1.0397389401718329E-2</v>
      </c>
      <c r="N175" s="60">
        <f t="shared" si="22"/>
        <v>1.3286788899618932E-2</v>
      </c>
      <c r="O175" s="63">
        <f t="shared" si="22"/>
        <v>1.6295578537852101E-2</v>
      </c>
      <c r="P175" s="55" t="s">
        <v>490</v>
      </c>
      <c r="Q175" s="53" t="s">
        <v>491</v>
      </c>
      <c r="R175" s="94" t="s">
        <v>32</v>
      </c>
      <c r="S175" s="73">
        <v>9.72458E-3</v>
      </c>
      <c r="T175" s="63">
        <f t="shared" si="20"/>
        <v>5.2955623017183276E-3</v>
      </c>
      <c r="V175" s="114">
        <v>1.1286665499999999</v>
      </c>
      <c r="W175" s="72">
        <v>2.8401881200000001</v>
      </c>
      <c r="X175" s="72">
        <v>4.3197220000000005</v>
      </c>
      <c r="Y175" s="72">
        <v>5.5618700099999998</v>
      </c>
      <c r="Z175" s="115">
        <v>7.0471764300000004</v>
      </c>
      <c r="AB175" s="71" t="s">
        <v>21</v>
      </c>
      <c r="AC175" s="71">
        <v>7.7571963077557472E-3</v>
      </c>
      <c r="AD175" s="71">
        <v>1.5020142301718328E-2</v>
      </c>
      <c r="AE175" s="71">
        <v>1.8777396199618934E-2</v>
      </c>
      <c r="AF175" s="63">
        <v>2.30413743378521E-2</v>
      </c>
      <c r="AG175" s="71" t="s">
        <v>21</v>
      </c>
      <c r="AH175" s="71">
        <v>4.1064517077557487E-3</v>
      </c>
      <c r="AI175" s="71">
        <v>1.0397389401718329E-2</v>
      </c>
      <c r="AJ175" s="71">
        <v>1.3286788899618932E-2</v>
      </c>
      <c r="AK175" s="71">
        <v>1.6295578537852101E-2</v>
      </c>
    </row>
    <row r="176" spans="2:37" x14ac:dyDescent="0.35">
      <c r="B176" s="55" t="s">
        <v>242</v>
      </c>
      <c r="C176" s="53" t="s">
        <v>234</v>
      </c>
      <c r="D176" s="53" t="s">
        <v>20</v>
      </c>
      <c r="E176" s="53" t="s">
        <v>21</v>
      </c>
      <c r="F176" s="73" t="str">
        <f t="shared" si="21"/>
        <v/>
      </c>
      <c r="G176" s="60">
        <f t="shared" si="21"/>
        <v>8.4603127796726262E-3</v>
      </c>
      <c r="H176" s="60">
        <f t="shared" si="21"/>
        <v>1.7230501411549339E-2</v>
      </c>
      <c r="I176" s="60">
        <f t="shared" si="21"/>
        <v>2.0865034864642432E-2</v>
      </c>
      <c r="J176" s="63">
        <f t="shared" si="21"/>
        <v>2.4547031251236032E-2</v>
      </c>
      <c r="K176" s="60" t="str">
        <f t="shared" si="22"/>
        <v/>
      </c>
      <c r="L176" s="60">
        <f t="shared" si="22"/>
        <v>4.8447968796726257E-3</v>
      </c>
      <c r="M176" s="60">
        <f t="shared" si="22"/>
        <v>1.2649396411549342E-2</v>
      </c>
      <c r="N176" s="60">
        <f t="shared" si="22"/>
        <v>1.5401530364642431E-2</v>
      </c>
      <c r="O176" s="63">
        <f t="shared" si="22"/>
        <v>1.7823865351236031E-2</v>
      </c>
      <c r="P176" s="55" t="s">
        <v>21</v>
      </c>
      <c r="Q176" s="53" t="s">
        <v>21</v>
      </c>
      <c r="R176" s="94" t="s">
        <v>21</v>
      </c>
      <c r="S176" s="73">
        <v>0</v>
      </c>
      <c r="T176" s="63">
        <f t="shared" si="20"/>
        <v>1.7230501411549339E-2</v>
      </c>
      <c r="V176" s="114">
        <v>1.1292103899999999</v>
      </c>
      <c r="W176" s="72">
        <v>2.8374232500000001</v>
      </c>
      <c r="X176" s="72">
        <v>4.2951989500000005</v>
      </c>
      <c r="Y176" s="72">
        <v>5.5036038599999992</v>
      </c>
      <c r="Z176" s="115">
        <v>6.9438798899999998</v>
      </c>
      <c r="AB176" s="71" t="s">
        <v>21</v>
      </c>
      <c r="AC176" s="71">
        <v>8.4603127796726262E-3</v>
      </c>
      <c r="AD176" s="71">
        <v>1.7230501411549339E-2</v>
      </c>
      <c r="AE176" s="71">
        <v>2.0865034864642432E-2</v>
      </c>
      <c r="AF176" s="63">
        <v>2.4547031251236032E-2</v>
      </c>
      <c r="AG176" s="71" t="s">
        <v>21</v>
      </c>
      <c r="AH176" s="71">
        <v>4.8447968796726257E-3</v>
      </c>
      <c r="AI176" s="71">
        <v>1.2649396411549342E-2</v>
      </c>
      <c r="AJ176" s="71">
        <v>1.5401530364642431E-2</v>
      </c>
      <c r="AK176" s="71">
        <v>1.7823865351236031E-2</v>
      </c>
    </row>
    <row r="177" spans="2:37" x14ac:dyDescent="0.35">
      <c r="B177" s="55" t="s">
        <v>151</v>
      </c>
      <c r="C177" s="53" t="s">
        <v>234</v>
      </c>
      <c r="D177" s="53" t="s">
        <v>43</v>
      </c>
      <c r="E177" s="53" t="s">
        <v>21</v>
      </c>
      <c r="F177" s="73" t="str">
        <f t="shared" si="21"/>
        <v/>
      </c>
      <c r="G177" s="60">
        <f t="shared" si="21"/>
        <v>7.8989677882457827E-3</v>
      </c>
      <c r="H177" s="60">
        <f t="shared" si="21"/>
        <v>1.4715540529446071E-2</v>
      </c>
      <c r="I177" s="60">
        <f t="shared" si="21"/>
        <v>1.8689912495030755E-2</v>
      </c>
      <c r="J177" s="63">
        <f t="shared" si="21"/>
        <v>2.3540248530183217E-2</v>
      </c>
      <c r="K177" s="60" t="str">
        <f t="shared" si="22"/>
        <v/>
      </c>
      <c r="L177" s="60">
        <f t="shared" si="22"/>
        <v>4.2547623882457832E-3</v>
      </c>
      <c r="M177" s="60">
        <f t="shared" si="22"/>
        <v>1.0083208229446075E-2</v>
      </c>
      <c r="N177" s="60">
        <f t="shared" si="22"/>
        <v>1.3195137295030754E-2</v>
      </c>
      <c r="O177" s="63">
        <f t="shared" si="22"/>
        <v>1.6794554530183217E-2</v>
      </c>
      <c r="P177" s="55" t="s">
        <v>21</v>
      </c>
      <c r="Q177" s="53" t="s">
        <v>21</v>
      </c>
      <c r="R177" s="94" t="s">
        <v>21</v>
      </c>
      <c r="S177" s="73">
        <v>0</v>
      </c>
      <c r="T177" s="63">
        <f t="shared" si="20"/>
        <v>1.4715540529446071E-2</v>
      </c>
      <c r="V177" s="114">
        <v>1.1283310200000001</v>
      </c>
      <c r="W177" s="72">
        <v>2.8386987700000001</v>
      </c>
      <c r="X177" s="72">
        <v>4.3208845699999996</v>
      </c>
      <c r="Y177" s="72">
        <v>5.56520379</v>
      </c>
      <c r="Z177" s="115">
        <v>7.0415279799999997</v>
      </c>
      <c r="AB177" s="71" t="s">
        <v>21</v>
      </c>
      <c r="AC177" s="71">
        <v>7.8989677882457827E-3</v>
      </c>
      <c r="AD177" s="71">
        <v>1.4715540529446071E-2</v>
      </c>
      <c r="AE177" s="71">
        <v>1.8689912495030755E-2</v>
      </c>
      <c r="AF177" s="63">
        <v>2.3540248530183217E-2</v>
      </c>
      <c r="AG177" s="71" t="s">
        <v>21</v>
      </c>
      <c r="AH177" s="71">
        <v>4.2547623882457832E-3</v>
      </c>
      <c r="AI177" s="71">
        <v>1.0083208229446075E-2</v>
      </c>
      <c r="AJ177" s="71">
        <v>1.3195137295030754E-2</v>
      </c>
      <c r="AK177" s="71">
        <v>1.6794554530183217E-2</v>
      </c>
    </row>
    <row r="178" spans="2:37" x14ac:dyDescent="0.35">
      <c r="B178" s="55" t="s">
        <v>142</v>
      </c>
      <c r="C178" s="53" t="s">
        <v>234</v>
      </c>
      <c r="D178" s="53" t="s">
        <v>53</v>
      </c>
      <c r="E178" s="53" t="s">
        <v>123</v>
      </c>
      <c r="F178" s="73" t="str">
        <f t="shared" si="21"/>
        <v/>
      </c>
      <c r="G178" s="60">
        <f t="shared" si="21"/>
        <v>7.7669982680742492E-3</v>
      </c>
      <c r="H178" s="60">
        <f t="shared" si="21"/>
        <v>1.4672474409846811E-2</v>
      </c>
      <c r="I178" s="60">
        <f t="shared" si="21"/>
        <v>1.874495148560187E-2</v>
      </c>
      <c r="J178" s="63">
        <f t="shared" si="21"/>
        <v>2.3394845111719218E-2</v>
      </c>
      <c r="K178" s="60" t="str">
        <f t="shared" si="22"/>
        <v/>
      </c>
      <c r="L178" s="60">
        <f t="shared" si="22"/>
        <v>4.1164316680742464E-3</v>
      </c>
      <c r="M178" s="60">
        <f t="shared" si="22"/>
        <v>1.0039844109846815E-2</v>
      </c>
      <c r="N178" s="60">
        <f t="shared" si="22"/>
        <v>1.3252123285601871E-2</v>
      </c>
      <c r="O178" s="63">
        <f t="shared" si="22"/>
        <v>1.6650563311719217E-2</v>
      </c>
      <c r="P178" s="55" t="s">
        <v>492</v>
      </c>
      <c r="Q178" s="53" t="s">
        <v>493</v>
      </c>
      <c r="R178" s="94" t="s">
        <v>32</v>
      </c>
      <c r="S178" s="73">
        <v>1.466285E-2</v>
      </c>
      <c r="T178" s="63">
        <f t="shared" si="20"/>
        <v>9.624409846810747E-6</v>
      </c>
      <c r="V178" s="114">
        <v>1.12938575</v>
      </c>
      <c r="W178" s="72">
        <v>2.84078433</v>
      </c>
      <c r="X178" s="72">
        <v>4.32369979</v>
      </c>
      <c r="Y178" s="72">
        <v>5.5673954200000004</v>
      </c>
      <c r="Z178" s="115">
        <v>7.0459125499999997</v>
      </c>
      <c r="AB178" s="71" t="s">
        <v>21</v>
      </c>
      <c r="AC178" s="71">
        <v>7.7669982680742492E-3</v>
      </c>
      <c r="AD178" s="71">
        <v>1.4672474409846811E-2</v>
      </c>
      <c r="AE178" s="71">
        <v>1.874495148560187E-2</v>
      </c>
      <c r="AF178" s="63">
        <v>2.3394845111719218E-2</v>
      </c>
      <c r="AG178" s="71" t="s">
        <v>21</v>
      </c>
      <c r="AH178" s="71">
        <v>4.1164316680742464E-3</v>
      </c>
      <c r="AI178" s="71">
        <v>1.0039844109846815E-2</v>
      </c>
      <c r="AJ178" s="71">
        <v>1.3252123285601871E-2</v>
      </c>
      <c r="AK178" s="71">
        <v>1.6650563311719217E-2</v>
      </c>
    </row>
    <row r="179" spans="2:37" x14ac:dyDescent="0.35">
      <c r="B179" s="55" t="s">
        <v>341</v>
      </c>
      <c r="C179" s="53" t="s">
        <v>234</v>
      </c>
      <c r="D179" s="53" t="s">
        <v>69</v>
      </c>
      <c r="E179" s="53" t="s">
        <v>21</v>
      </c>
      <c r="F179" s="73" t="str">
        <f t="shared" si="21"/>
        <v/>
      </c>
      <c r="G179" s="60">
        <f t="shared" si="21"/>
        <v>7.7374190408546657E-3</v>
      </c>
      <c r="H179" s="60">
        <f t="shared" si="21"/>
        <v>1.463270360565334E-2</v>
      </c>
      <c r="I179" s="60">
        <f t="shared" si="21"/>
        <v>1.8111367675732428E-2</v>
      </c>
      <c r="J179" s="63">
        <f t="shared" si="21"/>
        <v>2.2295070141116896E-2</v>
      </c>
      <c r="K179" s="60" t="str">
        <f t="shared" si="22"/>
        <v/>
      </c>
      <c r="L179" s="60">
        <f t="shared" si="22"/>
        <v>4.0837033408546632E-3</v>
      </c>
      <c r="M179" s="60">
        <f t="shared" si="22"/>
        <v>9.997889805653342E-3</v>
      </c>
      <c r="N179" s="60">
        <f t="shared" si="22"/>
        <v>1.2607162875732429E-2</v>
      </c>
      <c r="O179" s="63">
        <f t="shared" si="22"/>
        <v>1.5536845741116898E-2</v>
      </c>
      <c r="P179" s="55" t="s">
        <v>494</v>
      </c>
      <c r="Q179" s="53" t="s">
        <v>495</v>
      </c>
      <c r="R179" s="94" t="s">
        <v>32</v>
      </c>
      <c r="S179" s="73">
        <v>1.175757E-2</v>
      </c>
      <c r="T179" s="63">
        <f t="shared" si="20"/>
        <v>2.8751336056533402E-3</v>
      </c>
      <c r="V179" s="114">
        <v>1.1294815999999999</v>
      </c>
      <c r="W179" s="72">
        <v>2.8418583900000001</v>
      </c>
      <c r="X179" s="72">
        <v>4.3252860900000005</v>
      </c>
      <c r="Y179" s="72">
        <v>5.5769775200000007</v>
      </c>
      <c r="Z179" s="115">
        <v>7.0814996899999993</v>
      </c>
      <c r="AB179" s="71" t="s">
        <v>21</v>
      </c>
      <c r="AC179" s="71">
        <v>7.7374190408546657E-3</v>
      </c>
      <c r="AD179" s="71">
        <v>1.463270360565334E-2</v>
      </c>
      <c r="AE179" s="71">
        <v>1.8111367675732428E-2</v>
      </c>
      <c r="AF179" s="63">
        <v>2.2295070141116896E-2</v>
      </c>
      <c r="AG179" s="71" t="s">
        <v>21</v>
      </c>
      <c r="AH179" s="71">
        <v>4.0837033408546632E-3</v>
      </c>
      <c r="AI179" s="71">
        <v>9.997889805653342E-3</v>
      </c>
      <c r="AJ179" s="71">
        <v>1.2607162875732429E-2</v>
      </c>
      <c r="AK179" s="71">
        <v>1.5536845741116898E-2</v>
      </c>
    </row>
    <row r="180" spans="2:37" x14ac:dyDescent="0.35">
      <c r="B180" s="55" t="s">
        <v>343</v>
      </c>
      <c r="C180" s="53" t="s">
        <v>234</v>
      </c>
      <c r="D180" s="53" t="s">
        <v>20</v>
      </c>
      <c r="E180" s="53" t="s">
        <v>339</v>
      </c>
      <c r="F180" s="73" t="str">
        <f t="shared" si="21"/>
        <v/>
      </c>
      <c r="G180" s="60">
        <f t="shared" si="21"/>
        <v>7.875191785498583E-3</v>
      </c>
      <c r="H180" s="60">
        <f t="shared" si="21"/>
        <v>1.4913939551323602E-2</v>
      </c>
      <c r="I180" s="60">
        <f t="shared" si="21"/>
        <v>1.8585444961083809E-2</v>
      </c>
      <c r="J180" s="63">
        <f t="shared" si="21"/>
        <v>2.2744938456359168E-2</v>
      </c>
      <c r="K180" s="60" t="str">
        <f t="shared" si="22"/>
        <v/>
      </c>
      <c r="L180" s="60">
        <f t="shared" si="22"/>
        <v>4.2307734854985825E-3</v>
      </c>
      <c r="M180" s="60">
        <f t="shared" si="22"/>
        <v>1.0288066651323603E-2</v>
      </c>
      <c r="N180" s="60">
        <f t="shared" si="22"/>
        <v>1.309201076108381E-2</v>
      </c>
      <c r="O180" s="63">
        <f t="shared" si="22"/>
        <v>1.599527525635917E-2</v>
      </c>
      <c r="P180" s="55" t="s">
        <v>21</v>
      </c>
      <c r="Q180" s="53" t="s">
        <v>21</v>
      </c>
      <c r="R180" s="94" t="s">
        <v>21</v>
      </c>
      <c r="S180" s="73">
        <v>0</v>
      </c>
      <c r="T180" s="63">
        <f t="shared" si="20"/>
        <v>1.4913939551323602E-2</v>
      </c>
      <c r="V180" s="114">
        <v>1.12899664</v>
      </c>
      <c r="W180" s="72">
        <v>2.8400038700000003</v>
      </c>
      <c r="X180" s="72">
        <v>4.3211278599999998</v>
      </c>
      <c r="Y180" s="72">
        <v>5.5646882299999998</v>
      </c>
      <c r="Z180" s="115">
        <v>7.0575383899999995</v>
      </c>
      <c r="AB180" s="71" t="s">
        <v>21</v>
      </c>
      <c r="AC180" s="71">
        <v>7.875191785498583E-3</v>
      </c>
      <c r="AD180" s="71">
        <v>1.4913939551323602E-2</v>
      </c>
      <c r="AE180" s="71">
        <v>1.8585444961083809E-2</v>
      </c>
      <c r="AF180" s="63">
        <v>2.2744938456359168E-2</v>
      </c>
      <c r="AG180" s="71" t="s">
        <v>21</v>
      </c>
      <c r="AH180" s="71">
        <v>4.2307734854985825E-3</v>
      </c>
      <c r="AI180" s="71">
        <v>1.0288066651323603E-2</v>
      </c>
      <c r="AJ180" s="71">
        <v>1.309201076108381E-2</v>
      </c>
      <c r="AK180" s="71">
        <v>1.599527525635917E-2</v>
      </c>
    </row>
    <row r="181" spans="2:37" x14ac:dyDescent="0.35">
      <c r="B181" s="55" t="s">
        <v>150</v>
      </c>
      <c r="C181" s="53" t="s">
        <v>234</v>
      </c>
      <c r="D181" s="53" t="s">
        <v>53</v>
      </c>
      <c r="E181" s="53" t="s">
        <v>21</v>
      </c>
      <c r="F181" s="73" t="str">
        <f t="shared" si="21"/>
        <v/>
      </c>
      <c r="G181" s="60">
        <f t="shared" si="21"/>
        <v>7.7209561038815641E-3</v>
      </c>
      <c r="H181" s="60">
        <f t="shared" si="21"/>
        <v>1.4365212567006102E-2</v>
      </c>
      <c r="I181" s="60">
        <f t="shared" si="21"/>
        <v>1.8160535247808904E-2</v>
      </c>
      <c r="J181" s="63">
        <f t="shared" si="21"/>
        <v>2.2340912233616117E-2</v>
      </c>
      <c r="K181" s="60" t="str">
        <f t="shared" si="22"/>
        <v/>
      </c>
      <c r="L181" s="60">
        <f t="shared" si="22"/>
        <v>4.0674521038815605E-3</v>
      </c>
      <c r="M181" s="60">
        <f t="shared" si="22"/>
        <v>9.7226240670061064E-3</v>
      </c>
      <c r="N181" s="60">
        <f t="shared" si="22"/>
        <v>1.2656179547808906E-2</v>
      </c>
      <c r="O181" s="63">
        <f t="shared" si="22"/>
        <v>1.5583475633616117E-2</v>
      </c>
      <c r="P181" s="55" t="s">
        <v>496</v>
      </c>
      <c r="Q181" s="53" t="s">
        <v>497</v>
      </c>
      <c r="R181" s="94">
        <v>47498</v>
      </c>
      <c r="S181" s="73">
        <v>8.3595500000000003E-3</v>
      </c>
      <c r="T181" s="63">
        <f t="shared" si="20"/>
        <v>6.0056625670061019E-3</v>
      </c>
      <c r="V181" s="114">
        <v>1.12867059</v>
      </c>
      <c r="W181" s="72">
        <v>2.84043841</v>
      </c>
      <c r="X181" s="72">
        <v>4.3264252299999999</v>
      </c>
      <c r="Y181" s="72">
        <v>5.5783206300000003</v>
      </c>
      <c r="Z181" s="115">
        <v>7.0813126300000002</v>
      </c>
      <c r="AB181" s="71" t="s">
        <v>21</v>
      </c>
      <c r="AC181" s="71">
        <v>7.7209561038815641E-3</v>
      </c>
      <c r="AD181" s="71">
        <v>1.4365212567006102E-2</v>
      </c>
      <c r="AE181" s="71">
        <v>1.8160535247808904E-2</v>
      </c>
      <c r="AF181" s="63">
        <v>2.2340912233616117E-2</v>
      </c>
      <c r="AG181" s="71" t="s">
        <v>21</v>
      </c>
      <c r="AH181" s="71">
        <v>4.0674521038815605E-3</v>
      </c>
      <c r="AI181" s="71">
        <v>9.7226240670061064E-3</v>
      </c>
      <c r="AJ181" s="71">
        <v>1.2656179547808906E-2</v>
      </c>
      <c r="AK181" s="71">
        <v>1.5583475633616117E-2</v>
      </c>
    </row>
    <row r="182" spans="2:37" x14ac:dyDescent="0.35">
      <c r="B182" s="55" t="s">
        <v>138</v>
      </c>
      <c r="C182" s="53" t="s">
        <v>234</v>
      </c>
      <c r="D182" s="53" t="s">
        <v>20</v>
      </c>
      <c r="E182" s="53" t="s">
        <v>21</v>
      </c>
      <c r="F182" s="73" t="str">
        <f t="shared" si="21"/>
        <v/>
      </c>
      <c r="G182" s="60">
        <f t="shared" si="21"/>
        <v>8.6398616232646712E-3</v>
      </c>
      <c r="H182" s="60">
        <f t="shared" si="21"/>
        <v>1.4776472258104072E-2</v>
      </c>
      <c r="I182" s="60">
        <f t="shared" si="21"/>
        <v>1.7730411106174744E-2</v>
      </c>
      <c r="J182" s="63">
        <f t="shared" si="21"/>
        <v>2.0746454733513425E-2</v>
      </c>
      <c r="K182" s="60" t="str">
        <f t="shared" si="22"/>
        <v/>
      </c>
      <c r="L182" s="60">
        <f t="shared" si="22"/>
        <v>5.0334278232646718E-3</v>
      </c>
      <c r="M182" s="60">
        <f t="shared" si="22"/>
        <v>1.014683035810407E-2</v>
      </c>
      <c r="N182" s="60">
        <f t="shared" si="22"/>
        <v>1.221984090617474E-2</v>
      </c>
      <c r="O182" s="63">
        <f t="shared" si="22"/>
        <v>1.3970550233513426E-2</v>
      </c>
      <c r="P182" s="55" t="s">
        <v>498</v>
      </c>
      <c r="Q182" s="53" t="s">
        <v>499</v>
      </c>
      <c r="R182" s="94">
        <v>47423</v>
      </c>
      <c r="S182" s="73">
        <v>1.092858E-2</v>
      </c>
      <c r="T182" s="63">
        <f t="shared" si="20"/>
        <v>3.8478922581040714E-3</v>
      </c>
      <c r="V182" s="114">
        <v>1.1268093299999999</v>
      </c>
      <c r="W182" s="72">
        <v>2.8313151400000001</v>
      </c>
      <c r="X182" s="72">
        <v>4.3126143399999997</v>
      </c>
      <c r="Y182" s="72">
        <v>5.5656113200000004</v>
      </c>
      <c r="Z182" s="115">
        <v>7.0870475700000002</v>
      </c>
      <c r="AB182" s="71" t="s">
        <v>21</v>
      </c>
      <c r="AC182" s="71">
        <v>8.6398616232646712E-3</v>
      </c>
      <c r="AD182" s="71">
        <v>1.4776472258104072E-2</v>
      </c>
      <c r="AE182" s="71">
        <v>1.7730411106174744E-2</v>
      </c>
      <c r="AF182" s="63">
        <v>2.0746454733513425E-2</v>
      </c>
      <c r="AG182" s="71" t="s">
        <v>21</v>
      </c>
      <c r="AH182" s="71">
        <v>5.0334278232646718E-3</v>
      </c>
      <c r="AI182" s="71">
        <v>1.014683035810407E-2</v>
      </c>
      <c r="AJ182" s="71">
        <v>1.221984090617474E-2</v>
      </c>
      <c r="AK182" s="71">
        <v>1.3970550233513426E-2</v>
      </c>
    </row>
    <row r="183" spans="2:37" x14ac:dyDescent="0.35">
      <c r="B183" s="55" t="s">
        <v>159</v>
      </c>
      <c r="C183" s="53" t="s">
        <v>234</v>
      </c>
      <c r="D183" s="53" t="s">
        <v>20</v>
      </c>
      <c r="E183" s="53" t="s">
        <v>290</v>
      </c>
      <c r="F183" s="73" t="str">
        <f t="shared" si="21"/>
        <v/>
      </c>
      <c r="G183" s="60">
        <f t="shared" si="21"/>
        <v>8.2606576148517626E-3</v>
      </c>
      <c r="H183" s="60">
        <f t="shared" si="21"/>
        <v>1.4808063781088865E-2</v>
      </c>
      <c r="I183" s="60">
        <f t="shared" si="21"/>
        <v>1.7768064312849816E-2</v>
      </c>
      <c r="J183" s="63">
        <f t="shared" si="21"/>
        <v>2.0896866891035513E-2</v>
      </c>
      <c r="K183" s="60" t="str">
        <f t="shared" si="22"/>
        <v/>
      </c>
      <c r="L183" s="60">
        <f t="shared" si="22"/>
        <v>4.6355867148517634E-3</v>
      </c>
      <c r="M183" s="60">
        <f t="shared" si="22"/>
        <v>1.0179015081088866E-2</v>
      </c>
      <c r="N183" s="60">
        <f t="shared" si="22"/>
        <v>1.2260275312849817E-2</v>
      </c>
      <c r="O183" s="63">
        <f t="shared" si="22"/>
        <v>1.4116960791035513E-2</v>
      </c>
      <c r="P183" s="55" t="s">
        <v>500</v>
      </c>
      <c r="Q183" s="53" t="s">
        <v>501</v>
      </c>
      <c r="R183" s="94">
        <v>47543</v>
      </c>
      <c r="S183" s="73">
        <v>1.143593E-2</v>
      </c>
      <c r="T183" s="63">
        <f t="shared" si="20"/>
        <v>3.3721337810888648E-3</v>
      </c>
      <c r="V183" s="114">
        <v>1.12809001</v>
      </c>
      <c r="W183" s="72">
        <v>2.8366608900000001</v>
      </c>
      <c r="X183" s="72">
        <v>4.3181624999999997</v>
      </c>
      <c r="Y183" s="72">
        <v>5.5687201399999999</v>
      </c>
      <c r="Z183" s="115">
        <v>7.1012020199999997</v>
      </c>
      <c r="AB183" s="71" t="s">
        <v>21</v>
      </c>
      <c r="AC183" s="71">
        <v>8.2606576148517626E-3</v>
      </c>
      <c r="AD183" s="71">
        <v>1.4808063781088865E-2</v>
      </c>
      <c r="AE183" s="71">
        <v>1.7768064312849816E-2</v>
      </c>
      <c r="AF183" s="63">
        <v>2.0896866891035513E-2</v>
      </c>
      <c r="AG183" s="71" t="s">
        <v>21</v>
      </c>
      <c r="AH183" s="71">
        <v>4.6355867148517634E-3</v>
      </c>
      <c r="AI183" s="71">
        <v>1.0179015081088866E-2</v>
      </c>
      <c r="AJ183" s="71">
        <v>1.2260275312849817E-2</v>
      </c>
      <c r="AK183" s="71">
        <v>1.4116960791035513E-2</v>
      </c>
    </row>
    <row r="184" spans="2:37" x14ac:dyDescent="0.35">
      <c r="B184" s="55" t="s">
        <v>367</v>
      </c>
      <c r="C184" s="53" t="s">
        <v>234</v>
      </c>
      <c r="D184" s="53" t="s">
        <v>20</v>
      </c>
      <c r="E184" s="53" t="s">
        <v>21</v>
      </c>
      <c r="F184" s="73" t="str">
        <f t="shared" si="21"/>
        <v/>
      </c>
      <c r="G184" s="60">
        <f t="shared" si="21"/>
        <v>6.1316421781523224E-3</v>
      </c>
      <c r="H184" s="60">
        <f t="shared" si="21"/>
        <v>1.1237134731664065E-2</v>
      </c>
      <c r="I184" s="60">
        <f t="shared" si="21"/>
        <v>1.3857381554959282E-2</v>
      </c>
      <c r="J184" s="63">
        <f t="shared" si="21"/>
        <v>1.632736004427689E-2</v>
      </c>
      <c r="K184" s="60" t="str">
        <f t="shared" si="22"/>
        <v/>
      </c>
      <c r="L184" s="60">
        <f t="shared" si="22"/>
        <v>2.3642515781523207E-3</v>
      </c>
      <c r="M184" s="60">
        <f t="shared" si="22"/>
        <v>6.4382877316640713E-3</v>
      </c>
      <c r="N184" s="60">
        <f t="shared" si="22"/>
        <v>8.1780283549592863E-3</v>
      </c>
      <c r="O184" s="63">
        <f t="shared" si="22"/>
        <v>9.3426766442768899E-3</v>
      </c>
      <c r="P184" s="55" t="s">
        <v>394</v>
      </c>
      <c r="Q184" s="53" t="s">
        <v>395</v>
      </c>
      <c r="R184" s="94">
        <v>47270</v>
      </c>
      <c r="S184" s="73">
        <v>6.4248899999999999E-3</v>
      </c>
      <c r="T184" s="63">
        <f t="shared" si="20"/>
        <v>4.8122447316640655E-3</v>
      </c>
      <c r="V184" s="114">
        <v>1.12966385</v>
      </c>
      <c r="W184" s="72">
        <v>2.8527662299999998</v>
      </c>
      <c r="X184" s="72">
        <v>4.3737890300000002</v>
      </c>
      <c r="Y184" s="72">
        <v>5.6889506000000001</v>
      </c>
      <c r="Z184" s="115">
        <v>7.3411539799999996</v>
      </c>
      <c r="AB184" s="71" t="s">
        <v>21</v>
      </c>
      <c r="AC184" s="71">
        <v>6.1316421781523224E-3</v>
      </c>
      <c r="AD184" s="71">
        <v>1.1237134731664065E-2</v>
      </c>
      <c r="AE184" s="71">
        <v>1.3857381554959282E-2</v>
      </c>
      <c r="AF184" s="63">
        <v>1.632736004427689E-2</v>
      </c>
      <c r="AG184" s="71" t="s">
        <v>21</v>
      </c>
      <c r="AH184" s="71">
        <v>2.3642515781523207E-3</v>
      </c>
      <c r="AI184" s="71">
        <v>6.4382877316640713E-3</v>
      </c>
      <c r="AJ184" s="71">
        <v>8.1780283549592863E-3</v>
      </c>
      <c r="AK184" s="71">
        <v>9.3426766442768899E-3</v>
      </c>
    </row>
    <row r="185" spans="2:37" x14ac:dyDescent="0.35">
      <c r="B185" s="55" t="s">
        <v>359</v>
      </c>
      <c r="C185" s="53" t="s">
        <v>234</v>
      </c>
      <c r="D185" s="53" t="s">
        <v>20</v>
      </c>
      <c r="E185" s="53" t="s">
        <v>128</v>
      </c>
      <c r="F185" s="73" t="str">
        <f t="shared" si="21"/>
        <v/>
      </c>
      <c r="G185" s="60">
        <f t="shared" si="21"/>
        <v>7.6531420628012155E-3</v>
      </c>
      <c r="H185" s="60">
        <f t="shared" si="21"/>
        <v>1.4445152081114212E-2</v>
      </c>
      <c r="I185" s="60">
        <f t="shared" si="21"/>
        <v>1.7303038122616368E-2</v>
      </c>
      <c r="J185" s="63">
        <f t="shared" si="21"/>
        <v>2.0418216347484607E-2</v>
      </c>
      <c r="K185" s="60" t="str">
        <f t="shared" si="22"/>
        <v/>
      </c>
      <c r="L185" s="60">
        <f t="shared" si="22"/>
        <v>3.9948748628012131E-3</v>
      </c>
      <c r="M185" s="60">
        <f t="shared" si="22"/>
        <v>9.8038152811142122E-3</v>
      </c>
      <c r="N185" s="60">
        <f t="shared" si="22"/>
        <v>1.1781097222616367E-2</v>
      </c>
      <c r="O185" s="63">
        <f t="shared" si="22"/>
        <v>1.3625693547484602E-2</v>
      </c>
      <c r="P185" s="55" t="s">
        <v>21</v>
      </c>
      <c r="Q185" s="53" t="s">
        <v>21</v>
      </c>
      <c r="R185" s="94" t="s">
        <v>21</v>
      </c>
      <c r="S185" s="73">
        <v>0</v>
      </c>
      <c r="T185" s="63">
        <f t="shared" si="20"/>
        <v>1.4445152081114212E-2</v>
      </c>
      <c r="V185" s="114">
        <v>1.12882167</v>
      </c>
      <c r="W185" s="72">
        <v>2.8424578899999999</v>
      </c>
      <c r="X185" s="72">
        <v>4.32981237</v>
      </c>
      <c r="Y185" s="72">
        <v>5.5910939600000003</v>
      </c>
      <c r="Z185" s="115">
        <v>7.1356331900000001</v>
      </c>
      <c r="AB185" s="71" t="s">
        <v>21</v>
      </c>
      <c r="AC185" s="71">
        <v>7.6531420628012155E-3</v>
      </c>
      <c r="AD185" s="71">
        <v>1.4445152081114212E-2</v>
      </c>
      <c r="AE185" s="71">
        <v>1.7303038122616368E-2</v>
      </c>
      <c r="AF185" s="63">
        <v>2.0418216347484607E-2</v>
      </c>
      <c r="AG185" s="71" t="s">
        <v>21</v>
      </c>
      <c r="AH185" s="71">
        <v>3.9948748628012131E-3</v>
      </c>
      <c r="AI185" s="71">
        <v>9.8038152811142122E-3</v>
      </c>
      <c r="AJ185" s="71">
        <v>1.1781097222616367E-2</v>
      </c>
      <c r="AK185" s="71">
        <v>1.3625693547484602E-2</v>
      </c>
    </row>
    <row r="186" spans="2:37" x14ac:dyDescent="0.35">
      <c r="B186" s="55" t="s">
        <v>155</v>
      </c>
      <c r="C186" s="53" t="s">
        <v>234</v>
      </c>
      <c r="D186" s="53" t="s">
        <v>43</v>
      </c>
      <c r="E186" s="53" t="s">
        <v>21</v>
      </c>
      <c r="F186" s="73" t="str">
        <f t="shared" si="21"/>
        <v/>
      </c>
      <c r="G186" s="60">
        <f t="shared" si="21"/>
        <v>7.1612584006175012E-3</v>
      </c>
      <c r="H186" s="60">
        <f t="shared" si="21"/>
        <v>1.392893006818488E-2</v>
      </c>
      <c r="I186" s="60">
        <f t="shared" si="21"/>
        <v>1.7643294655742815E-2</v>
      </c>
      <c r="J186" s="63">
        <f t="shared" si="21"/>
        <v>2.1238143893919457E-2</v>
      </c>
      <c r="K186" s="60" t="str">
        <f t="shared" si="22"/>
        <v/>
      </c>
      <c r="L186" s="60">
        <f t="shared" si="22"/>
        <v>3.4733446006174986E-3</v>
      </c>
      <c r="M186" s="60">
        <f t="shared" si="22"/>
        <v>9.2704958681848817E-3</v>
      </c>
      <c r="N186" s="60">
        <f t="shared" si="22"/>
        <v>1.2126770455742814E-2</v>
      </c>
      <c r="O186" s="63">
        <f t="shared" si="22"/>
        <v>1.4462955793919458E-2</v>
      </c>
      <c r="P186" s="55" t="s">
        <v>502</v>
      </c>
      <c r="Q186" s="53" t="s">
        <v>503</v>
      </c>
      <c r="R186" s="94">
        <v>47536</v>
      </c>
      <c r="S186" s="73">
        <v>6.6957100000000006E-3</v>
      </c>
      <c r="T186" s="63">
        <f t="shared" si="20"/>
        <v>7.2332200681848799E-3</v>
      </c>
      <c r="V186" s="114">
        <v>1.1289699900000001</v>
      </c>
      <c r="W186" s="72">
        <v>2.8445294699999999</v>
      </c>
      <c r="X186" s="72">
        <v>4.3361791599999995</v>
      </c>
      <c r="Y186" s="72">
        <v>5.5957232000000001</v>
      </c>
      <c r="Z186" s="115">
        <v>7.1234317100000002</v>
      </c>
      <c r="AB186" s="71" t="s">
        <v>21</v>
      </c>
      <c r="AC186" s="71">
        <v>7.1612584006175012E-3</v>
      </c>
      <c r="AD186" s="71">
        <v>1.392893006818488E-2</v>
      </c>
      <c r="AE186" s="71">
        <v>1.7643294655742815E-2</v>
      </c>
      <c r="AF186" s="63">
        <v>2.1238143893919457E-2</v>
      </c>
      <c r="AG186" s="71" t="s">
        <v>21</v>
      </c>
      <c r="AH186" s="71">
        <v>3.4733446006174986E-3</v>
      </c>
      <c r="AI186" s="71">
        <v>9.2704958681848817E-3</v>
      </c>
      <c r="AJ186" s="71">
        <v>1.2126770455742814E-2</v>
      </c>
      <c r="AK186" s="71">
        <v>1.4462955793919458E-2</v>
      </c>
    </row>
    <row r="187" spans="2:37" x14ac:dyDescent="0.35">
      <c r="B187" s="55" t="s">
        <v>136</v>
      </c>
      <c r="C187" s="53" t="s">
        <v>234</v>
      </c>
      <c r="D187" s="53" t="s">
        <v>47</v>
      </c>
      <c r="E187" s="53" t="s">
        <v>21</v>
      </c>
      <c r="F187" s="73" t="str">
        <f t="shared" si="21"/>
        <v/>
      </c>
      <c r="G187" s="60">
        <f t="shared" si="21"/>
        <v>7.1892002816267512E-3</v>
      </c>
      <c r="H187" s="60">
        <f t="shared" si="21"/>
        <v>1.387485658649025E-2</v>
      </c>
      <c r="I187" s="60">
        <f t="shared" si="21"/>
        <v>1.7394341730517619E-2</v>
      </c>
      <c r="J187" s="63">
        <f t="shared" si="21"/>
        <v>2.1197475920714259E-2</v>
      </c>
      <c r="K187" s="60" t="str">
        <f t="shared" si="22"/>
        <v/>
      </c>
      <c r="L187" s="60">
        <f t="shared" si="22"/>
        <v>3.5034301816267515E-3</v>
      </c>
      <c r="M187" s="60">
        <f t="shared" si="22"/>
        <v>9.2150605864902528E-3</v>
      </c>
      <c r="N187" s="60">
        <f t="shared" si="22"/>
        <v>1.1872379030517622E-2</v>
      </c>
      <c r="O187" s="63">
        <f t="shared" si="22"/>
        <v>1.4419946320714255E-2</v>
      </c>
      <c r="P187" s="55" t="s">
        <v>504</v>
      </c>
      <c r="Q187" s="53" t="s">
        <v>505</v>
      </c>
      <c r="R187" s="94">
        <v>47559</v>
      </c>
      <c r="S187" s="73">
        <v>7.2705799999999996E-3</v>
      </c>
      <c r="T187" s="63">
        <f t="shared" si="20"/>
        <v>6.6042765864902505E-3</v>
      </c>
      <c r="V187" s="114">
        <v>1.1288773300000001</v>
      </c>
      <c r="W187" s="72">
        <v>2.84480902</v>
      </c>
      <c r="X187" s="72">
        <v>4.3368581400000004</v>
      </c>
      <c r="Y187" s="72">
        <v>5.5996343400000006</v>
      </c>
      <c r="Z187" s="115">
        <v>7.1300026799999996</v>
      </c>
      <c r="AB187" s="71" t="s">
        <v>21</v>
      </c>
      <c r="AC187" s="71">
        <v>7.1892002816267512E-3</v>
      </c>
      <c r="AD187" s="71">
        <v>1.387485658649025E-2</v>
      </c>
      <c r="AE187" s="71">
        <v>1.7394341730517619E-2</v>
      </c>
      <c r="AF187" s="63">
        <v>2.1197475920714259E-2</v>
      </c>
      <c r="AG187" s="71" t="s">
        <v>21</v>
      </c>
      <c r="AH187" s="71">
        <v>3.5034301816267515E-3</v>
      </c>
      <c r="AI187" s="71">
        <v>9.2150605864902528E-3</v>
      </c>
      <c r="AJ187" s="71">
        <v>1.1872379030517622E-2</v>
      </c>
      <c r="AK187" s="71">
        <v>1.4419946320714255E-2</v>
      </c>
    </row>
    <row r="188" spans="2:37" x14ac:dyDescent="0.35">
      <c r="B188" s="55" t="s">
        <v>322</v>
      </c>
      <c r="C188" s="53" t="s">
        <v>234</v>
      </c>
      <c r="D188" s="53" t="s">
        <v>69</v>
      </c>
      <c r="E188" s="53" t="s">
        <v>423</v>
      </c>
      <c r="F188" s="73" t="str">
        <f t="shared" si="21"/>
        <v/>
      </c>
      <c r="G188" s="60">
        <f t="shared" si="21"/>
        <v>7.2089933701607297E-3</v>
      </c>
      <c r="H188" s="60">
        <f t="shared" si="21"/>
        <v>1.3783821243273622E-2</v>
      </c>
      <c r="I188" s="60">
        <f t="shared" si="21"/>
        <v>1.7901629797717453E-2</v>
      </c>
      <c r="J188" s="63">
        <f t="shared" si="21"/>
        <v>2.1383832280037787E-2</v>
      </c>
      <c r="K188" s="60" t="str">
        <f t="shared" si="22"/>
        <v/>
      </c>
      <c r="L188" s="60">
        <f t="shared" si="22"/>
        <v>3.5235523701607312E-3</v>
      </c>
      <c r="M188" s="60">
        <f t="shared" si="22"/>
        <v>9.1199815432736267E-3</v>
      </c>
      <c r="N188" s="60">
        <f t="shared" si="22"/>
        <v>1.2389844497717451E-2</v>
      </c>
      <c r="O188" s="63">
        <f t="shared" si="22"/>
        <v>1.4613171980037788E-2</v>
      </c>
      <c r="P188" s="55" t="s">
        <v>21</v>
      </c>
      <c r="Q188" s="53" t="s">
        <v>21</v>
      </c>
      <c r="R188" s="94" t="s">
        <v>21</v>
      </c>
      <c r="S188" s="73">
        <v>0</v>
      </c>
      <c r="T188" s="63">
        <f t="shared" si="20"/>
        <v>1.3783821243273622E-2</v>
      </c>
      <c r="V188" s="114">
        <v>1.1295609200000001</v>
      </c>
      <c r="W188" s="72">
        <v>2.8453359800000002</v>
      </c>
      <c r="X188" s="72">
        <v>4.3383072600000006</v>
      </c>
      <c r="Y188" s="72">
        <v>5.5951404299999998</v>
      </c>
      <c r="Z188" s="115">
        <v>7.11790346</v>
      </c>
      <c r="AB188" s="71" t="s">
        <v>21</v>
      </c>
      <c r="AC188" s="71">
        <v>7.2089933701607297E-3</v>
      </c>
      <c r="AD188" s="71">
        <v>1.3783821243273622E-2</v>
      </c>
      <c r="AE188" s="71">
        <v>1.7901629797717453E-2</v>
      </c>
      <c r="AF188" s="63">
        <v>2.1383832280037787E-2</v>
      </c>
      <c r="AG188" s="71" t="s">
        <v>21</v>
      </c>
      <c r="AH188" s="71">
        <v>3.5235523701607312E-3</v>
      </c>
      <c r="AI188" s="71">
        <v>9.1199815432736267E-3</v>
      </c>
      <c r="AJ188" s="71">
        <v>1.2389844497717451E-2</v>
      </c>
      <c r="AK188" s="71">
        <v>1.4613171980037788E-2</v>
      </c>
    </row>
    <row r="189" spans="2:37" x14ac:dyDescent="0.35">
      <c r="B189" s="55" t="s">
        <v>156</v>
      </c>
      <c r="C189" s="53" t="s">
        <v>234</v>
      </c>
      <c r="D189" s="53" t="s">
        <v>131</v>
      </c>
      <c r="E189" s="53" t="s">
        <v>75</v>
      </c>
      <c r="F189" s="73" t="str">
        <f t="shared" si="21"/>
        <v/>
      </c>
      <c r="G189" s="60">
        <f t="shared" si="21"/>
        <v>7.180971737331167E-3</v>
      </c>
      <c r="H189" s="60">
        <f t="shared" si="21"/>
        <v>1.378108912120574E-2</v>
      </c>
      <c r="I189" s="60">
        <f t="shared" si="21"/>
        <v>1.7602457491113874E-2</v>
      </c>
      <c r="J189" s="63">
        <f t="shared" si="21"/>
        <v>2.1592713203530869E-2</v>
      </c>
      <c r="K189" s="60" t="str">
        <f t="shared" si="22"/>
        <v/>
      </c>
      <c r="L189" s="60">
        <f t="shared" si="22"/>
        <v>3.4938525373311652E-3</v>
      </c>
      <c r="M189" s="60">
        <f t="shared" si="22"/>
        <v>9.1170087212057403E-3</v>
      </c>
      <c r="N189" s="60">
        <f t="shared" si="22"/>
        <v>1.2084112091113874E-2</v>
      </c>
      <c r="O189" s="63">
        <f t="shared" si="22"/>
        <v>1.4822450503530867E-2</v>
      </c>
      <c r="P189" s="55" t="s">
        <v>506</v>
      </c>
      <c r="Q189" s="53" t="s">
        <v>507</v>
      </c>
      <c r="R189" s="94">
        <v>47534</v>
      </c>
      <c r="S189" s="73">
        <v>1.0425390000000001E-2</v>
      </c>
      <c r="T189" s="63">
        <f t="shared" si="20"/>
        <v>3.3556991212057383E-3</v>
      </c>
      <c r="V189" s="114">
        <v>1.1292502</v>
      </c>
      <c r="W189" s="72">
        <v>2.8449344500000002</v>
      </c>
      <c r="X189" s="72">
        <v>4.33799607</v>
      </c>
      <c r="Y189" s="72">
        <v>5.5985538100000003</v>
      </c>
      <c r="Z189" s="115">
        <v>7.1196157199999996</v>
      </c>
      <c r="AB189" s="71" t="s">
        <v>21</v>
      </c>
      <c r="AC189" s="71">
        <v>7.180971737331167E-3</v>
      </c>
      <c r="AD189" s="71">
        <v>1.378108912120574E-2</v>
      </c>
      <c r="AE189" s="71">
        <v>1.7602457491113874E-2</v>
      </c>
      <c r="AF189" s="63">
        <v>2.1592713203530869E-2</v>
      </c>
      <c r="AG189" s="71" t="s">
        <v>21</v>
      </c>
      <c r="AH189" s="71">
        <v>3.4938525373311652E-3</v>
      </c>
      <c r="AI189" s="71">
        <v>9.1170087212057403E-3</v>
      </c>
      <c r="AJ189" s="71">
        <v>1.2084112091113874E-2</v>
      </c>
      <c r="AK189" s="71">
        <v>1.4822450503530867E-2</v>
      </c>
    </row>
    <row r="190" spans="2:37" x14ac:dyDescent="0.35">
      <c r="B190" s="55" t="s">
        <v>326</v>
      </c>
      <c r="C190" s="53" t="s">
        <v>234</v>
      </c>
      <c r="D190" s="53" t="s">
        <v>20</v>
      </c>
      <c r="E190" s="53" t="s">
        <v>21</v>
      </c>
      <c r="F190" s="73" t="str">
        <f t="shared" si="21"/>
        <v/>
      </c>
      <c r="G190" s="60">
        <f t="shared" si="21"/>
        <v>7.2323849350016921E-3</v>
      </c>
      <c r="H190" s="60">
        <f t="shared" si="21"/>
        <v>1.4264307564375033E-2</v>
      </c>
      <c r="I190" s="60">
        <f t="shared" si="21"/>
        <v>1.8023310049171778E-2</v>
      </c>
      <c r="J190" s="63">
        <f t="shared" si="21"/>
        <v>2.134493323588085E-2</v>
      </c>
      <c r="K190" s="60" t="str">
        <f t="shared" si="22"/>
        <v/>
      </c>
      <c r="L190" s="60">
        <f t="shared" si="22"/>
        <v>3.5480669350016936E-3</v>
      </c>
      <c r="M190" s="60">
        <f t="shared" si="22"/>
        <v>9.6177590643750331E-3</v>
      </c>
      <c r="N190" s="60">
        <f t="shared" si="22"/>
        <v>1.251766954917178E-2</v>
      </c>
      <c r="O190" s="63">
        <f t="shared" si="22"/>
        <v>1.4577656335880849E-2</v>
      </c>
      <c r="P190" s="55" t="s">
        <v>21</v>
      </c>
      <c r="Q190" s="53" t="s">
        <v>21</v>
      </c>
      <c r="R190" s="94" t="s">
        <v>21</v>
      </c>
      <c r="S190" s="73">
        <v>0</v>
      </c>
      <c r="T190" s="63">
        <f t="shared" si="20"/>
        <v>1.4264307564375033E-2</v>
      </c>
      <c r="V190" s="114">
        <v>1.13018131</v>
      </c>
      <c r="W190" s="72">
        <v>2.8470262399999999</v>
      </c>
      <c r="X190" s="72">
        <v>4.3353040299999996</v>
      </c>
      <c r="Y190" s="72">
        <v>5.5875903099999995</v>
      </c>
      <c r="Z190" s="115">
        <v>7.10795171</v>
      </c>
      <c r="AB190" s="71" t="s">
        <v>21</v>
      </c>
      <c r="AC190" s="71">
        <v>7.2323849350016921E-3</v>
      </c>
      <c r="AD190" s="71">
        <v>1.4264307564375033E-2</v>
      </c>
      <c r="AE190" s="71">
        <v>1.8023310049171778E-2</v>
      </c>
      <c r="AF190" s="63">
        <v>2.134493323588085E-2</v>
      </c>
      <c r="AG190" s="71" t="s">
        <v>21</v>
      </c>
      <c r="AH190" s="71">
        <v>3.5480669350016936E-3</v>
      </c>
      <c r="AI190" s="71">
        <v>9.6177590643750331E-3</v>
      </c>
      <c r="AJ190" s="71">
        <v>1.251766954917178E-2</v>
      </c>
      <c r="AK190" s="71">
        <v>1.4577656335880849E-2</v>
      </c>
    </row>
    <row r="191" spans="2:37" x14ac:dyDescent="0.35">
      <c r="B191" s="55" t="s">
        <v>267</v>
      </c>
      <c r="C191" s="53" t="s">
        <v>234</v>
      </c>
      <c r="D191" s="53" t="s">
        <v>31</v>
      </c>
      <c r="E191" s="53" t="s">
        <v>21</v>
      </c>
      <c r="F191" s="73" t="str">
        <f t="shared" si="21"/>
        <v/>
      </c>
      <c r="G191" s="60">
        <f t="shared" si="21"/>
        <v>7.3472385438100377E-3</v>
      </c>
      <c r="H191" s="60">
        <f t="shared" si="21"/>
        <v>1.3729455825296647E-2</v>
      </c>
      <c r="I191" s="60">
        <f t="shared" si="21"/>
        <v>1.695780507803011E-2</v>
      </c>
      <c r="J191" s="63">
        <f t="shared" si="21"/>
        <v>1.9368529571743506E-2</v>
      </c>
      <c r="K191" s="60" t="str">
        <f t="shared" si="22"/>
        <v/>
      </c>
      <c r="L191" s="60">
        <f t="shared" si="22"/>
        <v>3.6704882438100377E-3</v>
      </c>
      <c r="M191" s="60">
        <f t="shared" si="22"/>
        <v>9.063746825296648E-3</v>
      </c>
      <c r="N191" s="60">
        <f t="shared" si="22"/>
        <v>1.1423158078030109E-2</v>
      </c>
      <c r="O191" s="63">
        <f t="shared" si="22"/>
        <v>1.2544544771743504E-2</v>
      </c>
      <c r="P191" s="55" t="s">
        <v>508</v>
      </c>
      <c r="Q191" s="53" t="s">
        <v>509</v>
      </c>
      <c r="R191" s="94">
        <v>47679</v>
      </c>
      <c r="S191" s="73">
        <v>1.2686310000000001E-2</v>
      </c>
      <c r="T191" s="63">
        <f t="shared" si="20"/>
        <v>1.0431458252966458E-3</v>
      </c>
      <c r="V191" s="114">
        <v>1.12958782</v>
      </c>
      <c r="W191" s="72">
        <v>2.8445149999999999</v>
      </c>
      <c r="X191" s="72">
        <v>4.3376656999999996</v>
      </c>
      <c r="Y191" s="72">
        <v>5.6064861299999995</v>
      </c>
      <c r="Z191" s="115">
        <v>7.1760593699999999</v>
      </c>
      <c r="AB191" s="71" t="s">
        <v>21</v>
      </c>
      <c r="AC191" s="71">
        <v>7.3472385438100377E-3</v>
      </c>
      <c r="AD191" s="71">
        <v>1.3729455825296647E-2</v>
      </c>
      <c r="AE191" s="71">
        <v>1.695780507803011E-2</v>
      </c>
      <c r="AF191" s="63">
        <v>1.9368529571743506E-2</v>
      </c>
      <c r="AG191" s="71" t="s">
        <v>21</v>
      </c>
      <c r="AH191" s="71">
        <v>3.6704882438100377E-3</v>
      </c>
      <c r="AI191" s="71">
        <v>9.063746825296648E-3</v>
      </c>
      <c r="AJ191" s="71">
        <v>1.1423158078030109E-2</v>
      </c>
      <c r="AK191" s="71">
        <v>1.2544544771743504E-2</v>
      </c>
    </row>
    <row r="192" spans="2:37" x14ac:dyDescent="0.35">
      <c r="B192" s="55" t="s">
        <v>243</v>
      </c>
      <c r="C192" s="53" t="s">
        <v>234</v>
      </c>
      <c r="D192" s="53" t="s">
        <v>43</v>
      </c>
      <c r="E192" s="53" t="s">
        <v>112</v>
      </c>
      <c r="F192" s="73" t="str">
        <f t="shared" si="21"/>
        <v/>
      </c>
      <c r="G192" s="60">
        <f t="shared" si="21"/>
        <v>7.1330082825165906E-3</v>
      </c>
      <c r="H192" s="60">
        <f t="shared" si="21"/>
        <v>1.3683578411142268E-2</v>
      </c>
      <c r="I192" s="60">
        <f t="shared" si="21"/>
        <v>1.7608505530754659E-2</v>
      </c>
      <c r="J192" s="63">
        <f t="shared" si="21"/>
        <v>2.1496829064691136E-2</v>
      </c>
      <c r="K192" s="60" t="str">
        <f t="shared" si="22"/>
        <v/>
      </c>
      <c r="L192" s="60">
        <f t="shared" si="22"/>
        <v>3.4424473825165943E-3</v>
      </c>
      <c r="M192" s="60">
        <f t="shared" si="22"/>
        <v>9.015772411142273E-3</v>
      </c>
      <c r="N192" s="60">
        <f t="shared" si="22"/>
        <v>1.2090015930754658E-2</v>
      </c>
      <c r="O192" s="63">
        <f t="shared" si="22"/>
        <v>1.4725525864691136E-2</v>
      </c>
      <c r="P192" s="55" t="s">
        <v>510</v>
      </c>
      <c r="Q192" s="53" t="s">
        <v>511</v>
      </c>
      <c r="R192" s="94" t="s">
        <v>32</v>
      </c>
      <c r="S192" s="73">
        <v>1.1033280000000001E-2</v>
      </c>
      <c r="T192" s="63">
        <f t="shared" si="20"/>
        <v>2.6502984111422666E-3</v>
      </c>
      <c r="V192" s="114">
        <v>1.1293301499999999</v>
      </c>
      <c r="W192" s="72">
        <v>2.8459078099999999</v>
      </c>
      <c r="X192" s="72">
        <v>4.3400282499999996</v>
      </c>
      <c r="Y192" s="72">
        <v>5.6007941300000006</v>
      </c>
      <c r="Z192" s="115">
        <v>7.1235342800000003</v>
      </c>
      <c r="AB192" s="71" t="s">
        <v>21</v>
      </c>
      <c r="AC192" s="71">
        <v>7.1330082825165906E-3</v>
      </c>
      <c r="AD192" s="71">
        <v>1.3683578411142268E-2</v>
      </c>
      <c r="AE192" s="71">
        <v>1.7608505530754659E-2</v>
      </c>
      <c r="AF192" s="63">
        <v>2.1496829064691136E-2</v>
      </c>
      <c r="AG192" s="71" t="s">
        <v>21</v>
      </c>
      <c r="AH192" s="71">
        <v>3.4424473825165943E-3</v>
      </c>
      <c r="AI192" s="71">
        <v>9.015772411142273E-3</v>
      </c>
      <c r="AJ192" s="71">
        <v>1.2090015930754658E-2</v>
      </c>
      <c r="AK192" s="71">
        <v>1.4725525864691136E-2</v>
      </c>
    </row>
    <row r="193" spans="2:37" x14ac:dyDescent="0.35">
      <c r="B193" s="55" t="s">
        <v>244</v>
      </c>
      <c r="C193" s="53" t="s">
        <v>234</v>
      </c>
      <c r="D193" s="53" t="s">
        <v>43</v>
      </c>
      <c r="E193" s="53" t="s">
        <v>245</v>
      </c>
      <c r="F193" s="73" t="str">
        <f t="shared" si="21"/>
        <v/>
      </c>
      <c r="G193" s="60">
        <f t="shared" si="21"/>
        <v>7.127915217095715E-3</v>
      </c>
      <c r="H193" s="60">
        <f t="shared" si="21"/>
        <v>1.362937601651289E-2</v>
      </c>
      <c r="I193" s="60">
        <f t="shared" si="21"/>
        <v>1.7754777494506505E-2</v>
      </c>
      <c r="J193" s="63">
        <f t="shared" si="21"/>
        <v>2.1638168167712832E-2</v>
      </c>
      <c r="K193" s="60" t="str">
        <f t="shared" si="22"/>
        <v/>
      </c>
      <c r="L193" s="60">
        <f t="shared" si="22"/>
        <v>3.437271017095712E-3</v>
      </c>
      <c r="M193" s="60">
        <f t="shared" si="22"/>
        <v>8.9600247165128946E-3</v>
      </c>
      <c r="N193" s="60">
        <f t="shared" si="22"/>
        <v>1.2239985294506504E-2</v>
      </c>
      <c r="O193" s="63">
        <f t="shared" si="22"/>
        <v>1.487043406771283E-2</v>
      </c>
      <c r="P193" s="55" t="s">
        <v>512</v>
      </c>
      <c r="Q193" s="53" t="s">
        <v>513</v>
      </c>
      <c r="R193" s="94">
        <v>47492</v>
      </c>
      <c r="S193" s="73">
        <v>1.1734359999999999E-2</v>
      </c>
      <c r="T193" s="63">
        <f t="shared" si="20"/>
        <v>1.8950160165128911E-3</v>
      </c>
      <c r="V193" s="114">
        <v>1.1294105999999999</v>
      </c>
      <c r="W193" s="72">
        <v>2.84596538</v>
      </c>
      <c r="X193" s="72">
        <v>4.3400253700000002</v>
      </c>
      <c r="Y193" s="72">
        <v>5.5983738000000001</v>
      </c>
      <c r="Z193" s="115">
        <v>7.1172484300000001</v>
      </c>
      <c r="AB193" s="71" t="s">
        <v>21</v>
      </c>
      <c r="AC193" s="71">
        <v>7.127915217095715E-3</v>
      </c>
      <c r="AD193" s="71">
        <v>1.362937601651289E-2</v>
      </c>
      <c r="AE193" s="71">
        <v>1.7754777494506505E-2</v>
      </c>
      <c r="AF193" s="63">
        <v>2.1638168167712832E-2</v>
      </c>
      <c r="AG193" s="71" t="s">
        <v>21</v>
      </c>
      <c r="AH193" s="71">
        <v>3.437271017095712E-3</v>
      </c>
      <c r="AI193" s="71">
        <v>8.9600247165128946E-3</v>
      </c>
      <c r="AJ193" s="71">
        <v>1.2239985294506504E-2</v>
      </c>
      <c r="AK193" s="71">
        <v>1.487043406771283E-2</v>
      </c>
    </row>
    <row r="194" spans="2:37" x14ac:dyDescent="0.35">
      <c r="B194" s="55" t="s">
        <v>124</v>
      </c>
      <c r="C194" s="53" t="s">
        <v>234</v>
      </c>
      <c r="D194" s="53" t="s">
        <v>69</v>
      </c>
      <c r="E194" s="53" t="s">
        <v>81</v>
      </c>
      <c r="F194" s="73" t="str">
        <f t="shared" si="21"/>
        <v/>
      </c>
      <c r="G194" s="60">
        <f t="shared" si="21"/>
        <v>6.886316484445763E-3</v>
      </c>
      <c r="H194" s="60">
        <f t="shared" si="21"/>
        <v>1.3645730300415722E-2</v>
      </c>
      <c r="I194" s="60">
        <f t="shared" si="21"/>
        <v>1.7568445884384908E-2</v>
      </c>
      <c r="J194" s="63">
        <f t="shared" si="21"/>
        <v>2.1652683892884411E-2</v>
      </c>
      <c r="K194" s="60" t="str">
        <f t="shared" si="22"/>
        <v/>
      </c>
      <c r="L194" s="60">
        <f t="shared" si="22"/>
        <v>3.178723684445764E-3</v>
      </c>
      <c r="M194" s="60">
        <f t="shared" si="22"/>
        <v>8.9759799004157231E-3</v>
      </c>
      <c r="N194" s="60">
        <f t="shared" si="22"/>
        <v>1.2049057084384907E-2</v>
      </c>
      <c r="O194" s="63">
        <f t="shared" si="22"/>
        <v>1.4883981092884408E-2</v>
      </c>
      <c r="P194" s="55" t="s">
        <v>21</v>
      </c>
      <c r="Q194" s="53" t="s">
        <v>21</v>
      </c>
      <c r="R194" s="94" t="s">
        <v>21</v>
      </c>
      <c r="S194" s="73">
        <v>0</v>
      </c>
      <c r="T194" s="63">
        <f t="shared" si="20"/>
        <v>1.3645730300415722E-2</v>
      </c>
      <c r="V194" s="114">
        <v>1.1298668200000002</v>
      </c>
      <c r="W194" s="72">
        <v>2.8479486299999999</v>
      </c>
      <c r="X194" s="72">
        <v>4.3431041300000004</v>
      </c>
      <c r="Y194" s="72">
        <v>5.60443494</v>
      </c>
      <c r="Z194" s="115">
        <v>7.1243260899999994</v>
      </c>
      <c r="AB194" s="71" t="s">
        <v>21</v>
      </c>
      <c r="AC194" s="71">
        <v>6.886316484445763E-3</v>
      </c>
      <c r="AD194" s="71">
        <v>1.3645730300415722E-2</v>
      </c>
      <c r="AE194" s="71">
        <v>1.7568445884384908E-2</v>
      </c>
      <c r="AF194" s="63">
        <v>2.1652683892884411E-2</v>
      </c>
      <c r="AG194" s="71" t="s">
        <v>21</v>
      </c>
      <c r="AH194" s="71">
        <v>3.178723684445764E-3</v>
      </c>
      <c r="AI194" s="71">
        <v>8.9759799004157231E-3</v>
      </c>
      <c r="AJ194" s="71">
        <v>1.2049057084384907E-2</v>
      </c>
      <c r="AK194" s="71">
        <v>1.4883981092884408E-2</v>
      </c>
    </row>
    <row r="195" spans="2:37" x14ac:dyDescent="0.35">
      <c r="B195" s="55" t="s">
        <v>246</v>
      </c>
      <c r="C195" s="53" t="s">
        <v>234</v>
      </c>
      <c r="D195" s="53" t="s">
        <v>31</v>
      </c>
      <c r="E195" s="53" t="s">
        <v>255</v>
      </c>
      <c r="F195" s="73" t="str">
        <f t="shared" si="21"/>
        <v/>
      </c>
      <c r="G195" s="60">
        <f t="shared" si="21"/>
        <v>7.2004523715735857E-3</v>
      </c>
      <c r="H195" s="60">
        <f t="shared" si="21"/>
        <v>1.3527388693860706E-2</v>
      </c>
      <c r="I195" s="60">
        <f t="shared" si="21"/>
        <v>1.6766569262315428E-2</v>
      </c>
      <c r="J195" s="63">
        <f t="shared" si="21"/>
        <v>2.0288171405303739E-2</v>
      </c>
      <c r="K195" s="60" t="str">
        <f t="shared" si="22"/>
        <v/>
      </c>
      <c r="L195" s="60">
        <f t="shared" si="22"/>
        <v>3.5145011715735871E-3</v>
      </c>
      <c r="M195" s="60">
        <f t="shared" si="22"/>
        <v>8.8535347938607095E-3</v>
      </c>
      <c r="N195" s="60">
        <f t="shared" si="22"/>
        <v>1.1225506162315432E-2</v>
      </c>
      <c r="O195" s="63">
        <f t="shared" si="22"/>
        <v>1.348629430530374E-2</v>
      </c>
      <c r="P195" s="55" t="s">
        <v>514</v>
      </c>
      <c r="Q195" s="53" t="s">
        <v>515</v>
      </c>
      <c r="R195" s="94">
        <v>47491</v>
      </c>
      <c r="S195" s="73">
        <v>1.050301E-2</v>
      </c>
      <c r="T195" s="63">
        <f t="shared" si="20"/>
        <v>3.0243786938607062E-3</v>
      </c>
      <c r="V195" s="114">
        <v>1.12936572</v>
      </c>
      <c r="W195" s="72">
        <v>2.8450275</v>
      </c>
      <c r="X195" s="72">
        <v>4.3405046299999999</v>
      </c>
      <c r="Y195" s="72">
        <v>5.6123237399999999</v>
      </c>
      <c r="Z195" s="115">
        <v>7.1652431700000001</v>
      </c>
      <c r="AB195" s="71" t="s">
        <v>21</v>
      </c>
      <c r="AC195" s="71">
        <v>7.2004523715735857E-3</v>
      </c>
      <c r="AD195" s="71">
        <v>1.3527388693860706E-2</v>
      </c>
      <c r="AE195" s="71">
        <v>1.6766569262315428E-2</v>
      </c>
      <c r="AF195" s="63">
        <v>2.0288171405303739E-2</v>
      </c>
      <c r="AG195" s="71" t="s">
        <v>21</v>
      </c>
      <c r="AH195" s="71">
        <v>3.5145011715735871E-3</v>
      </c>
      <c r="AI195" s="71">
        <v>8.8535347938607095E-3</v>
      </c>
      <c r="AJ195" s="71">
        <v>1.1225506162315432E-2</v>
      </c>
      <c r="AK195" s="71">
        <v>1.348629430530374E-2</v>
      </c>
    </row>
    <row r="196" spans="2:37" x14ac:dyDescent="0.35">
      <c r="B196" s="55" t="s">
        <v>336</v>
      </c>
      <c r="C196" s="53" t="s">
        <v>234</v>
      </c>
      <c r="D196" s="53" t="s">
        <v>20</v>
      </c>
      <c r="E196" s="53" t="s">
        <v>123</v>
      </c>
      <c r="F196" s="73" t="str">
        <f t="shared" si="21"/>
        <v/>
      </c>
      <c r="G196" s="60">
        <f t="shared" si="21"/>
        <v>7.8389341181304452E-3</v>
      </c>
      <c r="H196" s="60">
        <f t="shared" si="21"/>
        <v>1.3841873290394758E-2</v>
      </c>
      <c r="I196" s="60">
        <f t="shared" si="21"/>
        <v>1.699049139697505E-2</v>
      </c>
      <c r="J196" s="63">
        <f t="shared" si="21"/>
        <v>2.0533193655659757E-2</v>
      </c>
      <c r="K196" s="60" t="str">
        <f t="shared" si="22"/>
        <v/>
      </c>
      <c r="L196" s="60">
        <f t="shared" si="22"/>
        <v>4.1916284181304428E-3</v>
      </c>
      <c r="M196" s="60">
        <f t="shared" si="22"/>
        <v>9.1800173903947586E-3</v>
      </c>
      <c r="N196" s="60">
        <f t="shared" si="22"/>
        <v>1.1456045596975052E-2</v>
      </c>
      <c r="O196" s="63">
        <f t="shared" si="22"/>
        <v>1.3735630155659756E-2</v>
      </c>
      <c r="P196" s="55" t="s">
        <v>21</v>
      </c>
      <c r="Q196" s="53" t="s">
        <v>21</v>
      </c>
      <c r="R196" s="94" t="s">
        <v>21</v>
      </c>
      <c r="S196" s="73">
        <v>0</v>
      </c>
      <c r="T196" s="63">
        <f t="shared" si="20"/>
        <v>1.3841873290394758E-2</v>
      </c>
      <c r="V196" s="114">
        <v>1.12669076</v>
      </c>
      <c r="W196" s="72">
        <v>2.83645105</v>
      </c>
      <c r="X196" s="72">
        <v>4.3274252400000002</v>
      </c>
      <c r="Y196" s="72">
        <v>5.5942007600000005</v>
      </c>
      <c r="Z196" s="115">
        <v>7.1410513600000005</v>
      </c>
      <c r="AB196" s="71" t="s">
        <v>21</v>
      </c>
      <c r="AC196" s="71">
        <v>7.8389341181304452E-3</v>
      </c>
      <c r="AD196" s="71">
        <v>1.3841873290394758E-2</v>
      </c>
      <c r="AE196" s="71">
        <v>1.699049139697505E-2</v>
      </c>
      <c r="AF196" s="63">
        <v>2.0533193655659757E-2</v>
      </c>
      <c r="AG196" s="71" t="s">
        <v>21</v>
      </c>
      <c r="AH196" s="71">
        <v>4.1916284181304428E-3</v>
      </c>
      <c r="AI196" s="71">
        <v>9.1800173903947586E-3</v>
      </c>
      <c r="AJ196" s="71">
        <v>1.1456045596975052E-2</v>
      </c>
      <c r="AK196" s="71">
        <v>1.3735630155659756E-2</v>
      </c>
    </row>
    <row r="197" spans="2:37" x14ac:dyDescent="0.35">
      <c r="B197" s="55" t="s">
        <v>337</v>
      </c>
      <c r="C197" s="53" t="s">
        <v>234</v>
      </c>
      <c r="D197" s="53" t="s">
        <v>20</v>
      </c>
      <c r="E197" s="53" t="s">
        <v>251</v>
      </c>
      <c r="F197" s="73" t="str">
        <f t="shared" si="21"/>
        <v/>
      </c>
      <c r="G197" s="60">
        <f t="shared" si="21"/>
        <v>7.4011941353198576E-3</v>
      </c>
      <c r="H197" s="60">
        <f t="shared" si="21"/>
        <v>1.3877440270692959E-2</v>
      </c>
      <c r="I197" s="60">
        <f t="shared" si="21"/>
        <v>1.766222371927418E-2</v>
      </c>
      <c r="J197" s="63">
        <f t="shared" si="21"/>
        <v>2.0824367658561296E-2</v>
      </c>
      <c r="K197" s="60" t="str">
        <f t="shared" si="22"/>
        <v/>
      </c>
      <c r="L197" s="60">
        <f t="shared" si="22"/>
        <v>3.7278094353198577E-3</v>
      </c>
      <c r="M197" s="60">
        <f t="shared" si="22"/>
        <v>9.2171817706929605E-3</v>
      </c>
      <c r="N197" s="60">
        <f t="shared" si="22"/>
        <v>1.214630861927418E-2</v>
      </c>
      <c r="O197" s="63">
        <f t="shared" si="22"/>
        <v>1.4045162858561295E-2</v>
      </c>
      <c r="P197" s="55" t="s">
        <v>382</v>
      </c>
      <c r="Q197" s="53" t="s">
        <v>383</v>
      </c>
      <c r="R197" s="94">
        <v>47624</v>
      </c>
      <c r="S197" s="73">
        <v>1.1669249999999999E-2</v>
      </c>
      <c r="T197" s="63">
        <f t="shared" si="20"/>
        <v>2.2081902706929599E-3</v>
      </c>
      <c r="V197" s="114">
        <v>1.12952908</v>
      </c>
      <c r="W197" s="72">
        <v>2.84477936</v>
      </c>
      <c r="X197" s="72">
        <v>4.3371523300000003</v>
      </c>
      <c r="Y197" s="72">
        <v>5.5958319000000003</v>
      </c>
      <c r="Z197" s="115">
        <v>7.1268183499999997</v>
      </c>
      <c r="AB197" s="71" t="s">
        <v>21</v>
      </c>
      <c r="AC197" s="71">
        <v>7.4011941353198576E-3</v>
      </c>
      <c r="AD197" s="71">
        <v>1.3877440270692959E-2</v>
      </c>
      <c r="AE197" s="71">
        <v>1.766222371927418E-2</v>
      </c>
      <c r="AF197" s="63">
        <v>2.0824367658561296E-2</v>
      </c>
      <c r="AG197" s="71" t="s">
        <v>21</v>
      </c>
      <c r="AH197" s="71">
        <v>3.7278094353198577E-3</v>
      </c>
      <c r="AI197" s="71">
        <v>9.2171817706929605E-3</v>
      </c>
      <c r="AJ197" s="71">
        <v>1.214630861927418E-2</v>
      </c>
      <c r="AK197" s="71">
        <v>1.4045162858561295E-2</v>
      </c>
    </row>
    <row r="198" spans="2:37" x14ac:dyDescent="0.35">
      <c r="B198" s="55" t="s">
        <v>146</v>
      </c>
      <c r="C198" s="53" t="s">
        <v>234</v>
      </c>
      <c r="D198" s="53" t="s">
        <v>69</v>
      </c>
      <c r="E198" s="53" t="s">
        <v>348</v>
      </c>
      <c r="F198" s="73" t="str">
        <f t="shared" si="21"/>
        <v/>
      </c>
      <c r="G198" s="60">
        <f t="shared" si="21"/>
        <v>7.0408053847397928E-3</v>
      </c>
      <c r="H198" s="60">
        <f t="shared" si="21"/>
        <v>1.3377468965746325E-2</v>
      </c>
      <c r="I198" s="60">
        <f t="shared" si="21"/>
        <v>1.6923429644817457E-2</v>
      </c>
      <c r="J198" s="63">
        <f t="shared" si="21"/>
        <v>2.1430773932560203E-2</v>
      </c>
      <c r="K198" s="60" t="str">
        <f t="shared" si="22"/>
        <v/>
      </c>
      <c r="L198" s="60">
        <f t="shared" si="22"/>
        <v>3.3443453847397911E-3</v>
      </c>
      <c r="M198" s="60">
        <f t="shared" si="22"/>
        <v>8.6970878657463297E-3</v>
      </c>
      <c r="N198" s="60">
        <f t="shared" si="22"/>
        <v>1.1385937544817456E-2</v>
      </c>
      <c r="O198" s="63">
        <f t="shared" si="22"/>
        <v>1.4652167032560202E-2</v>
      </c>
      <c r="P198" s="55" t="s">
        <v>516</v>
      </c>
      <c r="Q198" s="53" t="s">
        <v>517</v>
      </c>
      <c r="R198" s="94" t="s">
        <v>32</v>
      </c>
      <c r="S198" s="73">
        <v>1.220923E-2</v>
      </c>
      <c r="T198" s="63">
        <f t="shared" si="20"/>
        <v>1.1682389657463252E-3</v>
      </c>
      <c r="V198" s="114">
        <v>1.12920233</v>
      </c>
      <c r="W198" s="72">
        <v>2.8455584200000001</v>
      </c>
      <c r="X198" s="72">
        <v>4.3429047499999998</v>
      </c>
      <c r="Y198" s="72">
        <v>5.6132142700000003</v>
      </c>
      <c r="Z198" s="115">
        <v>7.1423967899999994</v>
      </c>
      <c r="AB198" s="71" t="s">
        <v>21</v>
      </c>
      <c r="AC198" s="71">
        <v>7.0408053847397928E-3</v>
      </c>
      <c r="AD198" s="71">
        <v>1.3377468965746325E-2</v>
      </c>
      <c r="AE198" s="71">
        <v>1.6923429644817457E-2</v>
      </c>
      <c r="AF198" s="63">
        <v>2.1430773932560203E-2</v>
      </c>
      <c r="AG198" s="71" t="s">
        <v>21</v>
      </c>
      <c r="AH198" s="71">
        <v>3.3443453847397911E-3</v>
      </c>
      <c r="AI198" s="71">
        <v>8.6970878657463297E-3</v>
      </c>
      <c r="AJ198" s="71">
        <v>1.1385937544817456E-2</v>
      </c>
      <c r="AK198" s="71">
        <v>1.4652167032560202E-2</v>
      </c>
    </row>
    <row r="199" spans="2:37" x14ac:dyDescent="0.35">
      <c r="B199" s="55" t="s">
        <v>145</v>
      </c>
      <c r="C199" s="53" t="s">
        <v>234</v>
      </c>
      <c r="D199" s="53" t="s">
        <v>20</v>
      </c>
      <c r="E199" s="53" t="s">
        <v>21</v>
      </c>
      <c r="F199" s="73" t="str">
        <f t="shared" si="21"/>
        <v/>
      </c>
      <c r="G199" s="60">
        <f t="shared" si="21"/>
        <v>8.0310317504233425E-3</v>
      </c>
      <c r="H199" s="60">
        <f t="shared" si="21"/>
        <v>1.3761165635428516E-2</v>
      </c>
      <c r="I199" s="60">
        <f t="shared" si="21"/>
        <v>1.6986132988285642E-2</v>
      </c>
      <c r="J199" s="63">
        <f t="shared" si="21"/>
        <v>2.0260654628175431E-2</v>
      </c>
      <c r="K199" s="60" t="str">
        <f t="shared" si="22"/>
        <v/>
      </c>
      <c r="L199" s="60">
        <f t="shared" si="22"/>
        <v>4.3950807504233406E-3</v>
      </c>
      <c r="M199" s="60">
        <f t="shared" si="22"/>
        <v>9.0971489354285152E-3</v>
      </c>
      <c r="N199" s="60">
        <f t="shared" si="22"/>
        <v>1.1451011788285646E-2</v>
      </c>
      <c r="O199" s="63">
        <f t="shared" si="22"/>
        <v>1.3458324128175433E-2</v>
      </c>
      <c r="P199" s="55" t="s">
        <v>518</v>
      </c>
      <c r="Q199" s="53" t="s">
        <v>519</v>
      </c>
      <c r="R199" s="94" t="s">
        <v>32</v>
      </c>
      <c r="S199" s="73">
        <v>8.7329799999999996E-3</v>
      </c>
      <c r="T199" s="63">
        <f t="shared" si="20"/>
        <v>5.0281856354285163E-3</v>
      </c>
      <c r="V199" s="114">
        <v>1.1265943599999999</v>
      </c>
      <c r="W199" s="72">
        <v>2.8344449699999998</v>
      </c>
      <c r="X199" s="72">
        <v>4.3260605299999995</v>
      </c>
      <c r="Y199" s="72">
        <v>5.5939287499999999</v>
      </c>
      <c r="Z199" s="115">
        <v>7.1436062800000002</v>
      </c>
      <c r="AB199" s="71" t="s">
        <v>21</v>
      </c>
      <c r="AC199" s="71">
        <v>8.0310317504233425E-3</v>
      </c>
      <c r="AD199" s="71">
        <v>1.3761165635428516E-2</v>
      </c>
      <c r="AE199" s="71">
        <v>1.6986132988285642E-2</v>
      </c>
      <c r="AF199" s="63">
        <v>2.0260654628175431E-2</v>
      </c>
      <c r="AG199" s="71" t="s">
        <v>21</v>
      </c>
      <c r="AH199" s="71">
        <v>4.3950807504233406E-3</v>
      </c>
      <c r="AI199" s="71">
        <v>9.0971489354285152E-3</v>
      </c>
      <c r="AJ199" s="71">
        <v>1.1451011788285646E-2</v>
      </c>
      <c r="AK199" s="71">
        <v>1.3458324128175433E-2</v>
      </c>
    </row>
    <row r="200" spans="2:37" x14ac:dyDescent="0.35">
      <c r="B200" s="55" t="s">
        <v>152</v>
      </c>
      <c r="C200" s="53" t="s">
        <v>234</v>
      </c>
      <c r="D200" s="53" t="s">
        <v>47</v>
      </c>
      <c r="E200" s="53" t="s">
        <v>141</v>
      </c>
      <c r="F200" s="73" t="str">
        <f t="shared" si="21"/>
        <v/>
      </c>
      <c r="G200" s="60">
        <f t="shared" si="21"/>
        <v>7.1429657646346779E-3</v>
      </c>
      <c r="H200" s="60">
        <f t="shared" si="21"/>
        <v>1.3319427957869391E-2</v>
      </c>
      <c r="I200" s="60">
        <f t="shared" si="21"/>
        <v>1.6871118634094323E-2</v>
      </c>
      <c r="J200" s="63">
        <f t="shared" si="21"/>
        <v>2.0984743615089473E-2</v>
      </c>
      <c r="K200" s="60" t="str">
        <f t="shared" si="22"/>
        <v/>
      </c>
      <c r="L200" s="60">
        <f t="shared" si="22"/>
        <v>3.4535795646346758E-3</v>
      </c>
      <c r="M200" s="60">
        <f t="shared" si="22"/>
        <v>8.6369460578693928E-3</v>
      </c>
      <c r="N200" s="60">
        <f t="shared" si="22"/>
        <v>1.1331874634094319E-2</v>
      </c>
      <c r="O200" s="63">
        <f t="shared" si="22"/>
        <v>1.4197850315089473E-2</v>
      </c>
      <c r="P200" s="55" t="s">
        <v>520</v>
      </c>
      <c r="Q200" s="53" t="s">
        <v>521</v>
      </c>
      <c r="R200" s="94" t="s">
        <v>32</v>
      </c>
      <c r="S200" s="73">
        <v>8.0087600000000002E-3</v>
      </c>
      <c r="T200" s="63">
        <f t="shared" si="20"/>
        <v>5.3106679578693913E-3</v>
      </c>
      <c r="V200" s="114">
        <v>1.1289345799999999</v>
      </c>
      <c r="W200" s="72">
        <v>2.8445851000000002</v>
      </c>
      <c r="X200" s="72">
        <v>4.3422079699999996</v>
      </c>
      <c r="Y200" s="72">
        <v>5.6133763199999995</v>
      </c>
      <c r="Z200" s="115">
        <v>7.1516648099999998</v>
      </c>
      <c r="AB200" s="71" t="s">
        <v>21</v>
      </c>
      <c r="AC200" s="71">
        <v>7.1429657646346779E-3</v>
      </c>
      <c r="AD200" s="71">
        <v>1.3319427957869391E-2</v>
      </c>
      <c r="AE200" s="71">
        <v>1.6871118634094323E-2</v>
      </c>
      <c r="AF200" s="63">
        <v>2.0984743615089473E-2</v>
      </c>
      <c r="AG200" s="71" t="s">
        <v>21</v>
      </c>
      <c r="AH200" s="71">
        <v>3.4535795646346758E-3</v>
      </c>
      <c r="AI200" s="71">
        <v>8.6369460578693928E-3</v>
      </c>
      <c r="AJ200" s="71">
        <v>1.1331874634094319E-2</v>
      </c>
      <c r="AK200" s="71">
        <v>1.4197850315089473E-2</v>
      </c>
    </row>
    <row r="201" spans="2:37" x14ac:dyDescent="0.35">
      <c r="B201" s="55" t="s">
        <v>241</v>
      </c>
      <c r="C201" s="53" t="s">
        <v>234</v>
      </c>
      <c r="D201" s="53" t="s">
        <v>69</v>
      </c>
      <c r="E201" s="53" t="s">
        <v>342</v>
      </c>
      <c r="F201" s="73" t="str">
        <f t="shared" si="21"/>
        <v/>
      </c>
      <c r="G201" s="60">
        <f t="shared" si="21"/>
        <v>6.7681505676086915E-3</v>
      </c>
      <c r="H201" s="60">
        <f t="shared" si="21"/>
        <v>1.329201878910757E-2</v>
      </c>
      <c r="I201" s="60">
        <f t="shared" si="21"/>
        <v>1.7085999181728893E-2</v>
      </c>
      <c r="J201" s="63">
        <f t="shared" si="21"/>
        <v>2.0636630332310363E-2</v>
      </c>
      <c r="K201" s="60" t="str">
        <f t="shared" si="22"/>
        <v/>
      </c>
      <c r="L201" s="60">
        <f t="shared" si="22"/>
        <v>3.0523334676086904E-3</v>
      </c>
      <c r="M201" s="60">
        <f t="shared" si="22"/>
        <v>8.607989689107573E-3</v>
      </c>
      <c r="N201" s="60">
        <f t="shared" si="22"/>
        <v>1.1553316481728894E-2</v>
      </c>
      <c r="O201" s="63">
        <f t="shared" si="22"/>
        <v>1.3846559932310366E-2</v>
      </c>
      <c r="P201" s="55" t="s">
        <v>522</v>
      </c>
      <c r="Q201" s="53" t="s">
        <v>523</v>
      </c>
      <c r="R201" s="94" t="s">
        <v>32</v>
      </c>
      <c r="S201" s="73">
        <v>1.563496E-2</v>
      </c>
      <c r="T201" s="63">
        <f t="shared" si="20"/>
        <v>-2.3429412108924297E-3</v>
      </c>
      <c r="V201" s="114">
        <v>1.1299566599999999</v>
      </c>
      <c r="W201" s="72">
        <v>2.8488568600000002</v>
      </c>
      <c r="X201" s="72">
        <v>4.3477341200000001</v>
      </c>
      <c r="Y201" s="72">
        <v>5.6161848700000006</v>
      </c>
      <c r="Z201" s="115">
        <v>7.1593126099999997</v>
      </c>
      <c r="AB201" s="71" t="s">
        <v>21</v>
      </c>
      <c r="AC201" s="71">
        <v>6.7681505676086915E-3</v>
      </c>
      <c r="AD201" s="71">
        <v>1.329201878910757E-2</v>
      </c>
      <c r="AE201" s="71">
        <v>1.7085999181728893E-2</v>
      </c>
      <c r="AF201" s="63">
        <v>2.0636630332310363E-2</v>
      </c>
      <c r="AG201" s="71" t="s">
        <v>21</v>
      </c>
      <c r="AH201" s="71">
        <v>3.0523334676086904E-3</v>
      </c>
      <c r="AI201" s="71">
        <v>8.607989689107573E-3</v>
      </c>
      <c r="AJ201" s="71">
        <v>1.1553316481728894E-2</v>
      </c>
      <c r="AK201" s="71">
        <v>1.3846559932310366E-2</v>
      </c>
    </row>
    <row r="202" spans="2:37" x14ac:dyDescent="0.35">
      <c r="B202" s="55" t="s">
        <v>340</v>
      </c>
      <c r="C202" s="53" t="s">
        <v>234</v>
      </c>
      <c r="D202" s="53" t="s">
        <v>20</v>
      </c>
      <c r="E202" s="53" t="s">
        <v>123</v>
      </c>
      <c r="F202" s="73" t="str">
        <f t="shared" si="21"/>
        <v/>
      </c>
      <c r="G202" s="60">
        <f t="shared" si="21"/>
        <v>7.4919362001875127E-3</v>
      </c>
      <c r="H202" s="60">
        <f t="shared" si="21"/>
        <v>1.3725746886283856E-2</v>
      </c>
      <c r="I202" s="60">
        <f t="shared" si="21"/>
        <v>1.6786055794414178E-2</v>
      </c>
      <c r="J202" s="63">
        <f t="shared" si="21"/>
        <v>1.9945623672115206E-2</v>
      </c>
      <c r="K202" s="60" t="str">
        <f t="shared" si="22"/>
        <v/>
      </c>
      <c r="L202" s="60">
        <f t="shared" si="22"/>
        <v>3.8230830001875103E-3</v>
      </c>
      <c r="M202" s="60">
        <f t="shared" si="22"/>
        <v>9.0589048862838636E-3</v>
      </c>
      <c r="N202" s="60">
        <f t="shared" si="22"/>
        <v>1.1246755194414178E-2</v>
      </c>
      <c r="O202" s="63">
        <f t="shared" si="22"/>
        <v>1.3136414972115207E-2</v>
      </c>
      <c r="P202" s="55" t="s">
        <v>21</v>
      </c>
      <c r="Q202" s="53" t="s">
        <v>21</v>
      </c>
      <c r="R202" s="94" t="s">
        <v>21</v>
      </c>
      <c r="S202" s="73">
        <v>0</v>
      </c>
      <c r="T202" s="63">
        <f t="shared" si="20"/>
        <v>1.3725746886283856E-2</v>
      </c>
      <c r="V202" s="114">
        <v>1.12873449</v>
      </c>
      <c r="W202" s="72">
        <v>2.8430096700000003</v>
      </c>
      <c r="X202" s="72">
        <v>4.3363072699999998</v>
      </c>
      <c r="Y202" s="72">
        <v>5.6049988100000006</v>
      </c>
      <c r="Z202" s="115">
        <v>7.1624788199999996</v>
      </c>
      <c r="AB202" s="71" t="s">
        <v>21</v>
      </c>
      <c r="AC202" s="71">
        <v>7.4919362001875127E-3</v>
      </c>
      <c r="AD202" s="71">
        <v>1.3725746886283856E-2</v>
      </c>
      <c r="AE202" s="71">
        <v>1.6786055794414178E-2</v>
      </c>
      <c r="AF202" s="63">
        <v>1.9945623672115206E-2</v>
      </c>
      <c r="AG202" s="71" t="s">
        <v>21</v>
      </c>
      <c r="AH202" s="71">
        <v>3.8230830001875103E-3</v>
      </c>
      <c r="AI202" s="71">
        <v>9.0589048862838636E-3</v>
      </c>
      <c r="AJ202" s="71">
        <v>1.1246755194414178E-2</v>
      </c>
      <c r="AK202" s="71">
        <v>1.3136414972115207E-2</v>
      </c>
    </row>
    <row r="203" spans="2:37" x14ac:dyDescent="0.35">
      <c r="B203" s="55" t="s">
        <v>240</v>
      </c>
      <c r="C203" s="53" t="s">
        <v>234</v>
      </c>
      <c r="D203" s="53" t="s">
        <v>20</v>
      </c>
      <c r="E203" s="53" t="s">
        <v>245</v>
      </c>
      <c r="F203" s="73" t="str">
        <f t="shared" si="21"/>
        <v/>
      </c>
      <c r="G203" s="60">
        <f t="shared" si="21"/>
        <v>7.5067194366689686E-3</v>
      </c>
      <c r="H203" s="60">
        <f t="shared" si="21"/>
        <v>1.3706237692314216E-2</v>
      </c>
      <c r="I203" s="60">
        <f t="shared" si="21"/>
        <v>1.7704436968419068E-2</v>
      </c>
      <c r="J203" s="63">
        <f t="shared" si="21"/>
        <v>2.1249222273674477E-2</v>
      </c>
      <c r="K203" s="60" t="str">
        <f t="shared" si="22"/>
        <v/>
      </c>
      <c r="L203" s="60">
        <f t="shared" si="22"/>
        <v>3.8392777366689644E-3</v>
      </c>
      <c r="M203" s="60">
        <f t="shared" si="22"/>
        <v>9.039077492314215E-3</v>
      </c>
      <c r="N203" s="60">
        <f t="shared" si="22"/>
        <v>1.2187475268419068E-2</v>
      </c>
      <c r="O203" s="63">
        <f t="shared" si="22"/>
        <v>1.4475473873674476E-2</v>
      </c>
      <c r="P203" s="55" t="s">
        <v>524</v>
      </c>
      <c r="Q203" s="53" t="s">
        <v>525</v>
      </c>
      <c r="R203" s="94">
        <v>47515</v>
      </c>
      <c r="S203" s="73">
        <v>1.186486E-2</v>
      </c>
      <c r="T203" s="63">
        <f t="shared" si="20"/>
        <v>1.8413776923142163E-3</v>
      </c>
      <c r="V203" s="114">
        <v>1.12943843</v>
      </c>
      <c r="W203" s="72">
        <v>2.8429049700000002</v>
      </c>
      <c r="X203" s="72">
        <v>4.3360653899999999</v>
      </c>
      <c r="Y203" s="72">
        <v>5.5944103100000007</v>
      </c>
      <c r="Z203" s="115">
        <v>7.1179833499999994</v>
      </c>
      <c r="AB203" s="71" t="s">
        <v>21</v>
      </c>
      <c r="AC203" s="71">
        <v>7.5067194366689686E-3</v>
      </c>
      <c r="AD203" s="71">
        <v>1.3706237692314216E-2</v>
      </c>
      <c r="AE203" s="71">
        <v>1.7704436968419068E-2</v>
      </c>
      <c r="AF203" s="63">
        <v>2.1249222273674477E-2</v>
      </c>
      <c r="AG203" s="71" t="s">
        <v>21</v>
      </c>
      <c r="AH203" s="71">
        <v>3.8392777366689644E-3</v>
      </c>
      <c r="AI203" s="71">
        <v>9.039077492314215E-3</v>
      </c>
      <c r="AJ203" s="71">
        <v>1.2187475268419068E-2</v>
      </c>
      <c r="AK203" s="71">
        <v>1.4475473873674476E-2</v>
      </c>
    </row>
    <row r="204" spans="2:37" x14ac:dyDescent="0.35">
      <c r="B204" s="55" t="s">
        <v>147</v>
      </c>
      <c r="C204" s="53" t="s">
        <v>234</v>
      </c>
      <c r="D204" s="53" t="s">
        <v>69</v>
      </c>
      <c r="E204" s="53" t="s">
        <v>21</v>
      </c>
      <c r="F204" s="73" t="str">
        <f t="shared" si="21"/>
        <v/>
      </c>
      <c r="G204" s="60">
        <f t="shared" si="21"/>
        <v>6.7192450303801728E-3</v>
      </c>
      <c r="H204" s="60">
        <f t="shared" si="21"/>
        <v>1.3194921590024731E-2</v>
      </c>
      <c r="I204" s="60">
        <f t="shared" si="21"/>
        <v>1.679431257288512E-2</v>
      </c>
      <c r="J204" s="63">
        <f t="shared" si="21"/>
        <v>2.0653240416143172E-2</v>
      </c>
      <c r="K204" s="60" t="str">
        <f t="shared" si="22"/>
        <v/>
      </c>
      <c r="L204" s="60">
        <f t="shared" si="22"/>
        <v>2.9994347303801752E-3</v>
      </c>
      <c r="M204" s="60">
        <f t="shared" si="22"/>
        <v>8.5063180900247313E-3</v>
      </c>
      <c r="N204" s="60">
        <f t="shared" si="22"/>
        <v>1.1252809872885116E-2</v>
      </c>
      <c r="O204" s="63">
        <f t="shared" si="22"/>
        <v>1.3860773816143174E-2</v>
      </c>
      <c r="P204" s="55" t="s">
        <v>526</v>
      </c>
      <c r="Q204" s="53" t="s">
        <v>527</v>
      </c>
      <c r="R204" s="94" t="s">
        <v>32</v>
      </c>
      <c r="S204" s="73">
        <v>1.0172170000000001E-2</v>
      </c>
      <c r="T204" s="63">
        <f t="shared" si="20"/>
        <v>3.0227515900247293E-3</v>
      </c>
      <c r="V204" s="114">
        <v>1.1300394599999999</v>
      </c>
      <c r="W204" s="72">
        <v>2.8493286900000001</v>
      </c>
      <c r="X204" s="72">
        <v>4.3493020700000002</v>
      </c>
      <c r="Y204" s="72">
        <v>5.6217252799999997</v>
      </c>
      <c r="Z204" s="115">
        <v>7.1667849699999993</v>
      </c>
      <c r="AB204" s="71" t="s">
        <v>21</v>
      </c>
      <c r="AC204" s="71">
        <v>6.7192450303801728E-3</v>
      </c>
      <c r="AD204" s="71">
        <v>1.3194921590024731E-2</v>
      </c>
      <c r="AE204" s="71">
        <v>1.679431257288512E-2</v>
      </c>
      <c r="AF204" s="63">
        <v>2.0653240416143172E-2</v>
      </c>
      <c r="AG204" s="71" t="s">
        <v>21</v>
      </c>
      <c r="AH204" s="71">
        <v>2.9994347303801752E-3</v>
      </c>
      <c r="AI204" s="71">
        <v>8.5063180900247313E-3</v>
      </c>
      <c r="AJ204" s="71">
        <v>1.1252809872885116E-2</v>
      </c>
      <c r="AK204" s="71">
        <v>1.3860773816143174E-2</v>
      </c>
    </row>
    <row r="205" spans="2:37" x14ac:dyDescent="0.35">
      <c r="B205" s="55" t="s">
        <v>178</v>
      </c>
      <c r="C205" s="53" t="s">
        <v>234</v>
      </c>
      <c r="D205" s="53" t="s">
        <v>47</v>
      </c>
      <c r="E205" s="53" t="s">
        <v>128</v>
      </c>
      <c r="F205" s="73" t="str">
        <f t="shared" si="21"/>
        <v/>
      </c>
      <c r="G205" s="60">
        <f t="shared" si="21"/>
        <v>6.5312883199521287E-3</v>
      </c>
      <c r="H205" s="60">
        <f t="shared" si="21"/>
        <v>1.3158289437605634E-2</v>
      </c>
      <c r="I205" s="60">
        <f t="shared" si="21"/>
        <v>1.7043638463577673E-2</v>
      </c>
      <c r="J205" s="63">
        <f t="shared" si="21"/>
        <v>2.1353292172390369E-2</v>
      </c>
      <c r="K205" s="60" t="str">
        <f t="shared" si="22"/>
        <v/>
      </c>
      <c r="L205" s="60">
        <f t="shared" si="22"/>
        <v>2.7968492199521282E-3</v>
      </c>
      <c r="M205" s="60">
        <f t="shared" si="22"/>
        <v>8.4670382376056345E-3</v>
      </c>
      <c r="N205" s="60">
        <f t="shared" si="22"/>
        <v>1.1507823363577675E-2</v>
      </c>
      <c r="O205" s="63">
        <f t="shared" si="22"/>
        <v>1.457472257239037E-2</v>
      </c>
      <c r="P205" s="55" t="s">
        <v>21</v>
      </c>
      <c r="Q205" s="53" t="s">
        <v>21</v>
      </c>
      <c r="R205" s="94" t="s">
        <v>21</v>
      </c>
      <c r="S205" s="73">
        <v>0</v>
      </c>
      <c r="T205" s="63">
        <f t="shared" si="20"/>
        <v>1.3158289437605634E-2</v>
      </c>
      <c r="V205" s="114">
        <v>1.12981417</v>
      </c>
      <c r="W205" s="72">
        <v>2.8503624400000001</v>
      </c>
      <c r="X205" s="72">
        <v>4.35131961</v>
      </c>
      <c r="Y205" s="72">
        <v>5.6211871699999998</v>
      </c>
      <c r="Z205" s="115">
        <v>7.1519698199999997</v>
      </c>
      <c r="AB205" s="71" t="s">
        <v>21</v>
      </c>
      <c r="AC205" s="71">
        <v>6.5312883199521287E-3</v>
      </c>
      <c r="AD205" s="71">
        <v>1.3158289437605634E-2</v>
      </c>
      <c r="AE205" s="71">
        <v>1.7043638463577673E-2</v>
      </c>
      <c r="AF205" s="63">
        <v>2.1353292172390369E-2</v>
      </c>
      <c r="AG205" s="71" t="s">
        <v>21</v>
      </c>
      <c r="AH205" s="71">
        <v>2.7968492199521282E-3</v>
      </c>
      <c r="AI205" s="71">
        <v>8.4670382376056345E-3</v>
      </c>
      <c r="AJ205" s="71">
        <v>1.1507823363577675E-2</v>
      </c>
      <c r="AK205" s="71">
        <v>1.457472257239037E-2</v>
      </c>
    </row>
    <row r="206" spans="2:37" x14ac:dyDescent="0.35">
      <c r="B206" s="55" t="s">
        <v>327</v>
      </c>
      <c r="C206" s="53" t="s">
        <v>234</v>
      </c>
      <c r="D206" s="53" t="s">
        <v>169</v>
      </c>
      <c r="E206" s="53" t="s">
        <v>81</v>
      </c>
      <c r="F206" s="73" t="str">
        <f t="shared" si="21"/>
        <v/>
      </c>
      <c r="G206" s="60">
        <f t="shared" si="21"/>
        <v>6.8255611830029955E-3</v>
      </c>
      <c r="H206" s="60">
        <f t="shared" si="21"/>
        <v>1.3468551197305693E-2</v>
      </c>
      <c r="I206" s="60">
        <f t="shared" si="21"/>
        <v>1.8100258866372336E-2</v>
      </c>
      <c r="J206" s="63">
        <f t="shared" si="21"/>
        <v>2.1490331209644328E-2</v>
      </c>
      <c r="K206" s="60" t="str">
        <f t="shared" si="22"/>
        <v/>
      </c>
      <c r="L206" s="60">
        <f t="shared" si="22"/>
        <v>3.1134093830029979E-3</v>
      </c>
      <c r="M206" s="60">
        <f t="shared" si="22"/>
        <v>8.7914421973056996E-3</v>
      </c>
      <c r="N206" s="60">
        <f t="shared" si="22"/>
        <v>1.2591672766372334E-2</v>
      </c>
      <c r="O206" s="63">
        <f t="shared" si="22"/>
        <v>1.4725270509644325E-2</v>
      </c>
      <c r="P206" s="55" t="s">
        <v>378</v>
      </c>
      <c r="Q206" s="53" t="s">
        <v>379</v>
      </c>
      <c r="R206" s="94">
        <v>47588</v>
      </c>
      <c r="S206" s="73">
        <v>9.5381700000000003E-3</v>
      </c>
      <c r="T206" s="63">
        <f t="shared" si="20"/>
        <v>3.9303811973056928E-3</v>
      </c>
      <c r="V206" s="114">
        <v>1.1298907499999999</v>
      </c>
      <c r="W206" s="72">
        <v>2.84874728</v>
      </c>
      <c r="X206" s="72">
        <v>4.3457596499999998</v>
      </c>
      <c r="Y206" s="72">
        <v>5.5994910000000004</v>
      </c>
      <c r="Z206" s="115">
        <v>7.1165260499999992</v>
      </c>
      <c r="AB206" s="71" t="s">
        <v>21</v>
      </c>
      <c r="AC206" s="71">
        <v>6.8255611830029955E-3</v>
      </c>
      <c r="AD206" s="71">
        <v>1.3468551197305693E-2</v>
      </c>
      <c r="AE206" s="71">
        <v>1.8100258866372336E-2</v>
      </c>
      <c r="AF206" s="63">
        <v>2.1490331209644328E-2</v>
      </c>
      <c r="AG206" s="71" t="s">
        <v>21</v>
      </c>
      <c r="AH206" s="71">
        <v>3.1134093830029979E-3</v>
      </c>
      <c r="AI206" s="71">
        <v>8.7914421973056996E-3</v>
      </c>
      <c r="AJ206" s="71">
        <v>1.2591672766372334E-2</v>
      </c>
      <c r="AK206" s="71">
        <v>1.4725270509644325E-2</v>
      </c>
    </row>
    <row r="207" spans="2:37" x14ac:dyDescent="0.35">
      <c r="B207" s="55" t="s">
        <v>338</v>
      </c>
      <c r="C207" s="53" t="s">
        <v>234</v>
      </c>
      <c r="D207" s="53" t="s">
        <v>69</v>
      </c>
      <c r="E207" s="53" t="s">
        <v>21</v>
      </c>
      <c r="F207" s="73" t="str">
        <f t="shared" si="21"/>
        <v/>
      </c>
      <c r="G207" s="60">
        <f t="shared" si="21"/>
        <v>6.9081772899420761E-3</v>
      </c>
      <c r="H207" s="60">
        <f t="shared" si="21"/>
        <v>1.2778185377521237E-2</v>
      </c>
      <c r="I207" s="60">
        <f t="shared" si="21"/>
        <v>1.6005889882201807E-2</v>
      </c>
      <c r="J207" s="63">
        <f t="shared" si="21"/>
        <v>2.0093916052085495E-2</v>
      </c>
      <c r="K207" s="60" t="str">
        <f t="shared" si="22"/>
        <v/>
      </c>
      <c r="L207" s="60">
        <f t="shared" si="22"/>
        <v>3.2020027899420768E-3</v>
      </c>
      <c r="M207" s="60">
        <f t="shared" si="22"/>
        <v>8.070794277521243E-3</v>
      </c>
      <c r="N207" s="60">
        <f t="shared" si="22"/>
        <v>1.0436440182201807E-2</v>
      </c>
      <c r="O207" s="63">
        <f t="shared" si="22"/>
        <v>1.3280893152085495E-2</v>
      </c>
      <c r="P207" s="55" t="s">
        <v>21</v>
      </c>
      <c r="Q207" s="53" t="s">
        <v>21</v>
      </c>
      <c r="R207" s="94" t="s">
        <v>21</v>
      </c>
      <c r="S207" s="73">
        <v>0</v>
      </c>
      <c r="T207" s="63">
        <f t="shared" si="20"/>
        <v>1.2778185377521237E-2</v>
      </c>
      <c r="V207" s="114">
        <v>1.12979787</v>
      </c>
      <c r="W207" s="72">
        <v>2.8476853000000002</v>
      </c>
      <c r="X207" s="72">
        <v>4.3512229900000001</v>
      </c>
      <c r="Y207" s="72">
        <v>5.6349685699999998</v>
      </c>
      <c r="Z207" s="115">
        <v>7.1971239199999992</v>
      </c>
      <c r="AB207" s="71" t="s">
        <v>21</v>
      </c>
      <c r="AC207" s="71">
        <v>6.9081772899420761E-3</v>
      </c>
      <c r="AD207" s="71">
        <v>1.2778185377521237E-2</v>
      </c>
      <c r="AE207" s="71">
        <v>1.6005889882201807E-2</v>
      </c>
      <c r="AF207" s="63">
        <v>2.0093916052085495E-2</v>
      </c>
      <c r="AG207" s="71" t="s">
        <v>21</v>
      </c>
      <c r="AH207" s="71">
        <v>3.2020027899420768E-3</v>
      </c>
      <c r="AI207" s="71">
        <v>8.070794277521243E-3</v>
      </c>
      <c r="AJ207" s="71">
        <v>1.0436440182201807E-2</v>
      </c>
      <c r="AK207" s="71">
        <v>1.3280893152085495E-2</v>
      </c>
    </row>
    <row r="208" spans="2:37" x14ac:dyDescent="0.35">
      <c r="B208" s="55" t="s">
        <v>354</v>
      </c>
      <c r="C208" s="53" t="s">
        <v>234</v>
      </c>
      <c r="D208" s="53" t="s">
        <v>20</v>
      </c>
      <c r="E208" s="53" t="s">
        <v>128</v>
      </c>
      <c r="F208" s="73" t="str">
        <f t="shared" si="21"/>
        <v/>
      </c>
      <c r="G208" s="60">
        <f t="shared" si="21"/>
        <v>7.4247781267864892E-3</v>
      </c>
      <c r="H208" s="60">
        <f t="shared" si="21"/>
        <v>1.3063346118089165E-2</v>
      </c>
      <c r="I208" s="60">
        <f t="shared" si="21"/>
        <v>1.6140782687103873E-2</v>
      </c>
      <c r="J208" s="63">
        <f t="shared" si="21"/>
        <v>1.9224586421906005E-2</v>
      </c>
      <c r="K208" s="60" t="str">
        <f t="shared" si="22"/>
        <v/>
      </c>
      <c r="L208" s="60">
        <f t="shared" si="22"/>
        <v>3.7514320267864865E-3</v>
      </c>
      <c r="M208" s="60">
        <f t="shared" si="22"/>
        <v>8.3687876180891692E-3</v>
      </c>
      <c r="N208" s="60">
        <f t="shared" si="22"/>
        <v>1.0576846087103874E-2</v>
      </c>
      <c r="O208" s="63">
        <f t="shared" si="22"/>
        <v>1.2386851421906004E-2</v>
      </c>
      <c r="P208" s="55" t="s">
        <v>388</v>
      </c>
      <c r="Q208" s="53" t="s">
        <v>389</v>
      </c>
      <c r="R208" s="94" t="s">
        <v>32</v>
      </c>
      <c r="S208" s="73">
        <v>9.7546899999999999E-3</v>
      </c>
      <c r="T208" s="63">
        <f t="shared" si="20"/>
        <v>3.3086561180891653E-3</v>
      </c>
      <c r="V208" s="114">
        <v>1.1285123799999999</v>
      </c>
      <c r="W208" s="72">
        <v>2.8430835700000001</v>
      </c>
      <c r="X208" s="72">
        <v>4.34283997</v>
      </c>
      <c r="Y208" s="72">
        <v>5.6226450799999999</v>
      </c>
      <c r="Z208" s="115">
        <v>7.2015362500000002</v>
      </c>
      <c r="AB208" s="71" t="s">
        <v>21</v>
      </c>
      <c r="AC208" s="71">
        <v>7.4247781267864892E-3</v>
      </c>
      <c r="AD208" s="71">
        <v>1.3063346118089165E-2</v>
      </c>
      <c r="AE208" s="71">
        <v>1.6140782687103873E-2</v>
      </c>
      <c r="AF208" s="63">
        <v>1.9224586421906005E-2</v>
      </c>
      <c r="AG208" s="71" t="s">
        <v>21</v>
      </c>
      <c r="AH208" s="71">
        <v>3.7514320267864865E-3</v>
      </c>
      <c r="AI208" s="71">
        <v>8.3687876180891692E-3</v>
      </c>
      <c r="AJ208" s="71">
        <v>1.0576846087103874E-2</v>
      </c>
      <c r="AK208" s="71">
        <v>1.2386851421906004E-2</v>
      </c>
    </row>
    <row r="209" spans="2:37" x14ac:dyDescent="0.35">
      <c r="B209" s="55" t="s">
        <v>349</v>
      </c>
      <c r="C209" s="53" t="s">
        <v>234</v>
      </c>
      <c r="D209" s="53" t="s">
        <v>20</v>
      </c>
      <c r="E209" s="53" t="s">
        <v>528</v>
      </c>
      <c r="F209" s="73" t="str">
        <f t="shared" si="21"/>
        <v/>
      </c>
      <c r="G209" s="60">
        <f t="shared" si="21"/>
        <v>6.5856628269559568E-3</v>
      </c>
      <c r="H209" s="60">
        <f t="shared" si="21"/>
        <v>1.2735822285353313E-2</v>
      </c>
      <c r="I209" s="60">
        <f t="shared" si="21"/>
        <v>1.6314290439790883E-2</v>
      </c>
      <c r="J209" s="63">
        <f t="shared" si="21"/>
        <v>1.9299320611937426E-2</v>
      </c>
      <c r="K209" s="60" t="str">
        <f t="shared" si="22"/>
        <v/>
      </c>
      <c r="L209" s="60">
        <f t="shared" si="22"/>
        <v>2.8554906269559581E-3</v>
      </c>
      <c r="M209" s="60">
        <f t="shared" si="22"/>
        <v>8.0250883853533114E-3</v>
      </c>
      <c r="N209" s="60">
        <f t="shared" si="22"/>
        <v>1.0754375339790883E-2</v>
      </c>
      <c r="O209" s="63">
        <f t="shared" si="22"/>
        <v>1.2469270411937424E-2</v>
      </c>
      <c r="P209" s="55" t="s">
        <v>384</v>
      </c>
      <c r="Q209" s="53" t="s">
        <v>385</v>
      </c>
      <c r="R209" s="94">
        <v>47529</v>
      </c>
      <c r="S209" s="73">
        <v>1.0438179999999998E-2</v>
      </c>
      <c r="T209" s="63">
        <f t="shared" si="20"/>
        <v>2.2976422853533147E-3</v>
      </c>
      <c r="V209" s="114">
        <v>1.1296047999999999</v>
      </c>
      <c r="W209" s="72">
        <v>2.8498512499999999</v>
      </c>
      <c r="X209" s="72">
        <v>4.3552602299999998</v>
      </c>
      <c r="Y209" s="72">
        <v>5.63620448</v>
      </c>
      <c r="Z209" s="115">
        <v>7.2089921599999993</v>
      </c>
      <c r="AB209" s="71" t="s">
        <v>21</v>
      </c>
      <c r="AC209" s="71">
        <v>6.5856628269559568E-3</v>
      </c>
      <c r="AD209" s="71">
        <v>1.2735822285353313E-2</v>
      </c>
      <c r="AE209" s="71">
        <v>1.6314290439790883E-2</v>
      </c>
      <c r="AF209" s="63">
        <v>1.9299320611937426E-2</v>
      </c>
      <c r="AG209" s="71" t="s">
        <v>21</v>
      </c>
      <c r="AH209" s="71">
        <v>2.8554906269559581E-3</v>
      </c>
      <c r="AI209" s="71">
        <v>8.0250883853533114E-3</v>
      </c>
      <c r="AJ209" s="71">
        <v>1.0754375339790883E-2</v>
      </c>
      <c r="AK209" s="71">
        <v>1.2469270411937424E-2</v>
      </c>
    </row>
    <row r="210" spans="2:37" x14ac:dyDescent="0.35">
      <c r="B210" s="55" t="s">
        <v>253</v>
      </c>
      <c r="C210" s="53" t="s">
        <v>234</v>
      </c>
      <c r="D210" s="53" t="s">
        <v>53</v>
      </c>
      <c r="E210" s="53" t="s">
        <v>125</v>
      </c>
      <c r="F210" s="73" t="str">
        <f t="shared" si="21"/>
        <v/>
      </c>
      <c r="G210" s="60">
        <f t="shared" si="21"/>
        <v>6.3558314425652945E-3</v>
      </c>
      <c r="H210" s="60">
        <f t="shared" si="21"/>
        <v>1.2244562456110398E-2</v>
      </c>
      <c r="I210" s="60">
        <f t="shared" si="21"/>
        <v>1.5544127847843597E-2</v>
      </c>
      <c r="J210" s="63">
        <f t="shared" si="21"/>
        <v>1.9083288809123793E-2</v>
      </c>
      <c r="K210" s="60" t="str">
        <f t="shared" si="22"/>
        <v/>
      </c>
      <c r="L210" s="60">
        <f t="shared" si="22"/>
        <v>2.607078442565294E-3</v>
      </c>
      <c r="M210" s="60">
        <f t="shared" si="22"/>
        <v>7.5085657561104E-3</v>
      </c>
      <c r="N210" s="60">
        <f t="shared" si="22"/>
        <v>9.9545522478435965E-3</v>
      </c>
      <c r="O210" s="63">
        <f t="shared" si="22"/>
        <v>1.2238736409123796E-2</v>
      </c>
      <c r="P210" s="55" t="s">
        <v>529</v>
      </c>
      <c r="Q210" s="53" t="s">
        <v>530</v>
      </c>
      <c r="R210" s="94" t="s">
        <v>32</v>
      </c>
      <c r="S210" s="73">
        <v>1.220948E-2</v>
      </c>
      <c r="T210" s="63">
        <f t="shared" si="20"/>
        <v>3.508245611039823E-5</v>
      </c>
      <c r="V210" s="114">
        <v>1.13036044</v>
      </c>
      <c r="W210" s="72">
        <v>2.8526416000000001</v>
      </c>
      <c r="X210" s="72">
        <v>4.3628444000000002</v>
      </c>
      <c r="Y210" s="72">
        <v>5.6540276199999999</v>
      </c>
      <c r="Z210" s="115">
        <v>7.2392273100000004</v>
      </c>
      <c r="AB210" s="71" t="s">
        <v>21</v>
      </c>
      <c r="AC210" s="71">
        <v>6.3558314425652945E-3</v>
      </c>
      <c r="AD210" s="71">
        <v>1.2244562456110398E-2</v>
      </c>
      <c r="AE210" s="71">
        <v>1.5544127847843597E-2</v>
      </c>
      <c r="AF210" s="63">
        <v>1.9083288809123793E-2</v>
      </c>
      <c r="AG210" s="71" t="s">
        <v>21</v>
      </c>
      <c r="AH210" s="71">
        <v>2.607078442565294E-3</v>
      </c>
      <c r="AI210" s="71">
        <v>7.5085657561104E-3</v>
      </c>
      <c r="AJ210" s="71">
        <v>9.9545522478435965E-3</v>
      </c>
      <c r="AK210" s="71">
        <v>1.2238736409123796E-2</v>
      </c>
    </row>
    <row r="211" spans="2:37" x14ac:dyDescent="0.35">
      <c r="B211" s="55" t="s">
        <v>144</v>
      </c>
      <c r="C211" s="53" t="s">
        <v>234</v>
      </c>
      <c r="D211" s="53" t="s">
        <v>20</v>
      </c>
      <c r="E211" s="53" t="s">
        <v>57</v>
      </c>
      <c r="F211" s="73" t="str">
        <f t="shared" si="21"/>
        <v/>
      </c>
      <c r="G211" s="60">
        <f t="shared" si="21"/>
        <v>6.6023423795374256E-3</v>
      </c>
      <c r="H211" s="60">
        <f t="shared" si="21"/>
        <v>1.2612395609172381E-2</v>
      </c>
      <c r="I211" s="60">
        <f t="shared" si="21"/>
        <v>1.5851846751244358E-2</v>
      </c>
      <c r="J211" s="63">
        <f t="shared" si="21"/>
        <v>1.9365656474078532E-2</v>
      </c>
      <c r="K211" s="60" t="str">
        <f t="shared" si="22"/>
        <v/>
      </c>
      <c r="L211" s="60">
        <f t="shared" si="22"/>
        <v>2.8741281795374276E-3</v>
      </c>
      <c r="M211" s="60">
        <f t="shared" si="22"/>
        <v>7.8957935091723865E-3</v>
      </c>
      <c r="N211" s="60">
        <f t="shared" si="22"/>
        <v>1.0276157051244357E-2</v>
      </c>
      <c r="O211" s="63">
        <f t="shared" si="22"/>
        <v>1.2533176574078533E-2</v>
      </c>
      <c r="P211" s="55" t="s">
        <v>531</v>
      </c>
      <c r="Q211" s="53" t="s">
        <v>532</v>
      </c>
      <c r="R211" s="94">
        <v>47498</v>
      </c>
      <c r="S211" s="73">
        <v>1.070778E-2</v>
      </c>
      <c r="T211" s="63">
        <f t="shared" si="20"/>
        <v>1.9046156091723811E-3</v>
      </c>
      <c r="V211" s="114">
        <v>1.1292307399999999</v>
      </c>
      <c r="W211" s="72">
        <v>2.8489280200000002</v>
      </c>
      <c r="X211" s="72">
        <v>4.3553245800000004</v>
      </c>
      <c r="Y211" s="72">
        <v>5.6398464800000001</v>
      </c>
      <c r="Z211" s="115">
        <v>7.2151407700000005</v>
      </c>
      <c r="AB211" s="71" t="s">
        <v>21</v>
      </c>
      <c r="AC211" s="71">
        <v>6.6023423795374256E-3</v>
      </c>
      <c r="AD211" s="71">
        <v>1.2612395609172381E-2</v>
      </c>
      <c r="AE211" s="71">
        <v>1.5851846751244358E-2</v>
      </c>
      <c r="AF211" s="63">
        <v>1.9365656474078532E-2</v>
      </c>
      <c r="AG211" s="71" t="s">
        <v>21</v>
      </c>
      <c r="AH211" s="71">
        <v>2.8741281795374276E-3</v>
      </c>
      <c r="AI211" s="71">
        <v>7.8957935091723865E-3</v>
      </c>
      <c r="AJ211" s="71">
        <v>1.0276157051244357E-2</v>
      </c>
      <c r="AK211" s="71">
        <v>1.2533176574078533E-2</v>
      </c>
    </row>
    <row r="212" spans="2:37" x14ac:dyDescent="0.35">
      <c r="B212" s="55" t="s">
        <v>344</v>
      </c>
      <c r="C212" s="53" t="s">
        <v>234</v>
      </c>
      <c r="D212" s="53" t="s">
        <v>31</v>
      </c>
      <c r="E212" s="53" t="s">
        <v>21</v>
      </c>
      <c r="F212" s="73" t="str">
        <f t="shared" si="21"/>
        <v/>
      </c>
      <c r="G212" s="60">
        <f t="shared" si="21"/>
        <v>6.1235730918662483E-3</v>
      </c>
      <c r="H212" s="60">
        <f t="shared" si="21"/>
        <v>1.1981980887125571E-2</v>
      </c>
      <c r="I212" s="60">
        <f t="shared" si="21"/>
        <v>1.5197996172119921E-2</v>
      </c>
      <c r="J212" s="63">
        <f t="shared" si="21"/>
        <v>1.8545956842952259E-2</v>
      </c>
      <c r="K212" s="60" t="str">
        <f t="shared" si="22"/>
        <v/>
      </c>
      <c r="L212" s="60">
        <f t="shared" si="22"/>
        <v>2.356440891866248E-3</v>
      </c>
      <c r="M212" s="60">
        <f t="shared" si="22"/>
        <v>7.2308185871255704E-3</v>
      </c>
      <c r="N212" s="60">
        <f t="shared" si="22"/>
        <v>9.5922260721199182E-3</v>
      </c>
      <c r="O212" s="63">
        <f t="shared" si="22"/>
        <v>1.1679498842952262E-2</v>
      </c>
      <c r="P212" s="55" t="s">
        <v>21</v>
      </c>
      <c r="Q212" s="53" t="s">
        <v>21</v>
      </c>
      <c r="R212" s="94" t="s">
        <v>21</v>
      </c>
      <c r="S212" s="73">
        <v>0</v>
      </c>
      <c r="T212" s="63">
        <f t="shared" si="20"/>
        <v>1.1981980887125571E-2</v>
      </c>
      <c r="V212" s="114">
        <v>1.12949514</v>
      </c>
      <c r="W212" s="72">
        <v>2.8520848399999998</v>
      </c>
      <c r="X212" s="72">
        <v>4.3654110500000005</v>
      </c>
      <c r="Y212" s="72">
        <v>5.6617559999999996</v>
      </c>
      <c r="Z212" s="115">
        <v>7.2601670199999999</v>
      </c>
      <c r="AB212" s="71" t="s">
        <v>21</v>
      </c>
      <c r="AC212" s="71">
        <v>6.1235730918662483E-3</v>
      </c>
      <c r="AD212" s="71">
        <v>1.1981980887125571E-2</v>
      </c>
      <c r="AE212" s="71">
        <v>1.5197996172119921E-2</v>
      </c>
      <c r="AF212" s="63">
        <v>1.8545956842952259E-2</v>
      </c>
      <c r="AG212" s="71" t="s">
        <v>21</v>
      </c>
      <c r="AH212" s="71">
        <v>2.356440891866248E-3</v>
      </c>
      <c r="AI212" s="71">
        <v>7.2308185871255704E-3</v>
      </c>
      <c r="AJ212" s="71">
        <v>9.5922260721199182E-3</v>
      </c>
      <c r="AK212" s="71">
        <v>1.1679498842952262E-2</v>
      </c>
    </row>
    <row r="213" spans="2:37" x14ac:dyDescent="0.35">
      <c r="B213" s="55" t="s">
        <v>345</v>
      </c>
      <c r="C213" s="53" t="s">
        <v>234</v>
      </c>
      <c r="D213" s="53" t="s">
        <v>97</v>
      </c>
      <c r="E213" s="53" t="s">
        <v>21</v>
      </c>
      <c r="F213" s="73" t="str">
        <f t="shared" si="21"/>
        <v/>
      </c>
      <c r="G213" s="60">
        <f t="shared" si="21"/>
        <v>6.3839039857561466E-3</v>
      </c>
      <c r="H213" s="60">
        <f t="shared" si="21"/>
        <v>1.1938295694782814E-2</v>
      </c>
      <c r="I213" s="60">
        <f t="shared" si="21"/>
        <v>1.5256078655962711E-2</v>
      </c>
      <c r="J213" s="63">
        <f t="shared" si="21"/>
        <v>1.8498392725395548E-2</v>
      </c>
      <c r="K213" s="60" t="str">
        <f t="shared" si="22"/>
        <v/>
      </c>
      <c r="L213" s="60">
        <f t="shared" si="22"/>
        <v>2.6375415857561443E-3</v>
      </c>
      <c r="M213" s="60">
        <f t="shared" si="22"/>
        <v>7.1852038947828167E-3</v>
      </c>
      <c r="N213" s="60">
        <f t="shared" si="22"/>
        <v>9.6528269559627133E-3</v>
      </c>
      <c r="O213" s="63">
        <f t="shared" si="22"/>
        <v>1.1630695425395549E-2</v>
      </c>
      <c r="P213" s="55" t="s">
        <v>21</v>
      </c>
      <c r="Q213" s="53" t="s">
        <v>21</v>
      </c>
      <c r="R213" s="94" t="s">
        <v>21</v>
      </c>
      <c r="S213" s="73">
        <v>0</v>
      </c>
      <c r="T213" s="63">
        <f t="shared" si="20"/>
        <v>1.1938295694782814E-2</v>
      </c>
      <c r="V213" s="114">
        <v>1.13066898</v>
      </c>
      <c r="W213" s="72">
        <v>2.8526336900000002</v>
      </c>
      <c r="X213" s="72">
        <v>4.3657674000000002</v>
      </c>
      <c r="Y213" s="72">
        <v>5.661632</v>
      </c>
      <c r="Z213" s="115">
        <v>7.2606166099999996</v>
      </c>
      <c r="AB213" s="71" t="s">
        <v>21</v>
      </c>
      <c r="AC213" s="71">
        <v>6.3839039857561466E-3</v>
      </c>
      <c r="AD213" s="71">
        <v>1.1938295694782814E-2</v>
      </c>
      <c r="AE213" s="71">
        <v>1.5256078655962711E-2</v>
      </c>
      <c r="AF213" s="63">
        <v>1.8498392725395548E-2</v>
      </c>
      <c r="AG213" s="71" t="s">
        <v>21</v>
      </c>
      <c r="AH213" s="71">
        <v>2.6375415857561443E-3</v>
      </c>
      <c r="AI213" s="71">
        <v>7.1852038947828167E-3</v>
      </c>
      <c r="AJ213" s="71">
        <v>9.6528269559627133E-3</v>
      </c>
      <c r="AK213" s="71">
        <v>1.1630695425395549E-2</v>
      </c>
    </row>
    <row r="214" spans="2:37" x14ac:dyDescent="0.35">
      <c r="B214" s="55" t="s">
        <v>154</v>
      </c>
      <c r="C214" s="53" t="s">
        <v>234</v>
      </c>
      <c r="D214" s="53" t="s">
        <v>20</v>
      </c>
      <c r="E214" s="53" t="s">
        <v>133</v>
      </c>
      <c r="F214" s="73" t="str">
        <f t="shared" si="21"/>
        <v/>
      </c>
      <c r="G214" s="60">
        <f t="shared" si="21"/>
        <v>6.1316090089376003E-3</v>
      </c>
      <c r="H214" s="60">
        <f t="shared" si="21"/>
        <v>1.2400869487970456E-2</v>
      </c>
      <c r="I214" s="60">
        <f t="shared" si="21"/>
        <v>1.5961149800160383E-2</v>
      </c>
      <c r="J214" s="63">
        <f t="shared" si="21"/>
        <v>1.9038872861228181E-2</v>
      </c>
      <c r="K214" s="60" t="str">
        <f t="shared" si="22"/>
        <v/>
      </c>
      <c r="L214" s="60">
        <f t="shared" si="22"/>
        <v>2.3639776089376019E-3</v>
      </c>
      <c r="M214" s="60">
        <f t="shared" si="22"/>
        <v>7.6732380879704579E-3</v>
      </c>
      <c r="N214" s="60">
        <f t="shared" si="22"/>
        <v>1.0389657300160383E-2</v>
      </c>
      <c r="O214" s="63">
        <f t="shared" si="22"/>
        <v>1.2199489461228178E-2</v>
      </c>
      <c r="P214" s="55" t="s">
        <v>533</v>
      </c>
      <c r="Q214" s="53" t="s">
        <v>534</v>
      </c>
      <c r="R214" s="94">
        <v>47529</v>
      </c>
      <c r="S214" s="73">
        <v>1.0633419999999999E-2</v>
      </c>
      <c r="T214" s="63">
        <f t="shared" si="20"/>
        <v>1.7674494879704565E-3</v>
      </c>
      <c r="V214" s="114">
        <v>1.1304974699999999</v>
      </c>
      <c r="W214" s="72">
        <v>2.8547566999999998</v>
      </c>
      <c r="X214" s="72">
        <v>4.36354475</v>
      </c>
      <c r="Y214" s="72">
        <v>5.6475516299999997</v>
      </c>
      <c r="Z214" s="115">
        <v>7.2279292300000009</v>
      </c>
      <c r="AB214" s="71" t="s">
        <v>21</v>
      </c>
      <c r="AC214" s="71">
        <v>6.1316090089376003E-3</v>
      </c>
      <c r="AD214" s="71">
        <v>1.2400869487970456E-2</v>
      </c>
      <c r="AE214" s="71">
        <v>1.5961149800160383E-2</v>
      </c>
      <c r="AF214" s="63">
        <v>1.9038872861228181E-2</v>
      </c>
      <c r="AG214" s="71" t="s">
        <v>21</v>
      </c>
      <c r="AH214" s="71">
        <v>2.3639776089376019E-3</v>
      </c>
      <c r="AI214" s="71">
        <v>7.6732380879704579E-3</v>
      </c>
      <c r="AJ214" s="71">
        <v>1.0389657300160383E-2</v>
      </c>
      <c r="AK214" s="71">
        <v>1.2199489461228178E-2</v>
      </c>
    </row>
    <row r="215" spans="2:37" x14ac:dyDescent="0.35">
      <c r="B215" s="55" t="s">
        <v>252</v>
      </c>
      <c r="C215" s="53" t="s">
        <v>234</v>
      </c>
      <c r="D215" s="53" t="s">
        <v>43</v>
      </c>
      <c r="E215" s="53" t="s">
        <v>21</v>
      </c>
      <c r="F215" s="73" t="str">
        <f t="shared" si="21"/>
        <v/>
      </c>
      <c r="G215" s="60">
        <f t="shared" si="21"/>
        <v>6.1320540353857695E-3</v>
      </c>
      <c r="H215" s="60">
        <f t="shared" si="21"/>
        <v>1.1888551925954643E-2</v>
      </c>
      <c r="I215" s="60">
        <f t="shared" si="21"/>
        <v>1.5107625721159748E-2</v>
      </c>
      <c r="J215" s="63">
        <f t="shared" si="21"/>
        <v>1.8557032241838321E-2</v>
      </c>
      <c r="K215" s="60" t="str">
        <f t="shared" si="22"/>
        <v/>
      </c>
      <c r="L215" s="60">
        <f t="shared" si="22"/>
        <v>2.3650813353857693E-3</v>
      </c>
      <c r="M215" s="60">
        <f t="shared" si="22"/>
        <v>7.1319168259546479E-3</v>
      </c>
      <c r="N215" s="60">
        <f t="shared" si="22"/>
        <v>9.4974565211597469E-3</v>
      </c>
      <c r="O215" s="63">
        <f t="shared" si="22"/>
        <v>1.1690315841838319E-2</v>
      </c>
      <c r="P215" s="55" t="s">
        <v>21</v>
      </c>
      <c r="Q215" s="53" t="s">
        <v>21</v>
      </c>
      <c r="R215" s="94" t="s">
        <v>21</v>
      </c>
      <c r="S215" s="73">
        <v>0</v>
      </c>
      <c r="T215" s="63">
        <f t="shared" si="20"/>
        <v>1.1888551925954643E-2</v>
      </c>
      <c r="V215" s="114">
        <v>1.1301439499999999</v>
      </c>
      <c r="W215" s="72">
        <v>2.8532473199999999</v>
      </c>
      <c r="X215" s="72">
        <v>4.3675003700000001</v>
      </c>
      <c r="Y215" s="72">
        <v>5.6653239699999993</v>
      </c>
      <c r="Z215" s="115">
        <v>7.2642156400000006</v>
      </c>
      <c r="AB215" s="71" t="s">
        <v>21</v>
      </c>
      <c r="AC215" s="71">
        <v>6.1320540353857695E-3</v>
      </c>
      <c r="AD215" s="71">
        <v>1.1888551925954643E-2</v>
      </c>
      <c r="AE215" s="71">
        <v>1.5107625721159748E-2</v>
      </c>
      <c r="AF215" s="63">
        <v>1.8557032241838321E-2</v>
      </c>
      <c r="AG215" s="71" t="s">
        <v>21</v>
      </c>
      <c r="AH215" s="71">
        <v>2.3650813353857693E-3</v>
      </c>
      <c r="AI215" s="71">
        <v>7.1319168259546479E-3</v>
      </c>
      <c r="AJ215" s="71">
        <v>9.4974565211597469E-3</v>
      </c>
      <c r="AK215" s="71">
        <v>1.1690315841838319E-2</v>
      </c>
    </row>
    <row r="216" spans="2:37" x14ac:dyDescent="0.35">
      <c r="B216" s="55" t="s">
        <v>357</v>
      </c>
      <c r="C216" s="53" t="s">
        <v>234</v>
      </c>
      <c r="D216" s="53" t="s">
        <v>20</v>
      </c>
      <c r="E216" s="53" t="s">
        <v>21</v>
      </c>
      <c r="F216" s="73" t="str">
        <f t="shared" si="21"/>
        <v/>
      </c>
      <c r="G216" s="60">
        <f t="shared" si="21"/>
        <v>6.548668993771628E-3</v>
      </c>
      <c r="H216" s="60">
        <f t="shared" si="21"/>
        <v>1.2315967655661678E-2</v>
      </c>
      <c r="I216" s="60">
        <f t="shared" si="21"/>
        <v>1.5401551735308395E-2</v>
      </c>
      <c r="J216" s="63">
        <f t="shared" si="21"/>
        <v>1.853649071928563E-2</v>
      </c>
      <c r="K216" s="60" t="str">
        <f t="shared" si="22"/>
        <v/>
      </c>
      <c r="L216" s="60">
        <f t="shared" si="22"/>
        <v>2.8160309937716285E-3</v>
      </c>
      <c r="M216" s="60">
        <f t="shared" si="22"/>
        <v>7.58350115566168E-3</v>
      </c>
      <c r="N216" s="60">
        <f t="shared" si="22"/>
        <v>9.8060695353084006E-3</v>
      </c>
      <c r="O216" s="63">
        <f t="shared" si="22"/>
        <v>1.1672153919285628E-2</v>
      </c>
      <c r="P216" s="55" t="s">
        <v>21</v>
      </c>
      <c r="Q216" s="53" t="s">
        <v>21</v>
      </c>
      <c r="R216" s="94" t="s">
        <v>21</v>
      </c>
      <c r="S216" s="73">
        <v>0</v>
      </c>
      <c r="T216" s="63">
        <f t="shared" si="20"/>
        <v>1.2315967655661678E-2</v>
      </c>
      <c r="V216" s="114">
        <v>1.1295608800000001</v>
      </c>
      <c r="W216" s="72">
        <v>2.84886361</v>
      </c>
      <c r="X216" s="72">
        <v>4.3584655300000001</v>
      </c>
      <c r="Y216" s="72">
        <v>5.6502614099999997</v>
      </c>
      <c r="Z216" s="115">
        <v>7.24525036</v>
      </c>
      <c r="AB216" s="71" t="s">
        <v>21</v>
      </c>
      <c r="AC216" s="71">
        <v>6.548668993771628E-3</v>
      </c>
      <c r="AD216" s="71">
        <v>1.2315967655661678E-2</v>
      </c>
      <c r="AE216" s="71">
        <v>1.5401551735308395E-2</v>
      </c>
      <c r="AF216" s="63">
        <v>1.853649071928563E-2</v>
      </c>
      <c r="AG216" s="71" t="s">
        <v>21</v>
      </c>
      <c r="AH216" s="71">
        <v>2.8160309937716285E-3</v>
      </c>
      <c r="AI216" s="71">
        <v>7.58350115566168E-3</v>
      </c>
      <c r="AJ216" s="71">
        <v>9.8060695353084006E-3</v>
      </c>
      <c r="AK216" s="71">
        <v>1.1672153919285628E-2</v>
      </c>
    </row>
    <row r="217" spans="2:37" x14ac:dyDescent="0.35">
      <c r="B217" s="55" t="s">
        <v>360</v>
      </c>
      <c r="C217" s="53" t="s">
        <v>234</v>
      </c>
      <c r="D217" s="53" t="s">
        <v>20</v>
      </c>
      <c r="E217" s="53" t="s">
        <v>535</v>
      </c>
      <c r="F217" s="73" t="str">
        <f t="shared" si="21"/>
        <v/>
      </c>
      <c r="G217" s="60">
        <f t="shared" si="21"/>
        <v>6.5367269620188947E-3</v>
      </c>
      <c r="H217" s="60">
        <f t="shared" si="21"/>
        <v>1.2317823468170541E-2</v>
      </c>
      <c r="I217" s="60">
        <f t="shared" si="21"/>
        <v>1.5382594156460844E-2</v>
      </c>
      <c r="J217" s="63">
        <f t="shared" si="21"/>
        <v>1.8644678581082437E-2</v>
      </c>
      <c r="K217" s="60" t="str">
        <f t="shared" si="22"/>
        <v/>
      </c>
      <c r="L217" s="60">
        <f t="shared" si="22"/>
        <v>2.8030090620188922E-3</v>
      </c>
      <c r="M217" s="60">
        <f t="shared" si="22"/>
        <v>7.5853499681705436E-3</v>
      </c>
      <c r="N217" s="60">
        <f t="shared" si="22"/>
        <v>9.7865596564608442E-3</v>
      </c>
      <c r="O217" s="63">
        <f t="shared" si="22"/>
        <v>1.1784391981082432E-2</v>
      </c>
      <c r="P217" s="55" t="s">
        <v>21</v>
      </c>
      <c r="Q217" s="53" t="s">
        <v>21</v>
      </c>
      <c r="R217" s="94" t="s">
        <v>21</v>
      </c>
      <c r="S217" s="73">
        <v>0</v>
      </c>
      <c r="T217" s="63">
        <f t="shared" si="20"/>
        <v>1.2317823468170541E-2</v>
      </c>
      <c r="V217" s="114">
        <v>1.1293656299999999</v>
      </c>
      <c r="W217" s="72">
        <v>2.8491814500000001</v>
      </c>
      <c r="X217" s="72">
        <v>4.35893686</v>
      </c>
      <c r="Y217" s="72">
        <v>5.6506328199999993</v>
      </c>
      <c r="Z217" s="115">
        <v>7.2434247100000002</v>
      </c>
      <c r="AB217" s="71" t="s">
        <v>21</v>
      </c>
      <c r="AC217" s="71">
        <v>6.5367269620188947E-3</v>
      </c>
      <c r="AD217" s="71">
        <v>1.2317823468170541E-2</v>
      </c>
      <c r="AE217" s="71">
        <v>1.5382594156460844E-2</v>
      </c>
      <c r="AF217" s="63">
        <v>1.8644678581082437E-2</v>
      </c>
      <c r="AG217" s="71" t="s">
        <v>21</v>
      </c>
      <c r="AH217" s="71">
        <v>2.8030090620188922E-3</v>
      </c>
      <c r="AI217" s="71">
        <v>7.5853499681705436E-3</v>
      </c>
      <c r="AJ217" s="71">
        <v>9.7865596564608442E-3</v>
      </c>
      <c r="AK217" s="71">
        <v>1.1784391981082432E-2</v>
      </c>
    </row>
    <row r="218" spans="2:37" x14ac:dyDescent="0.35">
      <c r="B218" s="55" t="s">
        <v>353</v>
      </c>
      <c r="C218" s="53" t="s">
        <v>234</v>
      </c>
      <c r="D218" s="53" t="s">
        <v>31</v>
      </c>
      <c r="E218" s="53" t="s">
        <v>21</v>
      </c>
      <c r="F218" s="73" t="str">
        <f t="shared" si="21"/>
        <v/>
      </c>
      <c r="G218" s="60">
        <f t="shared" si="21"/>
        <v>6.0541094703312343E-3</v>
      </c>
      <c r="H218" s="60">
        <f t="shared" si="21"/>
        <v>1.1849975023335402E-2</v>
      </c>
      <c r="I218" s="60">
        <f t="shared" si="21"/>
        <v>1.5017339587114114E-2</v>
      </c>
      <c r="J218" s="63">
        <f t="shared" si="21"/>
        <v>1.8416293668986131E-2</v>
      </c>
      <c r="K218" s="60" t="str">
        <f t="shared" si="22"/>
        <v/>
      </c>
      <c r="L218" s="60">
        <f t="shared" si="22"/>
        <v>2.2796436703312341E-3</v>
      </c>
      <c r="M218" s="60">
        <f t="shared" si="22"/>
        <v>7.090710023335404E-3</v>
      </c>
      <c r="N218" s="60">
        <f t="shared" si="22"/>
        <v>9.4029058871141109E-3</v>
      </c>
      <c r="O218" s="63">
        <f t="shared" si="22"/>
        <v>1.154381766898613E-2</v>
      </c>
      <c r="P218" s="55" t="s">
        <v>21</v>
      </c>
      <c r="Q218" s="53" t="s">
        <v>21</v>
      </c>
      <c r="R218" s="94" t="s">
        <v>21</v>
      </c>
      <c r="S218" s="73">
        <v>0</v>
      </c>
      <c r="T218" s="63">
        <f t="shared" si="20"/>
        <v>1.1849975023335402E-2</v>
      </c>
      <c r="V218" s="114">
        <v>1.1307722200000001</v>
      </c>
      <c r="W218" s="72">
        <v>2.8549228900000001</v>
      </c>
      <c r="X218" s="72">
        <v>4.3698021699999998</v>
      </c>
      <c r="Y218" s="72">
        <v>5.66890362</v>
      </c>
      <c r="Z218" s="115">
        <v>7.2713038499999989</v>
      </c>
      <c r="AB218" s="71" t="s">
        <v>21</v>
      </c>
      <c r="AC218" s="71">
        <v>6.0541094703312343E-3</v>
      </c>
      <c r="AD218" s="71">
        <v>1.1849975023335402E-2</v>
      </c>
      <c r="AE218" s="71">
        <v>1.5017339587114114E-2</v>
      </c>
      <c r="AF218" s="63">
        <v>1.8416293668986131E-2</v>
      </c>
      <c r="AG218" s="71" t="s">
        <v>21</v>
      </c>
      <c r="AH218" s="71">
        <v>2.2796436703312341E-3</v>
      </c>
      <c r="AI218" s="71">
        <v>7.090710023335404E-3</v>
      </c>
      <c r="AJ218" s="71">
        <v>9.4029058871141109E-3</v>
      </c>
      <c r="AK218" s="71">
        <v>1.154381766898613E-2</v>
      </c>
    </row>
    <row r="219" spans="2:37" x14ac:dyDescent="0.35">
      <c r="B219" s="55" t="s">
        <v>250</v>
      </c>
      <c r="C219" s="53" t="s">
        <v>234</v>
      </c>
      <c r="D219" s="53" t="s">
        <v>97</v>
      </c>
      <c r="E219" s="53" t="s">
        <v>227</v>
      </c>
      <c r="F219" s="73" t="str">
        <f t="shared" si="21"/>
        <v/>
      </c>
      <c r="G219" s="60">
        <f t="shared" si="21"/>
        <v>6.1225882619458313E-3</v>
      </c>
      <c r="H219" s="60">
        <f t="shared" si="21"/>
        <v>1.1788657532671888E-2</v>
      </c>
      <c r="I219" s="60">
        <f t="shared" si="21"/>
        <v>1.4711038202517531E-2</v>
      </c>
      <c r="J219" s="63">
        <f t="shared" si="21"/>
        <v>1.8073283951244606E-2</v>
      </c>
      <c r="K219" s="60" t="str">
        <f t="shared" si="22"/>
        <v/>
      </c>
      <c r="L219" s="60">
        <f t="shared" si="22"/>
        <v>2.3544037619458347E-3</v>
      </c>
      <c r="M219" s="60">
        <f t="shared" si="22"/>
        <v>7.0256296326718943E-3</v>
      </c>
      <c r="N219" s="60">
        <f t="shared" si="22"/>
        <v>9.0812445025175315E-3</v>
      </c>
      <c r="O219" s="63">
        <f t="shared" si="22"/>
        <v>1.1183608951244603E-2</v>
      </c>
      <c r="P219" s="55" t="s">
        <v>536</v>
      </c>
      <c r="Q219" s="53" t="s">
        <v>537</v>
      </c>
      <c r="R219" s="94">
        <v>47551</v>
      </c>
      <c r="S219" s="73">
        <v>7.3794300000000002E-3</v>
      </c>
      <c r="T219" s="63">
        <f t="shared" si="20"/>
        <v>4.4092275326718883E-3</v>
      </c>
      <c r="V219" s="114">
        <v>1.1300827899999999</v>
      </c>
      <c r="W219" s="72">
        <v>2.8532033599999997</v>
      </c>
      <c r="X219" s="72">
        <v>4.3684866099999997</v>
      </c>
      <c r="Y219" s="72">
        <v>5.6716873899999998</v>
      </c>
      <c r="Z219" s="115">
        <v>7.2834697500000001</v>
      </c>
      <c r="AB219" s="71" t="s">
        <v>21</v>
      </c>
      <c r="AC219" s="71">
        <v>6.1225882619458313E-3</v>
      </c>
      <c r="AD219" s="71">
        <v>1.1788657532671888E-2</v>
      </c>
      <c r="AE219" s="71">
        <v>1.4711038202517531E-2</v>
      </c>
      <c r="AF219" s="63">
        <v>1.8073283951244606E-2</v>
      </c>
      <c r="AG219" s="71" t="s">
        <v>21</v>
      </c>
      <c r="AH219" s="71">
        <v>2.3544037619458347E-3</v>
      </c>
      <c r="AI219" s="71">
        <v>7.0256296326718943E-3</v>
      </c>
      <c r="AJ219" s="71">
        <v>9.0812445025175315E-3</v>
      </c>
      <c r="AK219" s="71">
        <v>1.1183608951244603E-2</v>
      </c>
    </row>
    <row r="220" spans="2:37" x14ac:dyDescent="0.35">
      <c r="B220" s="55" t="s">
        <v>261</v>
      </c>
      <c r="C220" s="53" t="s">
        <v>234</v>
      </c>
      <c r="D220" s="53" t="s">
        <v>31</v>
      </c>
      <c r="E220" s="53" t="s">
        <v>538</v>
      </c>
      <c r="F220" s="73" t="str">
        <f t="shared" si="21"/>
        <v/>
      </c>
      <c r="G220" s="60">
        <f t="shared" si="21"/>
        <v>6.0805385646567622E-3</v>
      </c>
      <c r="H220" s="60">
        <f t="shared" si="21"/>
        <v>1.1790643863082942E-2</v>
      </c>
      <c r="I220" s="60">
        <f t="shared" si="21"/>
        <v>1.4712107986738584E-2</v>
      </c>
      <c r="J220" s="63">
        <f t="shared" si="21"/>
        <v>1.7410933533315902E-2</v>
      </c>
      <c r="K220" s="60" t="str">
        <f t="shared" si="22"/>
        <v/>
      </c>
      <c r="L220" s="60">
        <f t="shared" si="22"/>
        <v>2.3088304646567636E-3</v>
      </c>
      <c r="M220" s="60">
        <f t="shared" si="22"/>
        <v>7.0278817630829446E-3</v>
      </c>
      <c r="N220" s="60">
        <f t="shared" si="22"/>
        <v>9.0826596867385825E-3</v>
      </c>
      <c r="O220" s="63">
        <f t="shared" si="22"/>
        <v>1.0492525633315904E-2</v>
      </c>
      <c r="P220" s="55" t="s">
        <v>539</v>
      </c>
      <c r="Q220" s="53" t="s">
        <v>540</v>
      </c>
      <c r="R220" s="94">
        <v>47517</v>
      </c>
      <c r="S220" s="73">
        <v>9.5072999999999998E-3</v>
      </c>
      <c r="T220" s="63">
        <f t="shared" si="20"/>
        <v>2.2833438630829421E-3</v>
      </c>
      <c r="V220" s="114">
        <v>1.1302580899999999</v>
      </c>
      <c r="W220" s="72">
        <v>2.85379176</v>
      </c>
      <c r="X220" s="72">
        <v>4.3691550299999999</v>
      </c>
      <c r="Y220" s="72">
        <v>5.6723114900000002</v>
      </c>
      <c r="Z220" s="115">
        <v>7.2972679999999999</v>
      </c>
      <c r="AB220" s="71" t="s">
        <v>21</v>
      </c>
      <c r="AC220" s="71">
        <v>6.0805385646567622E-3</v>
      </c>
      <c r="AD220" s="71">
        <v>1.1790643863082942E-2</v>
      </c>
      <c r="AE220" s="71">
        <v>1.4712107986738584E-2</v>
      </c>
      <c r="AF220" s="63">
        <v>1.7410933533315902E-2</v>
      </c>
      <c r="AG220" s="71" t="s">
        <v>21</v>
      </c>
      <c r="AH220" s="71">
        <v>2.3088304646567636E-3</v>
      </c>
      <c r="AI220" s="71">
        <v>7.0278817630829446E-3</v>
      </c>
      <c r="AJ220" s="71">
        <v>9.0826596867385825E-3</v>
      </c>
      <c r="AK220" s="71">
        <v>1.0492525633315904E-2</v>
      </c>
    </row>
    <row r="221" spans="2:37" x14ac:dyDescent="0.35">
      <c r="B221" s="55" t="s">
        <v>361</v>
      </c>
      <c r="C221" s="53" t="s">
        <v>234</v>
      </c>
      <c r="D221" s="53" t="s">
        <v>306</v>
      </c>
      <c r="E221" s="53" t="s">
        <v>21</v>
      </c>
      <c r="F221" s="73" t="str">
        <f t="shared" si="21"/>
        <v/>
      </c>
      <c r="G221" s="60">
        <f t="shared" si="21"/>
        <v>6.0429470560808413E-3</v>
      </c>
      <c r="H221" s="60">
        <f t="shared" si="21"/>
        <v>1.174590264577261E-2</v>
      </c>
      <c r="I221" s="60">
        <f t="shared" si="21"/>
        <v>1.476893594979093E-2</v>
      </c>
      <c r="J221" s="63">
        <f t="shared" si="21"/>
        <v>1.7718888754861498E-2</v>
      </c>
      <c r="K221" s="60" t="str">
        <f t="shared" si="22"/>
        <v/>
      </c>
      <c r="L221" s="60">
        <f t="shared" si="22"/>
        <v>2.2675001560808422E-3</v>
      </c>
      <c r="M221" s="60">
        <f t="shared" si="22"/>
        <v>6.9801408457726127E-3</v>
      </c>
      <c r="N221" s="60">
        <f t="shared" si="22"/>
        <v>9.1419188497909344E-3</v>
      </c>
      <c r="O221" s="63">
        <f t="shared" si="22"/>
        <v>1.08151040548615E-2</v>
      </c>
      <c r="P221" s="55" t="s">
        <v>21</v>
      </c>
      <c r="Q221" s="53" t="s">
        <v>21</v>
      </c>
      <c r="R221" s="94" t="s">
        <v>21</v>
      </c>
      <c r="S221" s="73">
        <v>0</v>
      </c>
      <c r="T221" s="63">
        <f t="shared" si="20"/>
        <v>1.174590264577261E-2</v>
      </c>
      <c r="V221" s="114">
        <v>1.13052332</v>
      </c>
      <c r="W221" s="72">
        <v>2.85453227</v>
      </c>
      <c r="X221" s="72">
        <v>4.3704609400000001</v>
      </c>
      <c r="Y221" s="72">
        <v>5.6730608600000005</v>
      </c>
      <c r="Z221" s="115">
        <v>7.2913699900000006</v>
      </c>
      <c r="AB221" s="71" t="s">
        <v>21</v>
      </c>
      <c r="AC221" s="71">
        <v>6.0429470560808413E-3</v>
      </c>
      <c r="AD221" s="71">
        <v>1.174590264577261E-2</v>
      </c>
      <c r="AE221" s="71">
        <v>1.476893594979093E-2</v>
      </c>
      <c r="AF221" s="63">
        <v>1.7718888754861498E-2</v>
      </c>
      <c r="AG221" s="71" t="s">
        <v>21</v>
      </c>
      <c r="AH221" s="71">
        <v>2.2675001560808422E-3</v>
      </c>
      <c r="AI221" s="71">
        <v>6.9801408457726127E-3</v>
      </c>
      <c r="AJ221" s="71">
        <v>9.1419188497909344E-3</v>
      </c>
      <c r="AK221" s="71">
        <v>1.08151040548615E-2</v>
      </c>
    </row>
    <row r="222" spans="2:37" x14ac:dyDescent="0.35">
      <c r="B222" s="55" t="s">
        <v>259</v>
      </c>
      <c r="C222" s="53" t="s">
        <v>234</v>
      </c>
      <c r="D222" s="53" t="s">
        <v>69</v>
      </c>
      <c r="E222" s="53" t="s">
        <v>21</v>
      </c>
      <c r="F222" s="73" t="str">
        <f t="shared" si="21"/>
        <v/>
      </c>
      <c r="G222" s="60">
        <f t="shared" si="21"/>
        <v>6.1162719121333232E-3</v>
      </c>
      <c r="H222" s="60">
        <f t="shared" si="21"/>
        <v>1.1730496095899096E-2</v>
      </c>
      <c r="I222" s="60">
        <f t="shared" si="21"/>
        <v>1.4822355085350524E-2</v>
      </c>
      <c r="J222" s="63">
        <f t="shared" si="21"/>
        <v>1.80373518719677E-2</v>
      </c>
      <c r="K222" s="60" t="str">
        <f t="shared" si="22"/>
        <v/>
      </c>
      <c r="L222" s="60">
        <f t="shared" si="22"/>
        <v>2.3469623121333233E-3</v>
      </c>
      <c r="M222" s="60">
        <f t="shared" si="22"/>
        <v>6.9636203958990967E-3</v>
      </c>
      <c r="N222" s="60">
        <f t="shared" si="22"/>
        <v>9.1972805853505236E-3</v>
      </c>
      <c r="O222" s="63">
        <f t="shared" si="22"/>
        <v>1.1146729471967695E-2</v>
      </c>
      <c r="P222" s="55" t="s">
        <v>541</v>
      </c>
      <c r="Q222" s="53" t="s">
        <v>542</v>
      </c>
      <c r="R222" s="94" t="s">
        <v>32</v>
      </c>
      <c r="S222" s="73">
        <v>4.5244700000000001E-3</v>
      </c>
      <c r="T222" s="63">
        <f t="shared" si="20"/>
        <v>7.2060260958990959E-3</v>
      </c>
      <c r="V222" s="114">
        <v>1.12990477</v>
      </c>
      <c r="W222" s="72">
        <v>2.8534545800000002</v>
      </c>
      <c r="X222" s="72">
        <v>4.3692279100000002</v>
      </c>
      <c r="Y222" s="72">
        <v>5.6714070400000001</v>
      </c>
      <c r="Z222" s="115">
        <v>7.2833884500000003</v>
      </c>
      <c r="AB222" s="71" t="s">
        <v>21</v>
      </c>
      <c r="AC222" s="71">
        <v>6.1162719121333232E-3</v>
      </c>
      <c r="AD222" s="71">
        <v>1.1730496095899096E-2</v>
      </c>
      <c r="AE222" s="71">
        <v>1.4822355085350524E-2</v>
      </c>
      <c r="AF222" s="63">
        <v>1.80373518719677E-2</v>
      </c>
      <c r="AG222" s="71" t="s">
        <v>21</v>
      </c>
      <c r="AH222" s="71">
        <v>2.3469623121333233E-3</v>
      </c>
      <c r="AI222" s="71">
        <v>6.9636203958990967E-3</v>
      </c>
      <c r="AJ222" s="71">
        <v>9.1972805853505236E-3</v>
      </c>
      <c r="AK222" s="71">
        <v>1.1146729471967695E-2</v>
      </c>
    </row>
    <row r="223" spans="2:37" x14ac:dyDescent="0.35">
      <c r="B223" s="55" t="s">
        <v>262</v>
      </c>
      <c r="C223" s="53" t="s">
        <v>234</v>
      </c>
      <c r="D223" s="53" t="s">
        <v>31</v>
      </c>
      <c r="E223" s="53" t="s">
        <v>123</v>
      </c>
      <c r="F223" s="73" t="str">
        <f t="shared" si="21"/>
        <v/>
      </c>
      <c r="G223" s="60">
        <f t="shared" si="21"/>
        <v>6.003008739179627E-3</v>
      </c>
      <c r="H223" s="60">
        <f t="shared" si="21"/>
        <v>1.1694142672966779E-2</v>
      </c>
      <c r="I223" s="60">
        <f t="shared" si="21"/>
        <v>1.4669970968750379E-2</v>
      </c>
      <c r="J223" s="63">
        <f t="shared" si="21"/>
        <v>1.8030422726779911E-2</v>
      </c>
      <c r="K223" s="60" t="str">
        <f t="shared" si="22"/>
        <v/>
      </c>
      <c r="L223" s="60">
        <f t="shared" si="22"/>
        <v>2.2239867391796279E-3</v>
      </c>
      <c r="M223" s="60">
        <f t="shared" si="22"/>
        <v>6.9248786729667836E-3</v>
      </c>
      <c r="N223" s="60">
        <f t="shared" si="22"/>
        <v>9.0375152687503825E-3</v>
      </c>
      <c r="O223" s="63">
        <f t="shared" si="22"/>
        <v>1.1138704926779913E-2</v>
      </c>
      <c r="P223" s="55" t="s">
        <v>543</v>
      </c>
      <c r="Q223" s="53" t="s">
        <v>544</v>
      </c>
      <c r="R223" s="94">
        <v>47660</v>
      </c>
      <c r="S223" s="73">
        <v>9.5743100000000008E-3</v>
      </c>
      <c r="T223" s="63">
        <f t="shared" si="20"/>
        <v>2.1198326729667781E-3</v>
      </c>
      <c r="V223" s="114">
        <v>1.1302614500000001</v>
      </c>
      <c r="W223" s="72">
        <v>2.85430093</v>
      </c>
      <c r="X223" s="72">
        <v>4.3708452299999996</v>
      </c>
      <c r="Y223" s="72">
        <v>5.6748714200000006</v>
      </c>
      <c r="Z223" s="115">
        <v>7.2877548700000006</v>
      </c>
      <c r="AB223" s="71" t="s">
        <v>21</v>
      </c>
      <c r="AC223" s="71">
        <v>6.003008739179627E-3</v>
      </c>
      <c r="AD223" s="71">
        <v>1.1694142672966779E-2</v>
      </c>
      <c r="AE223" s="71">
        <v>1.4669970968750379E-2</v>
      </c>
      <c r="AF223" s="63">
        <v>1.8030422726779911E-2</v>
      </c>
      <c r="AG223" s="71" t="s">
        <v>21</v>
      </c>
      <c r="AH223" s="71">
        <v>2.2239867391796279E-3</v>
      </c>
      <c r="AI223" s="71">
        <v>6.9248786729667836E-3</v>
      </c>
      <c r="AJ223" s="71">
        <v>9.0375152687503825E-3</v>
      </c>
      <c r="AK223" s="71">
        <v>1.1138704926779913E-2</v>
      </c>
    </row>
    <row r="224" spans="2:37" x14ac:dyDescent="0.35">
      <c r="B224" s="55" t="s">
        <v>247</v>
      </c>
      <c r="C224" s="53" t="s">
        <v>234</v>
      </c>
      <c r="D224" s="53" t="s">
        <v>20</v>
      </c>
      <c r="E224" s="53" t="s">
        <v>36</v>
      </c>
      <c r="F224" s="73" t="str">
        <f t="shared" si="21"/>
        <v/>
      </c>
      <c r="G224" s="60">
        <f t="shared" si="21"/>
        <v>6.6408455693573324E-3</v>
      </c>
      <c r="H224" s="60">
        <f t="shared" si="21"/>
        <v>1.2152187043753914E-2</v>
      </c>
      <c r="I224" s="60">
        <f t="shared" si="21"/>
        <v>1.5150998374281121E-2</v>
      </c>
      <c r="J224" s="63">
        <f t="shared" si="21"/>
        <v>1.8282274019154339E-2</v>
      </c>
      <c r="K224" s="60" t="str">
        <f t="shared" si="22"/>
        <v/>
      </c>
      <c r="L224" s="60">
        <f t="shared" si="22"/>
        <v>2.9148199693573339E-3</v>
      </c>
      <c r="M224" s="60">
        <f t="shared" si="22"/>
        <v>7.4111179437539188E-3</v>
      </c>
      <c r="N224" s="60">
        <f t="shared" si="22"/>
        <v>9.5432930742811277E-3</v>
      </c>
      <c r="O224" s="63">
        <f t="shared" si="22"/>
        <v>1.140477631915434E-2</v>
      </c>
      <c r="P224" s="55" t="s">
        <v>248</v>
      </c>
      <c r="Q224" s="53" t="s">
        <v>249</v>
      </c>
      <c r="R224" s="94">
        <v>47543</v>
      </c>
      <c r="S224" s="73">
        <v>8.6424699999999993E-3</v>
      </c>
      <c r="T224" s="63">
        <f t="shared" si="20"/>
        <v>3.5097170437539144E-3</v>
      </c>
      <c r="V224" s="114">
        <v>1.1293637299999999</v>
      </c>
      <c r="W224" s="72">
        <v>2.8490158000000001</v>
      </c>
      <c r="X224" s="72">
        <v>4.3595492899999995</v>
      </c>
      <c r="Y224" s="72">
        <v>5.6553758299999997</v>
      </c>
      <c r="Z224" s="115">
        <v>7.2580195599999993</v>
      </c>
      <c r="AB224" s="71" t="s">
        <v>21</v>
      </c>
      <c r="AC224" s="71">
        <v>6.6408455693573324E-3</v>
      </c>
      <c r="AD224" s="71">
        <v>1.2152187043753914E-2</v>
      </c>
      <c r="AE224" s="71">
        <v>1.5150998374281121E-2</v>
      </c>
      <c r="AF224" s="63">
        <v>1.8282274019154339E-2</v>
      </c>
      <c r="AG224" s="71" t="s">
        <v>21</v>
      </c>
      <c r="AH224" s="71">
        <v>2.9148199693573339E-3</v>
      </c>
      <c r="AI224" s="71">
        <v>7.4111179437539188E-3</v>
      </c>
      <c r="AJ224" s="71">
        <v>9.5432930742811277E-3</v>
      </c>
      <c r="AK224" s="71">
        <v>1.140477631915434E-2</v>
      </c>
    </row>
    <row r="225" spans="2:37" x14ac:dyDescent="0.35">
      <c r="B225" s="55" t="s">
        <v>254</v>
      </c>
      <c r="C225" s="53" t="s">
        <v>234</v>
      </c>
      <c r="D225" s="53" t="s">
        <v>20</v>
      </c>
      <c r="E225" s="53" t="s">
        <v>161</v>
      </c>
      <c r="F225" s="73" t="str">
        <f t="shared" ref="F225:J275" si="23">IF(ISNUMBER(AB225),AB225-((C$4-C$3)/V225),"")</f>
        <v/>
      </c>
      <c r="G225" s="60">
        <f t="shared" si="23"/>
        <v>7.2200757469044197E-3</v>
      </c>
      <c r="H225" s="60">
        <f t="shared" si="23"/>
        <v>1.2102846806195042E-2</v>
      </c>
      <c r="I225" s="60">
        <f t="shared" si="23"/>
        <v>1.4633741737874822E-2</v>
      </c>
      <c r="J225" s="63">
        <f t="shared" si="23"/>
        <v>1.8303820435279696E-2</v>
      </c>
      <c r="K225" s="60" t="str">
        <f t="shared" ref="K225:O275" si="24">IF(ISNUMBER(AG225),IF(AG225-((C$4-C$3)/V225)&lt;0,"",AG225-((C$4-C$3)/V225)),"")</f>
        <v/>
      </c>
      <c r="L225" s="60">
        <f t="shared" si="24"/>
        <v>3.5341831469044185E-3</v>
      </c>
      <c r="M225" s="60">
        <f t="shared" si="24"/>
        <v>7.3599667061950459E-3</v>
      </c>
      <c r="N225" s="60">
        <f t="shared" si="24"/>
        <v>9.0005864378748211E-3</v>
      </c>
      <c r="O225" s="63">
        <f t="shared" si="24"/>
        <v>1.1415718135279697E-2</v>
      </c>
      <c r="P225" s="55" t="s">
        <v>545</v>
      </c>
      <c r="Q225" s="53" t="s">
        <v>546</v>
      </c>
      <c r="R225" s="94">
        <v>47545</v>
      </c>
      <c r="S225" s="73">
        <v>7.8604299999999998E-3</v>
      </c>
      <c r="T225" s="63">
        <f t="shared" si="20"/>
        <v>4.2424168061950419E-3</v>
      </c>
      <c r="V225" s="114">
        <v>1.12916846</v>
      </c>
      <c r="W225" s="72">
        <v>2.8445662399999998</v>
      </c>
      <c r="X225" s="72">
        <v>4.3542200900000001</v>
      </c>
      <c r="Y225" s="72">
        <v>5.6580785300000001</v>
      </c>
      <c r="Z225" s="115">
        <v>7.2719898000000001</v>
      </c>
      <c r="AB225" s="71" t="s">
        <v>21</v>
      </c>
      <c r="AC225" s="71">
        <v>7.2200757469044197E-3</v>
      </c>
      <c r="AD225" s="71">
        <v>1.2102846806195042E-2</v>
      </c>
      <c r="AE225" s="71">
        <v>1.4633741737874822E-2</v>
      </c>
      <c r="AF225" s="63">
        <v>1.8303820435279696E-2</v>
      </c>
      <c r="AG225" s="71" t="s">
        <v>21</v>
      </c>
      <c r="AH225" s="71">
        <v>3.5341831469044185E-3</v>
      </c>
      <c r="AI225" s="71">
        <v>7.3599667061950459E-3</v>
      </c>
      <c r="AJ225" s="71">
        <v>9.0005864378748211E-3</v>
      </c>
      <c r="AK225" s="71">
        <v>1.1415718135279697E-2</v>
      </c>
    </row>
    <row r="226" spans="2:37" x14ac:dyDescent="0.35">
      <c r="B226" s="55" t="s">
        <v>347</v>
      </c>
      <c r="C226" s="53" t="s">
        <v>234</v>
      </c>
      <c r="D226" s="53" t="s">
        <v>97</v>
      </c>
      <c r="E226" s="53" t="s">
        <v>21</v>
      </c>
      <c r="F226" s="73" t="str">
        <f t="shared" si="23"/>
        <v/>
      </c>
      <c r="G226" s="60">
        <f t="shared" si="23"/>
        <v>6.0188166949225906E-3</v>
      </c>
      <c r="H226" s="60">
        <f t="shared" si="23"/>
        <v>1.1644318790348532E-2</v>
      </c>
      <c r="I226" s="60">
        <f t="shared" si="23"/>
        <v>1.4521690639947708E-2</v>
      </c>
      <c r="J226" s="63">
        <f t="shared" si="23"/>
        <v>1.8039601573210402E-2</v>
      </c>
      <c r="K226" s="60" t="str">
        <f t="shared" si="24"/>
        <v/>
      </c>
      <c r="L226" s="60">
        <f t="shared" si="24"/>
        <v>2.2412717949225926E-3</v>
      </c>
      <c r="M226" s="60">
        <f t="shared" si="24"/>
        <v>6.8722839903485305E-3</v>
      </c>
      <c r="N226" s="60">
        <f t="shared" si="24"/>
        <v>8.8817723399477067E-3</v>
      </c>
      <c r="O226" s="63">
        <f t="shared" si="24"/>
        <v>1.1147117373210402E-2</v>
      </c>
      <c r="P226" s="55" t="s">
        <v>21</v>
      </c>
      <c r="Q226" s="53" t="s">
        <v>21</v>
      </c>
      <c r="R226" s="94" t="s">
        <v>21</v>
      </c>
      <c r="S226" s="73">
        <v>0</v>
      </c>
      <c r="T226" s="63">
        <f t="shared" si="20"/>
        <v>1.1644318790348532E-2</v>
      </c>
      <c r="V226" s="114">
        <v>1.1305610500000001</v>
      </c>
      <c r="W226" s="72">
        <v>2.8547543100000001</v>
      </c>
      <c r="X226" s="72">
        <v>4.3717373799999999</v>
      </c>
      <c r="Y226" s="72">
        <v>5.6778038400000002</v>
      </c>
      <c r="Z226" s="115">
        <v>7.2916954399999998</v>
      </c>
      <c r="AB226" s="71" t="s">
        <v>21</v>
      </c>
      <c r="AC226" s="71">
        <v>6.0188166949225906E-3</v>
      </c>
      <c r="AD226" s="71">
        <v>1.1644318790348532E-2</v>
      </c>
      <c r="AE226" s="71">
        <v>1.4521690639947708E-2</v>
      </c>
      <c r="AF226" s="63">
        <v>1.8039601573210402E-2</v>
      </c>
      <c r="AG226" s="71" t="s">
        <v>21</v>
      </c>
      <c r="AH226" s="71">
        <v>2.2412717949225926E-3</v>
      </c>
      <c r="AI226" s="71">
        <v>6.8722839903485305E-3</v>
      </c>
      <c r="AJ226" s="71">
        <v>8.8817723399477067E-3</v>
      </c>
      <c r="AK226" s="71">
        <v>1.1147117373210402E-2</v>
      </c>
    </row>
    <row r="227" spans="2:37" x14ac:dyDescent="0.35">
      <c r="B227" s="55" t="s">
        <v>350</v>
      </c>
      <c r="C227" s="53" t="s">
        <v>234</v>
      </c>
      <c r="D227" s="53" t="s">
        <v>20</v>
      </c>
      <c r="E227" s="53" t="s">
        <v>21</v>
      </c>
      <c r="F227" s="73" t="str">
        <f t="shared" si="23"/>
        <v/>
      </c>
      <c r="G227" s="60">
        <f t="shared" si="23"/>
        <v>6.0845321451241741E-3</v>
      </c>
      <c r="H227" s="60">
        <f t="shared" si="23"/>
        <v>1.1873850300998089E-2</v>
      </c>
      <c r="I227" s="60">
        <f t="shared" si="23"/>
        <v>1.489755986108323E-2</v>
      </c>
      <c r="J227" s="63">
        <f t="shared" si="23"/>
        <v>1.7657959774209996E-2</v>
      </c>
      <c r="K227" s="60" t="str">
        <f t="shared" si="24"/>
        <v/>
      </c>
      <c r="L227" s="60">
        <f t="shared" si="24"/>
        <v>2.3135540451241733E-3</v>
      </c>
      <c r="M227" s="60">
        <f t="shared" si="24"/>
        <v>7.1163958009980953E-3</v>
      </c>
      <c r="N227" s="60">
        <f t="shared" si="24"/>
        <v>9.2782888610832316E-3</v>
      </c>
      <c r="O227" s="63">
        <f t="shared" si="24"/>
        <v>1.0754333074209997E-2</v>
      </c>
      <c r="P227" s="55" t="s">
        <v>386</v>
      </c>
      <c r="Q227" s="53" t="s">
        <v>387</v>
      </c>
      <c r="R227" s="94">
        <v>47802</v>
      </c>
      <c r="S227" s="73">
        <v>1.024721E-2</v>
      </c>
      <c r="T227" s="63">
        <f t="shared" si="20"/>
        <v>1.6266403009980897E-3</v>
      </c>
      <c r="V227" s="114">
        <v>1.13023254</v>
      </c>
      <c r="W227" s="72">
        <v>2.8537529999999998</v>
      </c>
      <c r="X227" s="72">
        <v>4.3682223499999999</v>
      </c>
      <c r="Y227" s="72">
        <v>5.6677918399999996</v>
      </c>
      <c r="Z227" s="115">
        <v>7.2844877899999991</v>
      </c>
      <c r="AB227" s="71" t="s">
        <v>21</v>
      </c>
      <c r="AC227" s="71">
        <v>6.0845321451241741E-3</v>
      </c>
      <c r="AD227" s="71">
        <v>1.1873850300998089E-2</v>
      </c>
      <c r="AE227" s="71">
        <v>1.489755986108323E-2</v>
      </c>
      <c r="AF227" s="63">
        <v>1.7657959774209996E-2</v>
      </c>
      <c r="AG227" s="71" t="s">
        <v>21</v>
      </c>
      <c r="AH227" s="71">
        <v>2.3135540451241733E-3</v>
      </c>
      <c r="AI227" s="71">
        <v>7.1163958009980953E-3</v>
      </c>
      <c r="AJ227" s="71">
        <v>9.2782888610832316E-3</v>
      </c>
      <c r="AK227" s="71">
        <v>1.0754333074209997E-2</v>
      </c>
    </row>
    <row r="228" spans="2:37" x14ac:dyDescent="0.35">
      <c r="B228" s="55" t="s">
        <v>256</v>
      </c>
      <c r="C228" s="53" t="s">
        <v>234</v>
      </c>
      <c r="D228" s="53" t="s">
        <v>257</v>
      </c>
      <c r="E228" s="53" t="s">
        <v>103</v>
      </c>
      <c r="F228" s="73" t="str">
        <f t="shared" si="23"/>
        <v/>
      </c>
      <c r="G228" s="60">
        <f t="shared" si="23"/>
        <v>5.7751364998463988E-3</v>
      </c>
      <c r="H228" s="60">
        <f t="shared" si="23"/>
        <v>1.134107304721205E-2</v>
      </c>
      <c r="I228" s="60">
        <f t="shared" si="23"/>
        <v>1.4486635201187818E-2</v>
      </c>
      <c r="J228" s="63">
        <f t="shared" si="23"/>
        <v>1.7847076012174619E-2</v>
      </c>
      <c r="K228" s="60" t="str">
        <f t="shared" si="24"/>
        <v/>
      </c>
      <c r="L228" s="60">
        <f t="shared" si="24"/>
        <v>1.9753761998463969E-3</v>
      </c>
      <c r="M228" s="60">
        <f t="shared" si="24"/>
        <v>6.5486417472120544E-3</v>
      </c>
      <c r="N228" s="60">
        <f t="shared" si="24"/>
        <v>8.8428951011878185E-3</v>
      </c>
      <c r="O228" s="63">
        <f t="shared" si="24"/>
        <v>1.0945979912174617E-2</v>
      </c>
      <c r="P228" s="55" t="s">
        <v>547</v>
      </c>
      <c r="Q228" s="53" t="s">
        <v>548</v>
      </c>
      <c r="R228" s="94" t="s">
        <v>32</v>
      </c>
      <c r="S228" s="73">
        <v>8.2403800000000003E-3</v>
      </c>
      <c r="T228" s="63">
        <f t="shared" si="20"/>
        <v>3.1006930472120501E-3</v>
      </c>
      <c r="V228" s="114">
        <v>1.1301715000000001</v>
      </c>
      <c r="W228" s="72">
        <v>2.8555746800000001</v>
      </c>
      <c r="X228" s="72">
        <v>4.3761612999999997</v>
      </c>
      <c r="Y228" s="72">
        <v>5.6836403299999994</v>
      </c>
      <c r="Z228" s="115">
        <v>7.3013778599999997</v>
      </c>
      <c r="AB228" s="71" t="s">
        <v>21</v>
      </c>
      <c r="AC228" s="71">
        <v>5.7751364998463988E-3</v>
      </c>
      <c r="AD228" s="71">
        <v>1.134107304721205E-2</v>
      </c>
      <c r="AE228" s="71">
        <v>1.4486635201187818E-2</v>
      </c>
      <c r="AF228" s="63">
        <v>1.7847076012174619E-2</v>
      </c>
      <c r="AG228" s="71" t="s">
        <v>21</v>
      </c>
      <c r="AH228" s="71">
        <v>1.9753761998463969E-3</v>
      </c>
      <c r="AI228" s="71">
        <v>6.5486417472120544E-3</v>
      </c>
      <c r="AJ228" s="71">
        <v>8.8428951011878185E-3</v>
      </c>
      <c r="AK228" s="71">
        <v>1.0945979912174617E-2</v>
      </c>
    </row>
    <row r="229" spans="2:37" x14ac:dyDescent="0.35">
      <c r="B229" s="55" t="s">
        <v>157</v>
      </c>
      <c r="C229" s="53" t="s">
        <v>234</v>
      </c>
      <c r="D229" s="53" t="s">
        <v>31</v>
      </c>
      <c r="E229" s="53" t="s">
        <v>549</v>
      </c>
      <c r="F229" s="73" t="str">
        <f t="shared" si="23"/>
        <v/>
      </c>
      <c r="G229" s="60">
        <f t="shared" si="23"/>
        <v>5.6510378297882254E-3</v>
      </c>
      <c r="H229" s="60">
        <f t="shared" si="23"/>
        <v>1.1256611866978128E-2</v>
      </c>
      <c r="I229" s="60">
        <f t="shared" si="23"/>
        <v>1.4300975368126408E-2</v>
      </c>
      <c r="J229" s="63">
        <f t="shared" si="23"/>
        <v>1.7663582993072871E-2</v>
      </c>
      <c r="K229" s="60" t="str">
        <f t="shared" si="24"/>
        <v/>
      </c>
      <c r="L229" s="60">
        <f t="shared" si="24"/>
        <v>1.8383089297882263E-3</v>
      </c>
      <c r="M229" s="60">
        <f t="shared" si="24"/>
        <v>6.4578930669781306E-3</v>
      </c>
      <c r="N229" s="60">
        <f t="shared" si="24"/>
        <v>8.6468829681264035E-3</v>
      </c>
      <c r="O229" s="63">
        <f t="shared" si="24"/>
        <v>1.0752975693072871E-2</v>
      </c>
      <c r="P229" s="55" t="s">
        <v>21</v>
      </c>
      <c r="Q229" s="53" t="s">
        <v>21</v>
      </c>
      <c r="R229" s="94" t="s">
        <v>21</v>
      </c>
      <c r="S229" s="73">
        <v>0</v>
      </c>
      <c r="T229" s="63">
        <f t="shared" si="20"/>
        <v>1.1256611866978128E-2</v>
      </c>
      <c r="V229" s="114">
        <v>1.13100124</v>
      </c>
      <c r="W229" s="72">
        <v>2.8579259400000003</v>
      </c>
      <c r="X229" s="72">
        <v>4.3797341799999998</v>
      </c>
      <c r="Y229" s="72">
        <v>5.6898697900000004</v>
      </c>
      <c r="Z229" s="115">
        <v>7.312770239999999</v>
      </c>
      <c r="AB229" s="71" t="s">
        <v>21</v>
      </c>
      <c r="AC229" s="71">
        <v>5.6510378297882254E-3</v>
      </c>
      <c r="AD229" s="71">
        <v>1.1256611866978128E-2</v>
      </c>
      <c r="AE229" s="71">
        <v>1.4300975368126408E-2</v>
      </c>
      <c r="AF229" s="63">
        <v>1.7663582993072871E-2</v>
      </c>
      <c r="AG229" s="71" t="s">
        <v>21</v>
      </c>
      <c r="AH229" s="71">
        <v>1.8383089297882263E-3</v>
      </c>
      <c r="AI229" s="71">
        <v>6.4578930669781306E-3</v>
      </c>
      <c r="AJ229" s="71">
        <v>8.6468829681264035E-3</v>
      </c>
      <c r="AK229" s="71">
        <v>1.0752975693072871E-2</v>
      </c>
    </row>
    <row r="230" spans="2:37" x14ac:dyDescent="0.35">
      <c r="B230" s="55" t="s">
        <v>149</v>
      </c>
      <c r="C230" s="53" t="s">
        <v>234</v>
      </c>
      <c r="D230" s="53" t="s">
        <v>97</v>
      </c>
      <c r="E230" s="53" t="s">
        <v>346</v>
      </c>
      <c r="F230" s="73" t="str">
        <f t="shared" si="23"/>
        <v/>
      </c>
      <c r="G230" s="60">
        <f t="shared" si="23"/>
        <v>5.7423563785481248E-3</v>
      </c>
      <c r="H230" s="60">
        <f t="shared" si="23"/>
        <v>1.1151651856276125E-2</v>
      </c>
      <c r="I230" s="60">
        <f t="shared" si="23"/>
        <v>1.4303935565383492E-2</v>
      </c>
      <c r="J230" s="63">
        <f t="shared" si="23"/>
        <v>1.7766968601782441E-2</v>
      </c>
      <c r="K230" s="60" t="str">
        <f t="shared" si="24"/>
        <v/>
      </c>
      <c r="L230" s="60">
        <f t="shared" si="24"/>
        <v>1.9386096785481222E-3</v>
      </c>
      <c r="M230" s="60">
        <f t="shared" si="24"/>
        <v>6.3462265562761267E-3</v>
      </c>
      <c r="N230" s="60">
        <f t="shared" si="24"/>
        <v>8.6496960653834887E-3</v>
      </c>
      <c r="O230" s="63">
        <f t="shared" si="24"/>
        <v>1.0861030501782443E-2</v>
      </c>
      <c r="P230" s="55" t="s">
        <v>550</v>
      </c>
      <c r="Q230" s="53" t="s">
        <v>551</v>
      </c>
      <c r="R230" s="94" t="s">
        <v>32</v>
      </c>
      <c r="S230" s="73">
        <v>1.1649059999999999E-2</v>
      </c>
      <c r="T230" s="63">
        <f t="shared" si="20"/>
        <v>-4.9740814372387435E-4</v>
      </c>
      <c r="V230" s="114">
        <v>1.1312344999999999</v>
      </c>
      <c r="W230" s="72">
        <v>2.8577747499999999</v>
      </c>
      <c r="X230" s="72">
        <v>4.3803594100000005</v>
      </c>
      <c r="Y230" s="72">
        <v>5.6908254399999993</v>
      </c>
      <c r="Z230" s="115">
        <v>7.3115791699999999</v>
      </c>
      <c r="AB230" s="71" t="s">
        <v>21</v>
      </c>
      <c r="AC230" s="71">
        <v>5.7423563785481248E-3</v>
      </c>
      <c r="AD230" s="71">
        <v>1.1151651856276125E-2</v>
      </c>
      <c r="AE230" s="71">
        <v>1.4303935565383492E-2</v>
      </c>
      <c r="AF230" s="63">
        <v>1.7766968601782441E-2</v>
      </c>
      <c r="AG230" s="71" t="s">
        <v>21</v>
      </c>
      <c r="AH230" s="71">
        <v>1.9386096785481222E-3</v>
      </c>
      <c r="AI230" s="71">
        <v>6.3462265562761267E-3</v>
      </c>
      <c r="AJ230" s="71">
        <v>8.6496960653834887E-3</v>
      </c>
      <c r="AK230" s="71">
        <v>1.0861030501782443E-2</v>
      </c>
    </row>
    <row r="231" spans="2:37" x14ac:dyDescent="0.35">
      <c r="B231" s="55" t="s">
        <v>260</v>
      </c>
      <c r="C231" s="53" t="s">
        <v>234</v>
      </c>
      <c r="D231" s="53" t="s">
        <v>43</v>
      </c>
      <c r="E231" s="53" t="s">
        <v>21</v>
      </c>
      <c r="F231" s="73" t="str">
        <f t="shared" si="23"/>
        <v/>
      </c>
      <c r="G231" s="60">
        <f t="shared" si="23"/>
        <v>5.9619755795551109E-3</v>
      </c>
      <c r="H231" s="60">
        <f t="shared" si="23"/>
        <v>1.1124517920998809E-2</v>
      </c>
      <c r="I231" s="60">
        <f t="shared" si="23"/>
        <v>1.39835092690304E-2</v>
      </c>
      <c r="J231" s="63">
        <f t="shared" si="23"/>
        <v>1.7364332909177216E-2</v>
      </c>
      <c r="K231" s="60" t="str">
        <f t="shared" si="24"/>
        <v/>
      </c>
      <c r="L231" s="60">
        <f t="shared" si="24"/>
        <v>2.1797450795551111E-3</v>
      </c>
      <c r="M231" s="60">
        <f t="shared" si="24"/>
        <v>6.3177043209988112E-3</v>
      </c>
      <c r="N231" s="60">
        <f t="shared" si="24"/>
        <v>8.3106004690303957E-3</v>
      </c>
      <c r="O231" s="63">
        <f t="shared" si="24"/>
        <v>1.0435410809177219E-2</v>
      </c>
      <c r="P231" s="55" t="s">
        <v>552</v>
      </c>
      <c r="Q231" s="53" t="s">
        <v>553</v>
      </c>
      <c r="R231" s="94" t="s">
        <v>32</v>
      </c>
      <c r="S231" s="73">
        <v>8.7718899999999992E-3</v>
      </c>
      <c r="T231" s="63">
        <f t="shared" si="20"/>
        <v>2.3526279209988097E-3</v>
      </c>
      <c r="V231" s="114">
        <v>1.1298187799999999</v>
      </c>
      <c r="W231" s="72">
        <v>2.85372921</v>
      </c>
      <c r="X231" s="72">
        <v>4.3759303599999999</v>
      </c>
      <c r="Y231" s="72">
        <v>5.69058098</v>
      </c>
      <c r="Z231" s="115">
        <v>7.3221657699999998</v>
      </c>
      <c r="AB231" s="71" t="s">
        <v>21</v>
      </c>
      <c r="AC231" s="71">
        <v>5.9619755795551109E-3</v>
      </c>
      <c r="AD231" s="71">
        <v>1.1124517920998809E-2</v>
      </c>
      <c r="AE231" s="71">
        <v>1.39835092690304E-2</v>
      </c>
      <c r="AF231" s="63">
        <v>1.7364332909177216E-2</v>
      </c>
      <c r="AG231" s="71" t="s">
        <v>21</v>
      </c>
      <c r="AH231" s="71">
        <v>2.1797450795551111E-3</v>
      </c>
      <c r="AI231" s="71">
        <v>6.3177043209988112E-3</v>
      </c>
      <c r="AJ231" s="71">
        <v>8.3106004690303957E-3</v>
      </c>
      <c r="AK231" s="71">
        <v>1.0435410809177219E-2</v>
      </c>
    </row>
    <row r="232" spans="2:37" x14ac:dyDescent="0.35">
      <c r="B232" s="55" t="s">
        <v>324</v>
      </c>
      <c r="C232" s="53" t="s">
        <v>234</v>
      </c>
      <c r="D232" s="53" t="s">
        <v>31</v>
      </c>
      <c r="E232" s="53" t="s">
        <v>21</v>
      </c>
      <c r="F232" s="73" t="str">
        <f t="shared" si="23"/>
        <v/>
      </c>
      <c r="G232" s="60">
        <f t="shared" si="23"/>
        <v>5.4979672665180727E-3</v>
      </c>
      <c r="H232" s="60">
        <f t="shared" si="23"/>
        <v>1.1062020259885983E-2</v>
      </c>
      <c r="I232" s="60">
        <f t="shared" si="23"/>
        <v>1.502054763841618E-2</v>
      </c>
      <c r="J232" s="63">
        <f t="shared" si="23"/>
        <v>1.8348003793088551E-2</v>
      </c>
      <c r="K232" s="60" t="str">
        <f t="shared" si="24"/>
        <v/>
      </c>
      <c r="L232" s="60">
        <f t="shared" si="24"/>
        <v>1.6695412665180703E-3</v>
      </c>
      <c r="M232" s="60">
        <f t="shared" si="24"/>
        <v>6.2492221598859851E-3</v>
      </c>
      <c r="N232" s="60">
        <f t="shared" si="24"/>
        <v>9.4014818384161834E-3</v>
      </c>
      <c r="O232" s="63">
        <f t="shared" si="24"/>
        <v>1.1473150993088556E-2</v>
      </c>
      <c r="P232" s="55" t="s">
        <v>21</v>
      </c>
      <c r="Q232" s="53" t="s">
        <v>21</v>
      </c>
      <c r="R232" s="94" t="s">
        <v>21</v>
      </c>
      <c r="S232" s="73">
        <v>0</v>
      </c>
      <c r="T232" s="63">
        <f t="shared" si="20"/>
        <v>1.1062020259885983E-2</v>
      </c>
      <c r="V232" s="114">
        <v>1.1313109700000001</v>
      </c>
      <c r="W232" s="72">
        <v>2.8594825500000001</v>
      </c>
      <c r="X232" s="72">
        <v>4.3836304100000003</v>
      </c>
      <c r="Y232" s="72">
        <v>5.6852631799999997</v>
      </c>
      <c r="Z232" s="115">
        <v>7.2882794200000003</v>
      </c>
      <c r="AB232" s="71" t="s">
        <v>21</v>
      </c>
      <c r="AC232" s="71">
        <v>5.4979672665180727E-3</v>
      </c>
      <c r="AD232" s="71">
        <v>1.1062020259885983E-2</v>
      </c>
      <c r="AE232" s="71">
        <v>1.502054763841618E-2</v>
      </c>
      <c r="AF232" s="63">
        <v>1.8348003793088551E-2</v>
      </c>
      <c r="AG232" s="71" t="s">
        <v>21</v>
      </c>
      <c r="AH232" s="71">
        <v>1.6695412665180703E-3</v>
      </c>
      <c r="AI232" s="71">
        <v>6.2492221598859851E-3</v>
      </c>
      <c r="AJ232" s="71">
        <v>9.4014818384161834E-3</v>
      </c>
      <c r="AK232" s="71">
        <v>1.1473150993088556E-2</v>
      </c>
    </row>
    <row r="233" spans="2:37" x14ac:dyDescent="0.35">
      <c r="B233" s="55" t="s">
        <v>373</v>
      </c>
      <c r="C233" s="53" t="s">
        <v>234</v>
      </c>
      <c r="D233" s="53" t="s">
        <v>20</v>
      </c>
      <c r="E233" s="53" t="s">
        <v>554</v>
      </c>
      <c r="F233" s="73" t="str">
        <f t="shared" si="23"/>
        <v/>
      </c>
      <c r="G233" s="60">
        <f t="shared" si="23"/>
        <v>4.9465337545904001E-3</v>
      </c>
      <c r="H233" s="60">
        <f t="shared" si="23"/>
        <v>9.6606166663913001E-3</v>
      </c>
      <c r="I233" s="60">
        <f t="shared" si="23"/>
        <v>1.2157587267781447E-2</v>
      </c>
      <c r="J233" s="63">
        <f t="shared" si="23"/>
        <v>1.4628955388641892E-2</v>
      </c>
      <c r="K233" s="60" t="str">
        <f t="shared" si="24"/>
        <v/>
      </c>
      <c r="L233" s="60">
        <f t="shared" si="24"/>
        <v>1.0572444545904011E-3</v>
      </c>
      <c r="M233" s="60">
        <f t="shared" si="24"/>
        <v>4.7288880663912992E-3</v>
      </c>
      <c r="N233" s="60">
        <f t="shared" si="24"/>
        <v>6.3442350677814473E-3</v>
      </c>
      <c r="O233" s="63">
        <f t="shared" si="24"/>
        <v>7.5057656886418902E-3</v>
      </c>
      <c r="P233" s="55" t="s">
        <v>21</v>
      </c>
      <c r="Q233" s="53" t="s">
        <v>21</v>
      </c>
      <c r="R233" s="94" t="s">
        <v>21</v>
      </c>
      <c r="S233" s="73">
        <v>0</v>
      </c>
      <c r="T233" s="63">
        <f t="shared" si="20"/>
        <v>9.6606166663913001E-3</v>
      </c>
      <c r="V233" s="114">
        <v>1.13132454</v>
      </c>
      <c r="W233" s="72">
        <v>2.8629392300000003</v>
      </c>
      <c r="X233" s="72">
        <v>4.4023858999999996</v>
      </c>
      <c r="Y233" s="72">
        <v>5.7454886099999998</v>
      </c>
      <c r="Z233" s="115">
        <v>7.4457310200000002</v>
      </c>
      <c r="AB233" s="71" t="s">
        <v>21</v>
      </c>
      <c r="AC233" s="71">
        <v>4.9465337545904001E-3</v>
      </c>
      <c r="AD233" s="71">
        <v>9.6606166663913001E-3</v>
      </c>
      <c r="AE233" s="71">
        <v>1.2157587267781447E-2</v>
      </c>
      <c r="AF233" s="63">
        <v>1.4628955388641892E-2</v>
      </c>
      <c r="AG233" s="71" t="s">
        <v>21</v>
      </c>
      <c r="AH233" s="71">
        <v>1.0572444545904011E-3</v>
      </c>
      <c r="AI233" s="71">
        <v>4.7288880663912992E-3</v>
      </c>
      <c r="AJ233" s="71">
        <v>6.3442350677814473E-3</v>
      </c>
      <c r="AK233" s="71">
        <v>7.5057656886418902E-3</v>
      </c>
    </row>
    <row r="234" spans="2:37" x14ac:dyDescent="0.35">
      <c r="B234" s="55" t="s">
        <v>352</v>
      </c>
      <c r="C234" s="53" t="s">
        <v>234</v>
      </c>
      <c r="D234" s="53" t="s">
        <v>20</v>
      </c>
      <c r="E234" s="53" t="s">
        <v>21</v>
      </c>
      <c r="F234" s="73" t="str">
        <f t="shared" si="23"/>
        <v/>
      </c>
      <c r="G234" s="60">
        <f t="shared" si="23"/>
        <v>5.9661912530491641E-3</v>
      </c>
      <c r="H234" s="60">
        <f t="shared" si="23"/>
        <v>1.1535680780270154E-2</v>
      </c>
      <c r="I234" s="60">
        <f t="shared" si="23"/>
        <v>1.4876053035457887E-2</v>
      </c>
      <c r="J234" s="63">
        <f t="shared" si="23"/>
        <v>1.7987635828746556E-2</v>
      </c>
      <c r="K234" s="60" t="str">
        <f t="shared" si="24"/>
        <v/>
      </c>
      <c r="L234" s="60">
        <f t="shared" si="24"/>
        <v>2.1826219530491635E-3</v>
      </c>
      <c r="M234" s="60">
        <f t="shared" si="24"/>
        <v>6.7555289802701535E-3</v>
      </c>
      <c r="N234" s="60">
        <f t="shared" si="24"/>
        <v>9.2530192354578853E-3</v>
      </c>
      <c r="O234" s="63">
        <f t="shared" si="24"/>
        <v>1.1097852628746553E-2</v>
      </c>
      <c r="P234" s="55" t="s">
        <v>21</v>
      </c>
      <c r="Q234" s="53" t="s">
        <v>21</v>
      </c>
      <c r="R234" s="94" t="s">
        <v>21</v>
      </c>
      <c r="S234" s="73">
        <v>0</v>
      </c>
      <c r="T234" s="63">
        <f t="shared" si="20"/>
        <v>1.1535680780270154E-2</v>
      </c>
      <c r="V234" s="114">
        <v>1.13062573</v>
      </c>
      <c r="W234" s="72">
        <v>2.8559692399999999</v>
      </c>
      <c r="X234" s="72">
        <v>4.3747632300000001</v>
      </c>
      <c r="Y234" s="72">
        <v>5.67552916</v>
      </c>
      <c r="Z234" s="115">
        <v>7.2850630700000005</v>
      </c>
      <c r="AB234" s="71" t="s">
        <v>21</v>
      </c>
      <c r="AC234" s="71">
        <v>5.9661912530491641E-3</v>
      </c>
      <c r="AD234" s="71">
        <v>1.1535680780270154E-2</v>
      </c>
      <c r="AE234" s="71">
        <v>1.4876053035457887E-2</v>
      </c>
      <c r="AF234" s="63">
        <v>1.7987635828746556E-2</v>
      </c>
      <c r="AG234" s="71" t="s">
        <v>21</v>
      </c>
      <c r="AH234" s="71">
        <v>2.1826219530491635E-3</v>
      </c>
      <c r="AI234" s="71">
        <v>6.7555289802701535E-3</v>
      </c>
      <c r="AJ234" s="71">
        <v>9.2530192354578853E-3</v>
      </c>
      <c r="AK234" s="71">
        <v>1.1097852628746553E-2</v>
      </c>
    </row>
    <row r="235" spans="2:37" x14ac:dyDescent="0.35">
      <c r="B235" s="55" t="s">
        <v>158</v>
      </c>
      <c r="C235" s="53" t="s">
        <v>234</v>
      </c>
      <c r="D235" s="53" t="s">
        <v>31</v>
      </c>
      <c r="E235" s="53" t="s">
        <v>21</v>
      </c>
      <c r="F235" s="73" t="str">
        <f t="shared" si="23"/>
        <v/>
      </c>
      <c r="G235" s="60">
        <f t="shared" si="23"/>
        <v>5.7116987022016747E-3</v>
      </c>
      <c r="H235" s="60">
        <f t="shared" si="23"/>
        <v>1.0986144404754638E-2</v>
      </c>
      <c r="I235" s="60">
        <f t="shared" si="23"/>
        <v>1.3899037050124012E-2</v>
      </c>
      <c r="J235" s="63">
        <f t="shared" si="23"/>
        <v>1.6970477281956872E-2</v>
      </c>
      <c r="K235" s="60" t="str">
        <f t="shared" si="24"/>
        <v/>
      </c>
      <c r="L235" s="60">
        <f t="shared" si="24"/>
        <v>1.9054399022016746E-3</v>
      </c>
      <c r="M235" s="60">
        <f t="shared" si="24"/>
        <v>6.1683371047546402E-3</v>
      </c>
      <c r="N235" s="60">
        <f t="shared" si="24"/>
        <v>8.2199771501240138E-3</v>
      </c>
      <c r="O235" s="63">
        <f t="shared" si="24"/>
        <v>1.0021096681956873E-2</v>
      </c>
      <c r="P235" s="55" t="s">
        <v>21</v>
      </c>
      <c r="Q235" s="53" t="s">
        <v>21</v>
      </c>
      <c r="R235" s="94" t="s">
        <v>21</v>
      </c>
      <c r="S235" s="73">
        <v>0</v>
      </c>
      <c r="T235" s="63">
        <f t="shared" si="20"/>
        <v>1.0986144404754638E-2</v>
      </c>
      <c r="V235" s="114">
        <v>1.1300304299999999</v>
      </c>
      <c r="W235" s="72">
        <v>2.8557267300000002</v>
      </c>
      <c r="X235" s="72">
        <v>4.3799965500000004</v>
      </c>
      <c r="Y235" s="72">
        <v>5.6961743799999995</v>
      </c>
      <c r="Z235" s="115">
        <v>7.3362494900000002</v>
      </c>
      <c r="AB235" s="71" t="s">
        <v>21</v>
      </c>
      <c r="AC235" s="71">
        <v>5.7116987022016747E-3</v>
      </c>
      <c r="AD235" s="71">
        <v>1.0986144404754638E-2</v>
      </c>
      <c r="AE235" s="71">
        <v>1.3899037050124012E-2</v>
      </c>
      <c r="AF235" s="63">
        <v>1.6970477281956872E-2</v>
      </c>
      <c r="AG235" s="71" t="s">
        <v>21</v>
      </c>
      <c r="AH235" s="71">
        <v>1.9054399022016746E-3</v>
      </c>
      <c r="AI235" s="71">
        <v>6.1683371047546402E-3</v>
      </c>
      <c r="AJ235" s="71">
        <v>8.2199771501240138E-3</v>
      </c>
      <c r="AK235" s="71">
        <v>1.0021096681956873E-2</v>
      </c>
    </row>
    <row r="236" spans="2:37" x14ac:dyDescent="0.35">
      <c r="B236" s="55" t="s">
        <v>372</v>
      </c>
      <c r="C236" s="53" t="s">
        <v>234</v>
      </c>
      <c r="D236" s="53" t="s">
        <v>69</v>
      </c>
      <c r="E236" s="53" t="s">
        <v>258</v>
      </c>
      <c r="F236" s="73" t="str">
        <f t="shared" si="23"/>
        <v/>
      </c>
      <c r="G236" s="60">
        <f t="shared" si="23"/>
        <v>5.6120020151610587E-3</v>
      </c>
      <c r="H236" s="60">
        <f t="shared" si="23"/>
        <v>1.0998799527761425E-2</v>
      </c>
      <c r="I236" s="60">
        <f t="shared" si="23"/>
        <v>1.3704364299312445E-2</v>
      </c>
      <c r="J236" s="63">
        <f t="shared" si="23"/>
        <v>1.6421247228655206E-2</v>
      </c>
      <c r="K236" s="60" t="str">
        <f t="shared" si="24"/>
        <v/>
      </c>
      <c r="L236" s="60">
        <f t="shared" si="24"/>
        <v>1.7957768151610582E-3</v>
      </c>
      <c r="M236" s="60">
        <f t="shared" si="24"/>
        <v>6.1821608277614244E-3</v>
      </c>
      <c r="N236" s="60">
        <f t="shared" si="24"/>
        <v>8.0143351993124459E-3</v>
      </c>
      <c r="O236" s="63">
        <f t="shared" si="24"/>
        <v>9.4407258286552075E-3</v>
      </c>
      <c r="P236" s="55" t="s">
        <v>21</v>
      </c>
      <c r="Q236" s="53" t="s">
        <v>21</v>
      </c>
      <c r="R236" s="94" t="s">
        <v>21</v>
      </c>
      <c r="S236" s="73">
        <v>0</v>
      </c>
      <c r="T236" s="63">
        <f t="shared" si="20"/>
        <v>1.0998799527761425E-2</v>
      </c>
      <c r="V236" s="114">
        <v>1.13098196</v>
      </c>
      <c r="W236" s="72">
        <v>2.8581293300000001</v>
      </c>
      <c r="X236" s="72">
        <v>4.3825452799999995</v>
      </c>
      <c r="Y236" s="72">
        <v>5.7011227</v>
      </c>
      <c r="Z236" s="115">
        <v>7.3538577399999996</v>
      </c>
      <c r="AB236" s="71" t="s">
        <v>21</v>
      </c>
      <c r="AC236" s="71">
        <v>5.6120020151610587E-3</v>
      </c>
      <c r="AD236" s="71">
        <v>1.0998799527761425E-2</v>
      </c>
      <c r="AE236" s="71">
        <v>1.3704364299312445E-2</v>
      </c>
      <c r="AF236" s="63">
        <v>1.6421247228655206E-2</v>
      </c>
      <c r="AG236" s="71" t="s">
        <v>21</v>
      </c>
      <c r="AH236" s="71">
        <v>1.7957768151610582E-3</v>
      </c>
      <c r="AI236" s="71">
        <v>6.1821608277614244E-3</v>
      </c>
      <c r="AJ236" s="71">
        <v>8.0143351993124459E-3</v>
      </c>
      <c r="AK236" s="71">
        <v>9.4407258286552075E-3</v>
      </c>
    </row>
    <row r="237" spans="2:37" x14ac:dyDescent="0.35">
      <c r="B237" s="55" t="s">
        <v>365</v>
      </c>
      <c r="C237" s="53" t="s">
        <v>234</v>
      </c>
      <c r="D237" s="53" t="s">
        <v>69</v>
      </c>
      <c r="E237" s="53" t="s">
        <v>21</v>
      </c>
      <c r="F237" s="73" t="str">
        <f t="shared" si="23"/>
        <v/>
      </c>
      <c r="G237" s="60">
        <f t="shared" si="23"/>
        <v>5.550404149442122E-3</v>
      </c>
      <c r="H237" s="60">
        <f t="shared" si="23"/>
        <v>1.0785848922635231E-2</v>
      </c>
      <c r="I237" s="60">
        <f t="shared" si="23"/>
        <v>1.360717324725897E-2</v>
      </c>
      <c r="J237" s="63">
        <f t="shared" si="23"/>
        <v>1.6480230587581409E-2</v>
      </c>
      <c r="K237" s="60" t="str">
        <f t="shared" si="24"/>
        <v/>
      </c>
      <c r="L237" s="60">
        <f t="shared" si="24"/>
        <v>1.7284875494421197E-3</v>
      </c>
      <c r="M237" s="60">
        <f t="shared" si="24"/>
        <v>5.9530487226352336E-3</v>
      </c>
      <c r="N237" s="60">
        <f t="shared" si="24"/>
        <v>7.909273947258974E-3</v>
      </c>
      <c r="O237" s="63">
        <f t="shared" si="24"/>
        <v>9.5013209875814079E-3</v>
      </c>
      <c r="P237" s="55" t="s">
        <v>21</v>
      </c>
      <c r="Q237" s="53" t="s">
        <v>21</v>
      </c>
      <c r="R237" s="94" t="s">
        <v>21</v>
      </c>
      <c r="S237" s="73">
        <v>0</v>
      </c>
      <c r="T237" s="63">
        <f t="shared" si="20"/>
        <v>1.0785848922635231E-2</v>
      </c>
      <c r="V237" s="114">
        <v>1.13015215</v>
      </c>
      <c r="W237" s="72">
        <v>2.8569708199999999</v>
      </c>
      <c r="X237" s="72">
        <v>4.3836164799999997</v>
      </c>
      <c r="Y237" s="72">
        <v>5.7041434899999999</v>
      </c>
      <c r="Z237" s="115">
        <v>7.356374240000001</v>
      </c>
      <c r="AB237" s="71" t="s">
        <v>21</v>
      </c>
      <c r="AC237" s="71">
        <v>5.550404149442122E-3</v>
      </c>
      <c r="AD237" s="71">
        <v>1.0785848922635231E-2</v>
      </c>
      <c r="AE237" s="71">
        <v>1.360717324725897E-2</v>
      </c>
      <c r="AF237" s="63">
        <v>1.6480230587581409E-2</v>
      </c>
      <c r="AG237" s="71" t="s">
        <v>21</v>
      </c>
      <c r="AH237" s="71">
        <v>1.7284875494421197E-3</v>
      </c>
      <c r="AI237" s="71">
        <v>5.9530487226352336E-3</v>
      </c>
      <c r="AJ237" s="71">
        <v>7.909273947258974E-3</v>
      </c>
      <c r="AK237" s="71">
        <v>9.5013209875814079E-3</v>
      </c>
    </row>
    <row r="238" spans="2:37" x14ac:dyDescent="0.35">
      <c r="B238" s="55" t="s">
        <v>373</v>
      </c>
      <c r="C238" s="53" t="s">
        <v>234</v>
      </c>
      <c r="D238" s="53" t="s">
        <v>20</v>
      </c>
      <c r="E238" s="53" t="s">
        <v>251</v>
      </c>
      <c r="F238" s="73" t="str">
        <f t="shared" si="23"/>
        <v/>
      </c>
      <c r="G238" s="60">
        <f t="shared" si="23"/>
        <v>4.9465337545904001E-3</v>
      </c>
      <c r="H238" s="60">
        <f t="shared" si="23"/>
        <v>9.6606166663913001E-3</v>
      </c>
      <c r="I238" s="60">
        <f t="shared" si="23"/>
        <v>1.2157587267781447E-2</v>
      </c>
      <c r="J238" s="63">
        <f t="shared" si="23"/>
        <v>1.4628955388641892E-2</v>
      </c>
      <c r="K238" s="60" t="str">
        <f t="shared" si="24"/>
        <v/>
      </c>
      <c r="L238" s="60">
        <f t="shared" si="24"/>
        <v>1.0572444545904011E-3</v>
      </c>
      <c r="M238" s="60">
        <f t="shared" si="24"/>
        <v>4.7288880663912992E-3</v>
      </c>
      <c r="N238" s="60">
        <f t="shared" si="24"/>
        <v>6.3442350677814473E-3</v>
      </c>
      <c r="O238" s="63">
        <f t="shared" si="24"/>
        <v>7.5057656886418902E-3</v>
      </c>
      <c r="P238" s="55" t="s">
        <v>21</v>
      </c>
      <c r="Q238" s="53" t="s">
        <v>21</v>
      </c>
      <c r="R238" s="94" t="s">
        <v>21</v>
      </c>
      <c r="S238" s="73">
        <v>0</v>
      </c>
      <c r="T238" s="63">
        <f t="shared" si="20"/>
        <v>9.6606166663913001E-3</v>
      </c>
      <c r="V238" s="114">
        <v>1.13132454</v>
      </c>
      <c r="W238" s="72">
        <v>2.8629392300000003</v>
      </c>
      <c r="X238" s="72">
        <v>4.4023858999999996</v>
      </c>
      <c r="Y238" s="72">
        <v>5.7454886099999998</v>
      </c>
      <c r="Z238" s="115">
        <v>7.4457310200000002</v>
      </c>
      <c r="AB238" s="71" t="s">
        <v>21</v>
      </c>
      <c r="AC238" s="71">
        <v>4.9465337545904001E-3</v>
      </c>
      <c r="AD238" s="71">
        <v>9.6606166663913001E-3</v>
      </c>
      <c r="AE238" s="71">
        <v>1.2157587267781447E-2</v>
      </c>
      <c r="AF238" s="63">
        <v>1.4628955388641892E-2</v>
      </c>
      <c r="AG238" s="71" t="s">
        <v>21</v>
      </c>
      <c r="AH238" s="71">
        <v>1.0572444545904011E-3</v>
      </c>
      <c r="AI238" s="71">
        <v>4.7288880663912992E-3</v>
      </c>
      <c r="AJ238" s="71">
        <v>6.3442350677814473E-3</v>
      </c>
      <c r="AK238" s="71">
        <v>7.5057656886418902E-3</v>
      </c>
    </row>
    <row r="239" spans="2:37" x14ac:dyDescent="0.35">
      <c r="B239" s="55" t="s">
        <v>357</v>
      </c>
      <c r="C239" s="53" t="s">
        <v>234</v>
      </c>
      <c r="D239" s="53" t="s">
        <v>20</v>
      </c>
      <c r="E239" s="53" t="s">
        <v>58</v>
      </c>
      <c r="F239" s="73" t="str">
        <f t="shared" si="23"/>
        <v/>
      </c>
      <c r="G239" s="60">
        <f t="shared" si="23"/>
        <v>6.548668993771628E-3</v>
      </c>
      <c r="H239" s="60">
        <f t="shared" si="23"/>
        <v>1.2315967655661678E-2</v>
      </c>
      <c r="I239" s="60">
        <f t="shared" si="23"/>
        <v>1.5401551735308395E-2</v>
      </c>
      <c r="J239" s="63">
        <f t="shared" si="23"/>
        <v>1.853649071928563E-2</v>
      </c>
      <c r="K239" s="60" t="str">
        <f t="shared" si="24"/>
        <v/>
      </c>
      <c r="L239" s="60">
        <f t="shared" si="24"/>
        <v>2.8160309937716285E-3</v>
      </c>
      <c r="M239" s="60">
        <f t="shared" si="24"/>
        <v>7.58350115566168E-3</v>
      </c>
      <c r="N239" s="60">
        <f t="shared" si="24"/>
        <v>9.8060695353084006E-3</v>
      </c>
      <c r="O239" s="63">
        <f t="shared" si="24"/>
        <v>1.1672153919285628E-2</v>
      </c>
      <c r="P239" s="55" t="s">
        <v>21</v>
      </c>
      <c r="Q239" s="53" t="s">
        <v>21</v>
      </c>
      <c r="R239" s="94" t="s">
        <v>21</v>
      </c>
      <c r="S239" s="73">
        <v>0</v>
      </c>
      <c r="T239" s="63">
        <f t="shared" si="20"/>
        <v>1.2315967655661678E-2</v>
      </c>
      <c r="V239" s="114">
        <v>1.1295608800000001</v>
      </c>
      <c r="W239" s="72">
        <v>2.84886361</v>
      </c>
      <c r="X239" s="72">
        <v>4.3584655300000001</v>
      </c>
      <c r="Y239" s="72">
        <v>5.6502614099999997</v>
      </c>
      <c r="Z239" s="115">
        <v>7.24525036</v>
      </c>
      <c r="AB239" s="71" t="s">
        <v>21</v>
      </c>
      <c r="AC239" s="71">
        <v>6.548668993771628E-3</v>
      </c>
      <c r="AD239" s="71">
        <v>1.2315967655661678E-2</v>
      </c>
      <c r="AE239" s="71">
        <v>1.5401551735308395E-2</v>
      </c>
      <c r="AF239" s="63">
        <v>1.853649071928563E-2</v>
      </c>
      <c r="AG239" s="71" t="s">
        <v>21</v>
      </c>
      <c r="AH239" s="71">
        <v>2.8160309937716285E-3</v>
      </c>
      <c r="AI239" s="71">
        <v>7.58350115566168E-3</v>
      </c>
      <c r="AJ239" s="71">
        <v>9.8060695353084006E-3</v>
      </c>
      <c r="AK239" s="71">
        <v>1.1672153919285628E-2</v>
      </c>
    </row>
    <row r="240" spans="2:37" x14ac:dyDescent="0.35">
      <c r="B240" s="55" t="s">
        <v>263</v>
      </c>
      <c r="C240" s="53" t="s">
        <v>234</v>
      </c>
      <c r="D240" s="53" t="s">
        <v>62</v>
      </c>
      <c r="E240" s="53" t="s">
        <v>128</v>
      </c>
      <c r="F240" s="73" t="str">
        <f t="shared" si="23"/>
        <v/>
      </c>
      <c r="G240" s="60">
        <f t="shared" si="23"/>
        <v>5.6106422111906681E-3</v>
      </c>
      <c r="H240" s="60">
        <f t="shared" si="23"/>
        <v>1.0679461643347155E-2</v>
      </c>
      <c r="I240" s="60">
        <f t="shared" si="23"/>
        <v>1.3457411873553347E-2</v>
      </c>
      <c r="J240" s="63">
        <f t="shared" si="23"/>
        <v>1.6335488932171894E-2</v>
      </c>
      <c r="K240" s="60" t="str">
        <f t="shared" si="24"/>
        <v/>
      </c>
      <c r="L240" s="60">
        <f t="shared" si="24"/>
        <v>1.7948931111906683E-3</v>
      </c>
      <c r="M240" s="60">
        <f t="shared" si="24"/>
        <v>5.8387916433471562E-3</v>
      </c>
      <c r="N240" s="60">
        <f t="shared" si="24"/>
        <v>7.749293373553348E-3</v>
      </c>
      <c r="O240" s="63">
        <f t="shared" si="24"/>
        <v>9.3463443321718902E-3</v>
      </c>
      <c r="P240" s="55" t="s">
        <v>555</v>
      </c>
      <c r="Q240" s="53" t="s">
        <v>556</v>
      </c>
      <c r="R240" s="94">
        <v>47649</v>
      </c>
      <c r="S240" s="73">
        <v>6.8950299999999999E-3</v>
      </c>
      <c r="T240" s="63">
        <f t="shared" si="20"/>
        <v>3.7844316433471546E-3</v>
      </c>
      <c r="V240" s="114">
        <v>1.1301151</v>
      </c>
      <c r="W240" s="72">
        <v>2.8565156800000002</v>
      </c>
      <c r="X240" s="72">
        <v>4.3840356099999997</v>
      </c>
      <c r="Y240" s="72">
        <v>5.7068457099999996</v>
      </c>
      <c r="Z240" s="115">
        <v>7.3632338399999995</v>
      </c>
      <c r="AB240" s="71" t="s">
        <v>21</v>
      </c>
      <c r="AC240" s="71">
        <v>5.6106422111906681E-3</v>
      </c>
      <c r="AD240" s="71">
        <v>1.0679461643347155E-2</v>
      </c>
      <c r="AE240" s="71">
        <v>1.3457411873553347E-2</v>
      </c>
      <c r="AF240" s="63">
        <v>1.6335488932171894E-2</v>
      </c>
      <c r="AG240" s="71" t="s">
        <v>21</v>
      </c>
      <c r="AH240" s="71">
        <v>1.7948931111906683E-3</v>
      </c>
      <c r="AI240" s="71">
        <v>5.8387916433471562E-3</v>
      </c>
      <c r="AJ240" s="71">
        <v>7.749293373553348E-3</v>
      </c>
      <c r="AK240" s="71">
        <v>9.3463443321718902E-3</v>
      </c>
    </row>
    <row r="241" spans="2:37" x14ac:dyDescent="0.35">
      <c r="B241" s="55" t="s">
        <v>265</v>
      </c>
      <c r="C241" s="53" t="s">
        <v>234</v>
      </c>
      <c r="D241" s="53" t="s">
        <v>31</v>
      </c>
      <c r="E241" s="53" t="s">
        <v>21</v>
      </c>
      <c r="F241" s="73" t="str">
        <f t="shared" si="23"/>
        <v/>
      </c>
      <c r="G241" s="60">
        <f t="shared" si="23"/>
        <v>5.3316261894924399E-3</v>
      </c>
      <c r="H241" s="60">
        <f t="shared" si="23"/>
        <v>1.0697703119342823E-2</v>
      </c>
      <c r="I241" s="60">
        <f t="shared" si="23"/>
        <v>1.362086331709525E-2</v>
      </c>
      <c r="J241" s="63">
        <f t="shared" si="23"/>
        <v>1.6179491545958821E-2</v>
      </c>
      <c r="K241" s="60" t="str">
        <f t="shared" si="24"/>
        <v/>
      </c>
      <c r="L241" s="60">
        <f t="shared" si="24"/>
        <v>1.4865921894924423E-3</v>
      </c>
      <c r="M241" s="60">
        <f t="shared" si="24"/>
        <v>5.8575104193428233E-3</v>
      </c>
      <c r="N241" s="60">
        <f t="shared" si="24"/>
        <v>7.9233787170952426E-3</v>
      </c>
      <c r="O241" s="63">
        <f t="shared" si="24"/>
        <v>9.1834021459588199E-3</v>
      </c>
      <c r="P241" s="55" t="s">
        <v>21</v>
      </c>
      <c r="Q241" s="53" t="s">
        <v>21</v>
      </c>
      <c r="R241" s="94" t="s">
        <v>21</v>
      </c>
      <c r="S241" s="73">
        <v>0</v>
      </c>
      <c r="T241" s="63">
        <f t="shared" si="20"/>
        <v>1.0697703119342823E-2</v>
      </c>
      <c r="V241" s="114">
        <v>1.1306087300000001</v>
      </c>
      <c r="W241" s="72">
        <v>2.8592185099999998</v>
      </c>
      <c r="X241" s="72">
        <v>4.3873384499999997</v>
      </c>
      <c r="Y241" s="72">
        <v>5.7079581499999996</v>
      </c>
      <c r="Z241" s="115">
        <v>7.3660191499999996</v>
      </c>
      <c r="AB241" s="71" t="s">
        <v>21</v>
      </c>
      <c r="AC241" s="71">
        <v>5.3316261894924399E-3</v>
      </c>
      <c r="AD241" s="71">
        <v>1.0697703119342823E-2</v>
      </c>
      <c r="AE241" s="71">
        <v>1.362086331709525E-2</v>
      </c>
      <c r="AF241" s="63">
        <v>1.6179491545958821E-2</v>
      </c>
      <c r="AG241" s="71" t="s">
        <v>21</v>
      </c>
      <c r="AH241" s="71">
        <v>1.4865921894924423E-3</v>
      </c>
      <c r="AI241" s="71">
        <v>5.8575104193428233E-3</v>
      </c>
      <c r="AJ241" s="71">
        <v>7.9233787170952426E-3</v>
      </c>
      <c r="AK241" s="71">
        <v>9.1834021459588199E-3</v>
      </c>
    </row>
    <row r="242" spans="2:37" x14ac:dyDescent="0.35">
      <c r="B242" s="55" t="s">
        <v>366</v>
      </c>
      <c r="C242" s="53" t="s">
        <v>234</v>
      </c>
      <c r="D242" s="53" t="s">
        <v>20</v>
      </c>
      <c r="E242" s="53" t="s">
        <v>21</v>
      </c>
      <c r="F242" s="73" t="str">
        <f t="shared" si="23"/>
        <v/>
      </c>
      <c r="G242" s="60">
        <f t="shared" si="23"/>
        <v>5.7532971569807037E-3</v>
      </c>
      <c r="H242" s="60">
        <f t="shared" si="23"/>
        <v>1.102903901037949E-2</v>
      </c>
      <c r="I242" s="60">
        <f t="shared" si="23"/>
        <v>1.4047263869658315E-2</v>
      </c>
      <c r="J242" s="63">
        <f t="shared" si="23"/>
        <v>1.7412753904272382E-2</v>
      </c>
      <c r="K242" s="60" t="str">
        <f t="shared" si="24"/>
        <v/>
      </c>
      <c r="L242" s="60">
        <f t="shared" si="24"/>
        <v>1.9502021569807034E-3</v>
      </c>
      <c r="M242" s="60">
        <f t="shared" si="24"/>
        <v>6.2142267103794946E-3</v>
      </c>
      <c r="N242" s="60">
        <f t="shared" si="24"/>
        <v>8.3778963696583171E-3</v>
      </c>
      <c r="O242" s="63">
        <f t="shared" si="24"/>
        <v>1.0489440904272382E-2</v>
      </c>
      <c r="P242" s="55" t="s">
        <v>392</v>
      </c>
      <c r="Q242" s="53" t="s">
        <v>393</v>
      </c>
      <c r="R242" s="94">
        <v>47710</v>
      </c>
      <c r="S242" s="73">
        <v>1.1340049999999999E-2</v>
      </c>
      <c r="T242" s="63">
        <f t="shared" si="20"/>
        <v>-3.1101098962050926E-4</v>
      </c>
      <c r="V242" s="114">
        <v>1.1307381999999999</v>
      </c>
      <c r="W242" s="72">
        <v>2.8574033600000002</v>
      </c>
      <c r="X242" s="72">
        <v>4.3816206199999996</v>
      </c>
      <c r="Y242" s="72">
        <v>5.6948309699999999</v>
      </c>
      <c r="Z242" s="115">
        <v>7.3219995899999999</v>
      </c>
      <c r="AB242" s="71" t="s">
        <v>21</v>
      </c>
      <c r="AC242" s="71">
        <v>5.7532971569807037E-3</v>
      </c>
      <c r="AD242" s="71">
        <v>1.102903901037949E-2</v>
      </c>
      <c r="AE242" s="71">
        <v>1.4047263869658315E-2</v>
      </c>
      <c r="AF242" s="63">
        <v>1.7412753904272382E-2</v>
      </c>
      <c r="AG242" s="71" t="s">
        <v>21</v>
      </c>
      <c r="AH242" s="71">
        <v>1.9502021569807034E-3</v>
      </c>
      <c r="AI242" s="71">
        <v>6.2142267103794946E-3</v>
      </c>
      <c r="AJ242" s="71">
        <v>8.3778963696583171E-3</v>
      </c>
      <c r="AK242" s="71">
        <v>1.0489440904272382E-2</v>
      </c>
    </row>
    <row r="243" spans="2:37" x14ac:dyDescent="0.35">
      <c r="B243" s="55" t="s">
        <v>160</v>
      </c>
      <c r="C243" s="53" t="s">
        <v>234</v>
      </c>
      <c r="D243" s="53" t="s">
        <v>43</v>
      </c>
      <c r="E243" s="53" t="s">
        <v>21</v>
      </c>
      <c r="F243" s="73" t="str">
        <f t="shared" si="23"/>
        <v/>
      </c>
      <c r="G243" s="60">
        <f t="shared" si="23"/>
        <v>5.3089970821076273E-3</v>
      </c>
      <c r="H243" s="60">
        <f t="shared" si="23"/>
        <v>1.045026112986374E-2</v>
      </c>
      <c r="I243" s="60">
        <f t="shared" si="23"/>
        <v>1.3131582915844743E-2</v>
      </c>
      <c r="J243" s="63">
        <f t="shared" si="23"/>
        <v>1.5702439658411504E-2</v>
      </c>
      <c r="K243" s="60" t="str">
        <f t="shared" si="24"/>
        <v/>
      </c>
      <c r="L243" s="60">
        <f t="shared" si="24"/>
        <v>1.4609979821076282E-3</v>
      </c>
      <c r="M243" s="60">
        <f t="shared" si="24"/>
        <v>5.5903613298637425E-3</v>
      </c>
      <c r="N243" s="60">
        <f t="shared" si="24"/>
        <v>7.4000978158447464E-3</v>
      </c>
      <c r="O243" s="63">
        <f t="shared" si="24"/>
        <v>8.6705296584115056E-3</v>
      </c>
      <c r="P243" s="55" t="s">
        <v>557</v>
      </c>
      <c r="Q243" s="53" t="s">
        <v>558</v>
      </c>
      <c r="R243" s="94">
        <v>47557</v>
      </c>
      <c r="S243" s="73">
        <v>7.887729999999999E-3</v>
      </c>
      <c r="T243" s="63">
        <f t="shared" si="20"/>
        <v>2.5625311298637411E-3</v>
      </c>
      <c r="V243" s="114">
        <v>1.13123046</v>
      </c>
      <c r="W243" s="72">
        <v>2.8605288999999998</v>
      </c>
      <c r="X243" s="72">
        <v>4.3911775999999998</v>
      </c>
      <c r="Y243" s="72">
        <v>5.7189191399999997</v>
      </c>
      <c r="Z243" s="115">
        <v>7.3907296100000002</v>
      </c>
      <c r="AB243" s="71" t="s">
        <v>21</v>
      </c>
      <c r="AC243" s="71">
        <v>5.3089970821076273E-3</v>
      </c>
      <c r="AD243" s="71">
        <v>1.045026112986374E-2</v>
      </c>
      <c r="AE243" s="71">
        <v>1.3131582915844743E-2</v>
      </c>
      <c r="AF243" s="63">
        <v>1.5702439658411504E-2</v>
      </c>
      <c r="AG243" s="71" t="s">
        <v>21</v>
      </c>
      <c r="AH243" s="71">
        <v>1.4609979821076282E-3</v>
      </c>
      <c r="AI243" s="71">
        <v>5.5903613298637425E-3</v>
      </c>
      <c r="AJ243" s="71">
        <v>7.4000978158447464E-3</v>
      </c>
      <c r="AK243" s="71">
        <v>8.6705296584115056E-3</v>
      </c>
    </row>
    <row r="244" spans="2:37" x14ac:dyDescent="0.35">
      <c r="B244" s="55" t="s">
        <v>364</v>
      </c>
      <c r="C244" s="53" t="s">
        <v>234</v>
      </c>
      <c r="D244" s="53" t="s">
        <v>20</v>
      </c>
      <c r="E244" s="53" t="s">
        <v>21</v>
      </c>
      <c r="F244" s="73" t="str">
        <f t="shared" si="23"/>
        <v/>
      </c>
      <c r="G244" s="60">
        <f t="shared" si="23"/>
        <v>5.3202419309450813E-3</v>
      </c>
      <c r="H244" s="60">
        <f t="shared" si="23"/>
        <v>1.0891888859451122E-2</v>
      </c>
      <c r="I244" s="60">
        <f t="shared" si="23"/>
        <v>1.3770940673181357E-2</v>
      </c>
      <c r="J244" s="63">
        <f t="shared" si="23"/>
        <v>1.6716822749401571E-2</v>
      </c>
      <c r="K244" s="60" t="str">
        <f t="shared" si="24"/>
        <v/>
      </c>
      <c r="L244" s="60">
        <f t="shared" si="24"/>
        <v>1.4737110309450802E-3</v>
      </c>
      <c r="M244" s="60">
        <f t="shared" si="24"/>
        <v>6.0652397594511253E-3</v>
      </c>
      <c r="N244" s="60">
        <f t="shared" si="24"/>
        <v>8.0838820731813574E-3</v>
      </c>
      <c r="O244" s="63">
        <f t="shared" si="24"/>
        <v>9.7553035494015693E-3</v>
      </c>
      <c r="P244" s="55" t="s">
        <v>390</v>
      </c>
      <c r="Q244" s="53" t="s">
        <v>391</v>
      </c>
      <c r="R244" s="94">
        <v>47708</v>
      </c>
      <c r="S244" s="73">
        <v>8.4738599999999997E-3</v>
      </c>
      <c r="T244" s="63">
        <f t="shared" si="20"/>
        <v>2.4180288594511223E-3</v>
      </c>
      <c r="V244" s="114">
        <v>1.1307395899999999</v>
      </c>
      <c r="W244" s="72">
        <v>2.85927533</v>
      </c>
      <c r="X244" s="72">
        <v>4.3866851000000002</v>
      </c>
      <c r="Y244" s="72">
        <v>5.7037417899999996</v>
      </c>
      <c r="Z244" s="115">
        <v>7.3469323500000003</v>
      </c>
      <c r="AB244" s="71" t="s">
        <v>21</v>
      </c>
      <c r="AC244" s="71">
        <v>5.3202419309450813E-3</v>
      </c>
      <c r="AD244" s="71">
        <v>1.0891888859451122E-2</v>
      </c>
      <c r="AE244" s="71">
        <v>1.3770940673181357E-2</v>
      </c>
      <c r="AF244" s="63">
        <v>1.6716822749401571E-2</v>
      </c>
      <c r="AG244" s="71" t="s">
        <v>21</v>
      </c>
      <c r="AH244" s="71">
        <v>1.4737110309450802E-3</v>
      </c>
      <c r="AI244" s="71">
        <v>6.0652397594511253E-3</v>
      </c>
      <c r="AJ244" s="71">
        <v>8.0838820731813574E-3</v>
      </c>
      <c r="AK244" s="71">
        <v>9.7553035494015693E-3</v>
      </c>
    </row>
    <row r="245" spans="2:37" x14ac:dyDescent="0.35">
      <c r="B245" s="55" t="s">
        <v>362</v>
      </c>
      <c r="C245" s="53" t="s">
        <v>234</v>
      </c>
      <c r="D245" s="53" t="s">
        <v>20</v>
      </c>
      <c r="E245" s="53" t="s">
        <v>21</v>
      </c>
      <c r="F245" s="73" t="str">
        <f t="shared" si="23"/>
        <v/>
      </c>
      <c r="G245" s="60">
        <f t="shared" si="23"/>
        <v>5.7562686387881562E-3</v>
      </c>
      <c r="H245" s="60">
        <f t="shared" si="23"/>
        <v>1.0869910729263254E-2</v>
      </c>
      <c r="I245" s="60">
        <f t="shared" si="23"/>
        <v>1.3385901213121897E-2</v>
      </c>
      <c r="J245" s="63">
        <f t="shared" si="23"/>
        <v>1.5962222597242889E-2</v>
      </c>
      <c r="K245" s="60" t="str">
        <f t="shared" si="24"/>
        <v/>
      </c>
      <c r="L245" s="60">
        <f t="shared" si="24"/>
        <v>1.9534386387881578E-3</v>
      </c>
      <c r="M245" s="60">
        <f t="shared" si="24"/>
        <v>6.0434626292632547E-3</v>
      </c>
      <c r="N245" s="60">
        <f t="shared" si="24"/>
        <v>7.6756151131218923E-3</v>
      </c>
      <c r="O245" s="63">
        <f t="shared" si="24"/>
        <v>8.9556526972428899E-3</v>
      </c>
      <c r="P245" s="55" t="s">
        <v>21</v>
      </c>
      <c r="Q245" s="53" t="s">
        <v>21</v>
      </c>
      <c r="R245" s="94" t="s">
        <v>21</v>
      </c>
      <c r="S245" s="73">
        <v>0</v>
      </c>
      <c r="T245" s="63">
        <f t="shared" si="20"/>
        <v>1.0869910729263254E-2</v>
      </c>
      <c r="V245" s="114">
        <v>1.13094966</v>
      </c>
      <c r="W245" s="72">
        <v>2.85736641</v>
      </c>
      <c r="X245" s="72">
        <v>4.3831176699999999</v>
      </c>
      <c r="Y245" s="72">
        <v>5.7039357800000001</v>
      </c>
      <c r="Z245" s="115">
        <v>7.3607901500000006</v>
      </c>
      <c r="AB245" s="71" t="s">
        <v>21</v>
      </c>
      <c r="AC245" s="71">
        <v>5.7562686387881562E-3</v>
      </c>
      <c r="AD245" s="71">
        <v>1.0869910729263254E-2</v>
      </c>
      <c r="AE245" s="71">
        <v>1.3385901213121897E-2</v>
      </c>
      <c r="AF245" s="63">
        <v>1.5962222597242889E-2</v>
      </c>
      <c r="AG245" s="71" t="s">
        <v>21</v>
      </c>
      <c r="AH245" s="71">
        <v>1.9534386387881578E-3</v>
      </c>
      <c r="AI245" s="71">
        <v>6.0434626292632547E-3</v>
      </c>
      <c r="AJ245" s="71">
        <v>7.6756151131218923E-3</v>
      </c>
      <c r="AK245" s="71">
        <v>8.9556526972428899E-3</v>
      </c>
    </row>
    <row r="246" spans="2:37" x14ac:dyDescent="0.35">
      <c r="B246" s="55" t="s">
        <v>363</v>
      </c>
      <c r="C246" s="53" t="s">
        <v>234</v>
      </c>
      <c r="D246" s="53" t="s">
        <v>20</v>
      </c>
      <c r="E246" s="53" t="s">
        <v>266</v>
      </c>
      <c r="F246" s="73" t="str">
        <f t="shared" si="23"/>
        <v/>
      </c>
      <c r="G246" s="60">
        <f t="shared" si="23"/>
        <v>5.5784516640534632E-3</v>
      </c>
      <c r="H246" s="60">
        <f t="shared" si="23"/>
        <v>1.0849332311628015E-2</v>
      </c>
      <c r="I246" s="60">
        <f t="shared" si="23"/>
        <v>1.3875720216578326E-2</v>
      </c>
      <c r="J246" s="63">
        <f t="shared" si="23"/>
        <v>1.7068786474369341E-2</v>
      </c>
      <c r="K246" s="60" t="str">
        <f t="shared" si="24"/>
        <v/>
      </c>
      <c r="L246" s="60">
        <f t="shared" si="24"/>
        <v>1.7584008640534636E-3</v>
      </c>
      <c r="M246" s="60">
        <f t="shared" si="24"/>
        <v>6.0208327116280172E-3</v>
      </c>
      <c r="N246" s="60">
        <f t="shared" si="24"/>
        <v>8.1940888165783245E-3</v>
      </c>
      <c r="O246" s="63">
        <f t="shared" si="24"/>
        <v>1.0125853674369346E-2</v>
      </c>
      <c r="P246" s="55" t="s">
        <v>21</v>
      </c>
      <c r="Q246" s="53" t="s">
        <v>21</v>
      </c>
      <c r="R246" s="94" t="s">
        <v>21</v>
      </c>
      <c r="S246" s="73">
        <v>0</v>
      </c>
      <c r="T246" s="63">
        <f t="shared" si="20"/>
        <v>1.0849332311628015E-2</v>
      </c>
      <c r="V246" s="114">
        <v>1.1310395200000001</v>
      </c>
      <c r="W246" s="72">
        <v>2.8586417399999999</v>
      </c>
      <c r="X246" s="72">
        <v>4.3853456099999999</v>
      </c>
      <c r="Y246" s="72">
        <v>5.7031186199999997</v>
      </c>
      <c r="Z246" s="115">
        <v>7.3395481199999999</v>
      </c>
      <c r="AB246" s="71" t="s">
        <v>21</v>
      </c>
      <c r="AC246" s="71">
        <v>5.5784516640534632E-3</v>
      </c>
      <c r="AD246" s="71">
        <v>1.0849332311628015E-2</v>
      </c>
      <c r="AE246" s="71">
        <v>1.3875720216578326E-2</v>
      </c>
      <c r="AF246" s="63">
        <v>1.7068786474369341E-2</v>
      </c>
      <c r="AG246" s="71" t="s">
        <v>21</v>
      </c>
      <c r="AH246" s="71">
        <v>1.7584008640534636E-3</v>
      </c>
      <c r="AI246" s="71">
        <v>6.0208327116280172E-3</v>
      </c>
      <c r="AJ246" s="71">
        <v>8.1940888165783245E-3</v>
      </c>
      <c r="AK246" s="71">
        <v>1.0125853674369346E-2</v>
      </c>
    </row>
    <row r="247" spans="2:37" x14ac:dyDescent="0.35">
      <c r="B247" s="55" t="s">
        <v>375</v>
      </c>
      <c r="C247" s="53" t="s">
        <v>234</v>
      </c>
      <c r="D247" s="53" t="s">
        <v>20</v>
      </c>
      <c r="E247" s="53" t="s">
        <v>112</v>
      </c>
      <c r="F247" s="73" t="str">
        <f t="shared" si="23"/>
        <v/>
      </c>
      <c r="G247" s="60">
        <f t="shared" si="23"/>
        <v>5.2003828585600312E-3</v>
      </c>
      <c r="H247" s="60">
        <f t="shared" si="23"/>
        <v>1.0835983066190311E-2</v>
      </c>
      <c r="I247" s="60">
        <f t="shared" si="23"/>
        <v>1.3592397742774471E-2</v>
      </c>
      <c r="J247" s="63">
        <f t="shared" si="23"/>
        <v>1.6434276393457854E-2</v>
      </c>
      <c r="K247" s="60" t="str">
        <f t="shared" si="24"/>
        <v/>
      </c>
      <c r="L247" s="60">
        <f t="shared" si="24"/>
        <v>1.3400066585600333E-3</v>
      </c>
      <c r="M247" s="60">
        <f t="shared" si="24"/>
        <v>6.0053510661903118E-3</v>
      </c>
      <c r="N247" s="60">
        <f t="shared" si="24"/>
        <v>7.8950093427744717E-3</v>
      </c>
      <c r="O247" s="63">
        <f t="shared" si="24"/>
        <v>9.4552357934578543E-3</v>
      </c>
      <c r="P247" s="55" t="s">
        <v>398</v>
      </c>
      <c r="Q247" s="53" t="s">
        <v>399</v>
      </c>
      <c r="R247" s="94">
        <v>47825</v>
      </c>
      <c r="S247" s="73">
        <v>1.0036940000000001E-2</v>
      </c>
      <c r="T247" s="63">
        <f t="shared" si="20"/>
        <v>7.9904306619030946E-4</v>
      </c>
      <c r="V247" s="114">
        <v>1.1310774299999999</v>
      </c>
      <c r="W247" s="72">
        <v>2.86113931</v>
      </c>
      <c r="X247" s="72">
        <v>4.3884599800000004</v>
      </c>
      <c r="Y247" s="72">
        <v>5.7067871200000004</v>
      </c>
      <c r="Z247" s="115">
        <v>7.3580866199999999</v>
      </c>
      <c r="AB247" s="71" t="s">
        <v>21</v>
      </c>
      <c r="AC247" s="71">
        <v>5.2003828585600312E-3</v>
      </c>
      <c r="AD247" s="71">
        <v>1.0835983066190311E-2</v>
      </c>
      <c r="AE247" s="71">
        <v>1.3592397742774471E-2</v>
      </c>
      <c r="AF247" s="63">
        <v>1.6434276393457854E-2</v>
      </c>
      <c r="AG247" s="71" t="s">
        <v>21</v>
      </c>
      <c r="AH247" s="71">
        <v>1.3400066585600333E-3</v>
      </c>
      <c r="AI247" s="71">
        <v>6.0053510661903118E-3</v>
      </c>
      <c r="AJ247" s="71">
        <v>7.8950093427744717E-3</v>
      </c>
      <c r="AK247" s="71">
        <v>9.4552357934578543E-3</v>
      </c>
    </row>
    <row r="248" spans="2:37" x14ac:dyDescent="0.35">
      <c r="B248" s="55" t="s">
        <v>355</v>
      </c>
      <c r="C248" s="53" t="s">
        <v>234</v>
      </c>
      <c r="D248" s="53" t="s">
        <v>20</v>
      </c>
      <c r="E248" s="53" t="s">
        <v>21</v>
      </c>
      <c r="F248" s="73" t="str">
        <f t="shared" si="23"/>
        <v/>
      </c>
      <c r="G248" s="60">
        <f t="shared" si="23"/>
        <v>5.1057887952212309E-3</v>
      </c>
      <c r="H248" s="60">
        <f t="shared" si="23"/>
        <v>1.0735571885515275E-2</v>
      </c>
      <c r="I248" s="60">
        <f t="shared" si="23"/>
        <v>1.4150953116053938E-2</v>
      </c>
      <c r="J248" s="63">
        <f t="shared" si="23"/>
        <v>1.7553455697964786E-2</v>
      </c>
      <c r="K248" s="60" t="str">
        <f t="shared" si="24"/>
        <v/>
      </c>
      <c r="L248" s="60">
        <f t="shared" si="24"/>
        <v>1.2349681952212323E-3</v>
      </c>
      <c r="M248" s="60">
        <f t="shared" si="24"/>
        <v>5.8970472855152771E-3</v>
      </c>
      <c r="N248" s="60">
        <f t="shared" si="24"/>
        <v>8.4860982160539378E-3</v>
      </c>
      <c r="O248" s="63">
        <f t="shared" si="24"/>
        <v>1.0638540497964788E-2</v>
      </c>
      <c r="P248" s="55" t="s">
        <v>21</v>
      </c>
      <c r="Q248" s="53" t="s">
        <v>21</v>
      </c>
      <c r="R248" s="94" t="s">
        <v>21</v>
      </c>
      <c r="S248" s="73">
        <v>0</v>
      </c>
      <c r="T248" s="63">
        <f t="shared" si="20"/>
        <v>1.0735571885515275E-2</v>
      </c>
      <c r="V248" s="114">
        <v>1.13135512</v>
      </c>
      <c r="W248" s="72">
        <v>2.8623986000000001</v>
      </c>
      <c r="X248" s="72">
        <v>4.3916059000000001</v>
      </c>
      <c r="Y248" s="72">
        <v>5.70402889</v>
      </c>
      <c r="Z248" s="115">
        <v>7.3279372399999998</v>
      </c>
      <c r="AB248" s="71" t="s">
        <v>21</v>
      </c>
      <c r="AC248" s="71">
        <v>5.1057887952212309E-3</v>
      </c>
      <c r="AD248" s="71">
        <v>1.0735571885515275E-2</v>
      </c>
      <c r="AE248" s="71">
        <v>1.4150953116053938E-2</v>
      </c>
      <c r="AF248" s="63">
        <v>1.7553455697964786E-2</v>
      </c>
      <c r="AG248" s="71" t="s">
        <v>21</v>
      </c>
      <c r="AH248" s="71">
        <v>1.2349681952212323E-3</v>
      </c>
      <c r="AI248" s="71">
        <v>5.8970472855152771E-3</v>
      </c>
      <c r="AJ248" s="71">
        <v>8.4860982160539378E-3</v>
      </c>
      <c r="AK248" s="71">
        <v>1.0638540497964788E-2</v>
      </c>
    </row>
    <row r="249" spans="2:37" x14ac:dyDescent="0.35">
      <c r="B249" s="55" t="s">
        <v>358</v>
      </c>
      <c r="C249" s="53" t="s">
        <v>234</v>
      </c>
      <c r="D249" s="53" t="s">
        <v>20</v>
      </c>
      <c r="E249" s="53" t="s">
        <v>21</v>
      </c>
      <c r="F249" s="73" t="str">
        <f t="shared" si="23"/>
        <v/>
      </c>
      <c r="G249" s="60">
        <f t="shared" si="23"/>
        <v>5.4340872944030815E-3</v>
      </c>
      <c r="H249" s="60">
        <f t="shared" si="23"/>
        <v>1.0711980105870426E-2</v>
      </c>
      <c r="I249" s="60">
        <f t="shared" si="23"/>
        <v>1.4243013133634014E-2</v>
      </c>
      <c r="J249" s="63">
        <f t="shared" si="23"/>
        <v>1.7708668840266353E-2</v>
      </c>
      <c r="K249" s="60" t="str">
        <f t="shared" si="24"/>
        <v/>
      </c>
      <c r="L249" s="60">
        <f t="shared" si="24"/>
        <v>1.5988052944030844E-3</v>
      </c>
      <c r="M249" s="60">
        <f t="shared" si="24"/>
        <v>5.872655705870429E-3</v>
      </c>
      <c r="N249" s="60">
        <f t="shared" si="24"/>
        <v>8.5818559336340097E-3</v>
      </c>
      <c r="O249" s="63">
        <f t="shared" si="24"/>
        <v>1.0800358140266348E-2</v>
      </c>
      <c r="P249" s="55" t="s">
        <v>21</v>
      </c>
      <c r="Q249" s="53" t="s">
        <v>21</v>
      </c>
      <c r="R249" s="94" t="s">
        <v>21</v>
      </c>
      <c r="S249" s="73">
        <v>0</v>
      </c>
      <c r="T249" s="63">
        <f t="shared" si="20"/>
        <v>1.0711980105870426E-2</v>
      </c>
      <c r="V249" s="114">
        <v>1.1309655300000001</v>
      </c>
      <c r="W249" s="72">
        <v>2.8597868900000001</v>
      </c>
      <c r="X249" s="72">
        <v>4.3877722199999996</v>
      </c>
      <c r="Y249" s="72">
        <v>5.7008354299999997</v>
      </c>
      <c r="Z249" s="115">
        <v>7.3207806200000007</v>
      </c>
      <c r="AB249" s="71" t="s">
        <v>21</v>
      </c>
      <c r="AC249" s="71">
        <v>5.4340872944030815E-3</v>
      </c>
      <c r="AD249" s="71">
        <v>1.0711980105870426E-2</v>
      </c>
      <c r="AE249" s="71">
        <v>1.4243013133634014E-2</v>
      </c>
      <c r="AF249" s="63">
        <v>1.7708668840266353E-2</v>
      </c>
      <c r="AG249" s="71" t="s">
        <v>21</v>
      </c>
      <c r="AH249" s="71">
        <v>1.5988052944030844E-3</v>
      </c>
      <c r="AI249" s="71">
        <v>5.872655705870429E-3</v>
      </c>
      <c r="AJ249" s="71">
        <v>8.5818559336340097E-3</v>
      </c>
      <c r="AK249" s="71">
        <v>1.0800358140266348E-2</v>
      </c>
    </row>
    <row r="250" spans="2:37" x14ac:dyDescent="0.35">
      <c r="B250" s="55" t="s">
        <v>370</v>
      </c>
      <c r="C250" s="53" t="s">
        <v>234</v>
      </c>
      <c r="D250" s="53" t="s">
        <v>31</v>
      </c>
      <c r="E250" s="53" t="s">
        <v>21</v>
      </c>
      <c r="F250" s="73" t="str">
        <f t="shared" si="23"/>
        <v/>
      </c>
      <c r="G250" s="60">
        <f t="shared" si="23"/>
        <v>5.1386609633994494E-3</v>
      </c>
      <c r="H250" s="60">
        <f t="shared" si="23"/>
        <v>1.0143203500296486E-2</v>
      </c>
      <c r="I250" s="60">
        <f t="shared" si="23"/>
        <v>1.2841599207592518E-2</v>
      </c>
      <c r="J250" s="63">
        <f t="shared" si="23"/>
        <v>1.5624883799088368E-2</v>
      </c>
      <c r="K250" s="60" t="str">
        <f t="shared" si="24"/>
        <v/>
      </c>
      <c r="L250" s="60">
        <f t="shared" si="24"/>
        <v>1.2721470633994484E-3</v>
      </c>
      <c r="M250" s="60">
        <f t="shared" si="24"/>
        <v>5.2567169002964865E-3</v>
      </c>
      <c r="N250" s="60">
        <f t="shared" si="24"/>
        <v>7.0868070075925209E-3</v>
      </c>
      <c r="O250" s="63">
        <f t="shared" si="24"/>
        <v>8.5840659990883729E-3</v>
      </c>
      <c r="P250" s="55" t="s">
        <v>21</v>
      </c>
      <c r="Q250" s="53" t="s">
        <v>21</v>
      </c>
      <c r="R250" s="94" t="s">
        <v>21</v>
      </c>
      <c r="S250" s="73">
        <v>0</v>
      </c>
      <c r="T250" s="63">
        <f t="shared" si="20"/>
        <v>1.0143203500296486E-2</v>
      </c>
      <c r="V250" s="114">
        <v>1.13080705</v>
      </c>
      <c r="W250" s="72">
        <v>2.86082203</v>
      </c>
      <c r="X250" s="72">
        <v>4.3949393500000005</v>
      </c>
      <c r="Y250" s="72">
        <v>5.72742167</v>
      </c>
      <c r="Z250" s="115">
        <v>7.4030937199999993</v>
      </c>
      <c r="AB250" s="71" t="s">
        <v>21</v>
      </c>
      <c r="AC250" s="71">
        <v>5.1386609633994494E-3</v>
      </c>
      <c r="AD250" s="71">
        <v>1.0143203500296486E-2</v>
      </c>
      <c r="AE250" s="71">
        <v>1.2841599207592518E-2</v>
      </c>
      <c r="AF250" s="63">
        <v>1.5624883799088368E-2</v>
      </c>
      <c r="AG250" s="71" t="s">
        <v>21</v>
      </c>
      <c r="AH250" s="71">
        <v>1.2721470633994484E-3</v>
      </c>
      <c r="AI250" s="71">
        <v>5.2567169002964865E-3</v>
      </c>
      <c r="AJ250" s="71">
        <v>7.0868070075925209E-3</v>
      </c>
      <c r="AK250" s="71">
        <v>8.5840659990883729E-3</v>
      </c>
    </row>
    <row r="251" spans="2:37" x14ac:dyDescent="0.35">
      <c r="B251" s="55" t="s">
        <v>264</v>
      </c>
      <c r="C251" s="53" t="s">
        <v>234</v>
      </c>
      <c r="D251" s="53" t="s">
        <v>97</v>
      </c>
      <c r="E251" s="53" t="s">
        <v>291</v>
      </c>
      <c r="F251" s="73" t="str">
        <f t="shared" si="23"/>
        <v/>
      </c>
      <c r="G251" s="60">
        <f t="shared" si="23"/>
        <v>5.2506977627759625E-3</v>
      </c>
      <c r="H251" s="60">
        <f t="shared" si="23"/>
        <v>1.0041457463217707E-2</v>
      </c>
      <c r="I251" s="60">
        <f t="shared" si="23"/>
        <v>1.2745797741403485E-2</v>
      </c>
      <c r="J251" s="63">
        <f t="shared" si="23"/>
        <v>1.5220204269961592E-2</v>
      </c>
      <c r="K251" s="60" t="str">
        <f t="shared" si="24"/>
        <v/>
      </c>
      <c r="L251" s="60">
        <f t="shared" si="24"/>
        <v>1.3962121627759607E-3</v>
      </c>
      <c r="M251" s="60">
        <f t="shared" si="24"/>
        <v>5.1462641632177078E-3</v>
      </c>
      <c r="N251" s="60">
        <f t="shared" si="24"/>
        <v>6.9831385414034844E-3</v>
      </c>
      <c r="O251" s="63">
        <f t="shared" si="24"/>
        <v>8.1492629699615928E-3</v>
      </c>
      <c r="P251" s="55" t="s">
        <v>559</v>
      </c>
      <c r="Q251" s="53" t="s">
        <v>560</v>
      </c>
      <c r="R251" s="94">
        <v>47648</v>
      </c>
      <c r="S251" s="73">
        <v>7.28E-3</v>
      </c>
      <c r="T251" s="63">
        <f t="shared" si="20"/>
        <v>2.7614574632177074E-3</v>
      </c>
      <c r="V251" s="114">
        <v>1.1311357899999999</v>
      </c>
      <c r="W251" s="72">
        <v>2.8607288400000002</v>
      </c>
      <c r="X251" s="72">
        <v>4.3955761899999999</v>
      </c>
      <c r="Y251" s="72">
        <v>5.7296869900000003</v>
      </c>
      <c r="Z251" s="115">
        <v>7.41443794</v>
      </c>
      <c r="AB251" s="71" t="s">
        <v>21</v>
      </c>
      <c r="AC251" s="71">
        <v>5.2506977627759625E-3</v>
      </c>
      <c r="AD251" s="71">
        <v>1.0041457463217707E-2</v>
      </c>
      <c r="AE251" s="71">
        <v>1.2745797741403485E-2</v>
      </c>
      <c r="AF251" s="63">
        <v>1.5220204269961592E-2</v>
      </c>
      <c r="AG251" s="71" t="s">
        <v>21</v>
      </c>
      <c r="AH251" s="71">
        <v>1.3962121627759607E-3</v>
      </c>
      <c r="AI251" s="71">
        <v>5.1462641632177078E-3</v>
      </c>
      <c r="AJ251" s="71">
        <v>6.9831385414034844E-3</v>
      </c>
      <c r="AK251" s="71">
        <v>8.1492629699615928E-3</v>
      </c>
    </row>
    <row r="252" spans="2:37" x14ac:dyDescent="0.35">
      <c r="B252" s="55" t="s">
        <v>371</v>
      </c>
      <c r="C252" s="53" t="s">
        <v>234</v>
      </c>
      <c r="D252" s="53" t="s">
        <v>20</v>
      </c>
      <c r="E252" s="53" t="s">
        <v>21</v>
      </c>
      <c r="F252" s="73" t="str">
        <f t="shared" si="23"/>
        <v/>
      </c>
      <c r="G252" s="60">
        <f t="shared" si="23"/>
        <v>5.2330908000944674E-3</v>
      </c>
      <c r="H252" s="60">
        <f t="shared" si="23"/>
        <v>1.016615667881092E-2</v>
      </c>
      <c r="I252" s="60">
        <f t="shared" si="23"/>
        <v>1.2687864459203609E-2</v>
      </c>
      <c r="J252" s="63">
        <f t="shared" si="23"/>
        <v>1.551906498430613E-2</v>
      </c>
      <c r="K252" s="60" t="str">
        <f t="shared" si="24"/>
        <v/>
      </c>
      <c r="L252" s="60">
        <f t="shared" si="24"/>
        <v>1.3768071000944677E-3</v>
      </c>
      <c r="M252" s="60">
        <f t="shared" si="24"/>
        <v>5.2815766788109194E-3</v>
      </c>
      <c r="N252" s="60">
        <f t="shared" si="24"/>
        <v>6.9216923592036158E-3</v>
      </c>
      <c r="O252" s="63">
        <f t="shared" si="24"/>
        <v>8.4704489843061351E-3</v>
      </c>
      <c r="P252" s="55" t="s">
        <v>21</v>
      </c>
      <c r="Q252" s="53" t="s">
        <v>21</v>
      </c>
      <c r="R252" s="94" t="s">
        <v>21</v>
      </c>
      <c r="S252" s="73">
        <v>0</v>
      </c>
      <c r="T252" s="63">
        <f t="shared" si="20"/>
        <v>1.016615667881092E-2</v>
      </c>
      <c r="V252" s="114">
        <v>1.13092036</v>
      </c>
      <c r="W252" s="72">
        <v>2.8604815700000001</v>
      </c>
      <c r="X252" s="72">
        <v>4.3944730299999994</v>
      </c>
      <c r="Y252" s="72">
        <v>5.7282973999999998</v>
      </c>
      <c r="Z252" s="115">
        <v>7.4055356099999994</v>
      </c>
      <c r="AB252" s="71" t="s">
        <v>21</v>
      </c>
      <c r="AC252" s="71">
        <v>5.2330908000944674E-3</v>
      </c>
      <c r="AD252" s="71">
        <v>1.016615667881092E-2</v>
      </c>
      <c r="AE252" s="71">
        <v>1.2687864459203609E-2</v>
      </c>
      <c r="AF252" s="63">
        <v>1.551906498430613E-2</v>
      </c>
      <c r="AG252" s="71" t="s">
        <v>21</v>
      </c>
      <c r="AH252" s="71">
        <v>1.3768071000944677E-3</v>
      </c>
      <c r="AI252" s="71">
        <v>5.2815766788109194E-3</v>
      </c>
      <c r="AJ252" s="71">
        <v>6.9216923592036158E-3</v>
      </c>
      <c r="AK252" s="71">
        <v>8.4704489843061351E-3</v>
      </c>
    </row>
    <row r="253" spans="2:37" x14ac:dyDescent="0.35">
      <c r="B253" s="55" t="s">
        <v>148</v>
      </c>
      <c r="C253" s="53" t="s">
        <v>234</v>
      </c>
      <c r="D253" s="53" t="s">
        <v>20</v>
      </c>
      <c r="E253" s="53" t="s">
        <v>21</v>
      </c>
      <c r="F253" s="73" t="str">
        <f t="shared" si="23"/>
        <v/>
      </c>
      <c r="G253" s="60">
        <f t="shared" si="23"/>
        <v>4.7312233378043467E-3</v>
      </c>
      <c r="H253" s="60">
        <f t="shared" si="23"/>
        <v>1.0153534465028717E-2</v>
      </c>
      <c r="I253" s="60">
        <f t="shared" si="23"/>
        <v>1.3455455315473874E-2</v>
      </c>
      <c r="J253" s="63">
        <f t="shared" si="23"/>
        <v>1.6688186500378538E-2</v>
      </c>
      <c r="K253" s="60" t="str">
        <f t="shared" si="24"/>
        <v/>
      </c>
      <c r="L253" s="60">
        <f t="shared" si="24"/>
        <v>8.1484133780434804E-4</v>
      </c>
      <c r="M253" s="60">
        <f t="shared" si="24"/>
        <v>5.2660674650287179E-3</v>
      </c>
      <c r="N253" s="60">
        <f t="shared" si="24"/>
        <v>7.7442197154738721E-3</v>
      </c>
      <c r="O253" s="63">
        <f t="shared" si="24"/>
        <v>9.7225570003785337E-3</v>
      </c>
      <c r="P253" s="55" t="s">
        <v>561</v>
      </c>
      <c r="Q253" s="53" t="s">
        <v>562</v>
      </c>
      <c r="R253" s="94">
        <v>47515</v>
      </c>
      <c r="S253" s="73">
        <v>9.7237899999999995E-3</v>
      </c>
      <c r="T253" s="63">
        <f t="shared" si="20"/>
        <v>4.2974446502871792E-4</v>
      </c>
      <c r="V253" s="114">
        <v>1.1316386199999999</v>
      </c>
      <c r="W253" s="72">
        <v>2.86525126</v>
      </c>
      <c r="X253" s="72">
        <v>4.40072435</v>
      </c>
      <c r="Y253" s="72">
        <v>5.7241299699999999</v>
      </c>
      <c r="Z253" s="115">
        <v>7.3702217900000004</v>
      </c>
      <c r="AB253" s="71" t="s">
        <v>21</v>
      </c>
      <c r="AC253" s="71">
        <v>4.7312233378043467E-3</v>
      </c>
      <c r="AD253" s="71">
        <v>1.0153534465028717E-2</v>
      </c>
      <c r="AE253" s="71">
        <v>1.3455455315473874E-2</v>
      </c>
      <c r="AF253" s="63">
        <v>1.6688186500378538E-2</v>
      </c>
      <c r="AG253" s="71" t="s">
        <v>21</v>
      </c>
      <c r="AH253" s="71">
        <v>8.1484133780434804E-4</v>
      </c>
      <c r="AI253" s="71">
        <v>5.2660674650287179E-3</v>
      </c>
      <c r="AJ253" s="71">
        <v>7.7442197154738721E-3</v>
      </c>
      <c r="AK253" s="71">
        <v>9.7225570003785337E-3</v>
      </c>
    </row>
    <row r="254" spans="2:37" x14ac:dyDescent="0.35">
      <c r="B254" s="55" t="s">
        <v>369</v>
      </c>
      <c r="C254" s="53" t="s">
        <v>234</v>
      </c>
      <c r="D254" s="53" t="s">
        <v>20</v>
      </c>
      <c r="E254" s="53" t="s">
        <v>258</v>
      </c>
      <c r="F254" s="73" t="str">
        <f t="shared" si="23"/>
        <v/>
      </c>
      <c r="G254" s="60">
        <f t="shared" si="23"/>
        <v>4.9776050702737612E-3</v>
      </c>
      <c r="H254" s="60">
        <f t="shared" si="23"/>
        <v>1.0055002354234238E-2</v>
      </c>
      <c r="I254" s="60">
        <f t="shared" si="23"/>
        <v>1.3278083564448769E-2</v>
      </c>
      <c r="J254" s="63">
        <f t="shared" si="23"/>
        <v>1.5850967220768196E-2</v>
      </c>
      <c r="K254" s="60" t="str">
        <f t="shared" si="24"/>
        <v/>
      </c>
      <c r="L254" s="60">
        <f t="shared" si="24"/>
        <v>1.0913092702737612E-3</v>
      </c>
      <c r="M254" s="60">
        <f t="shared" si="24"/>
        <v>5.1600133542342389E-3</v>
      </c>
      <c r="N254" s="60">
        <f t="shared" si="24"/>
        <v>7.5538437644487753E-3</v>
      </c>
      <c r="O254" s="63">
        <f t="shared" si="24"/>
        <v>8.8302240207681973E-3</v>
      </c>
      <c r="P254" s="55" t="s">
        <v>21</v>
      </c>
      <c r="Q254" s="53" t="s">
        <v>21</v>
      </c>
      <c r="R254" s="94" t="s">
        <v>21</v>
      </c>
      <c r="S254" s="73">
        <v>0</v>
      </c>
      <c r="T254" s="63">
        <f t="shared" si="20"/>
        <v>1.0055002354234238E-2</v>
      </c>
      <c r="V254" s="114">
        <v>1.1316830199999999</v>
      </c>
      <c r="W254" s="72">
        <v>2.86368337</v>
      </c>
      <c r="X254" s="72">
        <v>4.3990223000000004</v>
      </c>
      <c r="Y254" s="72">
        <v>5.7261328599999999</v>
      </c>
      <c r="Z254" s="115">
        <v>7.3935473400000005</v>
      </c>
      <c r="AB254" s="71" t="s">
        <v>21</v>
      </c>
      <c r="AC254" s="71">
        <v>4.9776050702737612E-3</v>
      </c>
      <c r="AD254" s="71">
        <v>1.0055002354234238E-2</v>
      </c>
      <c r="AE254" s="71">
        <v>1.3278083564448769E-2</v>
      </c>
      <c r="AF254" s="63">
        <v>1.5850967220768196E-2</v>
      </c>
      <c r="AG254" s="71" t="s">
        <v>21</v>
      </c>
      <c r="AH254" s="71">
        <v>1.0913092702737612E-3</v>
      </c>
      <c r="AI254" s="71">
        <v>5.1600133542342389E-3</v>
      </c>
      <c r="AJ254" s="71">
        <v>7.5538437644487753E-3</v>
      </c>
      <c r="AK254" s="71">
        <v>8.8302240207681973E-3</v>
      </c>
    </row>
    <row r="255" spans="2:37" x14ac:dyDescent="0.35">
      <c r="B255" s="55" t="s">
        <v>368</v>
      </c>
      <c r="C255" s="53" t="s">
        <v>234</v>
      </c>
      <c r="D255" s="53" t="s">
        <v>20</v>
      </c>
      <c r="E255" s="53" t="s">
        <v>294</v>
      </c>
      <c r="F255" s="73" t="str">
        <f t="shared" si="23"/>
        <v/>
      </c>
      <c r="G255" s="60">
        <f t="shared" si="23"/>
        <v>4.9303638290488141E-3</v>
      </c>
      <c r="H255" s="60">
        <f t="shared" si="23"/>
        <v>9.9620109165987278E-3</v>
      </c>
      <c r="I255" s="60">
        <f t="shared" si="23"/>
        <v>1.3057884506563536E-2</v>
      </c>
      <c r="J255" s="63">
        <f t="shared" si="23"/>
        <v>1.6048934618441153E-2</v>
      </c>
      <c r="K255" s="60" t="str">
        <f t="shared" si="24"/>
        <v/>
      </c>
      <c r="L255" s="60">
        <f t="shared" si="24"/>
        <v>1.0383664290488145E-3</v>
      </c>
      <c r="M255" s="60">
        <f t="shared" si="24"/>
        <v>5.0576939165987286E-3</v>
      </c>
      <c r="N255" s="60">
        <f t="shared" si="24"/>
        <v>7.3181613065635342E-3</v>
      </c>
      <c r="O255" s="63">
        <f t="shared" si="24"/>
        <v>9.0459231184411501E-3</v>
      </c>
      <c r="P255" s="55" t="s">
        <v>21</v>
      </c>
      <c r="Q255" s="53" t="s">
        <v>21</v>
      </c>
      <c r="R255" s="94" t="s">
        <v>21</v>
      </c>
      <c r="S255" s="73">
        <v>0</v>
      </c>
      <c r="T255" s="63">
        <f t="shared" si="20"/>
        <v>9.9620109165987278E-3</v>
      </c>
      <c r="V255" s="114">
        <v>1.1316036599999999</v>
      </c>
      <c r="W255" s="72">
        <v>2.86390638</v>
      </c>
      <c r="X255" s="72">
        <v>4.4012553299999997</v>
      </c>
      <c r="Y255" s="72">
        <v>5.7301395300000006</v>
      </c>
      <c r="Z255" s="115">
        <v>7.3852573899999996</v>
      </c>
      <c r="AB255" s="71" t="s">
        <v>21</v>
      </c>
      <c r="AC255" s="71">
        <v>4.9303638290488141E-3</v>
      </c>
      <c r="AD255" s="71">
        <v>9.9620109165987278E-3</v>
      </c>
      <c r="AE255" s="71">
        <v>1.3057884506563536E-2</v>
      </c>
      <c r="AF255" s="63">
        <v>1.6048934618441153E-2</v>
      </c>
      <c r="AG255" s="71" t="s">
        <v>21</v>
      </c>
      <c r="AH255" s="71">
        <v>1.0383664290488145E-3</v>
      </c>
      <c r="AI255" s="71">
        <v>5.0576939165987286E-3</v>
      </c>
      <c r="AJ255" s="71">
        <v>7.3181613065635342E-3</v>
      </c>
      <c r="AK255" s="71">
        <v>9.0459231184411501E-3</v>
      </c>
    </row>
    <row r="256" spans="2:37" x14ac:dyDescent="0.35">
      <c r="B256" s="55" t="s">
        <v>373</v>
      </c>
      <c r="C256" s="53" t="s">
        <v>234</v>
      </c>
      <c r="D256" s="53" t="s">
        <v>20</v>
      </c>
      <c r="E256" s="53" t="s">
        <v>21</v>
      </c>
      <c r="F256" s="73" t="str">
        <f t="shared" si="23"/>
        <v/>
      </c>
      <c r="G256" s="60">
        <f t="shared" si="23"/>
        <v>4.9465337545904001E-3</v>
      </c>
      <c r="H256" s="60">
        <f t="shared" si="23"/>
        <v>9.6606166663913001E-3</v>
      </c>
      <c r="I256" s="60">
        <f t="shared" si="23"/>
        <v>1.2157587267781447E-2</v>
      </c>
      <c r="J256" s="63">
        <f t="shared" si="23"/>
        <v>1.4628955388641892E-2</v>
      </c>
      <c r="K256" s="60" t="str">
        <f t="shared" si="24"/>
        <v/>
      </c>
      <c r="L256" s="60">
        <f t="shared" si="24"/>
        <v>1.0572444545904011E-3</v>
      </c>
      <c r="M256" s="60">
        <f t="shared" si="24"/>
        <v>4.7288880663912992E-3</v>
      </c>
      <c r="N256" s="60">
        <f t="shared" si="24"/>
        <v>6.3442350677814473E-3</v>
      </c>
      <c r="O256" s="63">
        <f t="shared" si="24"/>
        <v>7.5057656886418902E-3</v>
      </c>
      <c r="P256" s="55" t="s">
        <v>21</v>
      </c>
      <c r="Q256" s="53" t="s">
        <v>21</v>
      </c>
      <c r="R256" s="94" t="s">
        <v>21</v>
      </c>
      <c r="S256" s="73">
        <v>0</v>
      </c>
      <c r="T256" s="63">
        <f t="shared" si="20"/>
        <v>9.6606166663913001E-3</v>
      </c>
      <c r="V256" s="114">
        <v>1.13132454</v>
      </c>
      <c r="W256" s="72">
        <v>2.8629392300000003</v>
      </c>
      <c r="X256" s="72">
        <v>4.4023858999999996</v>
      </c>
      <c r="Y256" s="72">
        <v>5.7454886099999998</v>
      </c>
      <c r="Z256" s="115">
        <v>7.4457310200000002</v>
      </c>
      <c r="AB256" s="71" t="s">
        <v>21</v>
      </c>
      <c r="AC256" s="71">
        <v>4.9465337545904001E-3</v>
      </c>
      <c r="AD256" s="71">
        <v>9.6606166663913001E-3</v>
      </c>
      <c r="AE256" s="71">
        <v>1.2157587267781447E-2</v>
      </c>
      <c r="AF256" s="63">
        <v>1.4628955388641892E-2</v>
      </c>
      <c r="AG256" s="71" t="s">
        <v>21</v>
      </c>
      <c r="AH256" s="71">
        <v>1.0572444545904011E-3</v>
      </c>
      <c r="AI256" s="71">
        <v>4.7288880663912992E-3</v>
      </c>
      <c r="AJ256" s="71">
        <v>6.3442350677814473E-3</v>
      </c>
      <c r="AK256" s="71">
        <v>7.5057656886418902E-3</v>
      </c>
    </row>
    <row r="257" spans="2:37" x14ac:dyDescent="0.35">
      <c r="B257" s="55" t="s">
        <v>268</v>
      </c>
      <c r="C257" s="53" t="s">
        <v>234</v>
      </c>
      <c r="D257" s="53" t="s">
        <v>20</v>
      </c>
      <c r="E257" s="53" t="s">
        <v>318</v>
      </c>
      <c r="F257" s="73" t="str">
        <f t="shared" si="23"/>
        <v/>
      </c>
      <c r="G257" s="60">
        <f t="shared" si="23"/>
        <v>5.0692907488803732E-3</v>
      </c>
      <c r="H257" s="60">
        <f t="shared" si="23"/>
        <v>9.6495200438995888E-3</v>
      </c>
      <c r="I257" s="60">
        <f t="shared" si="23"/>
        <v>1.2124874130714912E-2</v>
      </c>
      <c r="J257" s="63">
        <f t="shared" si="23"/>
        <v>1.459819218522407E-2</v>
      </c>
      <c r="K257" s="60" t="str">
        <f t="shared" si="24"/>
        <v/>
      </c>
      <c r="L257" s="60">
        <f t="shared" si="24"/>
        <v>1.1942246488803715E-3</v>
      </c>
      <c r="M257" s="60">
        <f t="shared" si="24"/>
        <v>4.7161922438995873E-3</v>
      </c>
      <c r="N257" s="60">
        <f t="shared" si="24"/>
        <v>6.3084475307149156E-3</v>
      </c>
      <c r="O257" s="63">
        <f t="shared" si="24"/>
        <v>7.4714627852240697E-3</v>
      </c>
      <c r="P257" s="55" t="s">
        <v>563</v>
      </c>
      <c r="Q257" s="53" t="s">
        <v>564</v>
      </c>
      <c r="R257" s="94" t="s">
        <v>32</v>
      </c>
      <c r="S257" s="73">
        <v>7.1795499999999998E-3</v>
      </c>
      <c r="T257" s="63">
        <f t="shared" si="20"/>
        <v>2.469970043899589E-3</v>
      </c>
      <c r="V257" s="114">
        <v>1.1307257100000001</v>
      </c>
      <c r="W257" s="72">
        <v>2.8612366200000001</v>
      </c>
      <c r="X257" s="72">
        <v>4.4011645399999999</v>
      </c>
      <c r="Y257" s="72">
        <v>5.7440358099999997</v>
      </c>
      <c r="Z257" s="115">
        <v>7.4452584700000006</v>
      </c>
      <c r="AB257" s="71" t="s">
        <v>21</v>
      </c>
      <c r="AC257" s="71">
        <v>5.0692907488803732E-3</v>
      </c>
      <c r="AD257" s="71">
        <v>9.6495200438995888E-3</v>
      </c>
      <c r="AE257" s="71">
        <v>1.2124874130714912E-2</v>
      </c>
      <c r="AF257" s="63">
        <v>1.459819218522407E-2</v>
      </c>
      <c r="AG257" s="71" t="s">
        <v>21</v>
      </c>
      <c r="AH257" s="71">
        <v>1.1942246488803715E-3</v>
      </c>
      <c r="AI257" s="71">
        <v>4.7161922438995873E-3</v>
      </c>
      <c r="AJ257" s="71">
        <v>6.3084475307149156E-3</v>
      </c>
      <c r="AK257" s="71">
        <v>7.4714627852240697E-3</v>
      </c>
    </row>
    <row r="258" spans="2:37" x14ac:dyDescent="0.35">
      <c r="B258" s="55" t="s">
        <v>374</v>
      </c>
      <c r="C258" s="53" t="s">
        <v>234</v>
      </c>
      <c r="D258" s="53" t="s">
        <v>20</v>
      </c>
      <c r="E258" s="53" t="s">
        <v>266</v>
      </c>
      <c r="F258" s="74" t="str">
        <f t="shared" si="23"/>
        <v/>
      </c>
      <c r="G258" s="76">
        <f t="shared" si="23"/>
        <v>4.9271151657111984E-3</v>
      </c>
      <c r="H258" s="76">
        <f t="shared" si="23"/>
        <v>9.5515341285587925E-3</v>
      </c>
      <c r="I258" s="76">
        <f t="shared" si="23"/>
        <v>1.1995770741681455E-2</v>
      </c>
      <c r="J258" s="64">
        <f t="shared" si="23"/>
        <v>1.4580501277929502E-2</v>
      </c>
      <c r="K258" s="76" t="str">
        <f t="shared" si="24"/>
        <v/>
      </c>
      <c r="L258" s="76">
        <f t="shared" si="24"/>
        <v>1.0349501657111954E-3</v>
      </c>
      <c r="M258" s="76">
        <f t="shared" si="24"/>
        <v>4.6088172285587911E-3</v>
      </c>
      <c r="N258" s="76">
        <f t="shared" si="24"/>
        <v>6.1678615416814568E-3</v>
      </c>
      <c r="O258" s="64">
        <f t="shared" si="24"/>
        <v>7.4588210779294988E-3</v>
      </c>
      <c r="P258" s="55" t="s">
        <v>396</v>
      </c>
      <c r="Q258" s="53" t="s">
        <v>397</v>
      </c>
      <c r="R258" s="94">
        <v>47515</v>
      </c>
      <c r="S258" s="73">
        <v>9.6392700000000001E-3</v>
      </c>
      <c r="T258" s="63">
        <f t="shared" si="20"/>
        <v>-8.7735871441207633E-5</v>
      </c>
      <c r="V258" s="114">
        <v>1.13165676</v>
      </c>
      <c r="W258" s="72">
        <v>2.86373262</v>
      </c>
      <c r="X258" s="72">
        <v>4.4043557900000003</v>
      </c>
      <c r="Y258" s="72">
        <v>5.7492645900000001</v>
      </c>
      <c r="Z258" s="115">
        <v>7.4421127800000004</v>
      </c>
      <c r="AB258" s="71" t="s">
        <v>21</v>
      </c>
      <c r="AC258" s="71">
        <v>4.9271151657111984E-3</v>
      </c>
      <c r="AD258" s="71">
        <v>9.5515341285587925E-3</v>
      </c>
      <c r="AE258" s="71">
        <v>1.1995770741681455E-2</v>
      </c>
      <c r="AF258" s="63">
        <v>1.4580501277929502E-2</v>
      </c>
      <c r="AG258" s="71" t="s">
        <v>21</v>
      </c>
      <c r="AH258" s="71">
        <v>1.0349501657111954E-3</v>
      </c>
      <c r="AI258" s="71">
        <v>4.6088172285587911E-3</v>
      </c>
      <c r="AJ258" s="71">
        <v>6.1678615416814568E-3</v>
      </c>
      <c r="AK258" s="71">
        <v>7.4588210779294988E-3</v>
      </c>
    </row>
    <row r="259" spans="2:37" x14ac:dyDescent="0.35">
      <c r="B259" s="79" t="s">
        <v>162</v>
      </c>
      <c r="C259" s="136"/>
      <c r="D259" s="78"/>
      <c r="E259" s="78"/>
      <c r="F259" s="78" t="str">
        <f t="shared" si="23"/>
        <v/>
      </c>
      <c r="G259" s="78" t="str">
        <f>IF(ISNUMBER(AC259),AC259-((D$4-D$3)/W259),"")</f>
        <v/>
      </c>
      <c r="H259" s="78" t="str">
        <f t="shared" si="23"/>
        <v/>
      </c>
      <c r="I259" s="78" t="str">
        <f t="shared" si="23"/>
        <v/>
      </c>
      <c r="J259" s="78" t="str">
        <f t="shared" si="23"/>
        <v/>
      </c>
      <c r="K259" s="78" t="str">
        <f t="shared" si="24"/>
        <v/>
      </c>
      <c r="L259" s="78" t="str">
        <f t="shared" si="24"/>
        <v/>
      </c>
      <c r="M259" s="78" t="str">
        <f t="shared" si="24"/>
        <v/>
      </c>
      <c r="N259" s="78" t="str">
        <f t="shared" si="24"/>
        <v/>
      </c>
      <c r="O259" s="77" t="str">
        <f t="shared" si="24"/>
        <v/>
      </c>
      <c r="P259" s="79"/>
      <c r="Q259" s="78"/>
      <c r="R259" s="95"/>
      <c r="S259" s="78"/>
      <c r="T259" s="77" t="str">
        <f t="shared" si="20"/>
        <v/>
      </c>
      <c r="V259" s="120"/>
      <c r="W259" s="109"/>
      <c r="X259" s="109"/>
      <c r="Y259" s="109"/>
      <c r="Z259" s="121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</row>
    <row r="260" spans="2:37" x14ac:dyDescent="0.35">
      <c r="B260" s="56" t="s">
        <v>164</v>
      </c>
      <c r="C260" s="53" t="s">
        <v>234</v>
      </c>
      <c r="D260" s="66" t="s">
        <v>20</v>
      </c>
      <c r="E260" s="66" t="s">
        <v>292</v>
      </c>
      <c r="F260" s="73">
        <f t="shared" si="23"/>
        <v>6.9296665333601617E-3</v>
      </c>
      <c r="G260" s="60">
        <f t="shared" si="23"/>
        <v>2.9118292547885134E-2</v>
      </c>
      <c r="H260" s="60">
        <f t="shared" si="23"/>
        <v>4.8484533814596054E-2</v>
      </c>
      <c r="I260" s="60">
        <f t="shared" si="23"/>
        <v>5.7614008957648455E-2</v>
      </c>
      <c r="J260" s="63">
        <f t="shared" si="23"/>
        <v>5.9789643425508271E-2</v>
      </c>
      <c r="K260" s="60">
        <f t="shared" si="24"/>
        <v>4.8370270333601617E-3</v>
      </c>
      <c r="L260" s="60">
        <f t="shared" si="24"/>
        <v>2.5255229947885132E-2</v>
      </c>
      <c r="M260" s="60">
        <f t="shared" si="24"/>
        <v>4.2762153714596053E-2</v>
      </c>
      <c r="N260" s="60">
        <f t="shared" si="24"/>
        <v>5.0501300457648432E-2</v>
      </c>
      <c r="O260" s="63">
        <f t="shared" si="24"/>
        <v>5.153887602550826E-2</v>
      </c>
      <c r="P260" s="56" t="s">
        <v>21</v>
      </c>
      <c r="Q260" s="66" t="s">
        <v>21</v>
      </c>
      <c r="R260" s="100" t="s">
        <v>21</v>
      </c>
      <c r="S260" s="75">
        <v>0</v>
      </c>
      <c r="T260" s="63">
        <f t="shared" si="20"/>
        <v>4.8484533814596054E-2</v>
      </c>
      <c r="V260" s="118">
        <v>1.10838115</v>
      </c>
      <c r="W260" s="61">
        <v>2.6718932500000001</v>
      </c>
      <c r="X260" s="61">
        <v>3.8098271599999998</v>
      </c>
      <c r="Y260" s="61">
        <v>4.5645503700000001</v>
      </c>
      <c r="Z260" s="119">
        <v>5.3203863999999994</v>
      </c>
      <c r="AB260" s="80">
        <v>6.9296665333601617E-3</v>
      </c>
      <c r="AC260" s="80">
        <v>2.9118292547885134E-2</v>
      </c>
      <c r="AD260" s="80">
        <v>4.8484533814596054E-2</v>
      </c>
      <c r="AE260" s="80">
        <v>5.7614008957648455E-2</v>
      </c>
      <c r="AF260" s="62">
        <v>5.9789643425508271E-2</v>
      </c>
      <c r="AG260" s="80">
        <v>4.8370270333601617E-3</v>
      </c>
      <c r="AH260" s="80">
        <v>2.5255229947885132E-2</v>
      </c>
      <c r="AI260" s="80">
        <v>4.2762153714596053E-2</v>
      </c>
      <c r="AJ260" s="80">
        <v>5.0501300457648432E-2</v>
      </c>
      <c r="AK260" s="80">
        <v>5.153887602550826E-2</v>
      </c>
    </row>
    <row r="261" spans="2:37" x14ac:dyDescent="0.35">
      <c r="B261" s="55" t="s">
        <v>167</v>
      </c>
      <c r="C261" s="53" t="s">
        <v>234</v>
      </c>
      <c r="D261" s="53" t="s">
        <v>97</v>
      </c>
      <c r="E261" s="53" t="s">
        <v>236</v>
      </c>
      <c r="F261" s="73">
        <f t="shared" si="23"/>
        <v>2.0920480489583322E-3</v>
      </c>
      <c r="G261" s="60">
        <f t="shared" si="23"/>
        <v>2.0042773164529459E-2</v>
      </c>
      <c r="H261" s="60">
        <f t="shared" si="23"/>
        <v>3.4435985297169264E-2</v>
      </c>
      <c r="I261" s="60">
        <f t="shared" si="23"/>
        <v>3.9048489863897334E-2</v>
      </c>
      <c r="J261" s="63">
        <f t="shared" si="23"/>
        <v>4.2913223770352879E-2</v>
      </c>
      <c r="K261" s="60" t="str">
        <f t="shared" si="24"/>
        <v/>
      </c>
      <c r="L261" s="60">
        <f t="shared" si="24"/>
        <v>1.6490209164529462E-2</v>
      </c>
      <c r="M261" s="60">
        <f t="shared" si="24"/>
        <v>2.9514431397169263E-2</v>
      </c>
      <c r="N261" s="60">
        <f t="shared" si="24"/>
        <v>3.3142739563897329E-2</v>
      </c>
      <c r="O261" s="63">
        <f t="shared" si="24"/>
        <v>3.5747146870352881E-2</v>
      </c>
      <c r="P261" s="55" t="s">
        <v>21</v>
      </c>
      <c r="Q261" s="53" t="s">
        <v>21</v>
      </c>
      <c r="R261" s="94" t="s">
        <v>21</v>
      </c>
      <c r="S261" s="73">
        <v>0</v>
      </c>
      <c r="T261" s="63">
        <f t="shared" si="20"/>
        <v>3.4435985297169264E-2</v>
      </c>
      <c r="V261" s="114">
        <v>1.1205044100000001</v>
      </c>
      <c r="W261" s="72">
        <v>2.74719969</v>
      </c>
      <c r="X261" s="72">
        <v>4.0167189099999998</v>
      </c>
      <c r="Y261" s="72">
        <v>4.9787268500000001</v>
      </c>
      <c r="Z261" s="115">
        <v>6.0230545000000006</v>
      </c>
      <c r="AB261" s="71">
        <v>2.0920480489583322E-3</v>
      </c>
      <c r="AC261" s="71">
        <v>2.0042773164529459E-2</v>
      </c>
      <c r="AD261" s="71">
        <v>3.4435985297169264E-2</v>
      </c>
      <c r="AE261" s="71">
        <v>3.9048489863897334E-2</v>
      </c>
      <c r="AF261" s="63">
        <v>4.2913223770352879E-2</v>
      </c>
      <c r="AG261" s="71" t="s">
        <v>21</v>
      </c>
      <c r="AH261" s="71">
        <v>1.6490209164529462E-2</v>
      </c>
      <c r="AI261" s="71">
        <v>2.9514431397169263E-2</v>
      </c>
      <c r="AJ261" s="71">
        <v>3.3142739563897329E-2</v>
      </c>
      <c r="AK261" s="71">
        <v>3.5747146870352881E-2</v>
      </c>
    </row>
    <row r="262" spans="2:37" x14ac:dyDescent="0.35">
      <c r="B262" s="55" t="s">
        <v>235</v>
      </c>
      <c r="C262" s="53" t="s">
        <v>234</v>
      </c>
      <c r="D262" s="53" t="s">
        <v>43</v>
      </c>
      <c r="E262" s="53" t="s">
        <v>565</v>
      </c>
      <c r="F262" s="73">
        <f t="shared" si="23"/>
        <v>1.4219767303862204E-3</v>
      </c>
      <c r="G262" s="60">
        <f t="shared" si="23"/>
        <v>1.6100542795067854E-2</v>
      </c>
      <c r="H262" s="60">
        <f t="shared" si="23"/>
        <v>3.0046037375632637E-2</v>
      </c>
      <c r="I262" s="60">
        <f t="shared" si="23"/>
        <v>3.6852400791787802E-2</v>
      </c>
      <c r="J262" s="63">
        <f t="shared" si="23"/>
        <v>4.1002138690813671E-2</v>
      </c>
      <c r="K262" s="60" t="str">
        <f t="shared" si="24"/>
        <v/>
      </c>
      <c r="L262" s="60">
        <f t="shared" si="24"/>
        <v>1.2598559895067854E-2</v>
      </c>
      <c r="M262" s="60">
        <f t="shared" si="24"/>
        <v>2.528359597563264E-2</v>
      </c>
      <c r="N262" s="60">
        <f t="shared" si="24"/>
        <v>3.1033505091787802E-2</v>
      </c>
      <c r="O262" s="63">
        <f t="shared" si="24"/>
        <v>3.3922881290813674E-2</v>
      </c>
      <c r="P262" s="55" t="s">
        <v>21</v>
      </c>
      <c r="Q262" s="53" t="s">
        <v>21</v>
      </c>
      <c r="R262" s="94" t="s">
        <v>21</v>
      </c>
      <c r="S262" s="73">
        <v>0</v>
      </c>
      <c r="T262" s="63">
        <f t="shared" si="20"/>
        <v>3.0046037375632637E-2</v>
      </c>
      <c r="V262" s="114">
        <v>1.122509</v>
      </c>
      <c r="W262" s="72">
        <v>2.7800325199999998</v>
      </c>
      <c r="X262" s="72">
        <v>4.0960287900000001</v>
      </c>
      <c r="Y262" s="72">
        <v>5.0893545399999995</v>
      </c>
      <c r="Z262" s="115">
        <v>6.1650962800000002</v>
      </c>
      <c r="AB262" s="71">
        <v>1.4219767303862204E-3</v>
      </c>
      <c r="AC262" s="71">
        <v>1.6100542795067854E-2</v>
      </c>
      <c r="AD262" s="71">
        <v>3.0046037375632637E-2</v>
      </c>
      <c r="AE262" s="71">
        <v>3.6852400791787802E-2</v>
      </c>
      <c r="AF262" s="63">
        <v>4.1002138690813671E-2</v>
      </c>
      <c r="AG262" s="71" t="s">
        <v>21</v>
      </c>
      <c r="AH262" s="71">
        <v>1.2598559895067854E-2</v>
      </c>
      <c r="AI262" s="71">
        <v>2.528359597563264E-2</v>
      </c>
      <c r="AJ262" s="71">
        <v>3.1033505091787802E-2</v>
      </c>
      <c r="AK262" s="71">
        <v>3.3922881290813674E-2</v>
      </c>
    </row>
    <row r="263" spans="2:37" x14ac:dyDescent="0.35">
      <c r="B263" s="55" t="s">
        <v>163</v>
      </c>
      <c r="C263" s="53" t="s">
        <v>234</v>
      </c>
      <c r="D263" s="53" t="s">
        <v>97</v>
      </c>
      <c r="E263" s="53" t="s">
        <v>116</v>
      </c>
      <c r="F263" s="73">
        <f t="shared" si="23"/>
        <v>2.632113708824959E-4</v>
      </c>
      <c r="G263" s="60">
        <f t="shared" si="23"/>
        <v>1.3607404229087629E-2</v>
      </c>
      <c r="H263" s="60">
        <f t="shared" si="23"/>
        <v>2.4112234669571818E-2</v>
      </c>
      <c r="I263" s="60">
        <f t="shared" si="23"/>
        <v>2.9846242442151494E-2</v>
      </c>
      <c r="J263" s="63">
        <f t="shared" si="23"/>
        <v>3.429378385535909E-2</v>
      </c>
      <c r="K263" s="60" t="str">
        <f t="shared" si="24"/>
        <v/>
      </c>
      <c r="L263" s="60">
        <f t="shared" si="24"/>
        <v>1.0108668129087631E-2</v>
      </c>
      <c r="M263" s="60">
        <f t="shared" si="24"/>
        <v>1.9502016469571819E-2</v>
      </c>
      <c r="N263" s="60">
        <f t="shared" si="24"/>
        <v>2.4268105942151494E-2</v>
      </c>
      <c r="O263" s="63">
        <f t="shared" si="24"/>
        <v>2.7444957055359091E-2</v>
      </c>
      <c r="P263" s="55" t="s">
        <v>566</v>
      </c>
      <c r="Q263" s="53" t="s">
        <v>567</v>
      </c>
      <c r="R263" s="94">
        <v>47542</v>
      </c>
      <c r="S263" s="73">
        <v>1.357906E-2</v>
      </c>
      <c r="T263" s="63">
        <f t="shared" si="20"/>
        <v>1.0533174669571817E-2</v>
      </c>
      <c r="V263" s="114">
        <v>1.1255834899999999</v>
      </c>
      <c r="W263" s="72">
        <v>2.7939234399999999</v>
      </c>
      <c r="X263" s="72">
        <v>4.1724474100000002</v>
      </c>
      <c r="Y263" s="72">
        <v>5.2598583300000001</v>
      </c>
      <c r="Z263" s="115">
        <v>6.4765230800000007</v>
      </c>
      <c r="AB263" s="71">
        <v>2.632113708824959E-4</v>
      </c>
      <c r="AC263" s="71">
        <v>1.3607404229087629E-2</v>
      </c>
      <c r="AD263" s="71">
        <v>2.4112234669571818E-2</v>
      </c>
      <c r="AE263" s="71">
        <v>2.9846242442151494E-2</v>
      </c>
      <c r="AF263" s="63">
        <v>3.429378385535909E-2</v>
      </c>
      <c r="AG263" s="71" t="s">
        <v>21</v>
      </c>
      <c r="AH263" s="71">
        <v>1.0108668129087631E-2</v>
      </c>
      <c r="AI263" s="71">
        <v>1.9502016469571819E-2</v>
      </c>
      <c r="AJ263" s="71">
        <v>2.4268105942151494E-2</v>
      </c>
      <c r="AK263" s="71">
        <v>2.7444957055359091E-2</v>
      </c>
    </row>
    <row r="264" spans="2:37" x14ac:dyDescent="0.35">
      <c r="B264" s="55" t="s">
        <v>174</v>
      </c>
      <c r="C264" s="53" t="s">
        <v>234</v>
      </c>
      <c r="D264" s="53" t="s">
        <v>43</v>
      </c>
      <c r="E264" s="53" t="s">
        <v>568</v>
      </c>
      <c r="F264" s="73">
        <f t="shared" si="23"/>
        <v>1.0471226967417443E-3</v>
      </c>
      <c r="G264" s="60">
        <f t="shared" si="23"/>
        <v>1.3040137767787275E-2</v>
      </c>
      <c r="H264" s="60">
        <f t="shared" si="23"/>
        <v>2.3167450702519396E-2</v>
      </c>
      <c r="I264" s="60">
        <f t="shared" si="23"/>
        <v>2.8706824576966231E-2</v>
      </c>
      <c r="J264" s="63">
        <f t="shared" si="23"/>
        <v>3.2599316708412748E-2</v>
      </c>
      <c r="K264" s="60" t="str">
        <f t="shared" si="24"/>
        <v/>
      </c>
      <c r="L264" s="60">
        <f t="shared" si="24"/>
        <v>9.5386594677872773E-3</v>
      </c>
      <c r="M264" s="60">
        <f t="shared" si="24"/>
        <v>1.8573428102519392E-2</v>
      </c>
      <c r="N264" s="60">
        <f t="shared" si="24"/>
        <v>2.315716487696623E-2</v>
      </c>
      <c r="O264" s="63">
        <f t="shared" si="24"/>
        <v>2.5792608508412748E-2</v>
      </c>
      <c r="P264" s="55" t="s">
        <v>569</v>
      </c>
      <c r="Q264" s="53" t="s">
        <v>570</v>
      </c>
      <c r="R264" s="94">
        <v>47535</v>
      </c>
      <c r="S264" s="73">
        <v>1.0739439999999999E-2</v>
      </c>
      <c r="T264" s="63">
        <f t="shared" si="20"/>
        <v>1.2428010702519397E-2</v>
      </c>
      <c r="V264" s="114">
        <v>1.1235306899999999</v>
      </c>
      <c r="W264" s="72">
        <v>2.7997078900000001</v>
      </c>
      <c r="X264" s="72">
        <v>4.18756562</v>
      </c>
      <c r="Y264" s="72">
        <v>5.2888502800000001</v>
      </c>
      <c r="Z264" s="115">
        <v>6.5419928899999995</v>
      </c>
      <c r="AB264" s="71">
        <v>1.0471226967417443E-3</v>
      </c>
      <c r="AC264" s="71">
        <v>1.3040137767787275E-2</v>
      </c>
      <c r="AD264" s="71">
        <v>2.3167450702519396E-2</v>
      </c>
      <c r="AE264" s="71">
        <v>2.8706824576966231E-2</v>
      </c>
      <c r="AF264" s="63">
        <v>3.2599316708412748E-2</v>
      </c>
      <c r="AG264" s="71" t="s">
        <v>21</v>
      </c>
      <c r="AH264" s="71">
        <v>9.5386594677872773E-3</v>
      </c>
      <c r="AI264" s="71">
        <v>1.8573428102519392E-2</v>
      </c>
      <c r="AJ264" s="71">
        <v>2.315716487696623E-2</v>
      </c>
      <c r="AK264" s="71">
        <v>2.5792608508412748E-2</v>
      </c>
    </row>
    <row r="265" spans="2:37" x14ac:dyDescent="0.35">
      <c r="B265" s="55" t="s">
        <v>172</v>
      </c>
      <c r="C265" s="53" t="s">
        <v>234</v>
      </c>
      <c r="D265" s="53" t="s">
        <v>31</v>
      </c>
      <c r="E265" s="53" t="s">
        <v>571</v>
      </c>
      <c r="F265" s="73" t="str">
        <f t="shared" si="23"/>
        <v/>
      </c>
      <c r="G265" s="60">
        <f t="shared" si="23"/>
        <v>1.1361825527395964E-2</v>
      </c>
      <c r="H265" s="60">
        <f t="shared" si="23"/>
        <v>2.2168479838069247E-2</v>
      </c>
      <c r="I265" s="60">
        <f t="shared" si="23"/>
        <v>2.9205230644802009E-2</v>
      </c>
      <c r="J265" s="63">
        <f t="shared" si="23"/>
        <v>3.4787025939536975E-2</v>
      </c>
      <c r="K265" s="60" t="str">
        <f t="shared" si="24"/>
        <v/>
      </c>
      <c r="L265" s="60">
        <f t="shared" si="24"/>
        <v>7.8378008273959649E-3</v>
      </c>
      <c r="M265" s="60">
        <f t="shared" si="24"/>
        <v>1.758658783806925E-2</v>
      </c>
      <c r="N265" s="60">
        <f t="shared" si="24"/>
        <v>2.3641927244802012E-2</v>
      </c>
      <c r="O265" s="63">
        <f t="shared" si="24"/>
        <v>2.7924267139536978E-2</v>
      </c>
      <c r="P265" s="55" t="s">
        <v>572</v>
      </c>
      <c r="Q265" s="53" t="s">
        <v>573</v>
      </c>
      <c r="R265" s="94">
        <v>47664</v>
      </c>
      <c r="S265" s="73">
        <v>1.3498309999999999E-2</v>
      </c>
      <c r="T265" s="63">
        <f t="shared" si="20"/>
        <v>8.6701698380692478E-3</v>
      </c>
      <c r="V265" s="114">
        <v>1.1264854399999999</v>
      </c>
      <c r="W265" s="72">
        <v>2.81534861</v>
      </c>
      <c r="X265" s="72">
        <v>4.2166693799999999</v>
      </c>
      <c r="Y265" s="72">
        <v>5.3138662800000001</v>
      </c>
      <c r="Z265" s="115">
        <v>6.5227472499999992</v>
      </c>
      <c r="AB265" s="71" t="s">
        <v>21</v>
      </c>
      <c r="AC265" s="71">
        <v>1.1361825527395964E-2</v>
      </c>
      <c r="AD265" s="71">
        <v>2.2168479838069247E-2</v>
      </c>
      <c r="AE265" s="71">
        <v>2.9205230644802009E-2</v>
      </c>
      <c r="AF265" s="63">
        <v>3.4787025939536975E-2</v>
      </c>
      <c r="AG265" s="71" t="s">
        <v>21</v>
      </c>
      <c r="AH265" s="71">
        <v>7.8378008273959649E-3</v>
      </c>
      <c r="AI265" s="71">
        <v>1.758658783806925E-2</v>
      </c>
      <c r="AJ265" s="71">
        <v>2.3641927244802012E-2</v>
      </c>
      <c r="AK265" s="71">
        <v>2.7924267139536978E-2</v>
      </c>
    </row>
    <row r="266" spans="2:37" x14ac:dyDescent="0.35">
      <c r="B266" s="55" t="s">
        <v>175</v>
      </c>
      <c r="C266" s="53" t="s">
        <v>234</v>
      </c>
      <c r="D266" s="53" t="s">
        <v>43</v>
      </c>
      <c r="E266" s="53" t="s">
        <v>141</v>
      </c>
      <c r="F266" s="73">
        <f t="shared" si="23"/>
        <v>3.9147875186730371E-3</v>
      </c>
      <c r="G266" s="60">
        <f t="shared" si="23"/>
        <v>1.3685923440172929E-2</v>
      </c>
      <c r="H266" s="60">
        <f t="shared" si="23"/>
        <v>2.1579531799115967E-2</v>
      </c>
      <c r="I266" s="60">
        <f t="shared" si="23"/>
        <v>2.6949665301846226E-2</v>
      </c>
      <c r="J266" s="63">
        <f t="shared" si="23"/>
        <v>3.2403618081200451E-2</v>
      </c>
      <c r="K266" s="60">
        <f t="shared" si="24"/>
        <v>1.8292531186730387E-3</v>
      </c>
      <c r="L266" s="60">
        <f t="shared" si="24"/>
        <v>1.0183554640172926E-2</v>
      </c>
      <c r="M266" s="60">
        <f t="shared" si="24"/>
        <v>1.6998636299115966E-2</v>
      </c>
      <c r="N266" s="60">
        <f t="shared" si="24"/>
        <v>2.1427694201846224E-2</v>
      </c>
      <c r="O266" s="63">
        <f t="shared" si="24"/>
        <v>2.5583805981200445E-2</v>
      </c>
      <c r="P266" s="55" t="s">
        <v>21</v>
      </c>
      <c r="Q266" s="53" t="s">
        <v>21</v>
      </c>
      <c r="R266" s="94" t="s">
        <v>21</v>
      </c>
      <c r="S266" s="73">
        <v>0</v>
      </c>
      <c r="T266" s="63">
        <f t="shared" si="20"/>
        <v>2.1579531799115967E-2</v>
      </c>
      <c r="V266" s="114">
        <v>1.11625207</v>
      </c>
      <c r="W266" s="72">
        <v>2.7820057899999999</v>
      </c>
      <c r="X266" s="72">
        <v>4.1838513600000002</v>
      </c>
      <c r="Y266" s="72">
        <v>5.3092610599999999</v>
      </c>
      <c r="Z266" s="115">
        <v>6.5733512999999997</v>
      </c>
      <c r="AB266" s="71">
        <v>3.9147875186730371E-3</v>
      </c>
      <c r="AC266" s="71">
        <v>1.3685923440172929E-2</v>
      </c>
      <c r="AD266" s="71">
        <v>2.1579531799115967E-2</v>
      </c>
      <c r="AE266" s="71">
        <v>2.6949665301846226E-2</v>
      </c>
      <c r="AF266" s="63">
        <v>3.2403618081200451E-2</v>
      </c>
      <c r="AG266" s="71">
        <v>1.8292531186730387E-3</v>
      </c>
      <c r="AH266" s="71">
        <v>1.0183554640172926E-2</v>
      </c>
      <c r="AI266" s="71">
        <v>1.6998636299115966E-2</v>
      </c>
      <c r="AJ266" s="71">
        <v>2.1427694201846224E-2</v>
      </c>
      <c r="AK266" s="71">
        <v>2.5583805981200445E-2</v>
      </c>
    </row>
    <row r="267" spans="2:37" x14ac:dyDescent="0.35">
      <c r="B267" s="55" t="s">
        <v>129</v>
      </c>
      <c r="C267" s="53" t="s">
        <v>234</v>
      </c>
      <c r="D267" s="53" t="s">
        <v>62</v>
      </c>
      <c r="E267" s="53" t="s">
        <v>574</v>
      </c>
      <c r="F267" s="73">
        <f t="shared" si="23"/>
        <v>1.227582858806104E-3</v>
      </c>
      <c r="G267" s="60">
        <f t="shared" si="23"/>
        <v>1.2636128639758324E-2</v>
      </c>
      <c r="H267" s="60">
        <f t="shared" si="23"/>
        <v>2.1237653928387661E-2</v>
      </c>
      <c r="I267" s="60">
        <f t="shared" si="23"/>
        <v>2.598861642837634E-2</v>
      </c>
      <c r="J267" s="63">
        <f t="shared" si="23"/>
        <v>2.9651562930369326E-2</v>
      </c>
      <c r="K267" s="60" t="str">
        <f t="shared" si="24"/>
        <v/>
      </c>
      <c r="L267" s="60">
        <f t="shared" si="24"/>
        <v>9.1318261397583221E-3</v>
      </c>
      <c r="M267" s="60">
        <f t="shared" si="24"/>
        <v>1.6665613128387657E-2</v>
      </c>
      <c r="N267" s="60">
        <f t="shared" si="24"/>
        <v>2.0491022828376334E-2</v>
      </c>
      <c r="O267" s="63">
        <f t="shared" si="24"/>
        <v>2.2895573430369329E-2</v>
      </c>
      <c r="P267" s="55" t="s">
        <v>21</v>
      </c>
      <c r="Q267" s="53" t="s">
        <v>21</v>
      </c>
      <c r="R267" s="94" t="s">
        <v>21</v>
      </c>
      <c r="S267" s="73">
        <v>0</v>
      </c>
      <c r="T267" s="63">
        <f t="shared" si="20"/>
        <v>2.1237653928387661E-2</v>
      </c>
      <c r="V267" s="114">
        <v>1.12304012</v>
      </c>
      <c r="W267" s="72">
        <v>2.7993032699999998</v>
      </c>
      <c r="X267" s="72">
        <v>4.2066550999999999</v>
      </c>
      <c r="Y267" s="72">
        <v>5.3450459200000005</v>
      </c>
      <c r="Z267" s="115">
        <v>6.6657256999999994</v>
      </c>
      <c r="AB267" s="71">
        <v>1.227582858806104E-3</v>
      </c>
      <c r="AC267" s="71">
        <v>1.2636128639758324E-2</v>
      </c>
      <c r="AD267" s="71">
        <v>2.1237653928387661E-2</v>
      </c>
      <c r="AE267" s="71">
        <v>2.598861642837634E-2</v>
      </c>
      <c r="AF267" s="63">
        <v>2.9651562930369326E-2</v>
      </c>
      <c r="AG267" s="71" t="s">
        <v>21</v>
      </c>
      <c r="AH267" s="71">
        <v>9.1318261397583221E-3</v>
      </c>
      <c r="AI267" s="71">
        <v>1.6665613128387657E-2</v>
      </c>
      <c r="AJ267" s="71">
        <v>2.0491022828376334E-2</v>
      </c>
      <c r="AK267" s="71">
        <v>2.2895573430369329E-2</v>
      </c>
    </row>
    <row r="268" spans="2:37" x14ac:dyDescent="0.35">
      <c r="B268" s="55" t="s">
        <v>400</v>
      </c>
      <c r="C268" s="53" t="s">
        <v>234</v>
      </c>
      <c r="D268" s="53" t="s">
        <v>20</v>
      </c>
      <c r="E268" s="53" t="s">
        <v>288</v>
      </c>
      <c r="F268" s="73" t="str">
        <f t="shared" si="23"/>
        <v/>
      </c>
      <c r="G268" s="60">
        <f t="shared" si="23"/>
        <v>1.097429924820985E-2</v>
      </c>
      <c r="H268" s="60">
        <f t="shared" si="23"/>
        <v>1.9569775718229165E-2</v>
      </c>
      <c r="I268" s="60">
        <f t="shared" si="23"/>
        <v>2.5100404032205596E-2</v>
      </c>
      <c r="J268" s="63">
        <f t="shared" si="23"/>
        <v>2.7966271989452538E-2</v>
      </c>
      <c r="K268" s="60" t="str">
        <f t="shared" si="24"/>
        <v/>
      </c>
      <c r="L268" s="60">
        <f t="shared" si="24"/>
        <v>7.4400448482098546E-3</v>
      </c>
      <c r="M268" s="60">
        <f t="shared" si="24"/>
        <v>1.5001393618229164E-2</v>
      </c>
      <c r="N268" s="60">
        <f t="shared" si="24"/>
        <v>1.9613011832205599E-2</v>
      </c>
      <c r="O268" s="63">
        <f t="shared" si="24"/>
        <v>2.1237828789452545E-2</v>
      </c>
      <c r="P268" s="55" t="s">
        <v>403</v>
      </c>
      <c r="Q268" s="53" t="s">
        <v>404</v>
      </c>
      <c r="R268" s="94">
        <v>47771</v>
      </c>
      <c r="S268" s="73">
        <v>1.276509E-2</v>
      </c>
      <c r="T268" s="63">
        <f t="shared" si="20"/>
        <v>6.8046857182291649E-3</v>
      </c>
      <c r="V268" s="114">
        <v>1.12703245</v>
      </c>
      <c r="W268" s="72">
        <v>2.8167475799999999</v>
      </c>
      <c r="X268" s="72">
        <v>4.2455069099999996</v>
      </c>
      <c r="Y268" s="72">
        <v>5.3980505900000004</v>
      </c>
      <c r="Z268" s="115">
        <v>6.7531109000000002</v>
      </c>
      <c r="AB268" s="71" t="s">
        <v>21</v>
      </c>
      <c r="AC268" s="71">
        <v>1.097429924820985E-2</v>
      </c>
      <c r="AD268" s="71">
        <v>1.9569775718229165E-2</v>
      </c>
      <c r="AE268" s="71">
        <v>2.5100404032205596E-2</v>
      </c>
      <c r="AF268" s="63">
        <v>2.7966271989452538E-2</v>
      </c>
      <c r="AG268" s="71" t="s">
        <v>21</v>
      </c>
      <c r="AH268" s="71">
        <v>7.4400448482098546E-3</v>
      </c>
      <c r="AI268" s="71">
        <v>1.5001393618229164E-2</v>
      </c>
      <c r="AJ268" s="71">
        <v>1.9613011832205599E-2</v>
      </c>
      <c r="AK268" s="71">
        <v>2.1237828789452545E-2</v>
      </c>
    </row>
    <row r="269" spans="2:37" x14ac:dyDescent="0.35">
      <c r="B269" s="55" t="s">
        <v>165</v>
      </c>
      <c r="C269" s="53" t="s">
        <v>234</v>
      </c>
      <c r="D269" s="53" t="s">
        <v>47</v>
      </c>
      <c r="E269" s="53" t="s">
        <v>48</v>
      </c>
      <c r="F269" s="73" t="str">
        <f t="shared" si="23"/>
        <v/>
      </c>
      <c r="G269" s="60">
        <f t="shared" si="23"/>
        <v>9.7789818288392741E-3</v>
      </c>
      <c r="H269" s="60">
        <f t="shared" si="23"/>
        <v>1.8034836342027093E-2</v>
      </c>
      <c r="I269" s="60">
        <f t="shared" si="23"/>
        <v>2.3804567597101783E-2</v>
      </c>
      <c r="J269" s="63">
        <f t="shared" si="23"/>
        <v>2.8607000612260697E-2</v>
      </c>
      <c r="K269" s="60" t="str">
        <f t="shared" si="24"/>
        <v/>
      </c>
      <c r="L269" s="60">
        <f t="shared" si="24"/>
        <v>6.216318428839275E-3</v>
      </c>
      <c r="M269" s="60">
        <f t="shared" si="24"/>
        <v>1.346358214202709E-2</v>
      </c>
      <c r="N269" s="60">
        <f t="shared" si="24"/>
        <v>1.8329589597101782E-2</v>
      </c>
      <c r="O269" s="63">
        <f t="shared" si="24"/>
        <v>2.1863457212260691E-2</v>
      </c>
      <c r="P269" s="55" t="s">
        <v>21</v>
      </c>
      <c r="Q269" s="53" t="s">
        <v>21</v>
      </c>
      <c r="R269" s="94" t="s">
        <v>21</v>
      </c>
      <c r="S269" s="73">
        <v>0</v>
      </c>
      <c r="T269" s="63">
        <f t="shared" si="20"/>
        <v>1.8034836342027093E-2</v>
      </c>
      <c r="V269" s="114">
        <v>1.12613444</v>
      </c>
      <c r="W269" s="72">
        <v>2.82398017</v>
      </c>
      <c r="X269" s="72">
        <v>4.2692251600000004</v>
      </c>
      <c r="Y269" s="72">
        <v>5.44157344</v>
      </c>
      <c r="Z269" s="115">
        <v>6.7901524599999998</v>
      </c>
      <c r="AB269" s="71" t="s">
        <v>21</v>
      </c>
      <c r="AC269" s="71">
        <v>9.7789818288392741E-3</v>
      </c>
      <c r="AD269" s="71">
        <v>1.8034836342027093E-2</v>
      </c>
      <c r="AE269" s="71">
        <v>2.3804567597101783E-2</v>
      </c>
      <c r="AF269" s="63">
        <v>2.8607000612260697E-2</v>
      </c>
      <c r="AG269" s="71" t="s">
        <v>21</v>
      </c>
      <c r="AH269" s="71">
        <v>6.216318428839275E-3</v>
      </c>
      <c r="AI269" s="71">
        <v>1.346358214202709E-2</v>
      </c>
      <c r="AJ269" s="71">
        <v>1.8329589597101782E-2</v>
      </c>
      <c r="AK269" s="71">
        <v>2.1863457212260691E-2</v>
      </c>
    </row>
    <row r="270" spans="2:37" x14ac:dyDescent="0.35">
      <c r="B270" s="55" t="s">
        <v>166</v>
      </c>
      <c r="C270" s="53" t="s">
        <v>234</v>
      </c>
      <c r="D270" s="53" t="s">
        <v>43</v>
      </c>
      <c r="E270" s="53" t="s">
        <v>575</v>
      </c>
      <c r="F270" s="73" t="str">
        <f t="shared" si="23"/>
        <v/>
      </c>
      <c r="G270" s="60">
        <f t="shared" si="23"/>
        <v>9.5206700832339407E-3</v>
      </c>
      <c r="H270" s="60">
        <f t="shared" si="23"/>
        <v>1.7483806566147887E-2</v>
      </c>
      <c r="I270" s="60">
        <f t="shared" si="23"/>
        <v>2.0932974920843866E-2</v>
      </c>
      <c r="J270" s="63">
        <f t="shared" si="23"/>
        <v>2.3454035180762174E-2</v>
      </c>
      <c r="K270" s="60" t="str">
        <f t="shared" si="24"/>
        <v/>
      </c>
      <c r="L270" s="60">
        <f t="shared" si="24"/>
        <v>5.947001883233943E-3</v>
      </c>
      <c r="M270" s="60">
        <f t="shared" si="24"/>
        <v>1.2905718966147889E-2</v>
      </c>
      <c r="N270" s="60">
        <f t="shared" si="24"/>
        <v>1.5468156220843869E-2</v>
      </c>
      <c r="O270" s="63">
        <f t="shared" si="24"/>
        <v>1.6722277080762175E-2</v>
      </c>
      <c r="P270" s="55" t="s">
        <v>21</v>
      </c>
      <c r="Q270" s="53" t="s">
        <v>21</v>
      </c>
      <c r="R270" s="94" t="s">
        <v>21</v>
      </c>
      <c r="S270" s="73">
        <v>0</v>
      </c>
      <c r="T270" s="63">
        <f t="shared" si="20"/>
        <v>1.7483806566147887E-2</v>
      </c>
      <c r="V270" s="114">
        <v>1.1275542300000001</v>
      </c>
      <c r="W270" s="72">
        <v>2.8281121499999999</v>
      </c>
      <c r="X270" s="72">
        <v>4.2801686200000004</v>
      </c>
      <c r="Y270" s="72">
        <v>5.4875760500000004</v>
      </c>
      <c r="Z270" s="115">
        <v>6.9540652600000001</v>
      </c>
      <c r="AB270" s="71" t="s">
        <v>21</v>
      </c>
      <c r="AC270" s="71">
        <v>9.5206700832339407E-3</v>
      </c>
      <c r="AD270" s="71">
        <v>1.7483806566147887E-2</v>
      </c>
      <c r="AE270" s="71">
        <v>2.0932974920843866E-2</v>
      </c>
      <c r="AF270" s="63">
        <v>2.3454035180762174E-2</v>
      </c>
      <c r="AG270" s="71" t="s">
        <v>21</v>
      </c>
      <c r="AH270" s="71">
        <v>5.947001883233943E-3</v>
      </c>
      <c r="AI270" s="71">
        <v>1.2905718966147889E-2</v>
      </c>
      <c r="AJ270" s="71">
        <v>1.5468156220843869E-2</v>
      </c>
      <c r="AK270" s="71">
        <v>1.6722277080762175E-2</v>
      </c>
    </row>
    <row r="271" spans="2:37" x14ac:dyDescent="0.35">
      <c r="B271" s="55" t="s">
        <v>401</v>
      </c>
      <c r="C271" s="53" t="s">
        <v>234</v>
      </c>
      <c r="D271" s="53" t="s">
        <v>53</v>
      </c>
      <c r="E271" s="53" t="s">
        <v>293</v>
      </c>
      <c r="F271" s="73" t="str">
        <f t="shared" si="23"/>
        <v/>
      </c>
      <c r="G271" s="60">
        <f t="shared" si="23"/>
        <v>8.8792359272895603E-3</v>
      </c>
      <c r="H271" s="60">
        <f t="shared" si="23"/>
        <v>1.7259589759196628E-2</v>
      </c>
      <c r="I271" s="60">
        <f t="shared" si="23"/>
        <v>2.1895023838468131E-2</v>
      </c>
      <c r="J271" s="63">
        <f t="shared" si="23"/>
        <v>2.7300537158529266E-2</v>
      </c>
      <c r="K271" s="60" t="str">
        <f t="shared" si="24"/>
        <v/>
      </c>
      <c r="L271" s="60">
        <f t="shared" si="24"/>
        <v>5.2827240272895629E-3</v>
      </c>
      <c r="M271" s="60">
        <f t="shared" si="24"/>
        <v>1.2680552059196628E-2</v>
      </c>
      <c r="N271" s="60">
        <f t="shared" si="24"/>
        <v>1.643134023846813E-2</v>
      </c>
      <c r="O271" s="63">
        <f t="shared" si="24"/>
        <v>2.0565236158529267E-2</v>
      </c>
      <c r="P271" s="55" t="s">
        <v>21</v>
      </c>
      <c r="Q271" s="53" t="s">
        <v>21</v>
      </c>
      <c r="R271" s="94" t="s">
        <v>21</v>
      </c>
      <c r="S271" s="73">
        <v>0</v>
      </c>
      <c r="T271" s="63">
        <f t="shared" si="20"/>
        <v>1.7259589759196628E-2</v>
      </c>
      <c r="V271" s="114">
        <v>1.1289722099999999</v>
      </c>
      <c r="W271" s="72">
        <v>2.8348022099999999</v>
      </c>
      <c r="X271" s="72">
        <v>4.2902501900000001</v>
      </c>
      <c r="Y271" s="72">
        <v>5.4884379399999998</v>
      </c>
      <c r="Z271" s="115">
        <v>6.8752483200000007</v>
      </c>
      <c r="AB271" s="71" t="s">
        <v>21</v>
      </c>
      <c r="AC271" s="71">
        <v>8.8792359272895603E-3</v>
      </c>
      <c r="AD271" s="71">
        <v>1.7259589759196628E-2</v>
      </c>
      <c r="AE271" s="71">
        <v>2.1895023838468131E-2</v>
      </c>
      <c r="AF271" s="63">
        <v>2.7300537158529266E-2</v>
      </c>
      <c r="AG271" s="71" t="s">
        <v>21</v>
      </c>
      <c r="AH271" s="71">
        <v>5.2827240272895629E-3</v>
      </c>
      <c r="AI271" s="71">
        <v>1.2680552059196628E-2</v>
      </c>
      <c r="AJ271" s="71">
        <v>1.643134023846813E-2</v>
      </c>
      <c r="AK271" s="71">
        <v>2.0565236158529267E-2</v>
      </c>
    </row>
    <row r="272" spans="2:37" x14ac:dyDescent="0.35">
      <c r="B272" s="55" t="s">
        <v>170</v>
      </c>
      <c r="C272" s="53" t="s">
        <v>234</v>
      </c>
      <c r="D272" s="53" t="s">
        <v>20</v>
      </c>
      <c r="E272" s="53" t="s">
        <v>402</v>
      </c>
      <c r="F272" s="73">
        <f t="shared" si="23"/>
        <v>3.1538616328273608E-3</v>
      </c>
      <c r="G272" s="60">
        <f t="shared" si="23"/>
        <v>1.5925468399505781E-2</v>
      </c>
      <c r="H272" s="60">
        <f t="shared" si="23"/>
        <v>2.7044575701985027E-2</v>
      </c>
      <c r="I272" s="60">
        <f t="shared" si="23"/>
        <v>3.1821213577797582E-2</v>
      </c>
      <c r="J272" s="63">
        <f t="shared" si="23"/>
        <v>3.6117740921646643E-2</v>
      </c>
      <c r="K272" s="60">
        <f t="shared" si="24"/>
        <v>1.0637731328273599E-3</v>
      </c>
      <c r="L272" s="60">
        <f t="shared" si="24"/>
        <v>1.2425354899505784E-2</v>
      </c>
      <c r="M272" s="60">
        <f t="shared" si="24"/>
        <v>2.2368963201985021E-2</v>
      </c>
      <c r="N272" s="60">
        <f t="shared" si="24"/>
        <v>2.6191864177797577E-2</v>
      </c>
      <c r="O272" s="63">
        <f t="shared" si="24"/>
        <v>2.9211713221646635E-2</v>
      </c>
      <c r="P272" s="55" t="s">
        <v>468</v>
      </c>
      <c r="Q272" s="53" t="s">
        <v>469</v>
      </c>
      <c r="R272" s="94">
        <v>47505</v>
      </c>
      <c r="S272" s="73">
        <v>2.0086159999999999E-2</v>
      </c>
      <c r="T272" s="63">
        <f t="shared" si="20"/>
        <v>6.9584157019850282E-3</v>
      </c>
      <c r="V272" s="114">
        <v>1.1179228299999999</v>
      </c>
      <c r="W272" s="72">
        <v>2.7691026700000001</v>
      </c>
      <c r="X272" s="72">
        <v>4.1191513100000003</v>
      </c>
      <c r="Y272" s="72">
        <v>5.1671399600000001</v>
      </c>
      <c r="Z272" s="115">
        <v>6.3475623699999995</v>
      </c>
      <c r="AB272" s="71">
        <v>3.1538616328273608E-3</v>
      </c>
      <c r="AC272" s="71">
        <v>1.5925468399505781E-2</v>
      </c>
      <c r="AD272" s="71">
        <v>2.7044575701985027E-2</v>
      </c>
      <c r="AE272" s="71">
        <v>3.1821213577797582E-2</v>
      </c>
      <c r="AF272" s="63">
        <v>3.6117740921646643E-2</v>
      </c>
      <c r="AG272" s="71">
        <v>1.0637731328273599E-3</v>
      </c>
      <c r="AH272" s="71">
        <v>1.2425354899505784E-2</v>
      </c>
      <c r="AI272" s="71">
        <v>2.2368963201985021E-2</v>
      </c>
      <c r="AJ272" s="71">
        <v>2.6191864177797577E-2</v>
      </c>
      <c r="AK272" s="71">
        <v>2.9211713221646635E-2</v>
      </c>
    </row>
    <row r="273" spans="2:37" x14ac:dyDescent="0.35">
      <c r="B273" s="55" t="s">
        <v>168</v>
      </c>
      <c r="C273" s="53" t="s">
        <v>234</v>
      </c>
      <c r="D273" s="53" t="s">
        <v>169</v>
      </c>
      <c r="E273" s="53" t="s">
        <v>576</v>
      </c>
      <c r="F273" s="73">
        <f t="shared" si="23"/>
        <v>1.381561683283977E-3</v>
      </c>
      <c r="G273" s="60">
        <f t="shared" si="23"/>
        <v>1.0301827705731259E-2</v>
      </c>
      <c r="H273" s="60">
        <f t="shared" si="23"/>
        <v>1.6246300753060432E-2</v>
      </c>
      <c r="I273" s="60">
        <f t="shared" si="23"/>
        <v>1.8912063900340642E-2</v>
      </c>
      <c r="J273" s="63">
        <f t="shared" si="23"/>
        <v>2.1346030788317337E-2</v>
      </c>
      <c r="K273" s="60" t="str">
        <f t="shared" si="24"/>
        <v/>
      </c>
      <c r="L273" s="60">
        <f t="shared" si="24"/>
        <v>6.7516706057312633E-3</v>
      </c>
      <c r="M273" s="60">
        <f t="shared" si="24"/>
        <v>1.1650137853060433E-2</v>
      </c>
      <c r="N273" s="60">
        <f t="shared" si="24"/>
        <v>1.3422448900340642E-2</v>
      </c>
      <c r="O273" s="63">
        <f t="shared" si="24"/>
        <v>1.4572639188317336E-2</v>
      </c>
      <c r="P273" s="55" t="s">
        <v>21</v>
      </c>
      <c r="Q273" s="53" t="s">
        <v>21</v>
      </c>
      <c r="R273" s="94" t="s">
        <v>21</v>
      </c>
      <c r="S273" s="73">
        <v>0</v>
      </c>
      <c r="T273" s="63">
        <f t="shared" si="20"/>
        <v>1.6246300753060432E-2</v>
      </c>
      <c r="V273" s="114">
        <v>1.1231408999999999</v>
      </c>
      <c r="W273" s="72">
        <v>2.81396523</v>
      </c>
      <c r="X273" s="72">
        <v>4.2754116600000005</v>
      </c>
      <c r="Y273" s="72">
        <v>5.5127725400000003</v>
      </c>
      <c r="Z273" s="115">
        <v>7.0317595600000002</v>
      </c>
      <c r="AB273" s="71">
        <v>1.381561683283977E-3</v>
      </c>
      <c r="AC273" s="71">
        <v>1.0301827705731259E-2</v>
      </c>
      <c r="AD273" s="71">
        <v>1.6246300753060432E-2</v>
      </c>
      <c r="AE273" s="71">
        <v>1.8912063900340642E-2</v>
      </c>
      <c r="AF273" s="63">
        <v>2.1346030788317337E-2</v>
      </c>
      <c r="AG273" s="71" t="s">
        <v>21</v>
      </c>
      <c r="AH273" s="71">
        <v>6.7516706057312633E-3</v>
      </c>
      <c r="AI273" s="71">
        <v>1.1650137853060433E-2</v>
      </c>
      <c r="AJ273" s="71">
        <v>1.3422448900340642E-2</v>
      </c>
      <c r="AK273" s="71">
        <v>1.4572639188317336E-2</v>
      </c>
    </row>
    <row r="274" spans="2:37" x14ac:dyDescent="0.35">
      <c r="B274" s="55" t="s">
        <v>117</v>
      </c>
      <c r="C274" s="53" t="s">
        <v>234</v>
      </c>
      <c r="D274" s="53" t="s">
        <v>31</v>
      </c>
      <c r="E274" s="53" t="s">
        <v>123</v>
      </c>
      <c r="F274" s="73" t="str">
        <f t="shared" si="23"/>
        <v/>
      </c>
      <c r="G274" s="60">
        <f t="shared" si="23"/>
        <v>9.2044004098025579E-3</v>
      </c>
      <c r="H274" s="60">
        <f t="shared" si="23"/>
        <v>1.4180035790664274E-2</v>
      </c>
      <c r="I274" s="60">
        <f t="shared" si="23"/>
        <v>1.7701671665885581E-2</v>
      </c>
      <c r="J274" s="63">
        <f t="shared" si="23"/>
        <v>2.0411757435387874E-2</v>
      </c>
      <c r="K274" s="60" t="str">
        <f t="shared" si="24"/>
        <v/>
      </c>
      <c r="L274" s="60">
        <f t="shared" si="24"/>
        <v>5.6201425098025594E-3</v>
      </c>
      <c r="M274" s="60">
        <f t="shared" si="24"/>
        <v>9.5336354906642752E-3</v>
      </c>
      <c r="N274" s="60">
        <f t="shared" si="24"/>
        <v>1.2186933165885584E-2</v>
      </c>
      <c r="O274" s="63">
        <f t="shared" si="24"/>
        <v>1.3617968535387876E-2</v>
      </c>
      <c r="P274" s="55" t="s">
        <v>21</v>
      </c>
      <c r="Q274" s="53" t="s">
        <v>21</v>
      </c>
      <c r="R274" s="94" t="s">
        <v>21</v>
      </c>
      <c r="S274" s="73">
        <v>0</v>
      </c>
      <c r="T274" s="63">
        <f t="shared" si="20"/>
        <v>1.4180035790664274E-2</v>
      </c>
      <c r="V274" s="114">
        <v>1.1291607299999999</v>
      </c>
      <c r="W274" s="72">
        <v>2.8326460299999998</v>
      </c>
      <c r="X274" s="72">
        <v>4.3190807499999995</v>
      </c>
      <c r="Y274" s="72">
        <v>5.5776091599999997</v>
      </c>
      <c r="Z274" s="115">
        <v>7.1218996000000008</v>
      </c>
      <c r="AB274" s="71" t="s">
        <v>21</v>
      </c>
      <c r="AC274" s="71">
        <v>9.2044004098025579E-3</v>
      </c>
      <c r="AD274" s="71">
        <v>1.4180035790664274E-2</v>
      </c>
      <c r="AE274" s="71">
        <v>1.7701671665885581E-2</v>
      </c>
      <c r="AF274" s="63">
        <v>2.0411757435387874E-2</v>
      </c>
      <c r="AG274" s="71" t="s">
        <v>21</v>
      </c>
      <c r="AH274" s="71">
        <v>5.6201425098025594E-3</v>
      </c>
      <c r="AI274" s="71">
        <v>9.5336354906642752E-3</v>
      </c>
      <c r="AJ274" s="71">
        <v>1.2186933165885584E-2</v>
      </c>
      <c r="AK274" s="71">
        <v>1.3617968535387876E-2</v>
      </c>
    </row>
    <row r="275" spans="2:37" x14ac:dyDescent="0.35">
      <c r="B275" s="55" t="s">
        <v>139</v>
      </c>
      <c r="C275" s="53" t="s">
        <v>234</v>
      </c>
      <c r="D275" s="53" t="s">
        <v>140</v>
      </c>
      <c r="E275" s="53" t="s">
        <v>161</v>
      </c>
      <c r="F275" s="73" t="str">
        <f t="shared" si="23"/>
        <v/>
      </c>
      <c r="G275" s="60">
        <f t="shared" si="23"/>
        <v>7.4568810627831245E-3</v>
      </c>
      <c r="H275" s="60">
        <f t="shared" si="23"/>
        <v>1.3249618706540754E-2</v>
      </c>
      <c r="I275" s="60">
        <f t="shared" si="23"/>
        <v>1.7245006575713602E-2</v>
      </c>
      <c r="J275" s="63">
        <f t="shared" si="23"/>
        <v>2.1647886772735672E-2</v>
      </c>
      <c r="K275" s="60" t="str">
        <f t="shared" si="24"/>
        <v/>
      </c>
      <c r="L275" s="60">
        <f t="shared" si="24"/>
        <v>3.7889781627831261E-3</v>
      </c>
      <c r="M275" s="60">
        <f t="shared" si="24"/>
        <v>8.5647834065407588E-3</v>
      </c>
      <c r="N275" s="60">
        <f t="shared" si="24"/>
        <v>1.1714141175713604E-2</v>
      </c>
      <c r="O275" s="63">
        <f t="shared" si="24"/>
        <v>1.4872381772735671E-2</v>
      </c>
      <c r="P275" s="55" t="s">
        <v>21</v>
      </c>
      <c r="Q275" s="53" t="s">
        <v>21</v>
      </c>
      <c r="R275" s="94" t="s">
        <v>21</v>
      </c>
      <c r="S275" s="73">
        <v>0</v>
      </c>
      <c r="T275" s="63">
        <f t="shared" si="20"/>
        <v>1.3249618706540754E-2</v>
      </c>
      <c r="V275" s="114">
        <v>1.1270453499999999</v>
      </c>
      <c r="W275" s="72">
        <v>2.8391050399999997</v>
      </c>
      <c r="X275" s="72">
        <v>4.3365888900000007</v>
      </c>
      <c r="Y275" s="72">
        <v>5.6037951399999999</v>
      </c>
      <c r="Z275" s="115">
        <v>7.1277295299999999</v>
      </c>
      <c r="AA275" s="137"/>
      <c r="AB275" s="71" t="s">
        <v>21</v>
      </c>
      <c r="AC275" s="71">
        <v>7.4568810627831245E-3</v>
      </c>
      <c r="AD275" s="71">
        <v>1.3249618706540754E-2</v>
      </c>
      <c r="AE275" s="71">
        <v>1.7245006575713602E-2</v>
      </c>
      <c r="AF275" s="63">
        <v>2.1647886772735672E-2</v>
      </c>
      <c r="AG275" s="71" t="s">
        <v>21</v>
      </c>
      <c r="AH275" s="71">
        <v>3.7889781627831261E-3</v>
      </c>
      <c r="AI275" s="71">
        <v>8.5647834065407588E-3</v>
      </c>
      <c r="AJ275" s="71">
        <v>1.1714141175713604E-2</v>
      </c>
      <c r="AK275" s="71">
        <v>1.4872381772735671E-2</v>
      </c>
    </row>
    <row r="276" spans="2:37" x14ac:dyDescent="0.35">
      <c r="B276" s="57" t="s">
        <v>171</v>
      </c>
      <c r="C276" s="67" t="s">
        <v>234</v>
      </c>
      <c r="D276" s="67" t="s">
        <v>69</v>
      </c>
      <c r="E276" s="67" t="s">
        <v>110</v>
      </c>
      <c r="F276" s="74" t="str">
        <f t="shared" ref="F276:J276" si="25">IF(ISNUMBER(AB276),AB276-((C$4-C$3)/V276),"")</f>
        <v/>
      </c>
      <c r="G276" s="76">
        <f t="shared" si="25"/>
        <v>6.3503005660657816E-3</v>
      </c>
      <c r="H276" s="76">
        <f t="shared" si="25"/>
        <v>1.2393082515193806E-2</v>
      </c>
      <c r="I276" s="76">
        <f t="shared" si="25"/>
        <v>1.5484771908631352E-2</v>
      </c>
      <c r="J276" s="64">
        <f t="shared" si="25"/>
        <v>1.9483132900565202E-2</v>
      </c>
      <c r="K276" s="76" t="str">
        <f t="shared" ref="K276:O276" si="26">IF(ISNUMBER(AG276),IF(AG276-((C$4-C$3)/V276)&lt;0,"",AG276-((C$4-C$3)/V276)),"")</f>
        <v/>
      </c>
      <c r="L276" s="76">
        <f t="shared" si="26"/>
        <v>2.6013699660657787E-3</v>
      </c>
      <c r="M276" s="76">
        <f t="shared" si="26"/>
        <v>7.6647799151938079E-3</v>
      </c>
      <c r="N276" s="76">
        <f t="shared" si="26"/>
        <v>9.8932143086313505E-3</v>
      </c>
      <c r="O276" s="64">
        <f t="shared" si="26"/>
        <v>1.2649881700565205E-2</v>
      </c>
      <c r="P276" s="57" t="s">
        <v>21</v>
      </c>
      <c r="Q276" s="67" t="s">
        <v>21</v>
      </c>
      <c r="R276" s="96" t="s">
        <v>21</v>
      </c>
      <c r="S276" s="74">
        <v>0</v>
      </c>
      <c r="T276" s="64">
        <f t="shared" si="20"/>
        <v>1.2393082515193806E-2</v>
      </c>
      <c r="V276" s="116">
        <v>1.12998566</v>
      </c>
      <c r="W276" s="108">
        <v>2.8515765599999998</v>
      </c>
      <c r="X276" s="108">
        <v>4.3603504699999993</v>
      </c>
      <c r="Y276" s="108">
        <v>5.6517988900000002</v>
      </c>
      <c r="Z276" s="117">
        <v>7.2297078299999997</v>
      </c>
      <c r="AA276" s="67"/>
      <c r="AB276" s="76" t="s">
        <v>21</v>
      </c>
      <c r="AC276" s="76">
        <v>6.3503005660657816E-3</v>
      </c>
      <c r="AD276" s="76">
        <v>1.2393082515193806E-2</v>
      </c>
      <c r="AE276" s="76">
        <v>1.5484771908631352E-2</v>
      </c>
      <c r="AF276" s="64">
        <v>1.9483132900565202E-2</v>
      </c>
      <c r="AG276" s="76" t="s">
        <v>21</v>
      </c>
      <c r="AH276" s="76">
        <v>2.6013699660657787E-3</v>
      </c>
      <c r="AI276" s="76">
        <v>7.6647799151938079E-3</v>
      </c>
      <c r="AJ276" s="76">
        <v>9.8932143086313505E-3</v>
      </c>
      <c r="AK276" s="76">
        <v>1.2649881700565205E-2</v>
      </c>
    </row>
    <row r="277" spans="2:37" x14ac:dyDescent="0.35">
      <c r="P277" s="128"/>
      <c r="Q277" s="128"/>
      <c r="R277" s="44"/>
      <c r="S277" s="128"/>
      <c r="V277" s="72"/>
      <c r="W277" s="72"/>
      <c r="X277" s="72"/>
      <c r="Y277" s="72"/>
      <c r="Z277" s="72"/>
    </row>
    <row r="278" spans="2:37" ht="15.5" x14ac:dyDescent="0.35">
      <c r="B278" s="122" t="s">
        <v>179</v>
      </c>
      <c r="R278" s="94"/>
      <c r="S278" s="71"/>
      <c r="T278" s="71"/>
      <c r="V278" s="72"/>
      <c r="W278" s="72"/>
      <c r="X278" s="72"/>
      <c r="Y278" s="72"/>
      <c r="Z278" s="72"/>
    </row>
    <row r="279" spans="2:37" x14ac:dyDescent="0.35">
      <c r="B279" s="85" t="s">
        <v>5</v>
      </c>
      <c r="C279" s="84" t="s">
        <v>6</v>
      </c>
      <c r="D279" s="84" t="s">
        <v>7</v>
      </c>
      <c r="E279" s="84" t="s">
        <v>8</v>
      </c>
      <c r="F279" s="83" t="s">
        <v>9</v>
      </c>
      <c r="G279" s="82" t="s">
        <v>10</v>
      </c>
      <c r="H279" s="82" t="s">
        <v>11</v>
      </c>
      <c r="I279" s="82" t="s">
        <v>12</v>
      </c>
      <c r="J279" s="81" t="s">
        <v>13</v>
      </c>
      <c r="K279" s="83" t="s">
        <v>9</v>
      </c>
      <c r="L279" s="82" t="s">
        <v>10</v>
      </c>
      <c r="M279" s="82" t="s">
        <v>11</v>
      </c>
      <c r="N279" s="82" t="s">
        <v>12</v>
      </c>
      <c r="O279" s="81" t="s">
        <v>13</v>
      </c>
      <c r="P279" s="70" t="s">
        <v>14</v>
      </c>
      <c r="Q279" s="58" t="s">
        <v>15</v>
      </c>
      <c r="R279" s="58" t="s">
        <v>16</v>
      </c>
      <c r="S279" s="58" t="s">
        <v>409</v>
      </c>
      <c r="T279" s="58" t="s">
        <v>18</v>
      </c>
      <c r="V279" s="106" t="s">
        <v>9</v>
      </c>
      <c r="W279" s="106" t="s">
        <v>10</v>
      </c>
      <c r="X279" s="106" t="s">
        <v>11</v>
      </c>
      <c r="Y279" s="106" t="s">
        <v>12</v>
      </c>
      <c r="Z279" s="111" t="s">
        <v>13</v>
      </c>
      <c r="AB279" s="83" t="s">
        <v>9</v>
      </c>
      <c r="AC279" s="82" t="s">
        <v>10</v>
      </c>
      <c r="AD279" s="82" t="s">
        <v>11</v>
      </c>
      <c r="AE279" s="82" t="s">
        <v>12</v>
      </c>
      <c r="AF279" s="81" t="s">
        <v>13</v>
      </c>
      <c r="AG279" s="58" t="s">
        <v>9</v>
      </c>
      <c r="AH279" s="58" t="s">
        <v>10</v>
      </c>
      <c r="AI279" s="58" t="s">
        <v>11</v>
      </c>
      <c r="AJ279" s="58" t="s">
        <v>12</v>
      </c>
      <c r="AK279" s="58" t="s">
        <v>13</v>
      </c>
    </row>
    <row r="280" spans="2:37" x14ac:dyDescent="0.35">
      <c r="B280" s="56" t="s">
        <v>180</v>
      </c>
      <c r="C280" s="53" t="s">
        <v>234</v>
      </c>
      <c r="D280" s="66" t="s">
        <v>47</v>
      </c>
      <c r="E280" s="66" t="s">
        <v>577</v>
      </c>
      <c r="F280" s="73" t="str">
        <f>IF(ISNUMBER(AB280),AB280-((C$4-C$3)/V280),"")</f>
        <v/>
      </c>
      <c r="G280" s="60" t="str">
        <f>IF(ISNUMBER(AC280),AC280-((D$4-D$3)/W280),"")</f>
        <v/>
      </c>
      <c r="H280" s="60" t="str">
        <f>IF(ISNUMBER(AD280),AD280-((E$4-E$3)/X280),"")</f>
        <v/>
      </c>
      <c r="I280" s="60" t="str">
        <f>IF(ISNUMBER(AE280),AE280-((F$4-F$3)/Y280),"")</f>
        <v/>
      </c>
      <c r="J280" s="63" t="str">
        <f>IF(ISNUMBER(AF280),AF280-((G$4-G$3)/Z280),"")</f>
        <v/>
      </c>
      <c r="K280" s="60" t="str">
        <f>IF(ISNUMBER(AG280),IF(AG280-((C$4-C$3)/V280)&lt;0,"",AG280-((C$4-C$3)/V280)),"")</f>
        <v/>
      </c>
      <c r="L280" s="60" t="str">
        <f>IF(ISNUMBER(AH280),IF(AH280-((D$4-D$3)/W280)&lt;0,"",AH280-((D$4-D$3)/W280)),"")</f>
        <v/>
      </c>
      <c r="M280" s="60" t="str">
        <f>IF(ISNUMBER(AI280),IF(AI280-((E$4-E$3)/X280)&lt;0,"",AI280-((E$4-E$3)/X280)),"")</f>
        <v/>
      </c>
      <c r="N280" s="60" t="str">
        <f>IF(ISNUMBER(AJ280),IF(AJ280-((F$4-F$3)/Y280)&lt;0,"",AJ280-((F$4-F$3)/Y280)),"")</f>
        <v/>
      </c>
      <c r="O280" s="63" t="str">
        <f>IF(ISNUMBER(AK280),IF(AK280-((G$4-G$3)/Z280)&lt;0,"",AK280-((G$4-G$3)/Z280)),"")</f>
        <v/>
      </c>
      <c r="P280" s="56" t="s">
        <v>578</v>
      </c>
      <c r="Q280" s="66" t="s">
        <v>579</v>
      </c>
      <c r="R280" s="100" t="s">
        <v>32</v>
      </c>
      <c r="S280" s="75">
        <v>7.1364899999999997E-3</v>
      </c>
      <c r="T280" s="63" t="e">
        <f t="shared" ref="T280:T286" si="27">IF(S280="","",H280-S280)</f>
        <v>#VALUE!</v>
      </c>
      <c r="V280" s="72">
        <v>1.13064714</v>
      </c>
      <c r="W280" s="72">
        <v>2.8566576299999999</v>
      </c>
      <c r="X280" s="72">
        <v>4.3775044000000003</v>
      </c>
      <c r="Y280" s="72">
        <v>5.6855076699999998</v>
      </c>
      <c r="Z280" s="115">
        <v>7.3042386400000003</v>
      </c>
      <c r="AB280" s="80"/>
      <c r="AC280" s="80"/>
      <c r="AD280" s="80"/>
      <c r="AE280" s="80"/>
      <c r="AF280" s="62"/>
      <c r="AG280" s="80"/>
      <c r="AH280" s="80"/>
      <c r="AI280" s="80"/>
      <c r="AJ280" s="80"/>
      <c r="AK280" s="80"/>
    </row>
    <row r="281" spans="2:37" x14ac:dyDescent="0.35">
      <c r="B281" s="55" t="s">
        <v>271</v>
      </c>
      <c r="C281" s="53" t="s">
        <v>234</v>
      </c>
      <c r="D281" s="53" t="s">
        <v>20</v>
      </c>
      <c r="E281" s="53" t="s">
        <v>580</v>
      </c>
      <c r="F281" s="73" t="str">
        <f t="shared" ref="F281:J286" si="28">IF(ISNUMBER(AB281),AB281-((C$4-C$3)/V281),"")</f>
        <v/>
      </c>
      <c r="G281" s="60">
        <f t="shared" si="28"/>
        <v>7.7353550721306419E-3</v>
      </c>
      <c r="H281" s="60">
        <f t="shared" si="28"/>
        <v>1.1624682544592781E-2</v>
      </c>
      <c r="I281" s="60">
        <f t="shared" si="28"/>
        <v>1.4436340910693207E-2</v>
      </c>
      <c r="J281" s="63">
        <f t="shared" si="28"/>
        <v>1.6519769982234454E-2</v>
      </c>
      <c r="K281" s="60" t="str">
        <f t="shared" ref="K281:O286" si="29">IF(ISNUMBER(AG281),IF(AG281-((C$4-C$3)/V281)&lt;0,"",AG281-((C$4-C$3)/V281)),"")</f>
        <v/>
      </c>
      <c r="L281" s="60">
        <f t="shared" si="29"/>
        <v>4.0177958721306405E-3</v>
      </c>
      <c r="M281" s="60">
        <f t="shared" si="29"/>
        <v>6.8230909445927837E-3</v>
      </c>
      <c r="N281" s="60">
        <f t="shared" si="29"/>
        <v>8.7332887106932114E-3</v>
      </c>
      <c r="O281" s="63">
        <f t="shared" si="29"/>
        <v>9.4738015822344555E-3</v>
      </c>
      <c r="P281" s="55" t="s">
        <v>581</v>
      </c>
      <c r="Q281" s="53" t="s">
        <v>582</v>
      </c>
      <c r="R281" s="94" t="s">
        <v>32</v>
      </c>
      <c r="S281" s="73">
        <v>4.54449E-3</v>
      </c>
      <c r="T281" s="63">
        <f t="shared" si="27"/>
        <v>7.0801925445927814E-3</v>
      </c>
      <c r="V281" s="72">
        <v>1.1291351000000001</v>
      </c>
      <c r="W281" s="72">
        <v>2.8466073199999999</v>
      </c>
      <c r="X281" s="72">
        <v>4.3663419399999999</v>
      </c>
      <c r="Y281" s="72">
        <v>5.6873448499999997</v>
      </c>
      <c r="Z281" s="115">
        <v>7.3615121199999995</v>
      </c>
      <c r="AB281" s="71" t="s">
        <v>21</v>
      </c>
      <c r="AC281" s="71">
        <v>7.7353550721306419E-3</v>
      </c>
      <c r="AD281" s="71">
        <v>1.1624682544592781E-2</v>
      </c>
      <c r="AE281" s="71">
        <v>1.4436340910693207E-2</v>
      </c>
      <c r="AF281" s="63">
        <v>1.6519769982234454E-2</v>
      </c>
      <c r="AG281" s="71" t="s">
        <v>21</v>
      </c>
      <c r="AH281" s="71">
        <v>4.0177958721306405E-3</v>
      </c>
      <c r="AI281" s="71">
        <v>6.8230909445927837E-3</v>
      </c>
      <c r="AJ281" s="71">
        <v>8.7332887106932114E-3</v>
      </c>
      <c r="AK281" s="71">
        <v>9.4738015822344555E-3</v>
      </c>
    </row>
    <row r="282" spans="2:37" x14ac:dyDescent="0.35">
      <c r="B282" s="55" t="s">
        <v>182</v>
      </c>
      <c r="C282" s="53" t="s">
        <v>234</v>
      </c>
      <c r="D282" s="53" t="s">
        <v>69</v>
      </c>
      <c r="E282" s="53" t="s">
        <v>272</v>
      </c>
      <c r="F282" s="73" t="str">
        <f t="shared" si="28"/>
        <v/>
      </c>
      <c r="G282" s="60">
        <f t="shared" si="28"/>
        <v>5.376640202580941E-3</v>
      </c>
      <c r="H282" s="60">
        <f t="shared" si="28"/>
        <v>9.5885773540356004E-3</v>
      </c>
      <c r="I282" s="60">
        <f t="shared" si="28"/>
        <v>1.2565239753004522E-2</v>
      </c>
      <c r="J282" s="63">
        <f t="shared" si="28"/>
        <v>1.5320174681037947E-2</v>
      </c>
      <c r="K282" s="60" t="str">
        <f t="shared" si="29"/>
        <v/>
      </c>
      <c r="L282" s="60">
        <f t="shared" si="29"/>
        <v>1.425374102580943E-3</v>
      </c>
      <c r="M282" s="60">
        <f t="shared" si="29"/>
        <v>4.6099987540356028E-3</v>
      </c>
      <c r="N282" s="60">
        <f t="shared" si="29"/>
        <v>6.7140613530045209E-3</v>
      </c>
      <c r="O282" s="63">
        <f t="shared" si="29"/>
        <v>8.1721478810379486E-3</v>
      </c>
      <c r="P282" s="55" t="s">
        <v>583</v>
      </c>
      <c r="Q282" s="53" t="s">
        <v>584</v>
      </c>
      <c r="R282" s="94" t="s">
        <v>32</v>
      </c>
      <c r="S282" s="73">
        <v>3.7830799999999999E-3</v>
      </c>
      <c r="T282" s="63">
        <f t="shared" si="27"/>
        <v>5.8054973540356009E-3</v>
      </c>
      <c r="V282" s="72">
        <v>1.1317748699999999</v>
      </c>
      <c r="W282" s="72">
        <v>2.8669545099999998</v>
      </c>
      <c r="X282" s="72">
        <v>4.4121066799999999</v>
      </c>
      <c r="Y282" s="72">
        <v>5.7615276899999994</v>
      </c>
      <c r="Z282" s="115">
        <v>7.4710708099999996</v>
      </c>
      <c r="AB282" s="71" t="s">
        <v>21</v>
      </c>
      <c r="AC282" s="71">
        <v>5.376640202580941E-3</v>
      </c>
      <c r="AD282" s="71">
        <v>9.5885773540356004E-3</v>
      </c>
      <c r="AE282" s="71">
        <v>1.2565239753004522E-2</v>
      </c>
      <c r="AF282" s="63">
        <v>1.5320174681037947E-2</v>
      </c>
      <c r="AG282" s="71" t="s">
        <v>21</v>
      </c>
      <c r="AH282" s="71">
        <v>1.425374102580943E-3</v>
      </c>
      <c r="AI282" s="71">
        <v>4.6099987540356028E-3</v>
      </c>
      <c r="AJ282" s="71">
        <v>6.7140613530045209E-3</v>
      </c>
      <c r="AK282" s="71">
        <v>8.1721478810379486E-3</v>
      </c>
    </row>
    <row r="283" spans="2:37" x14ac:dyDescent="0.35">
      <c r="B283" s="55" t="s">
        <v>183</v>
      </c>
      <c r="C283" s="53" t="s">
        <v>234</v>
      </c>
      <c r="D283" s="53" t="s">
        <v>184</v>
      </c>
      <c r="E283" s="53" t="s">
        <v>323</v>
      </c>
      <c r="F283" s="73" t="str">
        <f t="shared" si="28"/>
        <v/>
      </c>
      <c r="G283" s="60">
        <f t="shared" si="28"/>
        <v>6.3817509011847929E-3</v>
      </c>
      <c r="H283" s="60">
        <f t="shared" si="28"/>
        <v>1.122115212273965E-2</v>
      </c>
      <c r="I283" s="60">
        <f t="shared" si="28"/>
        <v>1.539836603346862E-2</v>
      </c>
      <c r="J283" s="63">
        <f t="shared" si="28"/>
        <v>1.95706421521127E-2</v>
      </c>
      <c r="K283" s="60" t="str">
        <f t="shared" si="29"/>
        <v/>
      </c>
      <c r="L283" s="60">
        <f t="shared" si="29"/>
        <v>2.5465855011847921E-3</v>
      </c>
      <c r="M283" s="60">
        <f t="shared" si="29"/>
        <v>6.3881089227396477E-3</v>
      </c>
      <c r="N283" s="60">
        <f t="shared" si="29"/>
        <v>9.7471885334686204E-3</v>
      </c>
      <c r="O283" s="63">
        <f t="shared" si="29"/>
        <v>1.2689318652112702E-2</v>
      </c>
      <c r="P283" s="55" t="s">
        <v>585</v>
      </c>
      <c r="Q283" s="53" t="s">
        <v>586</v>
      </c>
      <c r="R283" s="94" t="s">
        <v>32</v>
      </c>
      <c r="S283" s="73">
        <v>1.0131879999999999E-2</v>
      </c>
      <c r="T283" s="63">
        <f t="shared" si="27"/>
        <v>1.0892721227396505E-3</v>
      </c>
      <c r="V283" s="72">
        <v>1.1317327699999999</v>
      </c>
      <c r="W283" s="72">
        <v>2.8606786299999998</v>
      </c>
      <c r="X283" s="72">
        <v>4.3877189400000001</v>
      </c>
      <c r="Y283" s="72">
        <v>5.6981601099999999</v>
      </c>
      <c r="Z283" s="115">
        <v>7.3065577899999994</v>
      </c>
      <c r="AB283" s="71" t="s">
        <v>21</v>
      </c>
      <c r="AC283" s="71">
        <v>6.3817509011847929E-3</v>
      </c>
      <c r="AD283" s="71">
        <v>1.122115212273965E-2</v>
      </c>
      <c r="AE283" s="71">
        <v>1.539836603346862E-2</v>
      </c>
      <c r="AF283" s="63">
        <v>1.95706421521127E-2</v>
      </c>
      <c r="AG283" s="71" t="s">
        <v>21</v>
      </c>
      <c r="AH283" s="71">
        <v>2.5465855011847921E-3</v>
      </c>
      <c r="AI283" s="71">
        <v>6.3881089227396477E-3</v>
      </c>
      <c r="AJ283" s="71">
        <v>9.7471885334686204E-3</v>
      </c>
      <c r="AK283" s="71">
        <v>1.2689318652112702E-2</v>
      </c>
    </row>
    <row r="284" spans="2:37" x14ac:dyDescent="0.35">
      <c r="B284" s="55" t="s">
        <v>185</v>
      </c>
      <c r="C284" s="53" t="s">
        <v>234</v>
      </c>
      <c r="D284" s="53" t="s">
        <v>53</v>
      </c>
      <c r="E284" s="53" t="s">
        <v>181</v>
      </c>
      <c r="F284" s="73" t="str">
        <f t="shared" si="28"/>
        <v/>
      </c>
      <c r="G284" s="60">
        <f t="shared" si="28"/>
        <v>5.3979056666677077E-3</v>
      </c>
      <c r="H284" s="60">
        <f t="shared" si="28"/>
        <v>9.5945419479809627E-3</v>
      </c>
      <c r="I284" s="60">
        <f t="shared" si="28"/>
        <v>1.279319505188636E-2</v>
      </c>
      <c r="J284" s="63">
        <f t="shared" si="28"/>
        <v>1.5653944264492629E-2</v>
      </c>
      <c r="K284" s="60" t="str">
        <f t="shared" si="29"/>
        <v/>
      </c>
      <c r="L284" s="60">
        <f t="shared" si="29"/>
        <v>1.4490723666677066E-3</v>
      </c>
      <c r="M284" s="60">
        <f t="shared" si="29"/>
        <v>4.6166128479809615E-3</v>
      </c>
      <c r="N284" s="60">
        <f t="shared" si="29"/>
        <v>6.9617030518863568E-3</v>
      </c>
      <c r="O284" s="63">
        <f t="shared" si="29"/>
        <v>8.5347128644926301E-3</v>
      </c>
      <c r="P284" s="55" t="s">
        <v>587</v>
      </c>
      <c r="Q284" s="53" t="s">
        <v>588</v>
      </c>
      <c r="R284" s="94" t="s">
        <v>32</v>
      </c>
      <c r="S284" s="73">
        <v>4.6057800000000003E-3</v>
      </c>
      <c r="T284" s="63">
        <f t="shared" si="27"/>
        <v>4.9887619479809624E-3</v>
      </c>
      <c r="V284" s="72">
        <v>1.13215325</v>
      </c>
      <c r="W284" s="72">
        <v>2.8675322799999998</v>
      </c>
      <c r="X284" s="72">
        <v>4.4125962699999999</v>
      </c>
      <c r="Y284" s="72">
        <v>5.7592636800000001</v>
      </c>
      <c r="Z284" s="115">
        <v>7.4605733699999996</v>
      </c>
      <c r="AB284" s="71" t="s">
        <v>21</v>
      </c>
      <c r="AC284" s="71">
        <v>5.3979056666677077E-3</v>
      </c>
      <c r="AD284" s="71">
        <v>9.5945419479809627E-3</v>
      </c>
      <c r="AE284" s="71">
        <v>1.279319505188636E-2</v>
      </c>
      <c r="AF284" s="63">
        <v>1.5653944264492629E-2</v>
      </c>
      <c r="AG284" s="71" t="s">
        <v>21</v>
      </c>
      <c r="AH284" s="71">
        <v>1.4490723666677066E-3</v>
      </c>
      <c r="AI284" s="71">
        <v>4.6166128479809615E-3</v>
      </c>
      <c r="AJ284" s="71">
        <v>6.9617030518863568E-3</v>
      </c>
      <c r="AK284" s="71">
        <v>8.5347128644926301E-3</v>
      </c>
    </row>
    <row r="285" spans="2:37" x14ac:dyDescent="0.35">
      <c r="B285" s="55" t="s">
        <v>186</v>
      </c>
      <c r="C285" s="53" t="s">
        <v>234</v>
      </c>
      <c r="D285" s="53" t="s">
        <v>31</v>
      </c>
      <c r="E285" s="53" t="s">
        <v>589</v>
      </c>
      <c r="F285" s="73" t="str">
        <f t="shared" si="28"/>
        <v/>
      </c>
      <c r="G285" s="60">
        <f t="shared" si="28"/>
        <v>6.2357811136974682E-3</v>
      </c>
      <c r="H285" s="60">
        <f t="shared" si="28"/>
        <v>1.1022596907384625E-2</v>
      </c>
      <c r="I285" s="60">
        <f t="shared" si="28"/>
        <v>1.4506458865309782E-2</v>
      </c>
      <c r="J285" s="63">
        <f t="shared" si="28"/>
        <v>1.7807685258147091E-2</v>
      </c>
      <c r="K285" s="60" t="str">
        <f t="shared" si="29"/>
        <v/>
      </c>
      <c r="L285" s="60">
        <f t="shared" si="29"/>
        <v>2.3858079136974669E-3</v>
      </c>
      <c r="M285" s="60">
        <f t="shared" si="29"/>
        <v>6.1741746073846271E-3</v>
      </c>
      <c r="N285" s="60">
        <f t="shared" si="29"/>
        <v>8.8051122653097849E-3</v>
      </c>
      <c r="O285" s="63">
        <f t="shared" si="29"/>
        <v>1.084104335814709E-2</v>
      </c>
      <c r="P285" s="55" t="s">
        <v>590</v>
      </c>
      <c r="Q285" s="53" t="s">
        <v>591</v>
      </c>
      <c r="R285" s="94" t="s">
        <v>32</v>
      </c>
      <c r="S285" s="73">
        <v>5.9093399999999999E-3</v>
      </c>
      <c r="T285" s="63">
        <f t="shared" si="27"/>
        <v>5.113256907384625E-3</v>
      </c>
      <c r="V285" s="72">
        <v>1.1312255</v>
      </c>
      <c r="W285" s="72">
        <v>2.8606304700000003</v>
      </c>
      <c r="X285" s="72">
        <v>4.38990861</v>
      </c>
      <c r="Y285" s="72">
        <v>5.7115643600000006</v>
      </c>
      <c r="Z285" s="115">
        <v>7.3596766300000009</v>
      </c>
      <c r="AB285" s="71" t="s">
        <v>21</v>
      </c>
      <c r="AC285" s="71">
        <v>6.2357811136974682E-3</v>
      </c>
      <c r="AD285" s="71">
        <v>1.1022596907384625E-2</v>
      </c>
      <c r="AE285" s="71">
        <v>1.4506458865309782E-2</v>
      </c>
      <c r="AF285" s="63">
        <v>1.7807685258147091E-2</v>
      </c>
      <c r="AG285" s="71" t="s">
        <v>21</v>
      </c>
      <c r="AH285" s="71">
        <v>2.3858079136974669E-3</v>
      </c>
      <c r="AI285" s="71">
        <v>6.1741746073846271E-3</v>
      </c>
      <c r="AJ285" s="71">
        <v>8.8051122653097849E-3</v>
      </c>
      <c r="AK285" s="71">
        <v>1.084104335814709E-2</v>
      </c>
    </row>
    <row r="286" spans="2:37" x14ac:dyDescent="0.35">
      <c r="B286" s="57" t="s">
        <v>187</v>
      </c>
      <c r="C286" s="67" t="s">
        <v>234</v>
      </c>
      <c r="D286" s="67" t="s">
        <v>140</v>
      </c>
      <c r="E286" s="67" t="s">
        <v>592</v>
      </c>
      <c r="F286" s="74" t="str">
        <f t="shared" si="28"/>
        <v/>
      </c>
      <c r="G286" s="76">
        <f t="shared" si="28"/>
        <v>5.337089925851698E-3</v>
      </c>
      <c r="H286" s="76">
        <f t="shared" si="28"/>
        <v>9.3297854062572814E-3</v>
      </c>
      <c r="I286" s="76">
        <f t="shared" si="28"/>
        <v>1.2980059165995483E-2</v>
      </c>
      <c r="J286" s="64">
        <f t="shared" si="28"/>
        <v>1.5885029726715856E-2</v>
      </c>
      <c r="K286" s="76" t="str">
        <f t="shared" si="29"/>
        <v/>
      </c>
      <c r="L286" s="76">
        <f t="shared" si="29"/>
        <v>1.3800206258516969E-3</v>
      </c>
      <c r="M286" s="76">
        <f t="shared" si="29"/>
        <v>4.3235006062572806E-3</v>
      </c>
      <c r="N286" s="76">
        <f t="shared" si="29"/>
        <v>7.1623915659954811E-3</v>
      </c>
      <c r="O286" s="64">
        <f t="shared" si="29"/>
        <v>8.7848604267158591E-3</v>
      </c>
      <c r="P286" s="57" t="s">
        <v>593</v>
      </c>
      <c r="Q286" s="67" t="s">
        <v>594</v>
      </c>
      <c r="R286" s="96" t="s">
        <v>32</v>
      </c>
      <c r="S286" s="74">
        <v>3.4055200000000004E-3</v>
      </c>
      <c r="T286" s="64">
        <f t="shared" si="27"/>
        <v>5.924265406257281E-3</v>
      </c>
      <c r="V286" s="108">
        <v>1.1323375</v>
      </c>
      <c r="W286" s="108">
        <v>2.8682545999999998</v>
      </c>
      <c r="X286" s="108">
        <v>4.4160229600000003</v>
      </c>
      <c r="Y286" s="108">
        <v>5.7613014800000002</v>
      </c>
      <c r="Z286" s="117">
        <v>7.4564753000000001</v>
      </c>
      <c r="AB286" s="76" t="s">
        <v>21</v>
      </c>
      <c r="AC286" s="76">
        <v>5.337089925851698E-3</v>
      </c>
      <c r="AD286" s="76">
        <v>9.3297854062572814E-3</v>
      </c>
      <c r="AE286" s="76">
        <v>1.2980059165995483E-2</v>
      </c>
      <c r="AF286" s="64">
        <v>1.5885029726715856E-2</v>
      </c>
      <c r="AG286" s="76" t="s">
        <v>21</v>
      </c>
      <c r="AH286" s="76">
        <v>1.3800206258516969E-3</v>
      </c>
      <c r="AI286" s="76">
        <v>4.3235006062572806E-3</v>
      </c>
      <c r="AJ286" s="76">
        <v>7.1623915659954811E-3</v>
      </c>
      <c r="AK286" s="76">
        <v>8.7848604267158591E-3</v>
      </c>
    </row>
    <row r="287" spans="2:37" x14ac:dyDescent="0.35">
      <c r="V287" s="72"/>
      <c r="W287" s="72"/>
      <c r="X287" s="72"/>
      <c r="Y287" s="72"/>
      <c r="Z287" s="72"/>
    </row>
    <row r="288" spans="2:37" ht="15.5" x14ac:dyDescent="0.35">
      <c r="B288" s="122" t="s">
        <v>188</v>
      </c>
      <c r="R288" s="94"/>
      <c r="S288" s="71"/>
      <c r="T288" s="71"/>
      <c r="V288" s="72"/>
      <c r="W288" s="72"/>
      <c r="X288" s="72"/>
      <c r="Y288" s="72"/>
      <c r="Z288" s="72"/>
    </row>
    <row r="289" spans="2:37" x14ac:dyDescent="0.35">
      <c r="B289" s="85" t="s">
        <v>5</v>
      </c>
      <c r="C289" s="84" t="s">
        <v>6</v>
      </c>
      <c r="D289" s="84" t="s">
        <v>7</v>
      </c>
      <c r="E289" s="84" t="s">
        <v>8</v>
      </c>
      <c r="F289" s="83" t="s">
        <v>9</v>
      </c>
      <c r="G289" s="82" t="s">
        <v>10</v>
      </c>
      <c r="H289" s="82" t="s">
        <v>11</v>
      </c>
      <c r="I289" s="82" t="s">
        <v>12</v>
      </c>
      <c r="J289" s="81" t="s">
        <v>13</v>
      </c>
      <c r="K289" s="83" t="s">
        <v>9</v>
      </c>
      <c r="L289" s="82" t="s">
        <v>10</v>
      </c>
      <c r="M289" s="82" t="s">
        <v>11</v>
      </c>
      <c r="N289" s="82" t="s">
        <v>12</v>
      </c>
      <c r="O289" s="81" t="s">
        <v>13</v>
      </c>
      <c r="P289" s="70" t="s">
        <v>14</v>
      </c>
      <c r="Q289" s="58" t="s">
        <v>15</v>
      </c>
      <c r="R289" s="58" t="s">
        <v>16</v>
      </c>
      <c r="S289" s="58" t="s">
        <v>409</v>
      </c>
      <c r="T289" s="81" t="s">
        <v>18</v>
      </c>
      <c r="V289" s="106" t="s">
        <v>9</v>
      </c>
      <c r="W289" s="106" t="s">
        <v>10</v>
      </c>
      <c r="X289" s="106" t="s">
        <v>11</v>
      </c>
      <c r="Y289" s="106" t="s">
        <v>12</v>
      </c>
      <c r="Z289" s="111" t="s">
        <v>13</v>
      </c>
      <c r="AB289" s="83" t="s">
        <v>9</v>
      </c>
      <c r="AC289" s="82" t="s">
        <v>10</v>
      </c>
      <c r="AD289" s="82" t="s">
        <v>11</v>
      </c>
      <c r="AE289" s="82" t="s">
        <v>12</v>
      </c>
      <c r="AF289" s="81" t="s">
        <v>13</v>
      </c>
      <c r="AG289" s="58" t="s">
        <v>9</v>
      </c>
      <c r="AH289" s="58" t="s">
        <v>10</v>
      </c>
      <c r="AI289" s="58" t="s">
        <v>11</v>
      </c>
      <c r="AJ289" s="58" t="s">
        <v>12</v>
      </c>
      <c r="AK289" s="58" t="s">
        <v>13</v>
      </c>
    </row>
    <row r="290" spans="2:37" x14ac:dyDescent="0.35">
      <c r="B290" s="57" t="s">
        <v>298</v>
      </c>
      <c r="C290" s="67"/>
      <c r="D290" s="69"/>
      <c r="E290" s="69"/>
      <c r="F290" s="102" t="str">
        <f t="shared" ref="F290:J305" si="30">IF(ISNUMBER(AB290),AB290-((C$4-C$3)/V290),"")</f>
        <v/>
      </c>
      <c r="G290" s="103" t="str">
        <f t="shared" si="30"/>
        <v/>
      </c>
      <c r="H290" s="103">
        <f t="shared" si="30"/>
        <v>2.0276196925671508E-2</v>
      </c>
      <c r="I290" s="103" t="str">
        <f t="shared" si="30"/>
        <v/>
      </c>
      <c r="J290" s="104" t="str">
        <f t="shared" si="30"/>
        <v/>
      </c>
      <c r="K290" s="103" t="str">
        <f t="shared" ref="K290:O305" si="31">IF(ISNUMBER(AG290),IF(AG290-((C$4-C$3)/V290)&lt;0,"",AG290-((C$4-C$3)/V290)),"")</f>
        <v/>
      </c>
      <c r="L290" s="103" t="str">
        <f t="shared" si="31"/>
        <v/>
      </c>
      <c r="M290" s="103">
        <f t="shared" si="31"/>
        <v>1.5747034425671512E-2</v>
      </c>
      <c r="N290" s="103" t="str">
        <f t="shared" si="31"/>
        <v/>
      </c>
      <c r="O290" s="104" t="str">
        <f t="shared" si="31"/>
        <v/>
      </c>
      <c r="P290" s="56"/>
      <c r="Q290" s="69"/>
      <c r="R290" s="105"/>
      <c r="S290" s="75"/>
      <c r="T290" s="104"/>
      <c r="V290" s="72">
        <v>1.11261078</v>
      </c>
      <c r="W290" s="72">
        <v>2.7769235699999997</v>
      </c>
      <c r="X290" s="72">
        <v>4.2243036700000003</v>
      </c>
      <c r="Y290" s="72">
        <v>5.4665206799999995</v>
      </c>
      <c r="Z290" s="115">
        <v>7.0171531199999997</v>
      </c>
      <c r="AB290" s="103" t="s">
        <v>21</v>
      </c>
      <c r="AC290" s="103"/>
      <c r="AD290" s="103">
        <v>2.0276196925671508E-2</v>
      </c>
      <c r="AE290" s="103" t="s">
        <v>21</v>
      </c>
      <c r="AF290" s="104" t="s">
        <v>21</v>
      </c>
      <c r="AG290" s="80" t="s">
        <v>21</v>
      </c>
      <c r="AH290" s="80"/>
      <c r="AI290" s="80">
        <v>1.5747034425671512E-2</v>
      </c>
      <c r="AJ290" s="80" t="s">
        <v>21</v>
      </c>
      <c r="AK290" s="80" t="s">
        <v>21</v>
      </c>
    </row>
    <row r="291" spans="2:37" x14ac:dyDescent="0.35">
      <c r="B291" s="55" t="s">
        <v>189</v>
      </c>
      <c r="C291" s="53" t="s">
        <v>234</v>
      </c>
      <c r="D291" s="66" t="s">
        <v>190</v>
      </c>
      <c r="E291" s="66" t="s">
        <v>273</v>
      </c>
      <c r="F291" s="75" t="str">
        <f t="shared" si="30"/>
        <v/>
      </c>
      <c r="G291" s="80">
        <f t="shared" si="30"/>
        <v>5.8835141601368711E-3</v>
      </c>
      <c r="H291" s="80">
        <f t="shared" si="30"/>
        <v>1.1167715257399081E-2</v>
      </c>
      <c r="I291" s="80" t="str">
        <f t="shared" si="30"/>
        <v/>
      </c>
      <c r="J291" s="62" t="str">
        <f t="shared" si="30"/>
        <v/>
      </c>
      <c r="K291" s="80" t="str">
        <f t="shared" si="31"/>
        <v/>
      </c>
      <c r="L291" s="80">
        <f t="shared" si="31"/>
        <v>1.9457944601368711E-3</v>
      </c>
      <c r="M291" s="80">
        <f t="shared" si="31"/>
        <v>6.2501375573990811E-3</v>
      </c>
      <c r="N291" s="80" t="str">
        <f t="shared" si="31"/>
        <v/>
      </c>
      <c r="O291" s="62" t="str">
        <f t="shared" si="31"/>
        <v/>
      </c>
      <c r="P291" s="56" t="s">
        <v>21</v>
      </c>
      <c r="Q291" s="66" t="s">
        <v>21</v>
      </c>
      <c r="R291" s="100" t="s">
        <v>21</v>
      </c>
      <c r="S291" s="75">
        <v>0</v>
      </c>
      <c r="T291" s="63">
        <f t="shared" ref="T291:T316" si="32">IF(S291="","",H291-S291)</f>
        <v>1.1167715257399081E-2</v>
      </c>
      <c r="V291" s="72">
        <v>1.1320348600000001</v>
      </c>
      <c r="W291" s="72">
        <v>2.8685260000000001</v>
      </c>
      <c r="X291" s="72">
        <v>4.4137593299999995</v>
      </c>
      <c r="Y291" s="72">
        <v>5.75759037</v>
      </c>
      <c r="Z291" s="115">
        <v>7.4543520200000009</v>
      </c>
      <c r="AB291" s="80" t="s">
        <v>21</v>
      </c>
      <c r="AC291" s="80">
        <v>5.8835141601368711E-3</v>
      </c>
      <c r="AD291" s="80">
        <v>1.1167715257399081E-2</v>
      </c>
      <c r="AE291" s="80" t="s">
        <v>21</v>
      </c>
      <c r="AF291" s="62" t="s">
        <v>21</v>
      </c>
      <c r="AG291" s="80" t="s">
        <v>21</v>
      </c>
      <c r="AH291" s="80">
        <v>1.9457944601368711E-3</v>
      </c>
      <c r="AI291" s="80">
        <v>6.2501375573990811E-3</v>
      </c>
      <c r="AJ291" s="80" t="s">
        <v>21</v>
      </c>
      <c r="AK291" s="80" t="s">
        <v>21</v>
      </c>
    </row>
    <row r="292" spans="2:37" x14ac:dyDescent="0.35">
      <c r="B292" s="55" t="s">
        <v>191</v>
      </c>
      <c r="C292" s="53" t="s">
        <v>234</v>
      </c>
      <c r="D292" s="53" t="s">
        <v>192</v>
      </c>
      <c r="E292" s="53" t="s">
        <v>595</v>
      </c>
      <c r="F292" s="73" t="str">
        <f t="shared" si="30"/>
        <v/>
      </c>
      <c r="G292" s="60">
        <f t="shared" si="30"/>
        <v>8.6986791289603849E-3</v>
      </c>
      <c r="H292" s="60">
        <f t="shared" si="30"/>
        <v>1.4877842706716441E-2</v>
      </c>
      <c r="I292" s="60" t="str">
        <f t="shared" si="30"/>
        <v/>
      </c>
      <c r="J292" s="63" t="str">
        <f t="shared" si="30"/>
        <v/>
      </c>
      <c r="K292" s="60" t="str">
        <f t="shared" si="31"/>
        <v/>
      </c>
      <c r="L292" s="60">
        <f t="shared" si="31"/>
        <v>5.0415274289603851E-3</v>
      </c>
      <c r="M292" s="60">
        <f t="shared" si="31"/>
        <v>1.0221069606716444E-2</v>
      </c>
      <c r="N292" s="60" t="str">
        <f t="shared" si="31"/>
        <v/>
      </c>
      <c r="O292" s="63" t="str">
        <f t="shared" si="31"/>
        <v/>
      </c>
      <c r="P292" s="55" t="s">
        <v>596</v>
      </c>
      <c r="Q292" s="53" t="s">
        <v>597</v>
      </c>
      <c r="R292" s="94" t="s">
        <v>32</v>
      </c>
      <c r="S292" s="73">
        <v>1.170421E-2</v>
      </c>
      <c r="T292" s="63">
        <f t="shared" si="32"/>
        <v>3.1736327067164415E-3</v>
      </c>
      <c r="V292" s="72">
        <v>1.1275119999999998</v>
      </c>
      <c r="W292" s="72">
        <v>2.8451265499999998</v>
      </c>
      <c r="X292" s="72">
        <v>4.3528498200000003</v>
      </c>
      <c r="Y292" s="72">
        <v>5.6464091000000005</v>
      </c>
      <c r="Z292" s="115">
        <v>7.2464640100000004</v>
      </c>
      <c r="AB292" s="71" t="s">
        <v>21</v>
      </c>
      <c r="AC292" s="71">
        <v>8.6986791289603849E-3</v>
      </c>
      <c r="AD292" s="71">
        <v>1.4877842706716441E-2</v>
      </c>
      <c r="AE292" s="71" t="s">
        <v>21</v>
      </c>
      <c r="AF292" s="63" t="s">
        <v>21</v>
      </c>
      <c r="AG292" s="71" t="s">
        <v>21</v>
      </c>
      <c r="AH292" s="71">
        <v>5.0415274289603851E-3</v>
      </c>
      <c r="AI292" s="71">
        <v>1.0221069606716444E-2</v>
      </c>
      <c r="AJ292" s="71" t="s">
        <v>21</v>
      </c>
      <c r="AK292" s="71" t="s">
        <v>21</v>
      </c>
    </row>
    <row r="293" spans="2:37" x14ac:dyDescent="0.35">
      <c r="B293" s="55" t="s">
        <v>194</v>
      </c>
      <c r="C293" s="53" t="s">
        <v>234</v>
      </c>
      <c r="D293" s="53" t="s">
        <v>195</v>
      </c>
      <c r="E293" s="53" t="s">
        <v>294</v>
      </c>
      <c r="F293" s="73" t="str">
        <f t="shared" si="30"/>
        <v/>
      </c>
      <c r="G293" s="60">
        <f t="shared" si="30"/>
        <v>5.9279561271397361E-3</v>
      </c>
      <c r="H293" s="60">
        <f t="shared" si="30"/>
        <v>1.1202395022771313E-2</v>
      </c>
      <c r="I293" s="60" t="str">
        <f t="shared" si="30"/>
        <v/>
      </c>
      <c r="J293" s="63" t="str">
        <f t="shared" si="30"/>
        <v/>
      </c>
      <c r="K293" s="60" t="str">
        <f t="shared" si="31"/>
        <v/>
      </c>
      <c r="L293" s="60">
        <f t="shared" si="31"/>
        <v>1.9970201271397345E-3</v>
      </c>
      <c r="M293" s="60">
        <f t="shared" si="31"/>
        <v>6.2884782227713119E-3</v>
      </c>
      <c r="N293" s="60" t="str">
        <f t="shared" si="31"/>
        <v/>
      </c>
      <c r="O293" s="63" t="str">
        <f t="shared" si="31"/>
        <v/>
      </c>
      <c r="P293" s="55" t="s">
        <v>598</v>
      </c>
      <c r="Q293" s="53" t="s">
        <v>599</v>
      </c>
      <c r="R293" s="94" t="s">
        <v>32</v>
      </c>
      <c r="S293" s="73">
        <v>9.8249800000000005E-3</v>
      </c>
      <c r="T293" s="63">
        <f t="shared" si="32"/>
        <v>1.3774150227713125E-3</v>
      </c>
      <c r="V293" s="72">
        <v>1.1316969099999998</v>
      </c>
      <c r="W293" s="72">
        <v>2.8677211900000001</v>
      </c>
      <c r="X293" s="72">
        <v>4.4126921399999999</v>
      </c>
      <c r="Y293" s="72">
        <v>5.7574580299999996</v>
      </c>
      <c r="Z293" s="115">
        <v>7.4422045300000006</v>
      </c>
      <c r="AB293" s="71" t="s">
        <v>21</v>
      </c>
      <c r="AC293" s="71">
        <v>5.9279561271397361E-3</v>
      </c>
      <c r="AD293" s="71">
        <v>1.1202395022771313E-2</v>
      </c>
      <c r="AE293" s="71" t="s">
        <v>21</v>
      </c>
      <c r="AF293" s="63" t="s">
        <v>21</v>
      </c>
      <c r="AG293" s="71" t="s">
        <v>21</v>
      </c>
      <c r="AH293" s="71">
        <v>1.9970201271397345E-3</v>
      </c>
      <c r="AI293" s="71">
        <v>6.2884782227713119E-3</v>
      </c>
      <c r="AJ293" s="71" t="s">
        <v>21</v>
      </c>
      <c r="AK293" s="71" t="s">
        <v>21</v>
      </c>
    </row>
    <row r="294" spans="2:37" x14ac:dyDescent="0.35">
      <c r="B294" s="55" t="s">
        <v>196</v>
      </c>
      <c r="C294" s="53" t="s">
        <v>234</v>
      </c>
      <c r="D294" s="53" t="s">
        <v>197</v>
      </c>
      <c r="E294" s="53" t="s">
        <v>600</v>
      </c>
      <c r="F294" s="73" t="str">
        <f t="shared" si="30"/>
        <v/>
      </c>
      <c r="G294" s="60">
        <f t="shared" si="30"/>
        <v>1.1901113427271758E-2</v>
      </c>
      <c r="H294" s="60">
        <f t="shared" si="30"/>
        <v>2.1564583435179419E-2</v>
      </c>
      <c r="I294" s="60" t="str">
        <f t="shared" si="30"/>
        <v/>
      </c>
      <c r="J294" s="63" t="str">
        <f t="shared" si="30"/>
        <v/>
      </c>
      <c r="K294" s="60" t="str">
        <f t="shared" si="31"/>
        <v/>
      </c>
      <c r="L294" s="60">
        <f t="shared" si="31"/>
        <v>8.3858143272717567E-3</v>
      </c>
      <c r="M294" s="60">
        <f t="shared" si="31"/>
        <v>1.7028610235179421E-2</v>
      </c>
      <c r="N294" s="60" t="str">
        <f t="shared" si="31"/>
        <v/>
      </c>
      <c r="O294" s="63" t="str">
        <f t="shared" si="31"/>
        <v/>
      </c>
      <c r="P294" s="55" t="s">
        <v>601</v>
      </c>
      <c r="Q294" s="53" t="s">
        <v>602</v>
      </c>
      <c r="R294" s="94" t="s">
        <v>32</v>
      </c>
      <c r="S294" s="73">
        <v>2.1454240000000003E-2</v>
      </c>
      <c r="T294" s="63">
        <f t="shared" si="32"/>
        <v>1.1034343517941567E-4</v>
      </c>
      <c r="V294" s="72">
        <v>1.1275798400000001</v>
      </c>
      <c r="W294" s="72">
        <v>2.8291888800000002</v>
      </c>
      <c r="X294" s="72">
        <v>4.2727678300000003</v>
      </c>
      <c r="Y294" s="72">
        <v>5.4498520399999997</v>
      </c>
      <c r="Z294" s="115">
        <v>6.79350744</v>
      </c>
      <c r="AB294" s="71" t="s">
        <v>21</v>
      </c>
      <c r="AC294" s="71">
        <v>1.1901113427271758E-2</v>
      </c>
      <c r="AD294" s="71">
        <v>2.1564583435179419E-2</v>
      </c>
      <c r="AE294" s="71" t="s">
        <v>21</v>
      </c>
      <c r="AF294" s="63" t="s">
        <v>21</v>
      </c>
      <c r="AG294" s="71" t="s">
        <v>21</v>
      </c>
      <c r="AH294" s="71">
        <v>8.3858143272717567E-3</v>
      </c>
      <c r="AI294" s="71">
        <v>1.7028610235179421E-2</v>
      </c>
      <c r="AJ294" s="71" t="s">
        <v>21</v>
      </c>
      <c r="AK294" s="71" t="s">
        <v>21</v>
      </c>
    </row>
    <row r="295" spans="2:37" x14ac:dyDescent="0.35">
      <c r="B295" s="55" t="s">
        <v>198</v>
      </c>
      <c r="C295" s="53" t="s">
        <v>234</v>
      </c>
      <c r="D295" s="53" t="s">
        <v>199</v>
      </c>
      <c r="E295" s="53" t="s">
        <v>55</v>
      </c>
      <c r="F295" s="73" t="str">
        <f t="shared" si="30"/>
        <v/>
      </c>
      <c r="G295" s="60">
        <f t="shared" si="30"/>
        <v>1.1662839161162286E-2</v>
      </c>
      <c r="H295" s="60">
        <f t="shared" si="30"/>
        <v>1.8975450304318145E-2</v>
      </c>
      <c r="I295" s="60" t="str">
        <f t="shared" si="30"/>
        <v/>
      </c>
      <c r="J295" s="63" t="str">
        <f t="shared" si="30"/>
        <v/>
      </c>
      <c r="K295" s="60" t="str">
        <f t="shared" si="31"/>
        <v/>
      </c>
      <c r="L295" s="60">
        <f t="shared" si="31"/>
        <v>8.1414848611622865E-3</v>
      </c>
      <c r="M295" s="60">
        <f t="shared" si="31"/>
        <v>1.4429442604318143E-2</v>
      </c>
      <c r="N295" s="60" t="str">
        <f t="shared" si="31"/>
        <v/>
      </c>
      <c r="O295" s="63" t="str">
        <f t="shared" si="31"/>
        <v/>
      </c>
      <c r="P295" s="55" t="s">
        <v>603</v>
      </c>
      <c r="Q295" s="53" t="s">
        <v>604</v>
      </c>
      <c r="R295" s="94">
        <v>47586</v>
      </c>
      <c r="S295" s="73">
        <v>1.5553250000000001E-2</v>
      </c>
      <c r="T295" s="63">
        <f t="shared" si="32"/>
        <v>3.4222003043181438E-3</v>
      </c>
      <c r="V295" s="72">
        <v>1.12545786</v>
      </c>
      <c r="W295" s="72">
        <v>2.8254420499999999</v>
      </c>
      <c r="X295" s="72">
        <v>4.29250694</v>
      </c>
      <c r="Y295" s="72">
        <v>5.5147561400000003</v>
      </c>
      <c r="Z295" s="115">
        <v>6.9615776899999995</v>
      </c>
      <c r="AB295" s="71" t="s">
        <v>21</v>
      </c>
      <c r="AC295" s="71">
        <v>1.1662839161162286E-2</v>
      </c>
      <c r="AD295" s="71">
        <v>1.8975450304318145E-2</v>
      </c>
      <c r="AE295" s="71" t="s">
        <v>21</v>
      </c>
      <c r="AF295" s="63" t="s">
        <v>21</v>
      </c>
      <c r="AG295" s="71" t="s">
        <v>21</v>
      </c>
      <c r="AH295" s="71">
        <v>8.1414848611622865E-3</v>
      </c>
      <c r="AI295" s="71">
        <v>1.4429442604318143E-2</v>
      </c>
      <c r="AJ295" s="71" t="s">
        <v>21</v>
      </c>
      <c r="AK295" s="71" t="s">
        <v>21</v>
      </c>
    </row>
    <row r="296" spans="2:37" x14ac:dyDescent="0.35">
      <c r="B296" s="55" t="s">
        <v>200</v>
      </c>
      <c r="C296" s="53" t="s">
        <v>234</v>
      </c>
      <c r="D296" s="53" t="s">
        <v>201</v>
      </c>
      <c r="E296" s="53" t="s">
        <v>295</v>
      </c>
      <c r="F296" s="73" t="str">
        <f t="shared" si="30"/>
        <v/>
      </c>
      <c r="G296" s="60">
        <f t="shared" si="30"/>
        <v>1.3345297084172267E-2</v>
      </c>
      <c r="H296" s="60">
        <f t="shared" si="30"/>
        <v>2.186113708819714E-2</v>
      </c>
      <c r="I296" s="60" t="str">
        <f t="shared" si="30"/>
        <v/>
      </c>
      <c r="J296" s="63" t="str">
        <f t="shared" si="30"/>
        <v/>
      </c>
      <c r="K296" s="60" t="str">
        <f t="shared" si="31"/>
        <v/>
      </c>
      <c r="L296" s="60">
        <f t="shared" si="31"/>
        <v>9.8604032841722658E-3</v>
      </c>
      <c r="M296" s="60">
        <f t="shared" si="31"/>
        <v>1.7329104588197142E-2</v>
      </c>
      <c r="N296" s="60" t="str">
        <f t="shared" si="31"/>
        <v/>
      </c>
      <c r="O296" s="63" t="str">
        <f t="shared" si="31"/>
        <v/>
      </c>
      <c r="P296" s="55" t="s">
        <v>605</v>
      </c>
      <c r="Q296" s="53" t="s">
        <v>606</v>
      </c>
      <c r="R296" s="94" t="s">
        <v>32</v>
      </c>
      <c r="S296" s="73">
        <v>1.5629589999999999E-2</v>
      </c>
      <c r="T296" s="63">
        <f t="shared" si="32"/>
        <v>6.231547088197141E-3</v>
      </c>
      <c r="V296" s="72">
        <v>1.1245001299999999</v>
      </c>
      <c r="W296" s="72">
        <v>2.81494504</v>
      </c>
      <c r="X296" s="72">
        <v>4.2548212899999998</v>
      </c>
      <c r="Y296" s="72">
        <v>5.4316352999999999</v>
      </c>
      <c r="Z296" s="115">
        <v>6.7863805799999994</v>
      </c>
      <c r="AB296" s="71" t="s">
        <v>21</v>
      </c>
      <c r="AC296" s="71">
        <v>1.3345297084172267E-2</v>
      </c>
      <c r="AD296" s="71">
        <v>2.186113708819714E-2</v>
      </c>
      <c r="AE296" s="71" t="s">
        <v>21</v>
      </c>
      <c r="AF296" s="63" t="s">
        <v>21</v>
      </c>
      <c r="AG296" s="71" t="s">
        <v>21</v>
      </c>
      <c r="AH296" s="71">
        <v>9.8604032841722658E-3</v>
      </c>
      <c r="AI296" s="71">
        <v>1.7329104588197142E-2</v>
      </c>
      <c r="AJ296" s="71" t="s">
        <v>21</v>
      </c>
      <c r="AK296" s="71" t="s">
        <v>21</v>
      </c>
    </row>
    <row r="297" spans="2:37" x14ac:dyDescent="0.35">
      <c r="B297" s="55" t="s">
        <v>202</v>
      </c>
      <c r="C297" s="53" t="s">
        <v>234</v>
      </c>
      <c r="D297" s="53" t="s">
        <v>203</v>
      </c>
      <c r="E297" s="53" t="s">
        <v>181</v>
      </c>
      <c r="F297" s="73" t="str">
        <f t="shared" si="30"/>
        <v/>
      </c>
      <c r="G297" s="60">
        <f t="shared" si="30"/>
        <v>9.8260362840380117E-3</v>
      </c>
      <c r="H297" s="60">
        <f t="shared" si="30"/>
        <v>1.6392573096716372E-2</v>
      </c>
      <c r="I297" s="60" t="str">
        <f t="shared" si="30"/>
        <v/>
      </c>
      <c r="J297" s="63" t="str">
        <f t="shared" si="30"/>
        <v/>
      </c>
      <c r="K297" s="60" t="str">
        <f t="shared" si="31"/>
        <v/>
      </c>
      <c r="L297" s="60">
        <f t="shared" si="31"/>
        <v>6.2429874840380121E-3</v>
      </c>
      <c r="M297" s="60">
        <f t="shared" si="31"/>
        <v>1.1798729496716369E-2</v>
      </c>
      <c r="N297" s="60" t="str">
        <f t="shared" si="31"/>
        <v/>
      </c>
      <c r="O297" s="63" t="str">
        <f t="shared" si="31"/>
        <v/>
      </c>
      <c r="P297" s="55" t="s">
        <v>607</v>
      </c>
      <c r="Q297" s="53" t="s">
        <v>608</v>
      </c>
      <c r="R297" s="94" t="s">
        <v>32</v>
      </c>
      <c r="S297" s="73">
        <v>-2.9756019999999998E-2</v>
      </c>
      <c r="T297" s="63">
        <f t="shared" si="32"/>
        <v>4.6148593096716373E-2</v>
      </c>
      <c r="V297" s="72">
        <v>1.1270769300000001</v>
      </c>
      <c r="W297" s="72">
        <v>2.8373737699999997</v>
      </c>
      <c r="X297" s="72">
        <v>4.3278215800000002</v>
      </c>
      <c r="Y297" s="72">
        <v>5.5892689000000004</v>
      </c>
      <c r="Z297" s="115">
        <v>7.1260383299999992</v>
      </c>
      <c r="AB297" s="71" t="s">
        <v>21</v>
      </c>
      <c r="AC297" s="71">
        <v>9.8260362840380117E-3</v>
      </c>
      <c r="AD297" s="71">
        <v>1.6392573096716372E-2</v>
      </c>
      <c r="AE297" s="71" t="s">
        <v>21</v>
      </c>
      <c r="AF297" s="63" t="s">
        <v>21</v>
      </c>
      <c r="AG297" s="71" t="s">
        <v>21</v>
      </c>
      <c r="AH297" s="71">
        <v>6.2429874840380121E-3</v>
      </c>
      <c r="AI297" s="71">
        <v>1.1798729496716369E-2</v>
      </c>
      <c r="AJ297" s="71" t="s">
        <v>21</v>
      </c>
      <c r="AK297" s="71" t="s">
        <v>21</v>
      </c>
    </row>
    <row r="298" spans="2:37" x14ac:dyDescent="0.35">
      <c r="B298" s="55" t="s">
        <v>204</v>
      </c>
      <c r="C298" s="53" t="s">
        <v>234</v>
      </c>
      <c r="D298" s="53" t="s">
        <v>205</v>
      </c>
      <c r="E298" s="53" t="s">
        <v>609</v>
      </c>
      <c r="F298" s="73" t="str">
        <f t="shared" si="30"/>
        <v/>
      </c>
      <c r="G298" s="60">
        <f t="shared" si="30"/>
        <v>1.9007644961133982E-2</v>
      </c>
      <c r="H298" s="60">
        <f t="shared" si="30"/>
        <v>2.9513669608437019E-2</v>
      </c>
      <c r="I298" s="60" t="str">
        <f t="shared" si="30"/>
        <v/>
      </c>
      <c r="J298" s="63" t="str">
        <f t="shared" si="30"/>
        <v/>
      </c>
      <c r="K298" s="60" t="str">
        <f t="shared" si="31"/>
        <v/>
      </c>
      <c r="L298" s="60">
        <f t="shared" si="31"/>
        <v>1.5523491261133985E-2</v>
      </c>
      <c r="M298" s="60">
        <f t="shared" si="31"/>
        <v>2.4866777208437021E-2</v>
      </c>
      <c r="N298" s="60" t="str">
        <f t="shared" si="31"/>
        <v/>
      </c>
      <c r="O298" s="63" t="str">
        <f t="shared" si="31"/>
        <v/>
      </c>
      <c r="P298" s="55" t="s">
        <v>21</v>
      </c>
      <c r="Q298" s="53" t="s">
        <v>21</v>
      </c>
      <c r="R298" s="94" t="s">
        <v>21</v>
      </c>
      <c r="S298" s="73">
        <v>0</v>
      </c>
      <c r="T298" s="63">
        <f t="shared" si="32"/>
        <v>2.9513669608437019E-2</v>
      </c>
      <c r="V298" s="72">
        <v>1.1186530700000001</v>
      </c>
      <c r="W298" s="72">
        <v>2.7716590499999998</v>
      </c>
      <c r="X298" s="72">
        <v>4.1388993699999999</v>
      </c>
      <c r="Y298" s="72">
        <v>5.2124394800000005</v>
      </c>
      <c r="Z298" s="115">
        <v>6.397976700000001</v>
      </c>
      <c r="AB298" s="71" t="s">
        <v>21</v>
      </c>
      <c r="AC298" s="71">
        <v>1.9007644961133982E-2</v>
      </c>
      <c r="AD298" s="71">
        <v>2.9513669608437019E-2</v>
      </c>
      <c r="AE298" s="71" t="s">
        <v>21</v>
      </c>
      <c r="AF298" s="63" t="s">
        <v>21</v>
      </c>
      <c r="AG298" s="71" t="s">
        <v>21</v>
      </c>
      <c r="AH298" s="71">
        <v>1.5523491261133985E-2</v>
      </c>
      <c r="AI298" s="71">
        <v>2.4866777208437021E-2</v>
      </c>
      <c r="AJ298" s="71" t="s">
        <v>21</v>
      </c>
      <c r="AK298" s="71" t="s">
        <v>21</v>
      </c>
    </row>
    <row r="299" spans="2:37" x14ac:dyDescent="0.35">
      <c r="B299" s="55" t="s">
        <v>206</v>
      </c>
      <c r="C299" s="53" t="s">
        <v>234</v>
      </c>
      <c r="D299" s="53" t="s">
        <v>207</v>
      </c>
      <c r="E299" s="53" t="s">
        <v>193</v>
      </c>
      <c r="F299" s="73" t="str">
        <f t="shared" si="30"/>
        <v/>
      </c>
      <c r="G299" s="60">
        <f t="shared" si="30"/>
        <v>8.7044419439605714E-3</v>
      </c>
      <c r="H299" s="60">
        <f t="shared" si="30"/>
        <v>1.4427584978963572E-2</v>
      </c>
      <c r="I299" s="60" t="str">
        <f t="shared" si="30"/>
        <v/>
      </c>
      <c r="J299" s="63" t="str">
        <f t="shared" si="30"/>
        <v/>
      </c>
      <c r="K299" s="60" t="str">
        <f t="shared" si="31"/>
        <v/>
      </c>
      <c r="L299" s="60">
        <f t="shared" si="31"/>
        <v>5.0484794439605712E-3</v>
      </c>
      <c r="M299" s="60">
        <f t="shared" si="31"/>
        <v>9.7513241789635736E-3</v>
      </c>
      <c r="N299" s="60" t="str">
        <f t="shared" si="31"/>
        <v/>
      </c>
      <c r="O299" s="63" t="str">
        <f t="shared" si="31"/>
        <v/>
      </c>
      <c r="P299" s="55" t="s">
        <v>610</v>
      </c>
      <c r="Q299" s="53" t="s">
        <v>611</v>
      </c>
      <c r="R299" s="94" t="s">
        <v>32</v>
      </c>
      <c r="S299" s="73">
        <v>8.4469699999999998E-3</v>
      </c>
      <c r="T299" s="63">
        <f t="shared" si="32"/>
        <v>5.9806149789635721E-3</v>
      </c>
      <c r="V299" s="72">
        <v>1.12819329</v>
      </c>
      <c r="W299" s="72">
        <v>2.8460788400000001</v>
      </c>
      <c r="X299" s="72">
        <v>4.3574842</v>
      </c>
      <c r="Y299" s="72">
        <v>5.6532056199999996</v>
      </c>
      <c r="Z299" s="115">
        <v>7.2588846700000005</v>
      </c>
      <c r="AB299" s="71" t="s">
        <v>21</v>
      </c>
      <c r="AC299" s="71">
        <v>8.7044419439605714E-3</v>
      </c>
      <c r="AD299" s="71">
        <v>1.4427584978963572E-2</v>
      </c>
      <c r="AE299" s="71" t="s">
        <v>21</v>
      </c>
      <c r="AF299" s="63" t="s">
        <v>21</v>
      </c>
      <c r="AG299" s="71" t="s">
        <v>21</v>
      </c>
      <c r="AH299" s="71">
        <v>5.0484794439605712E-3</v>
      </c>
      <c r="AI299" s="71">
        <v>9.7513241789635736E-3</v>
      </c>
      <c r="AJ299" s="71" t="s">
        <v>21</v>
      </c>
      <c r="AK299" s="71" t="s">
        <v>21</v>
      </c>
    </row>
    <row r="300" spans="2:37" x14ac:dyDescent="0.35">
      <c r="B300" s="55" t="s">
        <v>208</v>
      </c>
      <c r="C300" s="53" t="s">
        <v>234</v>
      </c>
      <c r="D300" s="53" t="s">
        <v>209</v>
      </c>
      <c r="E300" s="53" t="s">
        <v>181</v>
      </c>
      <c r="F300" s="73" t="str">
        <f t="shared" si="30"/>
        <v/>
      </c>
      <c r="G300" s="60">
        <f t="shared" si="30"/>
        <v>1.2592686421383094E-2</v>
      </c>
      <c r="H300" s="60">
        <f t="shared" si="30"/>
        <v>2.0557168005365504E-2</v>
      </c>
      <c r="I300" s="60" t="str">
        <f t="shared" si="30"/>
        <v/>
      </c>
      <c r="J300" s="63" t="str">
        <f t="shared" si="30"/>
        <v/>
      </c>
      <c r="K300" s="60" t="str">
        <f t="shared" si="31"/>
        <v/>
      </c>
      <c r="L300" s="60">
        <f t="shared" si="31"/>
        <v>9.0959730213830952E-3</v>
      </c>
      <c r="M300" s="60">
        <f t="shared" si="31"/>
        <v>1.6023561705365504E-2</v>
      </c>
      <c r="N300" s="60" t="str">
        <f t="shared" si="31"/>
        <v/>
      </c>
      <c r="O300" s="63" t="str">
        <f t="shared" si="31"/>
        <v/>
      </c>
      <c r="P300" s="55" t="s">
        <v>21</v>
      </c>
      <c r="Q300" s="53" t="s">
        <v>21</v>
      </c>
      <c r="R300" s="94" t="s">
        <v>21</v>
      </c>
      <c r="S300" s="73">
        <v>0</v>
      </c>
      <c r="T300" s="63">
        <f t="shared" si="32"/>
        <v>2.0557168005365504E-2</v>
      </c>
      <c r="V300" s="72">
        <v>1.1245069200000002</v>
      </c>
      <c r="W300" s="72">
        <v>2.8180970100000002</v>
      </c>
      <c r="X300" s="72">
        <v>4.2696570300000003</v>
      </c>
      <c r="Y300" s="72">
        <v>5.4678109399999997</v>
      </c>
      <c r="Z300" s="115">
        <v>6.8671237100000004</v>
      </c>
      <c r="AB300" s="71" t="s">
        <v>21</v>
      </c>
      <c r="AC300" s="71">
        <v>1.2592686421383094E-2</v>
      </c>
      <c r="AD300" s="71">
        <v>2.0557168005365504E-2</v>
      </c>
      <c r="AE300" s="71" t="s">
        <v>21</v>
      </c>
      <c r="AF300" s="63" t="s">
        <v>21</v>
      </c>
      <c r="AG300" s="71" t="s">
        <v>21</v>
      </c>
      <c r="AH300" s="71">
        <v>9.0959730213830952E-3</v>
      </c>
      <c r="AI300" s="71">
        <v>1.6023561705365504E-2</v>
      </c>
      <c r="AJ300" s="71" t="s">
        <v>21</v>
      </c>
      <c r="AK300" s="71" t="s">
        <v>21</v>
      </c>
    </row>
    <row r="301" spans="2:37" x14ac:dyDescent="0.35">
      <c r="B301" s="55" t="s">
        <v>405</v>
      </c>
      <c r="C301" s="53" t="s">
        <v>234</v>
      </c>
      <c r="D301" s="53" t="s">
        <v>405</v>
      </c>
      <c r="E301" s="53" t="s">
        <v>612</v>
      </c>
      <c r="F301" s="73" t="str">
        <f t="shared" si="30"/>
        <v/>
      </c>
      <c r="G301" s="60">
        <f t="shared" si="30"/>
        <v>3.6132235767308556E-2</v>
      </c>
      <c r="H301" s="60">
        <f t="shared" si="30"/>
        <v>4.5828399898488872E-2</v>
      </c>
      <c r="I301" s="60" t="str">
        <f t="shared" si="30"/>
        <v/>
      </c>
      <c r="J301" s="63" t="str">
        <f t="shared" si="30"/>
        <v/>
      </c>
      <c r="K301" s="60" t="str">
        <f t="shared" si="31"/>
        <v/>
      </c>
      <c r="L301" s="60">
        <f t="shared" si="31"/>
        <v>3.2097737767308558E-2</v>
      </c>
      <c r="M301" s="60">
        <f t="shared" si="31"/>
        <v>4.0470392898488868E-2</v>
      </c>
      <c r="N301" s="60" t="str">
        <f t="shared" si="31"/>
        <v/>
      </c>
      <c r="O301" s="63" t="str">
        <f t="shared" si="31"/>
        <v/>
      </c>
      <c r="P301" s="55" t="s">
        <v>613</v>
      </c>
      <c r="Q301" s="53" t="s">
        <v>614</v>
      </c>
      <c r="R301" s="94" t="s">
        <v>32</v>
      </c>
      <c r="S301" s="73">
        <v>3.7120689999999998E-2</v>
      </c>
      <c r="T301" s="63">
        <f t="shared" si="32"/>
        <v>8.7077098984888746E-3</v>
      </c>
      <c r="V301" s="72">
        <v>1.0838566599999999</v>
      </c>
      <c r="W301" s="72">
        <v>2.6211884699999999</v>
      </c>
      <c r="X301" s="72">
        <v>3.8306633299999997</v>
      </c>
      <c r="Y301" s="72">
        <v>4.7531098299999996</v>
      </c>
      <c r="Z301" s="115">
        <v>5.7440511700000005</v>
      </c>
      <c r="AB301" s="71" t="s">
        <v>21</v>
      </c>
      <c r="AC301" s="71">
        <v>3.6132235767308556E-2</v>
      </c>
      <c r="AD301" s="71">
        <v>4.5828399898488872E-2</v>
      </c>
      <c r="AE301" s="71" t="s">
        <v>21</v>
      </c>
      <c r="AF301" s="63" t="s">
        <v>21</v>
      </c>
      <c r="AG301" s="71" t="s">
        <v>21</v>
      </c>
      <c r="AH301" s="71">
        <v>3.2097737767308558E-2</v>
      </c>
      <c r="AI301" s="71">
        <v>4.0470392898488868E-2</v>
      </c>
      <c r="AJ301" s="71" t="s">
        <v>21</v>
      </c>
      <c r="AK301" s="71" t="s">
        <v>21</v>
      </c>
    </row>
    <row r="302" spans="2:37" x14ac:dyDescent="0.35">
      <c r="B302" s="55" t="s">
        <v>210</v>
      </c>
      <c r="C302" s="53" t="s">
        <v>234</v>
      </c>
      <c r="D302" s="53" t="s">
        <v>210</v>
      </c>
      <c r="E302" s="53" t="s">
        <v>615</v>
      </c>
      <c r="F302" s="73" t="str">
        <f t="shared" si="30"/>
        <v/>
      </c>
      <c r="G302" s="60">
        <f t="shared" si="30"/>
        <v>1.002999956548902E-2</v>
      </c>
      <c r="H302" s="60">
        <f t="shared" si="30"/>
        <v>1.5981710113218115E-2</v>
      </c>
      <c r="I302" s="60" t="str">
        <f t="shared" si="30"/>
        <v/>
      </c>
      <c r="J302" s="63" t="str">
        <f t="shared" si="30"/>
        <v/>
      </c>
      <c r="K302" s="60" t="str">
        <f t="shared" si="31"/>
        <v/>
      </c>
      <c r="L302" s="60">
        <f t="shared" si="31"/>
        <v>6.448404265489021E-3</v>
      </c>
      <c r="M302" s="60">
        <f t="shared" si="31"/>
        <v>1.1370947513218115E-2</v>
      </c>
      <c r="N302" s="60" t="str">
        <f t="shared" si="31"/>
        <v/>
      </c>
      <c r="O302" s="63" t="str">
        <f t="shared" si="31"/>
        <v/>
      </c>
      <c r="P302" s="55" t="s">
        <v>616</v>
      </c>
      <c r="Q302" s="53" t="s">
        <v>617</v>
      </c>
      <c r="R302" s="94" t="s">
        <v>32</v>
      </c>
      <c r="S302" s="73">
        <v>1.18256E-2</v>
      </c>
      <c r="T302" s="63">
        <f t="shared" si="32"/>
        <v>4.1561101132181148E-3</v>
      </c>
      <c r="V302" s="72">
        <v>1.12728966</v>
      </c>
      <c r="W302" s="72">
        <v>2.83757591</v>
      </c>
      <c r="X302" s="72">
        <v>4.3323723300000001</v>
      </c>
      <c r="Y302" s="72">
        <v>5.6103162700000002</v>
      </c>
      <c r="Z302" s="115">
        <v>7.1899462999999999</v>
      </c>
      <c r="AB302" s="71" t="s">
        <v>21</v>
      </c>
      <c r="AC302" s="71">
        <v>1.002999956548902E-2</v>
      </c>
      <c r="AD302" s="71">
        <v>1.5981710113218115E-2</v>
      </c>
      <c r="AE302" s="71" t="s">
        <v>21</v>
      </c>
      <c r="AF302" s="63" t="s">
        <v>21</v>
      </c>
      <c r="AG302" s="71" t="s">
        <v>21</v>
      </c>
      <c r="AH302" s="71">
        <v>6.448404265489021E-3</v>
      </c>
      <c r="AI302" s="71">
        <v>1.1370947513218115E-2</v>
      </c>
      <c r="AJ302" s="71" t="s">
        <v>21</v>
      </c>
      <c r="AK302" s="71" t="s">
        <v>21</v>
      </c>
    </row>
    <row r="303" spans="2:37" x14ac:dyDescent="0.35">
      <c r="B303" s="55" t="s">
        <v>211</v>
      </c>
      <c r="C303" s="53" t="s">
        <v>234</v>
      </c>
      <c r="D303" s="53" t="s">
        <v>211</v>
      </c>
      <c r="E303" s="53" t="s">
        <v>618</v>
      </c>
      <c r="F303" s="73" t="str">
        <f t="shared" si="30"/>
        <v/>
      </c>
      <c r="G303" s="60">
        <f t="shared" si="30"/>
        <v>1.6339649735164011E-2</v>
      </c>
      <c r="H303" s="60">
        <f t="shared" si="30"/>
        <v>2.500477936709793E-2</v>
      </c>
      <c r="I303" s="60" t="str">
        <f t="shared" si="30"/>
        <v/>
      </c>
      <c r="J303" s="63" t="str">
        <f t="shared" si="30"/>
        <v/>
      </c>
      <c r="K303" s="60" t="str">
        <f t="shared" si="31"/>
        <v/>
      </c>
      <c r="L303" s="60">
        <f t="shared" si="31"/>
        <v>1.286113373516401E-2</v>
      </c>
      <c r="M303" s="60">
        <f t="shared" si="31"/>
        <v>2.041463646709793E-2</v>
      </c>
      <c r="N303" s="60" t="str">
        <f t="shared" si="31"/>
        <v/>
      </c>
      <c r="O303" s="63" t="str">
        <f t="shared" si="31"/>
        <v/>
      </c>
      <c r="P303" s="55" t="s">
        <v>619</v>
      </c>
      <c r="Q303" s="53" t="s">
        <v>620</v>
      </c>
      <c r="R303" s="94" t="s">
        <v>32</v>
      </c>
      <c r="S303" s="73">
        <v>3.4801470000000001E-2</v>
      </c>
      <c r="T303" s="63">
        <f t="shared" si="32"/>
        <v>-9.7966906329020713E-3</v>
      </c>
      <c r="V303" s="72">
        <v>1.11816687</v>
      </c>
      <c r="W303" s="72">
        <v>2.7766941199999997</v>
      </c>
      <c r="X303" s="72">
        <v>4.1660441600000002</v>
      </c>
      <c r="Y303" s="72">
        <v>5.2935278500000003</v>
      </c>
      <c r="Z303" s="115">
        <v>6.6097465399999997</v>
      </c>
      <c r="AB303" s="71" t="s">
        <v>21</v>
      </c>
      <c r="AC303" s="71">
        <v>1.6339649735164011E-2</v>
      </c>
      <c r="AD303" s="71">
        <v>2.500477936709793E-2</v>
      </c>
      <c r="AE303" s="71" t="s">
        <v>21</v>
      </c>
      <c r="AF303" s="63" t="s">
        <v>21</v>
      </c>
      <c r="AG303" s="71" t="s">
        <v>21</v>
      </c>
      <c r="AH303" s="71">
        <v>1.286113373516401E-2</v>
      </c>
      <c r="AI303" s="71">
        <v>2.041463646709793E-2</v>
      </c>
      <c r="AJ303" s="71" t="s">
        <v>21</v>
      </c>
      <c r="AK303" s="71" t="s">
        <v>21</v>
      </c>
    </row>
    <row r="304" spans="2:37" x14ac:dyDescent="0.35">
      <c r="B304" s="55" t="s">
        <v>212</v>
      </c>
      <c r="C304" s="53" t="s">
        <v>234</v>
      </c>
      <c r="D304" s="53" t="s">
        <v>212</v>
      </c>
      <c r="E304" s="53" t="s">
        <v>574</v>
      </c>
      <c r="F304" s="73" t="str">
        <f t="shared" si="30"/>
        <v/>
      </c>
      <c r="G304" s="60">
        <f t="shared" si="30"/>
        <v>2.6498001100949627E-2</v>
      </c>
      <c r="H304" s="60">
        <f t="shared" si="30"/>
        <v>3.8051571696057065E-2</v>
      </c>
      <c r="I304" s="60" t="str">
        <f t="shared" si="30"/>
        <v/>
      </c>
      <c r="J304" s="63" t="str">
        <f t="shared" si="30"/>
        <v/>
      </c>
      <c r="K304" s="60" t="str">
        <f t="shared" si="31"/>
        <v/>
      </c>
      <c r="L304" s="60">
        <f t="shared" si="31"/>
        <v>2.2842484800949622E-2</v>
      </c>
      <c r="M304" s="60">
        <f t="shared" si="31"/>
        <v>3.3098747496057068E-2</v>
      </c>
      <c r="N304" s="60" t="str">
        <f t="shared" si="31"/>
        <v/>
      </c>
      <c r="O304" s="63" t="str">
        <f t="shared" si="31"/>
        <v/>
      </c>
      <c r="P304" s="55" t="s">
        <v>621</v>
      </c>
      <c r="Q304" s="53" t="s">
        <v>622</v>
      </c>
      <c r="R304" s="94" t="s">
        <v>32</v>
      </c>
      <c r="S304" s="73">
        <v>2.8956550000000001E-2</v>
      </c>
      <c r="T304" s="63">
        <f t="shared" si="32"/>
        <v>9.0950216960570644E-3</v>
      </c>
      <c r="V304" s="72">
        <v>1.1068135700000001</v>
      </c>
      <c r="W304" s="72">
        <v>2.7130794199999997</v>
      </c>
      <c r="X304" s="72">
        <v>4.0003759499999996</v>
      </c>
      <c r="Y304" s="72">
        <v>4.99933855</v>
      </c>
      <c r="Z304" s="115">
        <v>6.1022557200000005</v>
      </c>
      <c r="AB304" s="71" t="s">
        <v>21</v>
      </c>
      <c r="AC304" s="71">
        <v>2.6498001100949627E-2</v>
      </c>
      <c r="AD304" s="71">
        <v>3.8051571696057065E-2</v>
      </c>
      <c r="AE304" s="71" t="s">
        <v>21</v>
      </c>
      <c r="AF304" s="63" t="s">
        <v>21</v>
      </c>
      <c r="AG304" s="71" t="s">
        <v>21</v>
      </c>
      <c r="AH304" s="71">
        <v>2.2842484800949622E-2</v>
      </c>
      <c r="AI304" s="71">
        <v>3.3098747496057068E-2</v>
      </c>
      <c r="AJ304" s="71" t="s">
        <v>21</v>
      </c>
      <c r="AK304" s="71" t="s">
        <v>21</v>
      </c>
    </row>
    <row r="305" spans="2:37" x14ac:dyDescent="0.35">
      <c r="B305" s="55" t="s">
        <v>213</v>
      </c>
      <c r="C305" s="53" t="s">
        <v>234</v>
      </c>
      <c r="D305" s="53" t="s">
        <v>213</v>
      </c>
      <c r="E305" s="53" t="s">
        <v>623</v>
      </c>
      <c r="F305" s="73" t="str">
        <f t="shared" si="30"/>
        <v/>
      </c>
      <c r="G305" s="60">
        <f t="shared" si="30"/>
        <v>2.6619652182817411E-2</v>
      </c>
      <c r="H305" s="60">
        <f t="shared" si="30"/>
        <v>3.7017409813919953E-2</v>
      </c>
      <c r="I305" s="60" t="str">
        <f t="shared" si="30"/>
        <v/>
      </c>
      <c r="J305" s="63" t="str">
        <f t="shared" si="30"/>
        <v/>
      </c>
      <c r="K305" s="60" t="str">
        <f t="shared" si="31"/>
        <v/>
      </c>
      <c r="L305" s="60">
        <f t="shared" si="31"/>
        <v>2.2957842582817415E-2</v>
      </c>
      <c r="M305" s="60">
        <f t="shared" si="31"/>
        <v>3.2104547513919952E-2</v>
      </c>
      <c r="N305" s="60" t="str">
        <f t="shared" si="31"/>
        <v/>
      </c>
      <c r="O305" s="63" t="str">
        <f t="shared" si="31"/>
        <v/>
      </c>
      <c r="P305" s="55" t="s">
        <v>624</v>
      </c>
      <c r="Q305" s="53" t="s">
        <v>625</v>
      </c>
      <c r="R305" s="94" t="s">
        <v>32</v>
      </c>
      <c r="S305" s="73">
        <v>2.844967E-2</v>
      </c>
      <c r="T305" s="63">
        <f t="shared" si="32"/>
        <v>8.5677398139199536E-3</v>
      </c>
      <c r="V305" s="72">
        <v>1.10686515</v>
      </c>
      <c r="W305" s="72">
        <v>2.7091167299999999</v>
      </c>
      <c r="X305" s="72">
        <v>4.00156168</v>
      </c>
      <c r="Y305" s="72">
        <v>5.0038756400000004</v>
      </c>
      <c r="Z305" s="115">
        <v>6.0989680800000006</v>
      </c>
      <c r="AB305" s="71" t="s">
        <v>21</v>
      </c>
      <c r="AC305" s="71">
        <v>2.6619652182817411E-2</v>
      </c>
      <c r="AD305" s="71">
        <v>3.7017409813919953E-2</v>
      </c>
      <c r="AE305" s="71" t="s">
        <v>21</v>
      </c>
      <c r="AF305" s="63" t="s">
        <v>21</v>
      </c>
      <c r="AG305" s="71" t="s">
        <v>21</v>
      </c>
      <c r="AH305" s="71">
        <v>2.2957842582817415E-2</v>
      </c>
      <c r="AI305" s="71">
        <v>3.2104547513919952E-2</v>
      </c>
      <c r="AJ305" s="71" t="s">
        <v>21</v>
      </c>
      <c r="AK305" s="71" t="s">
        <v>21</v>
      </c>
    </row>
    <row r="306" spans="2:37" x14ac:dyDescent="0.35">
      <c r="B306" s="55" t="s">
        <v>274</v>
      </c>
      <c r="C306" s="53" t="s">
        <v>234</v>
      </c>
      <c r="D306" s="53" t="s">
        <v>274</v>
      </c>
      <c r="E306" s="53" t="s">
        <v>288</v>
      </c>
      <c r="F306" s="73" t="str">
        <f t="shared" ref="F306:J316" si="33">IF(ISNUMBER(AB306),AB306-((C$4-C$3)/V306),"")</f>
        <v/>
      </c>
      <c r="G306" s="60">
        <f t="shared" si="33"/>
        <v>8.2005306659807004E-3</v>
      </c>
      <c r="H306" s="60">
        <f t="shared" si="33"/>
        <v>1.5351494826536053E-2</v>
      </c>
      <c r="I306" s="60" t="str">
        <f t="shared" si="33"/>
        <v/>
      </c>
      <c r="J306" s="63" t="str">
        <f t="shared" si="33"/>
        <v/>
      </c>
      <c r="K306" s="60" t="str">
        <f t="shared" ref="K306:O316" si="34">IF(ISNUMBER(AG306),IF(AG306-((C$4-C$3)/V306)&lt;0,"",AG306-((C$4-C$3)/V306)),"")</f>
        <v/>
      </c>
      <c r="L306" s="60">
        <f t="shared" si="34"/>
        <v>4.5090835659807021E-3</v>
      </c>
      <c r="M306" s="60">
        <f t="shared" si="34"/>
        <v>1.0715020326536052E-2</v>
      </c>
      <c r="N306" s="60" t="str">
        <f t="shared" si="34"/>
        <v/>
      </c>
      <c r="O306" s="63" t="str">
        <f t="shared" si="34"/>
        <v/>
      </c>
      <c r="P306" s="55" t="s">
        <v>21</v>
      </c>
      <c r="Q306" s="53" t="s">
        <v>21</v>
      </c>
      <c r="R306" s="94" t="s">
        <v>21</v>
      </c>
      <c r="S306" s="73">
        <v>0</v>
      </c>
      <c r="T306" s="63">
        <f t="shared" si="32"/>
        <v>1.5351494826536053E-2</v>
      </c>
      <c r="V306" s="72">
        <v>1.1297047600000001</v>
      </c>
      <c r="W306" s="72">
        <v>2.85197403</v>
      </c>
      <c r="X306" s="72">
        <v>4.3575263299999998</v>
      </c>
      <c r="Y306" s="72">
        <v>5.6263111800000001</v>
      </c>
      <c r="Z306" s="115">
        <v>7.1852243499999995</v>
      </c>
      <c r="AB306" s="71" t="s">
        <v>21</v>
      </c>
      <c r="AC306" s="71">
        <v>8.2005306659807004E-3</v>
      </c>
      <c r="AD306" s="71">
        <v>1.5351494826536053E-2</v>
      </c>
      <c r="AE306" s="71" t="s">
        <v>21</v>
      </c>
      <c r="AF306" s="63" t="s">
        <v>21</v>
      </c>
      <c r="AG306" s="71" t="s">
        <v>21</v>
      </c>
      <c r="AH306" s="71">
        <v>4.5090835659807021E-3</v>
      </c>
      <c r="AI306" s="71">
        <v>1.0715020326536052E-2</v>
      </c>
      <c r="AJ306" s="71" t="s">
        <v>21</v>
      </c>
      <c r="AK306" s="71" t="s">
        <v>21</v>
      </c>
    </row>
    <row r="307" spans="2:37" x14ac:dyDescent="0.35">
      <c r="B307" s="55" t="s">
        <v>275</v>
      </c>
      <c r="C307" s="53" t="s">
        <v>234</v>
      </c>
      <c r="D307" s="53" t="s">
        <v>275</v>
      </c>
      <c r="E307" s="53" t="s">
        <v>276</v>
      </c>
      <c r="F307" s="73" t="str">
        <f t="shared" si="33"/>
        <v/>
      </c>
      <c r="G307" s="60">
        <f t="shared" si="33"/>
        <v>1.1834333700982046E-2</v>
      </c>
      <c r="H307" s="60">
        <f t="shared" si="33"/>
        <v>1.9063258090373798E-2</v>
      </c>
      <c r="I307" s="60" t="str">
        <f t="shared" si="33"/>
        <v/>
      </c>
      <c r="J307" s="63" t="str">
        <f t="shared" si="33"/>
        <v/>
      </c>
      <c r="K307" s="60" t="str">
        <f t="shared" si="34"/>
        <v/>
      </c>
      <c r="L307" s="60">
        <f t="shared" si="34"/>
        <v>8.3141614009820432E-3</v>
      </c>
      <c r="M307" s="60">
        <f t="shared" si="34"/>
        <v>1.4517217990373796E-2</v>
      </c>
      <c r="N307" s="60" t="str">
        <f t="shared" si="34"/>
        <v/>
      </c>
      <c r="O307" s="63" t="str">
        <f t="shared" si="34"/>
        <v/>
      </c>
      <c r="P307" s="55" t="s">
        <v>626</v>
      </c>
      <c r="Q307" s="53" t="s">
        <v>627</v>
      </c>
      <c r="R307" s="94" t="s">
        <v>32</v>
      </c>
      <c r="S307" s="73">
        <v>1.6174000000000001E-2</v>
      </c>
      <c r="T307" s="63">
        <f t="shared" si="32"/>
        <v>2.8892580903737974E-3</v>
      </c>
      <c r="V307" s="72">
        <v>1.12768154</v>
      </c>
      <c r="W307" s="72">
        <v>2.82919484</v>
      </c>
      <c r="X307" s="72">
        <v>4.2947536099999999</v>
      </c>
      <c r="Y307" s="72">
        <v>5.5212379199999999</v>
      </c>
      <c r="Z307" s="115">
        <v>7.0015356999999998</v>
      </c>
      <c r="AB307" s="71" t="s">
        <v>21</v>
      </c>
      <c r="AC307" s="71">
        <v>1.1834333700982046E-2</v>
      </c>
      <c r="AD307" s="71">
        <v>1.9063258090373798E-2</v>
      </c>
      <c r="AE307" s="71" t="s">
        <v>21</v>
      </c>
      <c r="AF307" s="63" t="s">
        <v>21</v>
      </c>
      <c r="AG307" s="71" t="s">
        <v>21</v>
      </c>
      <c r="AH307" s="71">
        <v>8.3141614009820432E-3</v>
      </c>
      <c r="AI307" s="71">
        <v>1.4517217990373796E-2</v>
      </c>
      <c r="AJ307" s="71" t="s">
        <v>21</v>
      </c>
      <c r="AK307" s="71" t="s">
        <v>21</v>
      </c>
    </row>
    <row r="308" spans="2:37" x14ac:dyDescent="0.35">
      <c r="B308" s="138" t="s">
        <v>279</v>
      </c>
      <c r="C308" s="139" t="s">
        <v>234</v>
      </c>
      <c r="D308" s="139" t="s">
        <v>279</v>
      </c>
      <c r="E308" s="139" t="s">
        <v>280</v>
      </c>
      <c r="F308" s="73" t="str">
        <f t="shared" si="33"/>
        <v/>
      </c>
      <c r="G308" s="60">
        <f t="shared" si="33"/>
        <v>8.3172676233786175E-3</v>
      </c>
      <c r="H308" s="60">
        <f t="shared" si="33"/>
        <v>1.434317384910319E-2</v>
      </c>
      <c r="I308" s="60" t="str">
        <f t="shared" si="33"/>
        <v/>
      </c>
      <c r="J308" s="63" t="str">
        <f t="shared" si="33"/>
        <v/>
      </c>
      <c r="K308" s="60" t="str">
        <f t="shared" si="34"/>
        <v/>
      </c>
      <c r="L308" s="60">
        <f t="shared" si="34"/>
        <v>4.6339193233786175E-3</v>
      </c>
      <c r="M308" s="60">
        <f t="shared" si="34"/>
        <v>9.6628430491031928E-3</v>
      </c>
      <c r="N308" s="60" t="str">
        <f t="shared" si="34"/>
        <v/>
      </c>
      <c r="O308" s="63" t="str">
        <f t="shared" si="34"/>
        <v/>
      </c>
      <c r="P308" s="138" t="s">
        <v>628</v>
      </c>
      <c r="Q308" s="139" t="s">
        <v>629</v>
      </c>
      <c r="R308" s="143" t="s">
        <v>32</v>
      </c>
      <c r="S308" s="140">
        <v>6.8085399999999992E-3</v>
      </c>
      <c r="T308" s="63">
        <f t="shared" si="32"/>
        <v>7.5346338491031903E-3</v>
      </c>
      <c r="V308" s="145">
        <v>1.12982542</v>
      </c>
      <c r="W308" s="145">
        <v>2.8509272800000001</v>
      </c>
      <c r="X308" s="145">
        <v>4.3633723099999999</v>
      </c>
      <c r="Y308" s="145">
        <v>5.66096222</v>
      </c>
      <c r="Z308" s="146">
        <v>7.2701430100000008</v>
      </c>
      <c r="AB308" s="141" t="s">
        <v>21</v>
      </c>
      <c r="AC308" s="141">
        <v>8.3172676233786175E-3</v>
      </c>
      <c r="AD308" s="141">
        <v>1.434317384910319E-2</v>
      </c>
      <c r="AE308" s="141" t="s">
        <v>21</v>
      </c>
      <c r="AF308" s="142" t="s">
        <v>21</v>
      </c>
      <c r="AG308" s="141" t="s">
        <v>21</v>
      </c>
      <c r="AH308" s="141">
        <v>4.6339193233786175E-3</v>
      </c>
      <c r="AI308" s="141">
        <v>9.6628430491031928E-3</v>
      </c>
      <c r="AJ308" s="141" t="s">
        <v>21</v>
      </c>
      <c r="AK308" s="141" t="s">
        <v>21</v>
      </c>
    </row>
    <row r="309" spans="2:37" x14ac:dyDescent="0.35">
      <c r="B309" s="138" t="s">
        <v>281</v>
      </c>
      <c r="C309" s="139" t="s">
        <v>234</v>
      </c>
      <c r="D309" s="139" t="s">
        <v>281</v>
      </c>
      <c r="E309" s="139" t="s">
        <v>48</v>
      </c>
      <c r="F309" s="73" t="str">
        <f t="shared" si="33"/>
        <v/>
      </c>
      <c r="G309" s="60">
        <f t="shared" si="33"/>
        <v>1.4614534034935962E-2</v>
      </c>
      <c r="H309" s="60">
        <f t="shared" si="33"/>
        <v>2.3055312406462931E-2</v>
      </c>
      <c r="I309" s="60" t="str">
        <f t="shared" si="33"/>
        <v/>
      </c>
      <c r="J309" s="63" t="str">
        <f t="shared" si="33"/>
        <v/>
      </c>
      <c r="K309" s="60" t="str">
        <f t="shared" si="34"/>
        <v/>
      </c>
      <c r="L309" s="60">
        <f t="shared" si="34"/>
        <v>1.1145655534935959E-2</v>
      </c>
      <c r="M309" s="60">
        <f t="shared" si="34"/>
        <v>1.8517579006462934E-2</v>
      </c>
      <c r="N309" s="60" t="str">
        <f t="shared" si="34"/>
        <v/>
      </c>
      <c r="O309" s="63" t="str">
        <f t="shared" si="34"/>
        <v/>
      </c>
      <c r="P309" s="138" t="s">
        <v>630</v>
      </c>
      <c r="Q309" s="139" t="s">
        <v>631</v>
      </c>
      <c r="R309" s="143" t="s">
        <v>32</v>
      </c>
      <c r="S309" s="140">
        <v>1.9249860000000001E-2</v>
      </c>
      <c r="T309" s="63">
        <f t="shared" si="32"/>
        <v>3.8054524064629301E-3</v>
      </c>
      <c r="V309" s="145">
        <v>1.1235719099999999</v>
      </c>
      <c r="W309" s="145">
        <v>2.8042950000000002</v>
      </c>
      <c r="X309" s="145">
        <v>4.2304402300000001</v>
      </c>
      <c r="Y309" s="145">
        <v>5.4034295199999995</v>
      </c>
      <c r="Z309" s="146">
        <v>6.7567114799999999</v>
      </c>
      <c r="AB309" s="141" t="s">
        <v>21</v>
      </c>
      <c r="AC309" s="141">
        <v>1.4614534034935962E-2</v>
      </c>
      <c r="AD309" s="141">
        <v>2.3055312406462931E-2</v>
      </c>
      <c r="AE309" s="141" t="s">
        <v>21</v>
      </c>
      <c r="AF309" s="142" t="s">
        <v>21</v>
      </c>
      <c r="AG309" s="141" t="s">
        <v>21</v>
      </c>
      <c r="AH309" s="141">
        <v>1.1145655534935959E-2</v>
      </c>
      <c r="AI309" s="141">
        <v>1.8517579006462934E-2</v>
      </c>
      <c r="AJ309" s="141" t="s">
        <v>21</v>
      </c>
      <c r="AK309" s="141" t="s">
        <v>21</v>
      </c>
    </row>
    <row r="310" spans="2:37" x14ac:dyDescent="0.35">
      <c r="B310" s="147" t="s">
        <v>277</v>
      </c>
      <c r="C310" s="148" t="s">
        <v>234</v>
      </c>
      <c r="D310" s="148" t="s">
        <v>278</v>
      </c>
      <c r="E310" s="148" t="s">
        <v>123</v>
      </c>
      <c r="F310" s="73" t="str">
        <f t="shared" si="33"/>
        <v/>
      </c>
      <c r="G310" s="60">
        <f t="shared" si="33"/>
        <v>1.193896543174874E-2</v>
      </c>
      <c r="H310" s="60">
        <f t="shared" si="33"/>
        <v>1.8371238443565131E-2</v>
      </c>
      <c r="I310" s="60" t="str">
        <f t="shared" si="33"/>
        <v/>
      </c>
      <c r="J310" s="63" t="str">
        <f t="shared" si="33"/>
        <v/>
      </c>
      <c r="K310" s="60" t="str">
        <f t="shared" si="34"/>
        <v/>
      </c>
      <c r="L310" s="60">
        <f t="shared" si="34"/>
        <v>8.4077454317487456E-3</v>
      </c>
      <c r="M310" s="60">
        <f t="shared" si="34"/>
        <v>1.3795394943565126E-2</v>
      </c>
      <c r="N310" s="60" t="str">
        <f t="shared" si="34"/>
        <v/>
      </c>
      <c r="O310" s="63" t="str">
        <f t="shared" si="34"/>
        <v/>
      </c>
      <c r="P310" s="147" t="s">
        <v>632</v>
      </c>
      <c r="Q310" s="148" t="s">
        <v>633</v>
      </c>
      <c r="R310" s="152" t="s">
        <v>32</v>
      </c>
      <c r="S310" s="149">
        <v>1.237277E-2</v>
      </c>
      <c r="T310" s="63">
        <f t="shared" si="32"/>
        <v>5.9984684435651307E-3</v>
      </c>
      <c r="V310" s="154">
        <v>1.1231469700000001</v>
      </c>
      <c r="W310" s="154">
        <v>2.8106203400000003</v>
      </c>
      <c r="X310" s="154">
        <v>4.2602101500000007</v>
      </c>
      <c r="Y310" s="154">
        <v>5.4724122299999998</v>
      </c>
      <c r="Z310" s="155">
        <v>6.9056320700000011</v>
      </c>
      <c r="AB310" s="150" t="s">
        <v>21</v>
      </c>
      <c r="AC310" s="150">
        <v>1.193896543174874E-2</v>
      </c>
      <c r="AD310" s="150">
        <v>1.8371238443565131E-2</v>
      </c>
      <c r="AE310" s="150" t="s">
        <v>21</v>
      </c>
      <c r="AF310" s="151" t="s">
        <v>21</v>
      </c>
      <c r="AG310" s="150" t="s">
        <v>21</v>
      </c>
      <c r="AH310" s="150">
        <v>8.4077454317487456E-3</v>
      </c>
      <c r="AI310" s="150">
        <v>1.3795394943565126E-2</v>
      </c>
      <c r="AJ310" s="150" t="s">
        <v>21</v>
      </c>
      <c r="AK310" s="150" t="s">
        <v>21</v>
      </c>
    </row>
    <row r="311" spans="2:37" x14ac:dyDescent="0.35">
      <c r="B311" s="55" t="s">
        <v>214</v>
      </c>
      <c r="C311" s="53" t="s">
        <v>234</v>
      </c>
      <c r="D311" s="53" t="s">
        <v>201</v>
      </c>
      <c r="E311" s="53" t="s">
        <v>295</v>
      </c>
      <c r="F311" s="75" t="str">
        <f t="shared" si="33"/>
        <v/>
      </c>
      <c r="G311" s="80">
        <f t="shared" si="33"/>
        <v>1.2771281252269506E-2</v>
      </c>
      <c r="H311" s="80">
        <f t="shared" si="33"/>
        <v>2.2111087866437135E-2</v>
      </c>
      <c r="I311" s="80" t="str">
        <f t="shared" si="33"/>
        <v/>
      </c>
      <c r="J311" s="62" t="str">
        <f t="shared" si="33"/>
        <v/>
      </c>
      <c r="K311" s="80" t="str">
        <f t="shared" si="34"/>
        <v/>
      </c>
      <c r="L311" s="80">
        <f t="shared" si="34"/>
        <v>9.2848351522695095E-3</v>
      </c>
      <c r="M311" s="80">
        <f t="shared" si="34"/>
        <v>1.7574222966437136E-2</v>
      </c>
      <c r="N311" s="80" t="str">
        <f t="shared" si="34"/>
        <v/>
      </c>
      <c r="O311" s="62" t="str">
        <f t="shared" si="34"/>
        <v/>
      </c>
      <c r="P311" s="55" t="s">
        <v>634</v>
      </c>
      <c r="Q311" s="53" t="s">
        <v>635</v>
      </c>
      <c r="R311" s="94" t="s">
        <v>32</v>
      </c>
      <c r="S311" s="73">
        <v>1.6659839999999999E-2</v>
      </c>
      <c r="T311" s="62">
        <f t="shared" si="32"/>
        <v>5.4512478664371367E-3</v>
      </c>
      <c r="V311" s="72">
        <v>1.12598043</v>
      </c>
      <c r="W311" s="72">
        <v>2.8172759799999998</v>
      </c>
      <c r="X311" s="72">
        <v>4.2498320600000001</v>
      </c>
      <c r="Y311" s="72">
        <v>5.4141326099999993</v>
      </c>
      <c r="Z311" s="115">
        <v>6.7542860299999994</v>
      </c>
      <c r="AB311" s="71" t="s">
        <v>21</v>
      </c>
      <c r="AC311" s="71">
        <v>1.2771281252269506E-2</v>
      </c>
      <c r="AD311" s="71">
        <v>2.2111087866437135E-2</v>
      </c>
      <c r="AE311" s="71" t="s">
        <v>21</v>
      </c>
      <c r="AF311" s="63" t="s">
        <v>21</v>
      </c>
      <c r="AG311" s="71" t="s">
        <v>21</v>
      </c>
      <c r="AH311" s="71">
        <v>9.2848351522695095E-3</v>
      </c>
      <c r="AI311" s="71">
        <v>1.7574222966437136E-2</v>
      </c>
      <c r="AJ311" s="71" t="s">
        <v>21</v>
      </c>
      <c r="AK311" s="71" t="s">
        <v>21</v>
      </c>
    </row>
    <row r="312" spans="2:37" x14ac:dyDescent="0.35">
      <c r="B312" s="55" t="s">
        <v>215</v>
      </c>
      <c r="C312" s="53" t="s">
        <v>234</v>
      </c>
      <c r="D312" s="53" t="s">
        <v>199</v>
      </c>
      <c r="E312" s="53" t="s">
        <v>636</v>
      </c>
      <c r="F312" s="73" t="str">
        <f t="shared" si="33"/>
        <v/>
      </c>
      <c r="G312" s="60">
        <f t="shared" si="33"/>
        <v>2.9181392397602916E-2</v>
      </c>
      <c r="H312" s="60">
        <f t="shared" si="33"/>
        <v>3.836834406378252E-2</v>
      </c>
      <c r="I312" s="60" t="str">
        <f t="shared" si="33"/>
        <v/>
      </c>
      <c r="J312" s="63" t="str">
        <f t="shared" si="33"/>
        <v/>
      </c>
      <c r="K312" s="60" t="str">
        <f t="shared" si="34"/>
        <v/>
      </c>
      <c r="L312" s="60">
        <f t="shared" si="34"/>
        <v>2.543330549760291E-2</v>
      </c>
      <c r="M312" s="60">
        <f t="shared" si="34"/>
        <v>3.338683886378252E-2</v>
      </c>
      <c r="N312" s="60" t="str">
        <f t="shared" si="34"/>
        <v/>
      </c>
      <c r="O312" s="63" t="str">
        <f t="shared" si="34"/>
        <v/>
      </c>
      <c r="P312" s="55" t="s">
        <v>21</v>
      </c>
      <c r="Q312" s="53" t="s">
        <v>21</v>
      </c>
      <c r="R312" s="94" t="s">
        <v>21</v>
      </c>
      <c r="S312" s="73">
        <v>0</v>
      </c>
      <c r="T312" s="63">
        <f t="shared" si="32"/>
        <v>3.836834406378252E-2</v>
      </c>
      <c r="V312" s="72">
        <v>1.09660091</v>
      </c>
      <c r="W312" s="72">
        <v>2.6759741999999997</v>
      </c>
      <c r="X312" s="72">
        <v>3.9531449900000002</v>
      </c>
      <c r="Y312" s="72">
        <v>4.9358203700000001</v>
      </c>
      <c r="Z312" s="115">
        <v>6.0075364100000002</v>
      </c>
      <c r="AB312" s="71" t="s">
        <v>21</v>
      </c>
      <c r="AC312" s="71">
        <v>2.9181392397602916E-2</v>
      </c>
      <c r="AD312" s="71">
        <v>3.836834406378252E-2</v>
      </c>
      <c r="AE312" s="71" t="s">
        <v>21</v>
      </c>
      <c r="AF312" s="63" t="s">
        <v>21</v>
      </c>
      <c r="AG312" s="71" t="s">
        <v>21</v>
      </c>
      <c r="AH312" s="71">
        <v>2.543330549760291E-2</v>
      </c>
      <c r="AI312" s="71">
        <v>3.338683886378252E-2</v>
      </c>
      <c r="AJ312" s="71" t="s">
        <v>21</v>
      </c>
      <c r="AK312" s="71" t="s">
        <v>21</v>
      </c>
    </row>
    <row r="313" spans="2:37" x14ac:dyDescent="0.35">
      <c r="B313" s="55" t="s">
        <v>282</v>
      </c>
      <c r="C313" s="53" t="s">
        <v>234</v>
      </c>
      <c r="D313" s="53" t="s">
        <v>201</v>
      </c>
      <c r="E313" s="53" t="s">
        <v>133</v>
      </c>
      <c r="F313" s="73" t="str">
        <f t="shared" si="33"/>
        <v/>
      </c>
      <c r="G313" s="60" t="str">
        <f t="shared" si="33"/>
        <v/>
      </c>
      <c r="H313" s="60">
        <f t="shared" si="33"/>
        <v>1.1738734458745712E-2</v>
      </c>
      <c r="I313" s="60" t="str">
        <f t="shared" si="33"/>
        <v/>
      </c>
      <c r="J313" s="63" t="str">
        <f t="shared" si="33"/>
        <v/>
      </c>
      <c r="K313" s="60" t="str">
        <f t="shared" si="34"/>
        <v/>
      </c>
      <c r="L313" s="60" t="str">
        <f t="shared" si="34"/>
        <v/>
      </c>
      <c r="M313" s="60">
        <f t="shared" si="34"/>
        <v>7.0731465587457118E-3</v>
      </c>
      <c r="N313" s="60" t="str">
        <f t="shared" si="34"/>
        <v/>
      </c>
      <c r="O313" s="63" t="str">
        <f t="shared" si="34"/>
        <v/>
      </c>
      <c r="P313" s="55" t="s">
        <v>296</v>
      </c>
      <c r="Q313" s="53" t="s">
        <v>297</v>
      </c>
      <c r="R313" s="94">
        <v>47581</v>
      </c>
      <c r="S313" s="73">
        <v>1.4271600000000001E-2</v>
      </c>
      <c r="T313" s="63">
        <f t="shared" si="32"/>
        <v>-2.5328655412542884E-3</v>
      </c>
      <c r="V313" s="72">
        <v>1.12751483</v>
      </c>
      <c r="W313" s="72">
        <v>2.8456493699999998</v>
      </c>
      <c r="X313" s="72">
        <v>4.3549531500000001</v>
      </c>
      <c r="Y313" s="72">
        <v>5.6474838399999996</v>
      </c>
      <c r="Z313" s="115">
        <v>7.2260431599999997</v>
      </c>
      <c r="AB313" s="71" t="s">
        <v>21</v>
      </c>
      <c r="AC313" s="71"/>
      <c r="AD313" s="71">
        <v>1.1738734458745712E-2</v>
      </c>
      <c r="AE313" s="71" t="s">
        <v>21</v>
      </c>
      <c r="AF313" s="63" t="s">
        <v>21</v>
      </c>
      <c r="AG313" s="71" t="s">
        <v>21</v>
      </c>
      <c r="AH313" s="71"/>
      <c r="AI313" s="71">
        <v>7.0731465587457118E-3</v>
      </c>
      <c r="AJ313" s="71" t="s">
        <v>21</v>
      </c>
      <c r="AK313" s="71" t="s">
        <v>21</v>
      </c>
    </row>
    <row r="314" spans="2:37" x14ac:dyDescent="0.35">
      <c r="B314" s="55" t="s">
        <v>283</v>
      </c>
      <c r="C314" s="53" t="s">
        <v>234</v>
      </c>
      <c r="D314" s="53" t="s">
        <v>197</v>
      </c>
      <c r="E314" s="53" t="s">
        <v>637</v>
      </c>
      <c r="F314" s="73" t="str">
        <f t="shared" si="33"/>
        <v/>
      </c>
      <c r="G314" s="60" t="str">
        <f t="shared" si="33"/>
        <v/>
      </c>
      <c r="H314" s="60">
        <f t="shared" si="33"/>
        <v>3.7041299885551465E-2</v>
      </c>
      <c r="I314" s="60" t="str">
        <f t="shared" si="33"/>
        <v/>
      </c>
      <c r="J314" s="63" t="str">
        <f t="shared" si="33"/>
        <v/>
      </c>
      <c r="K314" s="60" t="str">
        <f t="shared" si="34"/>
        <v/>
      </c>
      <c r="L314" s="60" t="str">
        <f t="shared" si="34"/>
        <v/>
      </c>
      <c r="M314" s="60">
        <f t="shared" si="34"/>
        <v>3.2101286885551465E-2</v>
      </c>
      <c r="N314" s="60" t="str">
        <f t="shared" si="34"/>
        <v/>
      </c>
      <c r="O314" s="63" t="str">
        <f t="shared" si="34"/>
        <v/>
      </c>
      <c r="P314" s="55" t="s">
        <v>21</v>
      </c>
      <c r="Q314" s="53" t="s">
        <v>21</v>
      </c>
      <c r="R314" s="94" t="s">
        <v>21</v>
      </c>
      <c r="S314" s="73">
        <v>0</v>
      </c>
      <c r="T314" s="63">
        <f t="shared" si="32"/>
        <v>3.7041299885551465E-2</v>
      </c>
      <c r="V314" s="72">
        <v>1.09674425</v>
      </c>
      <c r="W314" s="72">
        <v>2.6656359200000002</v>
      </c>
      <c r="X314" s="72">
        <v>3.9434896900000003</v>
      </c>
      <c r="Y314" s="72">
        <v>4.9715401000000004</v>
      </c>
      <c r="Z314" s="115">
        <v>6.1600737699999994</v>
      </c>
      <c r="AB314" s="71" t="s">
        <v>21</v>
      </c>
      <c r="AC314" s="71"/>
      <c r="AD314" s="71">
        <v>3.7041299885551465E-2</v>
      </c>
      <c r="AE314" s="71" t="s">
        <v>21</v>
      </c>
      <c r="AF314" s="63" t="s">
        <v>21</v>
      </c>
      <c r="AG314" s="71" t="s">
        <v>21</v>
      </c>
      <c r="AH314" s="71"/>
      <c r="AI314" s="71">
        <v>3.2101286885551465E-2</v>
      </c>
      <c r="AJ314" s="71" t="s">
        <v>21</v>
      </c>
      <c r="AK314" s="71" t="s">
        <v>21</v>
      </c>
    </row>
    <row r="315" spans="2:37" x14ac:dyDescent="0.35">
      <c r="B315" s="55" t="s">
        <v>284</v>
      </c>
      <c r="C315" s="53" t="s">
        <v>234</v>
      </c>
      <c r="D315" s="53" t="s">
        <v>197</v>
      </c>
      <c r="E315" s="53" t="s">
        <v>638</v>
      </c>
      <c r="F315" s="73" t="str">
        <f t="shared" si="33"/>
        <v/>
      </c>
      <c r="G315" s="60" t="str">
        <f t="shared" si="33"/>
        <v/>
      </c>
      <c r="H315" s="60">
        <f t="shared" si="33"/>
        <v>4.1503970961596401E-2</v>
      </c>
      <c r="I315" s="60" t="str">
        <f t="shared" si="33"/>
        <v/>
      </c>
      <c r="J315" s="63" t="str">
        <f t="shared" si="33"/>
        <v/>
      </c>
      <c r="K315" s="60" t="str">
        <f t="shared" si="34"/>
        <v/>
      </c>
      <c r="L315" s="60" t="str">
        <f t="shared" si="34"/>
        <v/>
      </c>
      <c r="M315" s="60">
        <f t="shared" si="34"/>
        <v>3.6605322461596396E-2</v>
      </c>
      <c r="N315" s="60" t="str">
        <f t="shared" si="34"/>
        <v/>
      </c>
      <c r="O315" s="63" t="str">
        <f t="shared" si="34"/>
        <v/>
      </c>
      <c r="P315" s="55" t="s">
        <v>21</v>
      </c>
      <c r="Q315" s="53" t="s">
        <v>21</v>
      </c>
      <c r="R315" s="94" t="s">
        <v>21</v>
      </c>
      <c r="S315" s="73">
        <v>0</v>
      </c>
      <c r="T315" s="63">
        <f t="shared" si="32"/>
        <v>4.1503970961596401E-2</v>
      </c>
      <c r="V315" s="72">
        <v>1.0997593999999999</v>
      </c>
      <c r="W315" s="72">
        <v>2.6928465200000002</v>
      </c>
      <c r="X315" s="72">
        <v>3.9842358299999998</v>
      </c>
      <c r="Y315" s="72">
        <v>4.9909648100000004</v>
      </c>
      <c r="Z315" s="115">
        <v>6.0750400600000001</v>
      </c>
      <c r="AB315" s="71" t="s">
        <v>21</v>
      </c>
      <c r="AC315" s="71"/>
      <c r="AD315" s="71">
        <v>4.1503970961596401E-2</v>
      </c>
      <c r="AE315" s="71" t="s">
        <v>21</v>
      </c>
      <c r="AF315" s="63" t="s">
        <v>21</v>
      </c>
      <c r="AG315" s="71" t="s">
        <v>21</v>
      </c>
      <c r="AH315" s="71"/>
      <c r="AI315" s="71">
        <v>3.6605322461596396E-2</v>
      </c>
      <c r="AJ315" s="71" t="s">
        <v>21</v>
      </c>
      <c r="AK315" s="71" t="s">
        <v>21</v>
      </c>
    </row>
    <row r="316" spans="2:37" x14ac:dyDescent="0.35">
      <c r="B316" s="57" t="s">
        <v>285</v>
      </c>
      <c r="C316" s="53" t="s">
        <v>234</v>
      </c>
      <c r="D316" s="67" t="s">
        <v>197</v>
      </c>
      <c r="E316" s="67" t="s">
        <v>270</v>
      </c>
      <c r="F316" s="74" t="str">
        <f t="shared" si="33"/>
        <v/>
      </c>
      <c r="G316" s="76" t="str">
        <f t="shared" si="33"/>
        <v/>
      </c>
      <c r="H316" s="76">
        <f t="shared" si="33"/>
        <v>4.373416988656921E-2</v>
      </c>
      <c r="I316" s="76" t="str">
        <f t="shared" si="33"/>
        <v/>
      </c>
      <c r="J316" s="64" t="str">
        <f t="shared" si="33"/>
        <v/>
      </c>
      <c r="K316" s="76" t="str">
        <f t="shared" si="34"/>
        <v/>
      </c>
      <c r="L316" s="76" t="str">
        <f t="shared" si="34"/>
        <v/>
      </c>
      <c r="M316" s="76">
        <f t="shared" si="34"/>
        <v>3.8233563586569215E-2</v>
      </c>
      <c r="N316" s="76" t="str">
        <f t="shared" si="34"/>
        <v/>
      </c>
      <c r="O316" s="64" t="str">
        <f t="shared" si="34"/>
        <v/>
      </c>
      <c r="P316" s="57" t="s">
        <v>639</v>
      </c>
      <c r="Q316" s="67" t="s">
        <v>640</v>
      </c>
      <c r="R316" s="96">
        <v>47560</v>
      </c>
      <c r="S316" s="74">
        <v>3.8632859999999998E-2</v>
      </c>
      <c r="T316" s="64">
        <f t="shared" si="32"/>
        <v>5.1013098865692122E-3</v>
      </c>
      <c r="V316" s="108">
        <v>1.0912331900000001</v>
      </c>
      <c r="W316" s="108">
        <v>2.6155031100000001</v>
      </c>
      <c r="X316" s="108">
        <v>3.8055550600000001</v>
      </c>
      <c r="Y316" s="108">
        <v>4.7196414300000002</v>
      </c>
      <c r="Z316" s="117">
        <v>5.6629170899999997</v>
      </c>
      <c r="AB316" s="76" t="s">
        <v>21</v>
      </c>
      <c r="AC316" s="76"/>
      <c r="AD316" s="76">
        <v>4.373416988656921E-2</v>
      </c>
      <c r="AE316" s="76" t="s">
        <v>21</v>
      </c>
      <c r="AF316" s="64" t="s">
        <v>21</v>
      </c>
      <c r="AG316" s="76" t="s">
        <v>21</v>
      </c>
      <c r="AH316" s="76"/>
      <c r="AI316" s="76">
        <v>3.8233563586569215E-2</v>
      </c>
      <c r="AJ316" s="76" t="s">
        <v>21</v>
      </c>
      <c r="AK316" s="76" t="s">
        <v>21</v>
      </c>
    </row>
    <row r="317" spans="2:37" x14ac:dyDescent="0.35">
      <c r="B317" s="66"/>
      <c r="C317" s="66"/>
      <c r="D317" s="66"/>
      <c r="E317" s="66"/>
      <c r="P317" s="66"/>
      <c r="Q317" s="66"/>
      <c r="R317" s="66"/>
      <c r="S317" s="66"/>
      <c r="V317" s="66"/>
      <c r="W317" s="66"/>
      <c r="X317" s="66"/>
      <c r="Y317" s="66"/>
      <c r="Z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</row>
    <row r="318" spans="2:37" ht="15.5" x14ac:dyDescent="0.35">
      <c r="B318" s="122" t="s">
        <v>286</v>
      </c>
    </row>
    <row r="319" spans="2:37" x14ac:dyDescent="0.35">
      <c r="B319" s="85" t="s">
        <v>5</v>
      </c>
      <c r="C319" s="84" t="s">
        <v>6</v>
      </c>
      <c r="D319" s="84" t="s">
        <v>7</v>
      </c>
      <c r="E319" s="84" t="s">
        <v>8</v>
      </c>
      <c r="F319" s="83" t="s">
        <v>9</v>
      </c>
      <c r="G319" s="82" t="s">
        <v>10</v>
      </c>
      <c r="H319" s="82" t="s">
        <v>11</v>
      </c>
      <c r="I319" s="82" t="s">
        <v>12</v>
      </c>
      <c r="J319" s="81" t="s">
        <v>13</v>
      </c>
      <c r="K319" s="83" t="s">
        <v>9</v>
      </c>
      <c r="L319" s="82" t="s">
        <v>10</v>
      </c>
      <c r="M319" s="82" t="s">
        <v>11</v>
      </c>
      <c r="N319" s="82" t="s">
        <v>12</v>
      </c>
      <c r="O319" s="81" t="s">
        <v>13</v>
      </c>
      <c r="P319" s="83" t="s">
        <v>14</v>
      </c>
      <c r="Q319" s="82" t="s">
        <v>15</v>
      </c>
      <c r="R319" s="82" t="s">
        <v>16</v>
      </c>
      <c r="S319" s="82" t="s">
        <v>409</v>
      </c>
      <c r="T319" s="58" t="s">
        <v>18</v>
      </c>
      <c r="V319" s="106" t="s">
        <v>9</v>
      </c>
      <c r="W319" s="106" t="s">
        <v>10</v>
      </c>
      <c r="X319" s="106" t="s">
        <v>11</v>
      </c>
      <c r="Y319" s="106" t="s">
        <v>12</v>
      </c>
      <c r="Z319" s="111" t="s">
        <v>13</v>
      </c>
      <c r="AB319" s="83" t="s">
        <v>9</v>
      </c>
      <c r="AC319" s="82" t="s">
        <v>10</v>
      </c>
      <c r="AD319" s="82" t="s">
        <v>11</v>
      </c>
      <c r="AE319" s="82" t="s">
        <v>12</v>
      </c>
      <c r="AF319" s="81" t="s">
        <v>13</v>
      </c>
      <c r="AG319" s="82" t="s">
        <v>9</v>
      </c>
      <c r="AH319" s="82" t="s">
        <v>10</v>
      </c>
      <c r="AI319" s="82" t="s">
        <v>11</v>
      </c>
      <c r="AJ319" s="82" t="s">
        <v>12</v>
      </c>
      <c r="AK319" s="82" t="s">
        <v>13</v>
      </c>
    </row>
    <row r="320" spans="2:37" x14ac:dyDescent="0.35">
      <c r="B320" s="55" t="s">
        <v>641</v>
      </c>
      <c r="C320" s="53" t="s">
        <v>234</v>
      </c>
      <c r="D320" s="53" t="s">
        <v>642</v>
      </c>
      <c r="E320" s="53" t="s">
        <v>643</v>
      </c>
      <c r="F320" s="73" t="str">
        <f>IF(ISNUMBER(AB320),AB320-((C$4-C$3)/V320),"")</f>
        <v/>
      </c>
      <c r="G320" s="60">
        <f>IF(ISNUMBER(AC320),AC320-((D$4-D$3)/W320),"")</f>
        <v>8.2820860399575556E-3</v>
      </c>
      <c r="H320" s="60">
        <f>IF(ISNUMBER(AD320),AD320-((E$4-E$3)/X320),"")</f>
        <v>1.5266290313789435E-2</v>
      </c>
      <c r="I320" s="60">
        <f>IF(ISNUMBER(AE320),AE320-((F$4-F$3)/Y320),"")</f>
        <v>1.7907261983258874E-2</v>
      </c>
      <c r="J320" s="63">
        <f>IF(ISNUMBER(AF320),AF320-((G$4-G$3)/Z320),"")</f>
        <v>2.0406206752093235E-2</v>
      </c>
      <c r="K320" s="60" t="str">
        <f>IF(ISNUMBER(AG320),IF(AG320-((C$4-C$3)/V320)&lt;0,"",AG320-((C$4-C$3)/V320)),"")</f>
        <v/>
      </c>
      <c r="L320" s="60">
        <f>IF(ISNUMBER(AH320),IF(AH320-((D$4-D$3)/W320)&lt;0,"",AH320-((D$4-D$3)/W320)),"")</f>
        <v>4.6599484399575579E-3</v>
      </c>
      <c r="M320" s="60">
        <f>IF(ISNUMBER(AI320),IF(AI320-((E$4-E$3)/X320)&lt;0,"",AI320-((E$4-E$3)/X320)),"")</f>
        <v>1.0650881113789435E-2</v>
      </c>
      <c r="N320" s="60">
        <f>IF(ISNUMBER(AJ320),IF(AJ320-((F$4-F$3)/Y320)&lt;0,"",AJ320-((F$4-F$3)/Y320)),"")</f>
        <v>1.2402860483258872E-2</v>
      </c>
      <c r="O320" s="63">
        <f>IF(ISNUMBER(AK320),IF(AK320-((G$4-G$3)/Z320)&lt;0,"",AK320-((G$4-G$3)/Z320)),"")</f>
        <v>1.3616081652093232E-2</v>
      </c>
      <c r="P320" s="55" t="s">
        <v>644</v>
      </c>
      <c r="Q320" s="53" t="s">
        <v>645</v>
      </c>
      <c r="R320" s="94">
        <v>47545</v>
      </c>
      <c r="S320" s="73">
        <v>7.1063699999999999E-3</v>
      </c>
      <c r="T320" s="63">
        <f t="shared" ref="T320:T325" si="35">IF(S320="","",H320-S320)</f>
        <v>8.1599203137894365E-3</v>
      </c>
      <c r="V320" s="72">
        <v>1.1273518600000001</v>
      </c>
      <c r="W320" s="72">
        <v>2.8345731499999998</v>
      </c>
      <c r="X320" s="72">
        <v>4.3104019400000002</v>
      </c>
      <c r="Y320" s="72">
        <v>5.5621223799999999</v>
      </c>
      <c r="Z320" s="115">
        <v>7.1051242800000001</v>
      </c>
      <c r="AB320" s="71" t="s">
        <v>21</v>
      </c>
      <c r="AC320" s="71">
        <v>8.2820860399575556E-3</v>
      </c>
      <c r="AD320" s="71">
        <v>1.5266290313789435E-2</v>
      </c>
      <c r="AE320" s="71">
        <v>1.7907261983258874E-2</v>
      </c>
      <c r="AF320" s="63">
        <v>2.0406206752093235E-2</v>
      </c>
      <c r="AG320" s="71" t="s">
        <v>21</v>
      </c>
      <c r="AH320" s="71">
        <v>4.6599484399575579E-3</v>
      </c>
      <c r="AI320" s="71">
        <v>1.0650881113789435E-2</v>
      </c>
      <c r="AJ320" s="71">
        <v>1.2402860483258872E-2</v>
      </c>
      <c r="AK320" s="71">
        <v>1.3616081652093232E-2</v>
      </c>
    </row>
    <row r="321" spans="2:37" x14ac:dyDescent="0.35">
      <c r="B321" s="55" t="s">
        <v>646</v>
      </c>
      <c r="C321" s="53" t="s">
        <v>234</v>
      </c>
      <c r="D321" s="53" t="s">
        <v>647</v>
      </c>
      <c r="E321" s="53" t="s">
        <v>266</v>
      </c>
      <c r="F321" s="73">
        <f t="shared" ref="F321:J325" si="36">IF(ISNUMBER(AB321),AB321-((C$4-C$3)/V321),"")</f>
        <v>2.8751880057481354E-5</v>
      </c>
      <c r="G321" s="60">
        <f t="shared" si="36"/>
        <v>8.6341661735265321E-3</v>
      </c>
      <c r="H321" s="60">
        <f t="shared" si="36"/>
        <v>1.5185033870710477E-2</v>
      </c>
      <c r="I321" s="60">
        <f t="shared" si="36"/>
        <v>1.7687892052939063E-2</v>
      </c>
      <c r="J321" s="63">
        <f t="shared" si="36"/>
        <v>2.0253552595915485E-2</v>
      </c>
      <c r="K321" s="60" t="str">
        <f t="shared" ref="K321:O325" si="37">IF(ISNUMBER(AG321),IF(AG321-((C$4-C$3)/V321)&lt;0,"",AG321-((C$4-C$3)/V321)),"")</f>
        <v/>
      </c>
      <c r="L321" s="60">
        <f t="shared" si="37"/>
        <v>5.0298246735265353E-3</v>
      </c>
      <c r="M321" s="60">
        <f t="shared" si="37"/>
        <v>1.0568610070710473E-2</v>
      </c>
      <c r="N321" s="60">
        <f t="shared" si="37"/>
        <v>1.2177908652939065E-2</v>
      </c>
      <c r="O321" s="63">
        <f t="shared" si="37"/>
        <v>1.3456600795915484E-2</v>
      </c>
      <c r="P321" s="55" t="s">
        <v>21</v>
      </c>
      <c r="Q321" s="53" t="s">
        <v>21</v>
      </c>
      <c r="R321" s="94" t="s">
        <v>21</v>
      </c>
      <c r="S321" s="73">
        <v>0</v>
      </c>
      <c r="T321" s="63">
        <f t="shared" si="35"/>
        <v>1.5185033870710477E-2</v>
      </c>
      <c r="V321" s="72">
        <v>1.12589154</v>
      </c>
      <c r="W321" s="72">
        <v>2.8293556099999999</v>
      </c>
      <c r="X321" s="72">
        <v>4.3047569000000001</v>
      </c>
      <c r="Y321" s="72">
        <v>5.5601313999999995</v>
      </c>
      <c r="Z321" s="115">
        <v>7.1078748699999998</v>
      </c>
      <c r="AB321" s="71">
        <v>2.8751880057481354E-5</v>
      </c>
      <c r="AC321" s="71">
        <v>8.6341661735265321E-3</v>
      </c>
      <c r="AD321" s="71">
        <v>1.5185033870710477E-2</v>
      </c>
      <c r="AE321" s="71">
        <v>1.7687892052939063E-2</v>
      </c>
      <c r="AF321" s="63">
        <v>2.0253552595915485E-2</v>
      </c>
      <c r="AG321" s="71" t="s">
        <v>21</v>
      </c>
      <c r="AH321" s="71">
        <v>5.0298246735265353E-3</v>
      </c>
      <c r="AI321" s="71">
        <v>1.0568610070710473E-2</v>
      </c>
      <c r="AJ321" s="71">
        <v>1.2177908652939065E-2</v>
      </c>
      <c r="AK321" s="71">
        <v>1.3456600795915484E-2</v>
      </c>
    </row>
    <row r="322" spans="2:37" x14ac:dyDescent="0.35">
      <c r="B322" s="55" t="s">
        <v>289</v>
      </c>
      <c r="C322" s="53" t="s">
        <v>234</v>
      </c>
      <c r="D322" s="53" t="s">
        <v>287</v>
      </c>
      <c r="E322" s="53" t="s">
        <v>181</v>
      </c>
      <c r="F322" s="73" t="str">
        <f t="shared" si="36"/>
        <v/>
      </c>
      <c r="G322" s="60">
        <f t="shared" si="36"/>
        <v>6.696149452249946E-3</v>
      </c>
      <c r="H322" s="60">
        <f t="shared" si="36"/>
        <v>1.2688168549682192E-2</v>
      </c>
      <c r="I322" s="60">
        <f t="shared" si="36"/>
        <v>1.5803503072510511E-2</v>
      </c>
      <c r="J322" s="63">
        <f t="shared" si="36"/>
        <v>1.8712857278530046E-2</v>
      </c>
      <c r="K322" s="60" t="str">
        <f t="shared" si="37"/>
        <v/>
      </c>
      <c r="L322" s="60">
        <f t="shared" si="37"/>
        <v>2.9736881522499461E-3</v>
      </c>
      <c r="M322" s="60">
        <f t="shared" si="37"/>
        <v>7.9745438496821967E-3</v>
      </c>
      <c r="N322" s="60">
        <f t="shared" si="37"/>
        <v>1.0227013772510516E-2</v>
      </c>
      <c r="O322" s="63">
        <f t="shared" si="37"/>
        <v>1.1860767978530046E-2</v>
      </c>
      <c r="P322" s="55" t="s">
        <v>648</v>
      </c>
      <c r="Q322" s="53" t="s">
        <v>649</v>
      </c>
      <c r="R322" s="94" t="s">
        <v>32</v>
      </c>
      <c r="S322" s="73">
        <v>8.2149000000000007E-3</v>
      </c>
      <c r="T322" s="63">
        <f t="shared" si="35"/>
        <v>4.4732685496821911E-3</v>
      </c>
      <c r="V322" s="72">
        <v>1.1297430100000001</v>
      </c>
      <c r="W322" s="72">
        <v>2.8498719700000001</v>
      </c>
      <c r="X322" s="72">
        <v>4.3565047099999994</v>
      </c>
      <c r="Y322" s="72">
        <v>5.6405672099999995</v>
      </c>
      <c r="Z322" s="115">
        <v>7.2273898299999999</v>
      </c>
      <c r="AB322" s="71" t="s">
        <v>21</v>
      </c>
      <c r="AC322" s="71">
        <v>6.696149452249946E-3</v>
      </c>
      <c r="AD322" s="71">
        <v>1.2688168549682192E-2</v>
      </c>
      <c r="AE322" s="71">
        <v>1.5803503072510511E-2</v>
      </c>
      <c r="AF322" s="63">
        <v>1.8712857278530046E-2</v>
      </c>
      <c r="AG322" s="71" t="s">
        <v>21</v>
      </c>
      <c r="AH322" s="71">
        <v>2.9736881522499461E-3</v>
      </c>
      <c r="AI322" s="71">
        <v>7.9745438496821967E-3</v>
      </c>
      <c r="AJ322" s="71">
        <v>1.0227013772510516E-2</v>
      </c>
      <c r="AK322" s="71">
        <v>1.1860767978530046E-2</v>
      </c>
    </row>
    <row r="323" spans="2:37" x14ac:dyDescent="0.35">
      <c r="B323" s="55" t="s">
        <v>650</v>
      </c>
      <c r="C323" s="53" t="s">
        <v>234</v>
      </c>
      <c r="D323" s="53" t="s">
        <v>642</v>
      </c>
      <c r="E323" s="53" t="s">
        <v>651</v>
      </c>
      <c r="F323" s="73" t="str">
        <f t="shared" si="36"/>
        <v/>
      </c>
      <c r="G323" s="60">
        <f t="shared" si="36"/>
        <v>9.9342999497261265E-3</v>
      </c>
      <c r="H323" s="60">
        <f t="shared" si="36"/>
        <v>1.6643198900509915E-2</v>
      </c>
      <c r="I323" s="60">
        <f t="shared" si="36"/>
        <v>2.0114762547057539E-2</v>
      </c>
      <c r="J323" s="63">
        <f t="shared" si="36"/>
        <v>2.3910548762047842E-2</v>
      </c>
      <c r="K323" s="60" t="str">
        <f t="shared" si="37"/>
        <v/>
      </c>
      <c r="L323" s="60">
        <f t="shared" si="37"/>
        <v>6.3765668497261282E-3</v>
      </c>
      <c r="M323" s="60">
        <f t="shared" si="37"/>
        <v>1.2057223600509913E-2</v>
      </c>
      <c r="N323" s="60">
        <f t="shared" si="37"/>
        <v>1.464317204705754E-2</v>
      </c>
      <c r="O323" s="63">
        <f t="shared" si="37"/>
        <v>1.7174894362047843E-2</v>
      </c>
      <c r="P323" s="55" t="s">
        <v>652</v>
      </c>
      <c r="Q323" s="53" t="s">
        <v>653</v>
      </c>
      <c r="R323" s="94">
        <v>47651</v>
      </c>
      <c r="S323" s="73">
        <v>8.7645899999999992E-3</v>
      </c>
      <c r="T323" s="63">
        <f t="shared" si="35"/>
        <v>7.8786089005099154E-3</v>
      </c>
      <c r="V323" s="72">
        <v>1.1263783600000001</v>
      </c>
      <c r="W323" s="72">
        <v>2.8230931400000001</v>
      </c>
      <c r="X323" s="72">
        <v>4.2815632099999998</v>
      </c>
      <c r="Y323" s="72">
        <v>5.5030608399999998</v>
      </c>
      <c r="Z323" s="115">
        <v>6.9627619300000001</v>
      </c>
      <c r="AB323" s="71" t="s">
        <v>21</v>
      </c>
      <c r="AC323" s="71">
        <v>9.9342999497261265E-3</v>
      </c>
      <c r="AD323" s="71">
        <v>1.6643198900509915E-2</v>
      </c>
      <c r="AE323" s="71">
        <v>2.0114762547057539E-2</v>
      </c>
      <c r="AF323" s="63">
        <v>2.3910548762047842E-2</v>
      </c>
      <c r="AG323" s="71" t="s">
        <v>21</v>
      </c>
      <c r="AH323" s="71">
        <v>6.3765668497261282E-3</v>
      </c>
      <c r="AI323" s="71">
        <v>1.2057223600509913E-2</v>
      </c>
      <c r="AJ323" s="71">
        <v>1.464317204705754E-2</v>
      </c>
      <c r="AK323" s="71">
        <v>1.7174894362047843E-2</v>
      </c>
    </row>
    <row r="324" spans="2:37" x14ac:dyDescent="0.35">
      <c r="B324" s="55" t="s">
        <v>654</v>
      </c>
      <c r="C324" s="53" t="s">
        <v>234</v>
      </c>
      <c r="D324" s="53" t="s">
        <v>642</v>
      </c>
      <c r="E324" s="53" t="s">
        <v>643</v>
      </c>
      <c r="F324" s="73">
        <f t="shared" si="36"/>
        <v>5.2200408705105512E-4</v>
      </c>
      <c r="G324" s="60">
        <f t="shared" si="36"/>
        <v>1.0329588263449931E-2</v>
      </c>
      <c r="H324" s="60">
        <f t="shared" si="36"/>
        <v>1.7311276064834208E-2</v>
      </c>
      <c r="I324" s="60">
        <f t="shared" si="36"/>
        <v>2.0044925801063151E-2</v>
      </c>
      <c r="J324" s="63">
        <f t="shared" si="36"/>
        <v>2.3175584414292558E-2</v>
      </c>
      <c r="K324" s="60" t="str">
        <f t="shared" si="37"/>
        <v/>
      </c>
      <c r="L324" s="60">
        <f t="shared" si="37"/>
        <v>6.7852318634499306E-3</v>
      </c>
      <c r="M324" s="60">
        <f t="shared" si="37"/>
        <v>1.2735238464834207E-2</v>
      </c>
      <c r="N324" s="60">
        <f t="shared" si="37"/>
        <v>1.4575768201063153E-2</v>
      </c>
      <c r="O324" s="63">
        <f t="shared" si="37"/>
        <v>1.6434074314292557E-2</v>
      </c>
      <c r="P324" s="55" t="s">
        <v>655</v>
      </c>
      <c r="Q324" s="53" t="s">
        <v>656</v>
      </c>
      <c r="R324" s="94">
        <v>47599</v>
      </c>
      <c r="S324" s="73">
        <v>8.6814100000000005E-3</v>
      </c>
      <c r="T324" s="63">
        <f t="shared" si="35"/>
        <v>8.6298660648342074E-3</v>
      </c>
      <c r="V324" s="72">
        <v>1.12483544</v>
      </c>
      <c r="W324" s="72">
        <v>2.81684402</v>
      </c>
      <c r="X324" s="72">
        <v>4.2676866599999999</v>
      </c>
      <c r="Y324" s="72">
        <v>5.4880470399999997</v>
      </c>
      <c r="Z324" s="115">
        <v>6.96534897</v>
      </c>
      <c r="AB324" s="71">
        <v>5.2200408705105512E-4</v>
      </c>
      <c r="AC324" s="71">
        <v>1.0329588263449931E-2</v>
      </c>
      <c r="AD324" s="71">
        <v>1.7311276064834208E-2</v>
      </c>
      <c r="AE324" s="71">
        <v>2.0044925801063151E-2</v>
      </c>
      <c r="AF324" s="63">
        <v>2.3175584414292558E-2</v>
      </c>
      <c r="AG324" s="71" t="s">
        <v>21</v>
      </c>
      <c r="AH324" s="71">
        <v>6.7852318634499306E-3</v>
      </c>
      <c r="AI324" s="71">
        <v>1.2735238464834207E-2</v>
      </c>
      <c r="AJ324" s="71">
        <v>1.4575768201063153E-2</v>
      </c>
      <c r="AK324" s="71">
        <v>1.6434074314292557E-2</v>
      </c>
    </row>
    <row r="325" spans="2:37" x14ac:dyDescent="0.35">
      <c r="B325" s="57" t="s">
        <v>657</v>
      </c>
      <c r="C325" s="67" t="s">
        <v>234</v>
      </c>
      <c r="D325" s="67" t="s">
        <v>642</v>
      </c>
      <c r="E325" s="67" t="s">
        <v>658</v>
      </c>
      <c r="F325" s="74">
        <f t="shared" si="36"/>
        <v>7.2012278798355527E-4</v>
      </c>
      <c r="G325" s="76">
        <f t="shared" si="36"/>
        <v>1.1121398095301396E-2</v>
      </c>
      <c r="H325" s="76">
        <f t="shared" si="36"/>
        <v>1.7717093269350746E-2</v>
      </c>
      <c r="I325" s="76">
        <f t="shared" si="36"/>
        <v>2.0662188483799526E-2</v>
      </c>
      <c r="J325" s="64">
        <f t="shared" si="36"/>
        <v>2.3626524518994472E-2</v>
      </c>
      <c r="K325" s="76" t="str">
        <f t="shared" si="37"/>
        <v/>
      </c>
      <c r="L325" s="76">
        <f t="shared" si="37"/>
        <v>7.5967084953013969E-3</v>
      </c>
      <c r="M325" s="76">
        <f t="shared" si="37"/>
        <v>1.3147206969350745E-2</v>
      </c>
      <c r="N325" s="76">
        <f t="shared" si="37"/>
        <v>1.5197832383799525E-2</v>
      </c>
      <c r="O325" s="64">
        <f t="shared" si="37"/>
        <v>1.6890880118994474E-2</v>
      </c>
      <c r="P325" s="57" t="s">
        <v>659</v>
      </c>
      <c r="Q325" s="67" t="s">
        <v>660</v>
      </c>
      <c r="R325" s="96">
        <v>47490</v>
      </c>
      <c r="S325" s="74">
        <v>8.5176499999999999E-3</v>
      </c>
      <c r="T325" s="64">
        <f t="shared" si="35"/>
        <v>9.1994432693507464E-3</v>
      </c>
      <c r="V325" s="108">
        <v>1.12424922</v>
      </c>
      <c r="W325" s="108">
        <v>2.8107244100000002</v>
      </c>
      <c r="X325" s="108">
        <v>4.2551126999999997</v>
      </c>
      <c r="Y325" s="108">
        <v>5.46699454</v>
      </c>
      <c r="Z325" s="117">
        <v>6.9312272499999992</v>
      </c>
      <c r="AB325" s="76">
        <v>7.2012278798355527E-4</v>
      </c>
      <c r="AC325" s="76">
        <v>1.1121398095301396E-2</v>
      </c>
      <c r="AD325" s="76">
        <v>1.7717093269350746E-2</v>
      </c>
      <c r="AE325" s="76">
        <v>2.0662188483799526E-2</v>
      </c>
      <c r="AF325" s="64">
        <v>2.3626524518994472E-2</v>
      </c>
      <c r="AG325" s="76" t="s">
        <v>21</v>
      </c>
      <c r="AH325" s="76">
        <v>7.5967084953013969E-3</v>
      </c>
      <c r="AI325" s="76">
        <v>1.3147206969350745E-2</v>
      </c>
      <c r="AJ325" s="76">
        <v>1.5197832383799525E-2</v>
      </c>
      <c r="AK325" s="76">
        <v>1.6890880118994474E-2</v>
      </c>
    </row>
  </sheetData>
  <mergeCells count="10">
    <mergeCell ref="V10:Z10"/>
    <mergeCell ref="V19:Z19"/>
    <mergeCell ref="F8:J8"/>
    <mergeCell ref="K8:O8"/>
    <mergeCell ref="AB8:AF8"/>
    <mergeCell ref="AG8:AK8"/>
    <mergeCell ref="F9:J9"/>
    <mergeCell ref="K9:O9"/>
    <mergeCell ref="AB9:AF9"/>
    <mergeCell ref="AG9:AK9"/>
  </mergeCells>
  <conditionalFormatting sqref="F31">
    <cfRule type="colorScale" priority="151">
      <colorScale>
        <cfvo type="min"/>
        <cfvo type="max"/>
        <color rgb="FFFFEF9C"/>
        <color rgb="FF63BE7B"/>
      </colorScale>
    </cfRule>
  </conditionalFormatting>
  <conditionalFormatting sqref="F12:J17">
    <cfRule type="colorScale" priority="159">
      <colorScale>
        <cfvo type="min"/>
        <cfvo type="max"/>
        <color rgb="FFFFEF9C"/>
        <color rgb="FF63BE7B"/>
      </colorScale>
    </cfRule>
  </conditionalFormatting>
  <conditionalFormatting sqref="F21:J27">
    <cfRule type="colorScale" priority="110">
      <colorScale>
        <cfvo type="min"/>
        <cfvo type="max"/>
        <color rgb="FFFFEF9C"/>
        <color rgb="FF63BE7B"/>
      </colorScale>
    </cfRule>
  </conditionalFormatting>
  <conditionalFormatting sqref="F31:J70 F72:J78 F80:J110">
    <cfRule type="colorScale" priority="157">
      <colorScale>
        <cfvo type="min"/>
        <cfvo type="max"/>
        <color rgb="FFFFEF9C"/>
        <color rgb="FF63BE7B"/>
      </colorScale>
    </cfRule>
  </conditionalFormatting>
  <conditionalFormatting sqref="F31:J70 F72:J78">
    <cfRule type="colorScale" priority="179">
      <colorScale>
        <cfvo type="min"/>
        <cfvo type="max"/>
        <color rgb="FFFFEF9C"/>
        <color rgb="FF63BE7B"/>
      </colorScale>
    </cfRule>
  </conditionalFormatting>
  <conditionalFormatting sqref="F31:J70 F72:J110">
    <cfRule type="colorScale" priority="181">
      <colorScale>
        <cfvo type="min"/>
        <cfvo type="max"/>
        <color rgb="FFFFEF9C"/>
        <color rgb="FF63BE7B"/>
      </colorScale>
    </cfRule>
  </conditionalFormatting>
  <conditionalFormatting sqref="F32:J50 G31:J31 F52:J70 F72:J78 F80:J110">
    <cfRule type="colorScale" priority="156">
      <colorScale>
        <cfvo type="min"/>
        <cfvo type="max"/>
        <color rgb="FFFFEF9C"/>
        <color rgb="FF63BE7B"/>
      </colorScale>
    </cfRule>
  </conditionalFormatting>
  <conditionalFormatting sqref="F45:J53 F290:J316">
    <cfRule type="cellIs" dxfId="31" priority="153" operator="lessThan">
      <formula>0</formula>
    </cfRule>
  </conditionalFormatting>
  <conditionalFormatting sqref="F51:J51">
    <cfRule type="colorScale" priority="152">
      <colorScale>
        <cfvo type="min"/>
        <cfvo type="max"/>
        <color rgb="FFFFEF9C"/>
        <color rgb="FF63BE7B"/>
      </colorScale>
    </cfRule>
  </conditionalFormatting>
  <conditionalFormatting sqref="F55:J60 F62:J65 F73:J75 F77:J78 F80:J98">
    <cfRule type="cellIs" dxfId="30" priority="155" operator="lessThan">
      <formula>0</formula>
    </cfRule>
  </conditionalFormatting>
  <conditionalFormatting sqref="F67:J71">
    <cfRule type="cellIs" dxfId="29" priority="50" operator="lessThan">
      <formula>0</formula>
    </cfRule>
  </conditionalFormatting>
  <conditionalFormatting sqref="F71:J71">
    <cfRule type="colorScale" priority="53">
      <colorScale>
        <cfvo type="min"/>
        <cfvo type="max"/>
        <color rgb="FFFFEF9C"/>
        <color rgb="FF63BE7B"/>
      </colorScale>
    </cfRule>
    <cfRule type="colorScale" priority="51">
      <colorScale>
        <cfvo type="min"/>
        <cfvo type="max"/>
        <color rgb="FFFFEF9C"/>
        <color rgb="FF63BE7B"/>
      </colorScale>
    </cfRule>
    <cfRule type="colorScale" priority="55">
      <colorScale>
        <cfvo type="min"/>
        <cfvo type="max"/>
        <color rgb="FFFFEF9C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</conditionalFormatting>
  <conditionalFormatting sqref="F79:J79"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F111:J113">
    <cfRule type="colorScale" priority="164">
      <colorScale>
        <cfvo type="min"/>
        <cfvo type="max"/>
        <color rgb="FFFFEF9C"/>
        <color rgb="FF63BE7B"/>
      </colorScale>
    </cfRule>
  </conditionalFormatting>
  <conditionalFormatting sqref="F114:J114">
    <cfRule type="colorScale" priority="162">
      <colorScale>
        <cfvo type="min"/>
        <cfvo type="max"/>
        <color rgb="FFFFEF9C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</conditionalFormatting>
  <conditionalFormatting sqref="F115:J134 F136:J138">
    <cfRule type="cellIs" dxfId="28" priority="143" operator="lessThan">
      <formula>0</formula>
    </cfRule>
  </conditionalFormatting>
  <conditionalFormatting sqref="F115:J134">
    <cfRule type="colorScale" priority="145">
      <colorScale>
        <cfvo type="min"/>
        <cfvo type="max"/>
        <color rgb="FFFFEF9C"/>
        <color rgb="FF63BE7B"/>
      </colorScale>
    </cfRule>
    <cfRule type="colorScale" priority="144">
      <colorScale>
        <cfvo type="min"/>
        <cfvo type="max"/>
        <color rgb="FFFFEF9C"/>
        <color rgb="FF63BE7B"/>
      </colorScale>
    </cfRule>
  </conditionalFormatting>
  <conditionalFormatting sqref="F115:J138">
    <cfRule type="colorScale" priority="147">
      <colorScale>
        <cfvo type="min"/>
        <cfvo type="max"/>
        <color rgb="FFFFEF9C"/>
        <color rgb="FF63BE7B"/>
      </colorScale>
    </cfRule>
  </conditionalFormatting>
  <conditionalFormatting sqref="F135:J135">
    <cfRule type="colorScale" priority="142">
      <colorScale>
        <cfvo type="min"/>
        <cfvo type="max"/>
        <color rgb="FFFFEF9C"/>
        <color rgb="FF63BE7B"/>
      </colorScale>
    </cfRule>
    <cfRule type="colorScale" priority="141">
      <colorScale>
        <cfvo type="min"/>
        <cfvo type="max"/>
        <color rgb="FFFFEF9C"/>
        <color rgb="FF63BE7B"/>
      </colorScale>
    </cfRule>
  </conditionalFormatting>
  <conditionalFormatting sqref="F136:J138">
    <cfRule type="colorScale" priority="146">
      <colorScale>
        <cfvo type="min"/>
        <cfvo type="max"/>
        <color rgb="FFFFEF9C"/>
        <color rgb="FF63BE7B"/>
      </colorScale>
    </cfRule>
  </conditionalFormatting>
  <conditionalFormatting sqref="F142:J142">
    <cfRule type="colorScale" priority="138">
      <colorScale>
        <cfvo type="min"/>
        <cfvo type="max"/>
        <color rgb="FFFFEF9C"/>
        <color rgb="FF63BE7B"/>
      </colorScale>
    </cfRule>
    <cfRule type="colorScale" priority="139">
      <colorScale>
        <cfvo type="min"/>
        <cfvo type="max"/>
        <color rgb="FFFFEF9C"/>
        <color rgb="FF63BE7B"/>
      </colorScale>
    </cfRule>
  </conditionalFormatting>
  <conditionalFormatting sqref="F143:J258 F260:J276 F320:J325">
    <cfRule type="cellIs" dxfId="27" priority="163" operator="lessThan">
      <formula>0</formula>
    </cfRule>
  </conditionalFormatting>
  <conditionalFormatting sqref="F143:J258">
    <cfRule type="colorScale" priority="168">
      <colorScale>
        <cfvo type="min"/>
        <cfvo type="max"/>
        <color rgb="FFFFEF9C"/>
        <color rgb="FF63BE7B"/>
      </colorScale>
    </cfRule>
  </conditionalFormatting>
  <conditionalFormatting sqref="F259:J259">
    <cfRule type="colorScale" priority="137">
      <colorScale>
        <cfvo type="min"/>
        <cfvo type="max"/>
        <color rgb="FFFFEF9C"/>
        <color rgb="FF63BE7B"/>
      </colorScale>
    </cfRule>
    <cfRule type="colorScale" priority="136">
      <colorScale>
        <cfvo type="min"/>
        <cfvo type="max"/>
        <color rgb="FFFFEF9C"/>
        <color rgb="FF63BE7B"/>
      </colorScale>
    </cfRule>
  </conditionalFormatting>
  <conditionalFormatting sqref="F260:J276">
    <cfRule type="colorScale" priority="175">
      <colorScale>
        <cfvo type="min"/>
        <cfvo type="max"/>
        <color rgb="FFFFEF9C"/>
        <color rgb="FF63BE7B"/>
      </colorScale>
    </cfRule>
  </conditionalFormatting>
  <conditionalFormatting sqref="F280:J286">
    <cfRule type="cellIs" dxfId="26" priority="134" operator="lessThan">
      <formula>0</formula>
    </cfRule>
    <cfRule type="colorScale" priority="135">
      <colorScale>
        <cfvo type="min"/>
        <cfvo type="max"/>
        <color rgb="FFFFEF9C"/>
        <color rgb="FF63BE7B"/>
      </colorScale>
    </cfRule>
  </conditionalFormatting>
  <conditionalFormatting sqref="F300:J310">
    <cfRule type="colorScale" priority="185">
      <colorScale>
        <cfvo type="min"/>
        <cfvo type="max"/>
        <color rgb="FFFFEF9C"/>
        <color rgb="FF63BE7B"/>
      </colorScale>
    </cfRule>
  </conditionalFormatting>
  <conditionalFormatting sqref="F311:J316 F290:J299">
    <cfRule type="colorScale" priority="132">
      <colorScale>
        <cfvo type="min"/>
        <cfvo type="max"/>
        <color rgb="FFFFEF9C"/>
        <color rgb="FF63BE7B"/>
      </colorScale>
    </cfRule>
  </conditionalFormatting>
  <conditionalFormatting sqref="F320:J325">
    <cfRule type="colorScale" priority="165">
      <colorScale>
        <cfvo type="min"/>
        <cfvo type="max"/>
        <color rgb="FFFFEF9C"/>
        <color rgb="FF63BE7B"/>
      </colorScale>
    </cfRule>
  </conditionalFormatting>
  <conditionalFormatting sqref="G31:J31 F32:J39 F41:J43 F100:J112">
    <cfRule type="cellIs" dxfId="25" priority="154" operator="lessThan">
      <formula>0</formula>
    </cfRule>
  </conditionalFormatting>
  <conditionalFormatting sqref="K12:O17">
    <cfRule type="colorScale" priority="158">
      <colorScale>
        <cfvo type="min"/>
        <cfvo type="max"/>
        <color theme="0"/>
        <color theme="8" tint="0.39997558519241921"/>
      </colorScale>
    </cfRule>
  </conditionalFormatting>
  <conditionalFormatting sqref="K21:O27">
    <cfRule type="colorScale" priority="109">
      <colorScale>
        <cfvo type="min"/>
        <cfvo type="max"/>
        <color theme="0"/>
        <color theme="8" tint="0.39997558519241921"/>
      </colorScale>
    </cfRule>
  </conditionalFormatting>
  <conditionalFormatting sqref="K31:O70 K72:O110">
    <cfRule type="colorScale" priority="180">
      <colorScale>
        <cfvo type="min"/>
        <cfvo type="max"/>
        <color theme="0"/>
        <color theme="8" tint="0.39997558519241921"/>
      </colorScale>
    </cfRule>
  </conditionalFormatting>
  <conditionalFormatting sqref="K71:O71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K115:O138">
    <cfRule type="colorScale" priority="140">
      <colorScale>
        <cfvo type="min"/>
        <cfvo type="max"/>
        <color theme="0"/>
        <color theme="8" tint="0.39997558519241921"/>
      </colorScale>
    </cfRule>
  </conditionalFormatting>
  <conditionalFormatting sqref="K143:O258">
    <cfRule type="colorScale" priority="169">
      <colorScale>
        <cfvo type="min"/>
        <cfvo type="max"/>
        <color theme="0"/>
        <color theme="8" tint="0.39997558519241921"/>
      </colorScale>
    </cfRule>
  </conditionalFormatting>
  <conditionalFormatting sqref="K260:O276">
    <cfRule type="colorScale" priority="176">
      <colorScale>
        <cfvo type="min"/>
        <cfvo type="max"/>
        <color theme="0"/>
        <color theme="8" tint="0.39997558519241921"/>
      </colorScale>
    </cfRule>
  </conditionalFormatting>
  <conditionalFormatting sqref="K280:O286">
    <cfRule type="colorScale" priority="133">
      <colorScale>
        <cfvo type="min"/>
        <cfvo type="max"/>
        <color theme="0"/>
        <color theme="8" tint="0.39997558519241921"/>
      </colorScale>
    </cfRule>
  </conditionalFormatting>
  <conditionalFormatting sqref="K290:O316">
    <cfRule type="colorScale" priority="186">
      <colorScale>
        <cfvo type="min"/>
        <cfvo type="max"/>
        <color theme="0"/>
        <color theme="8" tint="0.39997558519241921"/>
      </colorScale>
    </cfRule>
  </conditionalFormatting>
  <conditionalFormatting sqref="K320:O325">
    <cfRule type="colorScale" priority="166">
      <colorScale>
        <cfvo type="min"/>
        <cfvo type="max"/>
        <color theme="0"/>
        <color theme="8" tint="0.39997558519241921"/>
      </colorScale>
    </cfRule>
  </conditionalFormatting>
  <conditionalFormatting sqref="T31:T110">
    <cfRule type="colorScale" priority="18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4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5:T138">
    <cfRule type="colorScale" priority="11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6:T134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5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6:T138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9:T140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2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3:T276">
    <cfRule type="colorScale" priority="17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44:T258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9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60:T276"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8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0:T286">
    <cfRule type="colorScale" priority="11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8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0 T311 T292:T299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1:T316">
    <cfRule type="colorScale" priority="18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92:T316"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0:T304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5:T310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2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3:T314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6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20:T325">
    <cfRule type="colorScale" priority="16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AB31">
    <cfRule type="colorScale" priority="13">
      <colorScale>
        <cfvo type="min"/>
        <cfvo type="max"/>
        <color rgb="FFFFEF9C"/>
        <color rgb="FF63BE7B"/>
      </colorScale>
    </cfRule>
  </conditionalFormatting>
  <conditionalFormatting sqref="AB12:AF17">
    <cfRule type="colorScale" priority="17">
      <colorScale>
        <cfvo type="min"/>
        <cfvo type="max"/>
        <color rgb="FFFFEF9C"/>
        <color rgb="FF63BE7B"/>
      </colorScale>
    </cfRule>
  </conditionalFormatting>
  <conditionalFormatting sqref="AB21:AF26">
    <cfRule type="colorScale" priority="4">
      <colorScale>
        <cfvo type="min"/>
        <cfvo type="max"/>
        <color rgb="FFFFEF9C"/>
        <color rgb="FF63BE7B"/>
      </colorScale>
    </cfRule>
  </conditionalFormatting>
  <conditionalFormatting sqref="AB31:AF110">
    <cfRule type="colorScale" priority="41">
      <colorScale>
        <cfvo type="min"/>
        <cfvo type="max"/>
        <color rgb="FFFFEF9C"/>
        <color rgb="FF63BE7B"/>
      </colorScale>
    </cfRule>
  </conditionalFormatting>
  <conditionalFormatting sqref="AB45:AF53">
    <cfRule type="cellIs" dxfId="24" priority="15" operator="lessThan">
      <formula>0</formula>
    </cfRule>
  </conditionalFormatting>
  <conditionalFormatting sqref="AB51:AF51">
    <cfRule type="colorScale" priority="14">
      <colorScale>
        <cfvo type="min"/>
        <cfvo type="max"/>
        <color rgb="FFFFEF9C"/>
        <color rgb="FF63BE7B"/>
      </colorScale>
    </cfRule>
  </conditionalFormatting>
  <conditionalFormatting sqref="AB55:AF60 AB62:AF65 AB67:AF71 AB73:AF75 AB77:AF78 AB80:AF98 AB115:AF134 AB136:AF138 AB143:AF258 AB260:AF276 AB320:AF325">
    <cfRule type="cellIs" dxfId="23" priority="18" operator="lessThan">
      <formula>0</formula>
    </cfRule>
  </conditionalFormatting>
  <conditionalFormatting sqref="AB62:AF65 AB52:AF53 AB32:AF39 AC31:AF31 AB41:AF43 AB45:AF50 AB55:AF60 AB80:AF98 AB67:AF71 AB73:AF75 AB100:AF110 AB77:AF78">
    <cfRule type="colorScale" priority="20">
      <colorScale>
        <cfvo type="min"/>
        <cfvo type="max"/>
        <color rgb="FFFFEF9C"/>
        <color rgb="FF63BE7B"/>
      </colorScale>
    </cfRule>
  </conditionalFormatting>
  <conditionalFormatting sqref="AB62:AF65 AB55:AF60 AB31:AF39 AB41:AF43 AB45:AF53 AB80:AF98 AB67:AF71 AB73:AF75 AB100:AF110 AB77:AF78">
    <cfRule type="colorScale" priority="21">
      <colorScale>
        <cfvo type="min"/>
        <cfvo type="max"/>
        <color rgb="FFFFEF9C"/>
        <color rgb="FF63BE7B"/>
      </colorScale>
    </cfRule>
  </conditionalFormatting>
  <conditionalFormatting sqref="AB115:AF134">
    <cfRule type="colorScale" priority="19">
      <colorScale>
        <cfvo type="min"/>
        <cfvo type="max"/>
        <color rgb="FFFFEF9C"/>
        <color rgb="FF63BE7B"/>
      </colorScale>
    </cfRule>
  </conditionalFormatting>
  <conditionalFormatting sqref="AB136:AF138 AB115:AF134">
    <cfRule type="colorScale" priority="23">
      <colorScale>
        <cfvo type="min"/>
        <cfvo type="max"/>
        <color rgb="FFFFEF9C"/>
        <color rgb="FF63BE7B"/>
      </colorScale>
    </cfRule>
  </conditionalFormatting>
  <conditionalFormatting sqref="AB136:AF138">
    <cfRule type="colorScale" priority="22">
      <colorScale>
        <cfvo type="min"/>
        <cfvo type="max"/>
        <color rgb="FFFFEF9C"/>
        <color rgb="FF63BE7B"/>
      </colorScale>
    </cfRule>
  </conditionalFormatting>
  <conditionalFormatting sqref="AB143:AF258">
    <cfRule type="colorScale" priority="39">
      <colorScale>
        <cfvo type="min"/>
        <cfvo type="max"/>
        <color rgb="FFFFEF9C"/>
        <color rgb="FF63BE7B"/>
      </colorScale>
    </cfRule>
  </conditionalFormatting>
  <conditionalFormatting sqref="AB260:AF276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280:AF286">
    <cfRule type="cellIs" dxfId="22" priority="11" operator="lessThan">
      <formula>0</formula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AB290:AF299">
    <cfRule type="colorScale" priority="24">
      <colorScale>
        <cfvo type="min"/>
        <cfvo type="max"/>
        <color rgb="FFFFEF9C"/>
        <color rgb="FF63BE7B"/>
      </colorScale>
    </cfRule>
  </conditionalFormatting>
  <conditionalFormatting sqref="AB290:AF316">
    <cfRule type="cellIs" dxfId="21" priority="1" operator="lessThan">
      <formula>0</formula>
    </cfRule>
  </conditionalFormatting>
  <conditionalFormatting sqref="AB300:AF303">
    <cfRule type="colorScale" priority="25">
      <colorScale>
        <cfvo type="min"/>
        <cfvo type="max"/>
        <color rgb="FFFFEF9C"/>
        <color rgb="FF63BE7B"/>
      </colorScale>
    </cfRule>
  </conditionalFormatting>
  <conditionalFormatting sqref="AB304:AF310">
    <cfRule type="colorScale" priority="10">
      <colorScale>
        <cfvo type="min"/>
        <cfvo type="max"/>
        <color rgb="FFFFEF9C"/>
        <color rgb="FF63BE7B"/>
      </colorScale>
    </cfRule>
  </conditionalFormatting>
  <conditionalFormatting sqref="AB311:AF311">
    <cfRule type="colorScale" priority="2">
      <colorScale>
        <cfvo type="min"/>
        <cfvo type="max"/>
        <color rgb="FFFFEF9C"/>
        <color rgb="FF63BE7B"/>
      </colorScale>
    </cfRule>
  </conditionalFormatting>
  <conditionalFormatting sqref="AB312:AF315">
    <cfRule type="colorScale" priority="8">
      <colorScale>
        <cfvo type="min"/>
        <cfvo type="max"/>
        <color rgb="FFFFEF9C"/>
        <color rgb="FF63BE7B"/>
      </colorScale>
    </cfRule>
  </conditionalFormatting>
  <conditionalFormatting sqref="AB316:AF316">
    <cfRule type="colorScale" priority="6">
      <colorScale>
        <cfvo type="min"/>
        <cfvo type="max"/>
        <color rgb="FFFFEF9C"/>
        <color rgb="FF63BE7B"/>
      </colorScale>
    </cfRule>
  </conditionalFormatting>
  <conditionalFormatting sqref="AB320:AF325">
    <cfRule type="colorScale" priority="27">
      <colorScale>
        <cfvo type="min"/>
        <cfvo type="max"/>
        <color rgb="FFFFEF9C"/>
        <color rgb="FF63BE7B"/>
      </colorScale>
    </cfRule>
  </conditionalFormatting>
  <conditionalFormatting sqref="AC290:AD316">
    <cfRule type="colorScale" priority="26">
      <colorScale>
        <cfvo type="min"/>
        <cfvo type="max"/>
        <color rgb="FFFFEF9C"/>
        <color rgb="FF63BE7B"/>
      </colorScale>
    </cfRule>
  </conditionalFormatting>
  <conditionalFormatting sqref="AC320:AD325">
    <cfRule type="colorScale" priority="28">
      <colorScale>
        <cfvo type="min"/>
        <cfvo type="max"/>
        <color rgb="FFFFEF9C"/>
        <color rgb="FF63BE7B"/>
      </colorScale>
    </cfRule>
  </conditionalFormatting>
  <conditionalFormatting sqref="AC31:AF31 AB32:AF39 AB41:AF43 AB100:AF112">
    <cfRule type="cellIs" dxfId="20" priority="16" operator="lessThan">
      <formula>0</formula>
    </cfRule>
  </conditionalFormatting>
  <conditionalFormatting sqref="AG12:AK17">
    <cfRule type="colorScale" priority="35">
      <colorScale>
        <cfvo type="min"/>
        <cfvo type="max"/>
        <color theme="0"/>
        <color theme="8" tint="0.39997558519241921"/>
      </colorScale>
    </cfRule>
  </conditionalFormatting>
  <conditionalFormatting sqref="AG21:AK26">
    <cfRule type="colorScale" priority="29">
      <colorScale>
        <cfvo type="min"/>
        <cfvo type="max"/>
        <color theme="0"/>
        <color theme="8" tint="0.39997558519241921"/>
      </colorScale>
    </cfRule>
  </conditionalFormatting>
  <conditionalFormatting sqref="AG31:AK110">
    <cfRule type="colorScale" priority="40">
      <colorScale>
        <cfvo type="min"/>
        <cfvo type="max"/>
        <color theme="0"/>
        <color theme="8" tint="0.39997558519241921"/>
      </colorScale>
    </cfRule>
  </conditionalFormatting>
  <conditionalFormatting sqref="AG115:AK138">
    <cfRule type="colorScale" priority="34">
      <colorScale>
        <cfvo type="min"/>
        <cfvo type="max"/>
        <color theme="0"/>
        <color theme="8" tint="0.39997558519241921"/>
      </colorScale>
    </cfRule>
  </conditionalFormatting>
  <conditionalFormatting sqref="AG143:AK258">
    <cfRule type="colorScale" priority="38">
      <colorScale>
        <cfvo type="min"/>
        <cfvo type="max"/>
        <color theme="0"/>
        <color theme="8" tint="0.39997558519241921"/>
      </colorScale>
    </cfRule>
  </conditionalFormatting>
  <conditionalFormatting sqref="AG260:AK276">
    <cfRule type="colorScale" priority="42">
      <colorScale>
        <cfvo type="min"/>
        <cfvo type="max"/>
        <color theme="0"/>
        <color theme="8" tint="0.39997558519241921"/>
      </colorScale>
    </cfRule>
  </conditionalFormatting>
  <conditionalFormatting sqref="AG280:AK286">
    <cfRule type="colorScale" priority="33">
      <colorScale>
        <cfvo type="min"/>
        <cfvo type="max"/>
        <color theme="0"/>
        <color theme="8" tint="0.39997558519241921"/>
      </colorScale>
    </cfRule>
  </conditionalFormatting>
  <conditionalFormatting sqref="AG290:AK303">
    <cfRule type="colorScale" priority="36">
      <colorScale>
        <cfvo type="min"/>
        <cfvo type="max"/>
        <color theme="0"/>
        <color theme="8" tint="0.39997558519241921"/>
      </colorScale>
    </cfRule>
  </conditionalFormatting>
  <conditionalFormatting sqref="AG304:AK310">
    <cfRule type="colorScale" priority="32">
      <colorScale>
        <cfvo type="min"/>
        <cfvo type="max"/>
        <color theme="0"/>
        <color theme="8" tint="0.39997558519241921"/>
      </colorScale>
    </cfRule>
  </conditionalFormatting>
  <conditionalFormatting sqref="AG311:AK311">
    <cfRule type="colorScale" priority="3">
      <colorScale>
        <cfvo type="min"/>
        <cfvo type="max"/>
        <color theme="0"/>
        <color theme="8" tint="0.39997558519241921"/>
      </colorScale>
    </cfRule>
  </conditionalFormatting>
  <conditionalFormatting sqref="AG312:AK315">
    <cfRule type="colorScale" priority="31">
      <colorScale>
        <cfvo type="min"/>
        <cfvo type="max"/>
        <color theme="0"/>
        <color theme="8" tint="0.39997558519241921"/>
      </colorScale>
    </cfRule>
  </conditionalFormatting>
  <conditionalFormatting sqref="AG316:AK316">
    <cfRule type="colorScale" priority="30">
      <colorScale>
        <cfvo type="min"/>
        <cfvo type="max"/>
        <color theme="0"/>
        <color theme="8" tint="0.39997558519241921"/>
      </colorScale>
    </cfRule>
  </conditionalFormatting>
  <conditionalFormatting sqref="AG320:AK325">
    <cfRule type="colorScale" priority="37">
      <colorScale>
        <cfvo type="min"/>
        <cfvo type="max"/>
        <color theme="0"/>
        <color theme="8" tint="0.39997558519241921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32EC-1FBF-4324-B241-D2AE0348EC22}">
  <sheetPr codeName="Sheet02"/>
  <dimension ref="B3:Z320"/>
  <sheetViews>
    <sheetView showGridLines="0" zoomScale="85" zoomScaleNormal="85" workbookViewId="0">
      <selection sqref="A1:XFD1048576"/>
    </sheetView>
  </sheetViews>
  <sheetFormatPr defaultColWidth="9.1796875" defaultRowHeight="14.5" x14ac:dyDescent="0.35"/>
  <cols>
    <col min="1" max="1" width="9.1796875" style="53"/>
    <col min="2" max="2" width="22.6328125" style="53" bestFit="1" customWidth="1"/>
    <col min="3" max="3" width="62.90625" style="53" bestFit="1" customWidth="1"/>
    <col min="4" max="4" width="39.90625" style="53" bestFit="1" customWidth="1"/>
    <col min="5" max="5" width="9.08984375" style="53" bestFit="1" customWidth="1"/>
    <col min="6" max="7" width="94.453125" style="53" bestFit="1" customWidth="1"/>
    <col min="8" max="9" width="95.1796875" style="53" bestFit="1" customWidth="1"/>
    <col min="10" max="11" width="93.81640625" style="53" bestFit="1" customWidth="1"/>
    <col min="12" max="12" width="94.7265625" style="53" bestFit="1" customWidth="1"/>
    <col min="13" max="13" width="94.26953125" style="53" bestFit="1" customWidth="1"/>
    <col min="14" max="14" width="96.08984375" style="53" bestFit="1" customWidth="1"/>
    <col min="15" max="15" width="95.1796875" style="53" bestFit="1" customWidth="1"/>
    <col min="16" max="16" width="54.90625" style="53" bestFit="1" customWidth="1"/>
    <col min="17" max="19" width="47" style="53" bestFit="1" customWidth="1"/>
    <col min="20" max="20" width="12.1796875" style="53" bestFit="1" customWidth="1"/>
    <col min="21" max="21" width="9.1796875" style="53"/>
    <col min="22" max="22" width="46.1796875" style="53" bestFit="1" customWidth="1"/>
    <col min="23" max="23" width="45.81640625" style="53" bestFit="1" customWidth="1"/>
    <col min="24" max="24" width="46.1796875" style="53" bestFit="1" customWidth="1"/>
    <col min="25" max="25" width="45.81640625" style="53" bestFit="1" customWidth="1"/>
    <col min="26" max="26" width="45.7265625" style="53" bestFit="1" customWidth="1"/>
    <col min="27" max="16384" width="9.1796875" style="53"/>
  </cols>
  <sheetData>
    <row r="3" spans="2:26" x14ac:dyDescent="0.35">
      <c r="F3" s="159" t="s">
        <v>222</v>
      </c>
      <c r="G3" s="160"/>
      <c r="H3" s="160"/>
      <c r="I3" s="160"/>
      <c r="J3" s="161"/>
      <c r="K3" s="159" t="s">
        <v>216</v>
      </c>
      <c r="L3" s="160"/>
      <c r="M3" s="160"/>
      <c r="N3" s="160"/>
      <c r="O3" s="161"/>
    </row>
    <row r="4" spans="2:26" x14ac:dyDescent="0.35">
      <c r="F4" s="156" t="s">
        <v>1</v>
      </c>
      <c r="G4" s="157"/>
      <c r="H4" s="157"/>
      <c r="I4" s="157"/>
      <c r="J4" s="158"/>
      <c r="K4" s="156" t="s">
        <v>2</v>
      </c>
      <c r="L4" s="157"/>
      <c r="M4" s="157"/>
      <c r="N4" s="157"/>
      <c r="O4" s="158"/>
    </row>
    <row r="5" spans="2:26" ht="15.5" x14ac:dyDescent="0.35">
      <c r="B5" s="122" t="s">
        <v>224</v>
      </c>
      <c r="C5" s="123"/>
      <c r="D5" s="123"/>
      <c r="E5" s="123"/>
      <c r="F5" s="126"/>
      <c r="G5" s="126"/>
      <c r="H5" s="126"/>
      <c r="I5" s="126"/>
      <c r="J5" s="126"/>
      <c r="K5" s="126"/>
      <c r="L5" s="126"/>
      <c r="M5" s="126"/>
      <c r="N5" s="126"/>
      <c r="O5" s="126"/>
      <c r="Q5" s="126"/>
      <c r="R5" s="126"/>
      <c r="V5" s="156" t="s">
        <v>217</v>
      </c>
      <c r="W5" s="157"/>
      <c r="X5" s="157"/>
      <c r="Y5" s="157"/>
      <c r="Z5" s="158"/>
    </row>
    <row r="6" spans="2:26" x14ac:dyDescent="0.35">
      <c r="B6" s="85" t="s">
        <v>5</v>
      </c>
      <c r="C6" s="84" t="s">
        <v>6</v>
      </c>
      <c r="D6" s="84" t="s">
        <v>7</v>
      </c>
      <c r="E6" s="84" t="s">
        <v>8</v>
      </c>
      <c r="F6" s="83" t="s">
        <v>9</v>
      </c>
      <c r="G6" s="82" t="s">
        <v>10</v>
      </c>
      <c r="H6" s="82" t="s">
        <v>11</v>
      </c>
      <c r="I6" s="82" t="s">
        <v>12</v>
      </c>
      <c r="J6" s="81" t="s">
        <v>13</v>
      </c>
      <c r="K6" s="83" t="s">
        <v>9</v>
      </c>
      <c r="L6" s="82" t="s">
        <v>10</v>
      </c>
      <c r="M6" s="82" t="s">
        <v>11</v>
      </c>
      <c r="N6" s="82" t="s">
        <v>12</v>
      </c>
      <c r="O6" s="81" t="s">
        <v>13</v>
      </c>
      <c r="P6" s="70" t="s">
        <v>14</v>
      </c>
      <c r="Q6" s="58" t="s">
        <v>15</v>
      </c>
      <c r="R6" s="58" t="s">
        <v>16</v>
      </c>
      <c r="S6" s="58" t="s">
        <v>218</v>
      </c>
      <c r="T6" s="58" t="s">
        <v>18</v>
      </c>
      <c r="V6" s="110" t="s">
        <v>9</v>
      </c>
      <c r="W6" s="106" t="s">
        <v>10</v>
      </c>
      <c r="X6" s="106" t="s">
        <v>11</v>
      </c>
      <c r="Y6" s="106" t="s">
        <v>12</v>
      </c>
      <c r="Z6" s="111" t="s">
        <v>13</v>
      </c>
    </row>
    <row r="7" spans="2:26" x14ac:dyDescent="0.35">
      <c r="B7" s="56" t="s">
        <v>19</v>
      </c>
      <c r="C7" s="124"/>
      <c r="D7" s="11" t="s">
        <v>20</v>
      </c>
      <c r="E7" s="124"/>
      <c r="F7" s="75"/>
      <c r="G7" s="80">
        <v>4.5707362834040047E-2</v>
      </c>
      <c r="H7" s="80">
        <v>5.1400560070454689E-2</v>
      </c>
      <c r="I7" s="80">
        <v>5.5640998001194812E-2</v>
      </c>
      <c r="J7" s="62">
        <v>5.9876039679068932E-2</v>
      </c>
      <c r="K7" s="75"/>
      <c r="L7" s="80">
        <v>8.6891561340400429E-3</v>
      </c>
      <c r="M7" s="80">
        <v>1.3673185870454701E-2</v>
      </c>
      <c r="N7" s="80">
        <v>1.6862651801194825E-2</v>
      </c>
      <c r="O7" s="62">
        <v>1.9748065779068923E-2</v>
      </c>
      <c r="P7" s="15"/>
      <c r="Q7" s="133"/>
      <c r="R7" s="133"/>
      <c r="S7" s="133"/>
      <c r="T7" s="16"/>
      <c r="V7" s="17">
        <v>1.1302210700000002</v>
      </c>
      <c r="W7" s="18">
        <v>2.8651184499999998</v>
      </c>
      <c r="X7" s="18">
        <v>4.3861542</v>
      </c>
      <c r="Y7" s="18">
        <v>5.67944373</v>
      </c>
      <c r="Z7" s="19">
        <v>7.2615625000000001</v>
      </c>
    </row>
    <row r="8" spans="2:26" x14ac:dyDescent="0.35">
      <c r="B8" s="55" t="s">
        <v>22</v>
      </c>
      <c r="C8" s="123"/>
      <c r="D8" s="20" t="s">
        <v>23</v>
      </c>
      <c r="E8" s="123"/>
      <c r="F8" s="73">
        <v>3.8511347855419972E-2</v>
      </c>
      <c r="G8" s="71">
        <v>4.5521692429439146E-2</v>
      </c>
      <c r="H8" s="71">
        <v>5.1566797829784607E-2</v>
      </c>
      <c r="I8" s="71">
        <v>5.579853985563412E-2</v>
      </c>
      <c r="J8" s="63">
        <v>6.0042493623819373E-2</v>
      </c>
      <c r="K8" s="73">
        <v>6.3145195541997393E-4</v>
      </c>
      <c r="L8" s="71">
        <v>8.4839576294391469E-3</v>
      </c>
      <c r="M8" s="71">
        <v>1.3803194829784617E-2</v>
      </c>
      <c r="N8" s="71">
        <v>1.6987015755634122E-2</v>
      </c>
      <c r="O8" s="63">
        <v>1.9880182223819372E-2</v>
      </c>
      <c r="P8" s="24"/>
      <c r="Q8" s="25"/>
      <c r="R8" s="25"/>
      <c r="S8" s="25"/>
      <c r="T8" s="26"/>
      <c r="V8" s="27">
        <v>1.1347345899999999</v>
      </c>
      <c r="W8" s="28">
        <v>2.8691937899999997</v>
      </c>
      <c r="X8" s="28">
        <v>4.3824265599999999</v>
      </c>
      <c r="Y8" s="28">
        <v>5.6657424299999999</v>
      </c>
      <c r="Z8" s="29">
        <v>7.2316057599999999</v>
      </c>
    </row>
    <row r="9" spans="2:26" x14ac:dyDescent="0.35">
      <c r="B9" s="56" t="s">
        <v>24</v>
      </c>
      <c r="C9" s="124"/>
      <c r="D9" s="11" t="s">
        <v>20</v>
      </c>
      <c r="E9" s="124"/>
      <c r="F9" s="75">
        <v>6.5332896569048546E-2</v>
      </c>
      <c r="G9" s="80">
        <v>7.420334136323542E-2</v>
      </c>
      <c r="H9" s="80">
        <v>8.2678099994503415E-2</v>
      </c>
      <c r="I9" s="80"/>
      <c r="J9" s="62"/>
      <c r="K9" s="75">
        <v>2.6298963469048559E-2</v>
      </c>
      <c r="L9" s="80">
        <v>3.5518706763235416E-2</v>
      </c>
      <c r="M9" s="80">
        <v>4.2938903294503429E-2</v>
      </c>
      <c r="N9" s="80"/>
      <c r="O9" s="62"/>
      <c r="P9" s="15"/>
      <c r="Q9" s="133"/>
      <c r="R9" s="133"/>
      <c r="S9" s="133"/>
      <c r="T9" s="16"/>
      <c r="V9" s="17">
        <v>1.0924468999999999</v>
      </c>
      <c r="W9" s="18">
        <v>2.6538738500000001</v>
      </c>
      <c r="X9" s="18">
        <v>3.9055927999999995</v>
      </c>
      <c r="Y9" s="18">
        <v>4.8973240699999998</v>
      </c>
      <c r="Z9" s="19">
        <v>6.0282932300000001</v>
      </c>
    </row>
    <row r="10" spans="2:26" x14ac:dyDescent="0.35">
      <c r="B10" s="57" t="s">
        <v>25</v>
      </c>
      <c r="C10" s="125"/>
      <c r="D10" s="20" t="s">
        <v>23</v>
      </c>
      <c r="E10" s="125"/>
      <c r="F10" s="74">
        <v>5.5115140902492789E-2</v>
      </c>
      <c r="G10" s="76">
        <v>4.8860158065557983E-2</v>
      </c>
      <c r="H10" s="76">
        <v>8.310222672261533E-2</v>
      </c>
      <c r="I10" s="76">
        <v>8.8898839709390248E-2</v>
      </c>
      <c r="J10" s="64">
        <v>9.4969425624729681E-2</v>
      </c>
      <c r="K10" s="74">
        <v>1.6502262802492795E-2</v>
      </c>
      <c r="L10" s="76">
        <v>1.1668721865557985E-2</v>
      </c>
      <c r="M10" s="76">
        <v>4.3041941622615321E-2</v>
      </c>
      <c r="N10" s="76">
        <v>4.7674181709390251E-2</v>
      </c>
      <c r="O10" s="64">
        <v>5.2313950824729692E-2</v>
      </c>
      <c r="P10" s="33"/>
      <c r="Q10" s="134"/>
      <c r="R10" s="134"/>
      <c r="S10" s="134"/>
      <c r="T10" s="34"/>
      <c r="V10" s="27">
        <v>1.12321753</v>
      </c>
      <c r="W10" s="28">
        <v>2.8307361900000001</v>
      </c>
      <c r="X10" s="28">
        <v>4.0301318500000001</v>
      </c>
      <c r="Y10" s="28">
        <v>4.8890289300000003</v>
      </c>
      <c r="Z10" s="29">
        <v>5.7835737900000002</v>
      </c>
    </row>
    <row r="11" spans="2:26" x14ac:dyDescent="0.35">
      <c r="B11" s="55" t="s">
        <v>26</v>
      </c>
      <c r="C11" s="123"/>
      <c r="D11" s="11" t="s">
        <v>23</v>
      </c>
      <c r="E11" s="123"/>
      <c r="F11" s="73">
        <v>3.8918247271470925E-2</v>
      </c>
      <c r="G11" s="71">
        <v>4.5902638891390457E-2</v>
      </c>
      <c r="H11" s="71">
        <v>5.2392673968881497E-2</v>
      </c>
      <c r="I11" s="71"/>
      <c r="J11" s="63"/>
      <c r="K11" s="73">
        <v>1.0240636714709218E-3</v>
      </c>
      <c r="L11" s="71">
        <v>8.8530678913904606E-3</v>
      </c>
      <c r="M11" s="71">
        <v>1.4590480268881502E-2</v>
      </c>
      <c r="N11" s="71"/>
      <c r="O11" s="63"/>
      <c r="P11" s="24"/>
      <c r="Q11" s="25"/>
      <c r="R11" s="25"/>
      <c r="S11" s="25"/>
      <c r="T11" s="26"/>
      <c r="V11" s="17">
        <v>1.1232734200000001</v>
      </c>
      <c r="W11" s="18">
        <v>2.83100957</v>
      </c>
      <c r="X11" s="18">
        <v>4.3333909300000002</v>
      </c>
      <c r="Y11" s="18">
        <v>5.5825576199999993</v>
      </c>
      <c r="Z11" s="19">
        <v>7.0621111099999991</v>
      </c>
    </row>
    <row r="12" spans="2:26" x14ac:dyDescent="0.35">
      <c r="B12" s="57" t="s">
        <v>27</v>
      </c>
      <c r="C12" s="125"/>
      <c r="D12" s="35" t="s">
        <v>23</v>
      </c>
      <c r="E12" s="125"/>
      <c r="F12" s="74"/>
      <c r="G12" s="76">
        <v>4.9646030325982901E-2</v>
      </c>
      <c r="H12" s="76">
        <v>5.8223000729073701E-2</v>
      </c>
      <c r="I12" s="76"/>
      <c r="J12" s="64">
        <v>7.3815242736752468E-2</v>
      </c>
      <c r="K12" s="74"/>
      <c r="L12" s="76">
        <v>1.2488411325982909E-2</v>
      </c>
      <c r="M12" s="76">
        <v>2.0213448429073695E-2</v>
      </c>
      <c r="N12" s="76"/>
      <c r="O12" s="64">
        <v>3.3003535336752467E-2</v>
      </c>
      <c r="P12" s="33"/>
      <c r="Q12" s="134"/>
      <c r="R12" s="134"/>
      <c r="S12" s="134"/>
      <c r="T12" s="34"/>
      <c r="V12" s="36">
        <v>1.1184658700000001</v>
      </c>
      <c r="W12" s="37">
        <v>2.8075566599999999</v>
      </c>
      <c r="X12" s="37">
        <v>4.2815649599999999</v>
      </c>
      <c r="Y12" s="37">
        <v>5.4821660899999998</v>
      </c>
      <c r="Z12" s="38">
        <v>6.8613552300000009</v>
      </c>
    </row>
    <row r="13" spans="2:26" x14ac:dyDescent="0.35">
      <c r="C13" s="123"/>
      <c r="D13" s="123"/>
      <c r="E13" s="123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V13" s="40"/>
      <c r="W13" s="40"/>
      <c r="X13" s="40"/>
      <c r="Y13" s="40"/>
      <c r="Z13" s="40"/>
    </row>
    <row r="14" spans="2:26" ht="15.5" x14ac:dyDescent="0.35">
      <c r="B14" s="122" t="s">
        <v>225</v>
      </c>
      <c r="C14" s="123"/>
      <c r="D14" s="123"/>
      <c r="E14" s="123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Q14" s="126"/>
      <c r="R14" s="126"/>
      <c r="V14" s="156" t="s">
        <v>217</v>
      </c>
      <c r="W14" s="157"/>
      <c r="X14" s="157"/>
      <c r="Y14" s="157"/>
      <c r="Z14" s="158"/>
    </row>
    <row r="15" spans="2:26" x14ac:dyDescent="0.35">
      <c r="B15" s="85" t="s">
        <v>5</v>
      </c>
      <c r="C15" s="84" t="s">
        <v>6</v>
      </c>
      <c r="D15" s="84" t="s">
        <v>7</v>
      </c>
      <c r="E15" s="84" t="s">
        <v>8</v>
      </c>
      <c r="F15" s="83" t="s">
        <v>9</v>
      </c>
      <c r="G15" s="82" t="s">
        <v>10</v>
      </c>
      <c r="H15" s="82" t="s">
        <v>11</v>
      </c>
      <c r="I15" s="82" t="s">
        <v>12</v>
      </c>
      <c r="J15" s="81" t="s">
        <v>13</v>
      </c>
      <c r="K15" s="83" t="s">
        <v>9</v>
      </c>
      <c r="L15" s="82" t="s">
        <v>10</v>
      </c>
      <c r="M15" s="82" t="s">
        <v>11</v>
      </c>
      <c r="N15" s="82" t="s">
        <v>12</v>
      </c>
      <c r="O15" s="81" t="s">
        <v>13</v>
      </c>
      <c r="P15" s="70" t="s">
        <v>14</v>
      </c>
      <c r="Q15" s="58" t="s">
        <v>15</v>
      </c>
      <c r="R15" s="58" t="s">
        <v>16</v>
      </c>
      <c r="S15" s="58" t="s">
        <v>218</v>
      </c>
      <c r="T15" s="58" t="s">
        <v>18</v>
      </c>
      <c r="V15" s="110" t="s">
        <v>9</v>
      </c>
      <c r="W15" s="106" t="s">
        <v>10</v>
      </c>
      <c r="X15" s="106" t="s">
        <v>11</v>
      </c>
      <c r="Y15" s="106" t="s">
        <v>12</v>
      </c>
      <c r="Z15" s="111" t="s">
        <v>13</v>
      </c>
    </row>
    <row r="16" spans="2:26" x14ac:dyDescent="0.35">
      <c r="B16" s="56" t="s">
        <v>19</v>
      </c>
      <c r="C16" s="124"/>
      <c r="D16" s="11" t="s">
        <v>20</v>
      </c>
      <c r="E16" s="124"/>
      <c r="F16" s="75"/>
      <c r="G16" s="80">
        <v>4.8683428271948145E-2</v>
      </c>
      <c r="H16" s="80">
        <v>5.5201056341029099E-2</v>
      </c>
      <c r="I16" s="80">
        <v>6.0025995303757997E-2</v>
      </c>
      <c r="J16" s="62">
        <v>6.4595431136811418E-2</v>
      </c>
      <c r="K16" s="75"/>
      <c r="L16" s="80">
        <v>1.1622331471948147E-2</v>
      </c>
      <c r="M16" s="80">
        <v>1.74020948410291E-2</v>
      </c>
      <c r="N16" s="80">
        <v>2.1143295803758014E-2</v>
      </c>
      <c r="O16" s="62">
        <v>2.4323355536811427E-2</v>
      </c>
      <c r="P16" s="15"/>
      <c r="Q16" s="133"/>
      <c r="R16" s="133"/>
      <c r="S16" s="133"/>
      <c r="T16" s="16"/>
      <c r="V16" s="17">
        <v>1.1302210700000002</v>
      </c>
      <c r="W16" s="18">
        <v>2.8651184499999998</v>
      </c>
      <c r="X16" s="18">
        <v>4.3861542</v>
      </c>
      <c r="Y16" s="18">
        <v>5.67944373</v>
      </c>
      <c r="Z16" s="19">
        <v>7.2615625000000001</v>
      </c>
    </row>
    <row r="17" spans="2:26" x14ac:dyDescent="0.35">
      <c r="B17" s="55" t="s">
        <v>22</v>
      </c>
      <c r="C17" s="123"/>
      <c r="D17" s="20" t="s">
        <v>23</v>
      </c>
      <c r="E17" s="123"/>
      <c r="F17" s="73">
        <v>3.9592553305240079E-2</v>
      </c>
      <c r="G17" s="71">
        <v>4.863751223583887E-2</v>
      </c>
      <c r="H17" s="71">
        <v>5.5632068789397755E-2</v>
      </c>
      <c r="I17" s="71">
        <v>6.0418539967939729E-2</v>
      </c>
      <c r="J17" s="63">
        <v>6.4966383394798044E-2</v>
      </c>
      <c r="K17" s="73">
        <v>1.6921728052400782E-3</v>
      </c>
      <c r="L17" s="71">
        <v>1.1552362335838879E-2</v>
      </c>
      <c r="M17" s="71">
        <v>1.7786397289397758E-2</v>
      </c>
      <c r="N17" s="71">
        <v>2.1487590767939733E-2</v>
      </c>
      <c r="O17" s="63">
        <v>2.4649190894798053E-2</v>
      </c>
      <c r="P17" s="24"/>
      <c r="Q17" s="25"/>
      <c r="R17" s="25"/>
      <c r="S17" s="25"/>
      <c r="T17" s="26"/>
      <c r="V17" s="27">
        <v>1.1347345899999999</v>
      </c>
      <c r="W17" s="28">
        <v>2.8691937899999997</v>
      </c>
      <c r="X17" s="28">
        <v>4.3824265599999999</v>
      </c>
      <c r="Y17" s="28">
        <v>5.6657424299999999</v>
      </c>
      <c r="Z17" s="29">
        <v>7.2316057599999999</v>
      </c>
    </row>
    <row r="18" spans="2:26" x14ac:dyDescent="0.35">
      <c r="B18" s="56" t="s">
        <v>24</v>
      </c>
      <c r="C18" s="124"/>
      <c r="D18" s="11" t="s">
        <v>20</v>
      </c>
      <c r="E18" s="124"/>
      <c r="F18" s="75">
        <v>7.2221842183275251E-2</v>
      </c>
      <c r="G18" s="80">
        <v>8.2656799921449461E-2</v>
      </c>
      <c r="H18" s="80">
        <v>9.1625907852185523E-2</v>
      </c>
      <c r="I18" s="80"/>
      <c r="J18" s="62"/>
      <c r="K18" s="75">
        <v>3.2868967483275252E-2</v>
      </c>
      <c r="L18" s="80">
        <v>4.3534213221449458E-2</v>
      </c>
      <c r="M18" s="80">
        <v>5.135632835218551E-2</v>
      </c>
      <c r="N18" s="80"/>
      <c r="O18" s="62"/>
      <c r="P18" s="15"/>
      <c r="Q18" s="133"/>
      <c r="R18" s="133"/>
      <c r="S18" s="133"/>
      <c r="T18" s="16"/>
      <c r="V18" s="17">
        <v>1.0924468999999999</v>
      </c>
      <c r="W18" s="18">
        <v>2.6538738500000001</v>
      </c>
      <c r="X18" s="18">
        <v>3.9055927999999995</v>
      </c>
      <c r="Y18" s="18">
        <v>4.8973240699999998</v>
      </c>
      <c r="Z18" s="19">
        <v>6.0282932300000001</v>
      </c>
    </row>
    <row r="19" spans="2:26" x14ac:dyDescent="0.35">
      <c r="B19" s="57" t="s">
        <v>25</v>
      </c>
      <c r="C19" s="125"/>
      <c r="D19" s="20" t="s">
        <v>23</v>
      </c>
      <c r="E19" s="125"/>
      <c r="F19" s="74">
        <v>6.1727423832578683E-2</v>
      </c>
      <c r="G19" s="76">
        <v>5.2620103605519747E-2</v>
      </c>
      <c r="H19" s="76">
        <v>9.6177001195383707E-2</v>
      </c>
      <c r="I19" s="76">
        <v>0.10145437220570133</v>
      </c>
      <c r="J19" s="64">
        <v>0.10623702071990412</v>
      </c>
      <c r="K19" s="74">
        <v>2.2821756232578691E-2</v>
      </c>
      <c r="L19" s="76">
        <v>1.533507010551975E-2</v>
      </c>
      <c r="M19" s="76">
        <v>5.5143191095383688E-2</v>
      </c>
      <c r="N19" s="76">
        <v>5.9211515905701333E-2</v>
      </c>
      <c r="O19" s="64">
        <v>6.255539321990411E-2</v>
      </c>
      <c r="P19" s="33"/>
      <c r="Q19" s="134"/>
      <c r="R19" s="134"/>
      <c r="S19" s="134"/>
      <c r="T19" s="34"/>
      <c r="V19" s="27">
        <v>1.12321753</v>
      </c>
      <c r="W19" s="28">
        <v>2.8307361900000001</v>
      </c>
      <c r="X19" s="28">
        <v>4.0301318500000001</v>
      </c>
      <c r="Y19" s="28">
        <v>4.8890289300000003</v>
      </c>
      <c r="Z19" s="29">
        <v>5.7835737900000002</v>
      </c>
    </row>
    <row r="20" spans="2:26" x14ac:dyDescent="0.35">
      <c r="B20" s="55" t="s">
        <v>26</v>
      </c>
      <c r="C20" s="123"/>
      <c r="D20" s="11" t="s">
        <v>23</v>
      </c>
      <c r="E20" s="123"/>
      <c r="F20" s="73">
        <v>4.0172028669254657E-2</v>
      </c>
      <c r="G20" s="71">
        <v>4.9155106122487448E-2</v>
      </c>
      <c r="H20" s="71">
        <v>5.6666372194429541E-2</v>
      </c>
      <c r="I20" s="71"/>
      <c r="J20" s="63"/>
      <c r="K20" s="73">
        <v>2.253476369254665E-3</v>
      </c>
      <c r="L20" s="71">
        <v>1.2054035922487454E-2</v>
      </c>
      <c r="M20" s="71">
        <v>1.8772120594429554E-2</v>
      </c>
      <c r="N20" s="71"/>
      <c r="O20" s="63"/>
      <c r="P20" s="24"/>
      <c r="Q20" s="25"/>
      <c r="R20" s="25"/>
      <c r="S20" s="25"/>
      <c r="T20" s="26"/>
      <c r="V20" s="17">
        <v>1.1232734200000001</v>
      </c>
      <c r="W20" s="18">
        <v>2.83100957</v>
      </c>
      <c r="X20" s="18">
        <v>4.3333909300000002</v>
      </c>
      <c r="Y20" s="18">
        <v>5.5825576199999993</v>
      </c>
      <c r="Z20" s="19">
        <v>7.0621111099999991</v>
      </c>
    </row>
    <row r="21" spans="2:26" x14ac:dyDescent="0.35">
      <c r="B21" s="57" t="s">
        <v>27</v>
      </c>
      <c r="C21" s="125"/>
      <c r="D21" s="35" t="s">
        <v>23</v>
      </c>
      <c r="E21" s="125"/>
      <c r="F21" s="74"/>
      <c r="G21" s="76">
        <v>5.1991457381904589E-2</v>
      </c>
      <c r="H21" s="76">
        <v>6.1223817085512555E-2</v>
      </c>
      <c r="I21" s="76"/>
      <c r="J21" s="64">
        <v>7.7885033532714476E-2</v>
      </c>
      <c r="K21" s="74"/>
      <c r="L21" s="76">
        <v>1.4796916181904589E-2</v>
      </c>
      <c r="M21" s="76">
        <v>2.3137581085512567E-2</v>
      </c>
      <c r="N21" s="76"/>
      <c r="O21" s="64">
        <v>3.6917391332714482E-2</v>
      </c>
      <c r="P21" s="33"/>
      <c r="Q21" s="134"/>
      <c r="R21" s="134"/>
      <c r="S21" s="134"/>
      <c r="T21" s="34"/>
      <c r="V21" s="36">
        <v>1.1184658700000001</v>
      </c>
      <c r="W21" s="37">
        <v>2.8075566599999999</v>
      </c>
      <c r="X21" s="37">
        <v>4.2815649599999999</v>
      </c>
      <c r="Y21" s="37">
        <v>5.4821660899999998</v>
      </c>
      <c r="Z21" s="38">
        <v>6.8613552300000009</v>
      </c>
    </row>
    <row r="22" spans="2:26" x14ac:dyDescent="0.35">
      <c r="C22" s="123"/>
      <c r="D22" s="123"/>
      <c r="E22" s="123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V22" s="40"/>
      <c r="W22" s="40"/>
      <c r="X22" s="40"/>
      <c r="Y22" s="40"/>
      <c r="Z22" s="40"/>
    </row>
    <row r="23" spans="2:26" ht="15.5" x14ac:dyDescent="0.35">
      <c r="B23" s="122" t="s">
        <v>28</v>
      </c>
      <c r="C23" s="123"/>
      <c r="D23" s="123"/>
      <c r="E23" s="123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V23" s="40"/>
      <c r="W23" s="40"/>
      <c r="X23" s="40"/>
      <c r="Y23" s="40"/>
      <c r="Z23" s="40"/>
    </row>
    <row r="24" spans="2:26" x14ac:dyDescent="0.35">
      <c r="B24" s="85" t="s">
        <v>5</v>
      </c>
      <c r="C24" s="84" t="s">
        <v>6</v>
      </c>
      <c r="D24" s="84" t="s">
        <v>7</v>
      </c>
      <c r="E24" s="84" t="s">
        <v>8</v>
      </c>
      <c r="F24" s="83" t="s">
        <v>9</v>
      </c>
      <c r="G24" s="82" t="s">
        <v>10</v>
      </c>
      <c r="H24" s="82" t="s">
        <v>11</v>
      </c>
      <c r="I24" s="82" t="s">
        <v>12</v>
      </c>
      <c r="J24" s="81" t="s">
        <v>13</v>
      </c>
      <c r="K24" s="83" t="s">
        <v>9</v>
      </c>
      <c r="L24" s="82" t="s">
        <v>10</v>
      </c>
      <c r="M24" s="82" t="s">
        <v>11</v>
      </c>
      <c r="N24" s="82" t="s">
        <v>12</v>
      </c>
      <c r="O24" s="81" t="s">
        <v>13</v>
      </c>
      <c r="P24" s="70" t="s">
        <v>14</v>
      </c>
      <c r="Q24" s="58" t="s">
        <v>15</v>
      </c>
      <c r="R24" s="58" t="s">
        <v>16</v>
      </c>
      <c r="S24" s="58" t="s">
        <v>218</v>
      </c>
      <c r="T24" s="58" t="s">
        <v>18</v>
      </c>
      <c r="V24" s="110" t="s">
        <v>9</v>
      </c>
      <c r="W24" s="106" t="s">
        <v>10</v>
      </c>
      <c r="X24" s="106" t="s">
        <v>11</v>
      </c>
      <c r="Y24" s="106" t="s">
        <v>12</v>
      </c>
      <c r="Z24" s="111" t="s">
        <v>13</v>
      </c>
    </row>
    <row r="25" spans="2:26" x14ac:dyDescent="0.35">
      <c r="B25" s="79" t="s">
        <v>410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7"/>
      <c r="P25" s="79"/>
      <c r="Q25" s="78"/>
      <c r="R25" s="78"/>
      <c r="S25" s="78"/>
      <c r="T25" s="77"/>
      <c r="V25" s="112"/>
      <c r="W25" s="107"/>
      <c r="X25" s="107"/>
      <c r="Y25" s="107"/>
      <c r="Z25" s="113"/>
    </row>
    <row r="26" spans="2:26" x14ac:dyDescent="0.35">
      <c r="B26" s="56" t="s">
        <v>29</v>
      </c>
      <c r="C26" s="53" t="s">
        <v>30</v>
      </c>
      <c r="D26" s="53" t="s">
        <v>31</v>
      </c>
      <c r="E26" s="53" t="s">
        <v>411</v>
      </c>
      <c r="F26" s="75">
        <v>3.6940754402002507E-2</v>
      </c>
      <c r="G26" s="71">
        <v>4.2428462045228439E-2</v>
      </c>
      <c r="H26" s="71">
        <v>4.8367422214930858E-2</v>
      </c>
      <c r="I26" s="71">
        <v>5.1650204424373486E-2</v>
      </c>
      <c r="J26" s="63">
        <v>5.467941656191988E-2</v>
      </c>
      <c r="K26" s="73" t="s">
        <v>21</v>
      </c>
      <c r="L26" s="71">
        <v>5.4861858452284369E-3</v>
      </c>
      <c r="M26" s="71">
        <v>1.0746951314930857E-2</v>
      </c>
      <c r="N26" s="71">
        <v>1.3005025224373499E-2</v>
      </c>
      <c r="O26" s="63">
        <v>1.4699967661919871E-2</v>
      </c>
      <c r="P26" s="55" t="s">
        <v>412</v>
      </c>
      <c r="Q26" s="53" t="s">
        <v>413</v>
      </c>
      <c r="R26" s="94" t="s">
        <v>32</v>
      </c>
      <c r="S26" s="71">
        <v>5.006352E-2</v>
      </c>
      <c r="T26" s="63">
        <v>-1.6960977850691422E-3</v>
      </c>
      <c r="V26" s="114">
        <v>1.1360858899999999</v>
      </c>
      <c r="W26" s="72">
        <v>2.8869602099999998</v>
      </c>
      <c r="X26" s="72">
        <v>4.4352298699999997</v>
      </c>
      <c r="Y26" s="72">
        <v>5.7695796599999998</v>
      </c>
      <c r="Z26" s="115">
        <v>7.4380211700000007</v>
      </c>
    </row>
    <row r="27" spans="2:26" x14ac:dyDescent="0.35">
      <c r="B27" s="55" t="s">
        <v>29</v>
      </c>
      <c r="C27" s="53" t="s">
        <v>33</v>
      </c>
      <c r="D27" s="53" t="s">
        <v>31</v>
      </c>
      <c r="E27" s="53" t="s">
        <v>34</v>
      </c>
      <c r="F27" s="73">
        <v>3.7350262139691275E-2</v>
      </c>
      <c r="G27" s="71">
        <v>4.439365926096947E-2</v>
      </c>
      <c r="H27" s="71">
        <v>5.1759642616030138E-2</v>
      </c>
      <c r="I27" s="71">
        <v>5.5894399335446876E-2</v>
      </c>
      <c r="J27" s="63">
        <v>5.944944617453031E-2</v>
      </c>
      <c r="K27" s="73" t="s">
        <v>21</v>
      </c>
      <c r="L27" s="71">
        <v>7.3612930609694652E-3</v>
      </c>
      <c r="M27" s="71">
        <v>1.3972322716030144E-2</v>
      </c>
      <c r="N27" s="71">
        <v>1.7040540735446873E-2</v>
      </c>
      <c r="O27" s="63">
        <v>1.9253434974530304E-2</v>
      </c>
      <c r="P27" s="55" t="s">
        <v>21</v>
      </c>
      <c r="Q27" s="53" t="s">
        <v>21</v>
      </c>
      <c r="R27" s="94" t="s">
        <v>21</v>
      </c>
      <c r="S27" s="71" t="s">
        <v>21</v>
      </c>
      <c r="T27" s="63" t="s">
        <v>21</v>
      </c>
      <c r="V27" s="114">
        <v>1.13532246</v>
      </c>
      <c r="W27" s="72">
        <v>2.8734499200000001</v>
      </c>
      <c r="X27" s="72">
        <v>4.3845833000000001</v>
      </c>
      <c r="Y27" s="72">
        <v>5.65710376</v>
      </c>
      <c r="Z27" s="115">
        <v>7.2068122900000002</v>
      </c>
    </row>
    <row r="28" spans="2:26" x14ac:dyDescent="0.35">
      <c r="B28" s="57" t="s">
        <v>29</v>
      </c>
      <c r="C28" s="67" t="s">
        <v>35</v>
      </c>
      <c r="D28" s="67" t="s">
        <v>31</v>
      </c>
      <c r="E28" s="67" t="s">
        <v>339</v>
      </c>
      <c r="F28" s="74">
        <v>3.8351703027806022E-2</v>
      </c>
      <c r="G28" s="76">
        <v>4.7098624145944706E-2</v>
      </c>
      <c r="H28" s="76">
        <v>5.6074884227937521E-2</v>
      </c>
      <c r="I28" s="76">
        <v>6.1161756460821927E-2</v>
      </c>
      <c r="J28" s="64">
        <v>6.5524001427883186E-2</v>
      </c>
      <c r="K28" s="74">
        <v>4.4196272780601831E-4</v>
      </c>
      <c r="L28" s="76">
        <v>9.9919982459447075E-3</v>
      </c>
      <c r="M28" s="76">
        <v>1.8150064127937522E-2</v>
      </c>
      <c r="N28" s="76">
        <v>2.2112333060821946E-2</v>
      </c>
      <c r="O28" s="64">
        <v>2.5093508727883199E-2</v>
      </c>
      <c r="P28" s="55" t="s">
        <v>21</v>
      </c>
      <c r="Q28" s="53" t="s">
        <v>21</v>
      </c>
      <c r="R28" s="94" t="s">
        <v>21</v>
      </c>
      <c r="S28" s="71" t="s">
        <v>21</v>
      </c>
      <c r="T28" s="63" t="s">
        <v>21</v>
      </c>
      <c r="V28" s="116">
        <v>1.13501853</v>
      </c>
      <c r="W28" s="108">
        <v>2.8674930500000002</v>
      </c>
      <c r="X28" s="108">
        <v>4.3626366599999997</v>
      </c>
      <c r="Y28" s="108">
        <v>5.6091325999999997</v>
      </c>
      <c r="Z28" s="117">
        <v>7.1052651100000004</v>
      </c>
    </row>
    <row r="29" spans="2:26" x14ac:dyDescent="0.35">
      <c r="B29" s="55" t="s">
        <v>37</v>
      </c>
      <c r="C29" s="53" t="s">
        <v>30</v>
      </c>
      <c r="D29" s="53" t="s">
        <v>31</v>
      </c>
      <c r="E29" s="53" t="s">
        <v>339</v>
      </c>
      <c r="F29" s="73">
        <v>3.7391501748377937E-2</v>
      </c>
      <c r="G29" s="71">
        <v>4.3303185249774848E-2</v>
      </c>
      <c r="H29" s="71">
        <v>4.8912305458924797E-2</v>
      </c>
      <c r="I29" s="71">
        <v>5.2233884817300069E-2</v>
      </c>
      <c r="J29" s="63">
        <v>5.5227906443876706E-2</v>
      </c>
      <c r="K29" s="73" t="s">
        <v>21</v>
      </c>
      <c r="L29" s="71">
        <v>6.3220937497748542E-3</v>
      </c>
      <c r="M29" s="71">
        <v>1.1265858258924797E-2</v>
      </c>
      <c r="N29" s="71">
        <v>1.356042851730007E-2</v>
      </c>
      <c r="O29" s="63">
        <v>1.522471574387671E-2</v>
      </c>
      <c r="P29" s="56" t="s">
        <v>21</v>
      </c>
      <c r="Q29" s="66" t="s">
        <v>21</v>
      </c>
      <c r="R29" s="100" t="s">
        <v>21</v>
      </c>
      <c r="S29" s="80" t="s">
        <v>21</v>
      </c>
      <c r="T29" s="62" t="s">
        <v>21</v>
      </c>
      <c r="V29" s="114">
        <v>1.13522324</v>
      </c>
      <c r="W29" s="72">
        <v>2.8800280099999997</v>
      </c>
      <c r="X29" s="72">
        <v>4.42134743</v>
      </c>
      <c r="Y29" s="72">
        <v>5.7477102699999998</v>
      </c>
      <c r="Z29" s="115">
        <v>7.4031288099999992</v>
      </c>
    </row>
    <row r="30" spans="2:26" x14ac:dyDescent="0.35">
      <c r="B30" s="55" t="s">
        <v>37</v>
      </c>
      <c r="C30" s="53" t="s">
        <v>33</v>
      </c>
      <c r="D30" s="53" t="s">
        <v>31</v>
      </c>
      <c r="E30" s="53" t="s">
        <v>38</v>
      </c>
      <c r="F30" s="73">
        <v>3.7828915811807945E-2</v>
      </c>
      <c r="G30" s="71">
        <v>4.4571628313981232E-2</v>
      </c>
      <c r="H30" s="71">
        <v>5.1868386027860654E-2</v>
      </c>
      <c r="I30" s="71">
        <v>5.5907708472169325E-2</v>
      </c>
      <c r="J30" s="63">
        <v>5.9551998196599031E-2</v>
      </c>
      <c r="K30" s="73" t="s">
        <v>21</v>
      </c>
      <c r="L30" s="71">
        <v>7.5329531139812379E-3</v>
      </c>
      <c r="M30" s="71">
        <v>1.4076635827860656E-2</v>
      </c>
      <c r="N30" s="71">
        <v>1.705383827216933E-2</v>
      </c>
      <c r="O30" s="63">
        <v>1.9349548396599026E-2</v>
      </c>
      <c r="P30" s="55" t="s">
        <v>21</v>
      </c>
      <c r="Q30" s="53" t="s">
        <v>21</v>
      </c>
      <c r="R30" s="94" t="s">
        <v>21</v>
      </c>
      <c r="S30" s="71" t="s">
        <v>21</v>
      </c>
      <c r="T30" s="63" t="s">
        <v>21</v>
      </c>
      <c r="V30" s="114">
        <v>1.1343734700000001</v>
      </c>
      <c r="W30" s="72">
        <v>2.8707009999999999</v>
      </c>
      <c r="X30" s="72">
        <v>4.3805735300000004</v>
      </c>
      <c r="Y30" s="72">
        <v>5.6530423500000007</v>
      </c>
      <c r="Z30" s="115">
        <v>7.2012387100000002</v>
      </c>
    </row>
    <row r="31" spans="2:26" x14ac:dyDescent="0.35">
      <c r="B31" s="57" t="s">
        <v>37</v>
      </c>
      <c r="C31" s="67" t="s">
        <v>35</v>
      </c>
      <c r="D31" s="67" t="s">
        <v>31</v>
      </c>
      <c r="E31" s="67" t="s">
        <v>39</v>
      </c>
      <c r="F31" s="74">
        <v>3.8413732063286889E-2</v>
      </c>
      <c r="G31" s="76">
        <v>4.733509608033868E-2</v>
      </c>
      <c r="H31" s="76">
        <v>5.6264530485334877E-2</v>
      </c>
      <c r="I31" s="76">
        <v>6.1262299882858064E-2</v>
      </c>
      <c r="J31" s="64">
        <v>6.5710758253760992E-2</v>
      </c>
      <c r="K31" s="74">
        <v>5.1679876328689436E-4</v>
      </c>
      <c r="L31" s="76">
        <v>1.0225584280338679E-2</v>
      </c>
      <c r="M31" s="76">
        <v>1.833538998533488E-2</v>
      </c>
      <c r="N31" s="76">
        <v>2.2211517082858078E-2</v>
      </c>
      <c r="O31" s="64">
        <v>2.5272977453760996E-2</v>
      </c>
      <c r="P31" s="57" t="s">
        <v>21</v>
      </c>
      <c r="Q31" s="67" t="s">
        <v>21</v>
      </c>
      <c r="R31" s="96" t="s">
        <v>21</v>
      </c>
      <c r="S31" s="76" t="s">
        <v>21</v>
      </c>
      <c r="T31" s="64" t="s">
        <v>21</v>
      </c>
      <c r="V31" s="116">
        <v>1.13484064</v>
      </c>
      <c r="W31" s="108">
        <v>2.8660492799999999</v>
      </c>
      <c r="X31" s="108">
        <v>4.3593371999999997</v>
      </c>
      <c r="Y31" s="108">
        <v>5.6046469800000001</v>
      </c>
      <c r="Z31" s="117">
        <v>7.0978521200000007</v>
      </c>
    </row>
    <row r="32" spans="2:26" x14ac:dyDescent="0.35">
      <c r="B32" s="55" t="s">
        <v>40</v>
      </c>
      <c r="C32" s="53" t="s">
        <v>30</v>
      </c>
      <c r="D32" s="53" t="s">
        <v>31</v>
      </c>
      <c r="E32" s="53" t="s">
        <v>21</v>
      </c>
      <c r="F32" s="73">
        <v>3.7850433480812615E-2</v>
      </c>
      <c r="G32" s="71">
        <v>4.3498281386072778E-2</v>
      </c>
      <c r="H32" s="71">
        <v>4.9433382739205056E-2</v>
      </c>
      <c r="I32" s="71">
        <v>5.3131503518092843E-2</v>
      </c>
      <c r="J32" s="63">
        <v>5.6614538332325666E-2</v>
      </c>
      <c r="K32" s="73" t="s">
        <v>21</v>
      </c>
      <c r="L32" s="71">
        <v>6.5082210860727702E-3</v>
      </c>
      <c r="M32" s="71">
        <v>1.1762041939205062E-2</v>
      </c>
      <c r="N32" s="71">
        <v>1.441524271809284E-2</v>
      </c>
      <c r="O32" s="63">
        <v>1.6553309132325666E-2</v>
      </c>
      <c r="P32" s="55" t="s">
        <v>21</v>
      </c>
      <c r="Q32" s="53" t="s">
        <v>21</v>
      </c>
      <c r="R32" s="94" t="s">
        <v>21</v>
      </c>
      <c r="S32" s="71" t="s">
        <v>21</v>
      </c>
      <c r="T32" s="63" t="s">
        <v>21</v>
      </c>
      <c r="V32" s="114">
        <v>1.1343449999999999</v>
      </c>
      <c r="W32" s="72">
        <v>2.87729912</v>
      </c>
      <c r="X32" s="72">
        <v>4.4132162900000003</v>
      </c>
      <c r="Y32" s="72">
        <v>5.7266928899999998</v>
      </c>
      <c r="Z32" s="115">
        <v>7.3475267999999998</v>
      </c>
    </row>
    <row r="33" spans="2:26" x14ac:dyDescent="0.35">
      <c r="B33" s="55" t="s">
        <v>40</v>
      </c>
      <c r="C33" s="53" t="s">
        <v>33</v>
      </c>
      <c r="D33" s="53" t="s">
        <v>31</v>
      </c>
      <c r="E33" s="53" t="s">
        <v>41</v>
      </c>
      <c r="F33" s="73">
        <v>3.8154137353285773E-2</v>
      </c>
      <c r="G33" s="71">
        <v>4.5332367651310421E-2</v>
      </c>
      <c r="H33" s="71">
        <v>5.3120832183452059E-2</v>
      </c>
      <c r="I33" s="71">
        <v>5.770150038093888E-2</v>
      </c>
      <c r="J33" s="63">
        <v>6.175264497343394E-2</v>
      </c>
      <c r="K33" s="73">
        <v>2.4006805328577203E-4</v>
      </c>
      <c r="L33" s="71">
        <v>8.255454451310415E-3</v>
      </c>
      <c r="M33" s="71">
        <v>1.5261314783452055E-2</v>
      </c>
      <c r="N33" s="71">
        <v>1.8745253380938871E-2</v>
      </c>
      <c r="O33" s="63">
        <v>2.1425215373433941E-2</v>
      </c>
      <c r="P33" s="55" t="s">
        <v>414</v>
      </c>
      <c r="Q33" s="53" t="s">
        <v>415</v>
      </c>
      <c r="R33" s="94">
        <v>47729</v>
      </c>
      <c r="S33" s="71">
        <v>4.8385800000000007E-2</v>
      </c>
      <c r="T33" s="63">
        <v>4.7350321834520523E-3</v>
      </c>
      <c r="V33" s="114">
        <v>1.13377876</v>
      </c>
      <c r="W33" s="72">
        <v>2.8649943600000003</v>
      </c>
      <c r="X33" s="72">
        <v>4.36136035</v>
      </c>
      <c r="Y33" s="72">
        <v>5.60869763</v>
      </c>
      <c r="Z33" s="115">
        <v>7.1042834700000004</v>
      </c>
    </row>
    <row r="34" spans="2:26" x14ac:dyDescent="0.35">
      <c r="B34" s="57" t="s">
        <v>40</v>
      </c>
      <c r="C34" s="67" t="s">
        <v>35</v>
      </c>
      <c r="D34" s="67" t="s">
        <v>31</v>
      </c>
      <c r="E34" s="67" t="s">
        <v>21</v>
      </c>
      <c r="F34" s="74">
        <v>3.8747438833716785E-2</v>
      </c>
      <c r="G34" s="76">
        <v>4.8198235517792162E-2</v>
      </c>
      <c r="H34" s="76">
        <v>5.782823240656617E-2</v>
      </c>
      <c r="I34" s="76">
        <v>6.3630917476375809E-2</v>
      </c>
      <c r="J34" s="64">
        <v>6.8595627274354296E-2</v>
      </c>
      <c r="K34" s="74">
        <v>8.3582463371679669E-4</v>
      </c>
      <c r="L34" s="76">
        <v>1.1050229317792166E-2</v>
      </c>
      <c r="M34" s="76">
        <v>1.9814476906566156E-2</v>
      </c>
      <c r="N34" s="76">
        <v>2.4446273576375806E-2</v>
      </c>
      <c r="O34" s="64">
        <v>2.7999522874354293E-2</v>
      </c>
      <c r="P34" s="55" t="s">
        <v>21</v>
      </c>
      <c r="Q34" s="53" t="s">
        <v>21</v>
      </c>
      <c r="R34" s="94" t="s">
        <v>21</v>
      </c>
      <c r="S34" s="71" t="s">
        <v>21</v>
      </c>
      <c r="T34" s="63" t="s">
        <v>21</v>
      </c>
      <c r="V34" s="116">
        <v>1.1343801099999999</v>
      </c>
      <c r="W34" s="108">
        <v>2.8612147800000001</v>
      </c>
      <c r="X34" s="108">
        <v>4.3413930699999996</v>
      </c>
      <c r="Y34" s="108">
        <v>5.5612516100000002</v>
      </c>
      <c r="Z34" s="117">
        <v>7.0010489300000005</v>
      </c>
    </row>
    <row r="35" spans="2:26" x14ac:dyDescent="0.35">
      <c r="B35" s="79" t="s">
        <v>416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7"/>
      <c r="P35" s="79"/>
      <c r="Q35" s="78"/>
      <c r="R35" s="95"/>
      <c r="S35" s="78"/>
      <c r="T35" s="77"/>
      <c r="V35" s="112"/>
      <c r="W35" s="107"/>
      <c r="X35" s="107"/>
      <c r="Y35" s="107"/>
      <c r="Z35" s="113"/>
    </row>
    <row r="36" spans="2:26" x14ac:dyDescent="0.35">
      <c r="B36" s="55" t="s">
        <v>42</v>
      </c>
      <c r="C36" s="53" t="s">
        <v>30</v>
      </c>
      <c r="D36" s="53" t="s">
        <v>43</v>
      </c>
      <c r="E36" s="53" t="s">
        <v>417</v>
      </c>
      <c r="F36" s="73">
        <v>3.7524695015059562E-2</v>
      </c>
      <c r="G36" s="71">
        <v>4.3355582747589362E-2</v>
      </c>
      <c r="H36" s="71">
        <v>4.9632110448555151E-2</v>
      </c>
      <c r="I36" s="71">
        <v>5.3279222213789834E-2</v>
      </c>
      <c r="J36" s="63">
        <v>5.653557818696274E-2</v>
      </c>
      <c r="K36" s="73" t="s">
        <v>21</v>
      </c>
      <c r="L36" s="71">
        <v>6.371385047589358E-3</v>
      </c>
      <c r="M36" s="71">
        <v>1.1951143648555146E-2</v>
      </c>
      <c r="N36" s="71">
        <v>1.4556605613789833E-2</v>
      </c>
      <c r="O36" s="63">
        <v>1.6479832286962738E-2</v>
      </c>
      <c r="P36" s="55" t="s">
        <v>418</v>
      </c>
      <c r="Q36" s="53" t="s">
        <v>419</v>
      </c>
      <c r="R36" s="94" t="s">
        <v>32</v>
      </c>
      <c r="S36" s="71">
        <v>4.7545560000000001E-2</v>
      </c>
      <c r="T36" s="63">
        <v>2.0865504485551509E-3</v>
      </c>
      <c r="V36" s="114">
        <v>1.13497877</v>
      </c>
      <c r="W36" s="72">
        <v>2.8792841</v>
      </c>
      <c r="X36" s="72">
        <v>4.4134024900000002</v>
      </c>
      <c r="Y36" s="72">
        <v>5.7241902400000004</v>
      </c>
      <c r="Z36" s="115">
        <v>7.3460438799999999</v>
      </c>
    </row>
    <row r="37" spans="2:26" x14ac:dyDescent="0.35">
      <c r="B37" s="55" t="s">
        <v>42</v>
      </c>
      <c r="C37" s="53" t="s">
        <v>33</v>
      </c>
      <c r="D37" s="53" t="s">
        <v>43</v>
      </c>
      <c r="E37" s="53" t="s">
        <v>420</v>
      </c>
      <c r="F37" s="73">
        <v>3.7452749715663841E-2</v>
      </c>
      <c r="G37" s="71">
        <v>4.5544268410828065E-2</v>
      </c>
      <c r="H37" s="71">
        <v>5.3423407101555319E-2</v>
      </c>
      <c r="I37" s="71">
        <v>5.8231927060832377E-2</v>
      </c>
      <c r="J37" s="63">
        <v>6.2255321913325355E-2</v>
      </c>
      <c r="K37" s="73" t="s">
        <v>21</v>
      </c>
      <c r="L37" s="71">
        <v>8.4609825108280679E-3</v>
      </c>
      <c r="M37" s="71">
        <v>1.5550631501555312E-2</v>
      </c>
      <c r="N37" s="71">
        <v>1.9246023860832372E-2</v>
      </c>
      <c r="O37" s="63">
        <v>2.1902533613325365E-2</v>
      </c>
      <c r="P37" s="55" t="s">
        <v>421</v>
      </c>
      <c r="Q37" s="53" t="s">
        <v>422</v>
      </c>
      <c r="R37" s="94" t="s">
        <v>32</v>
      </c>
      <c r="S37" s="71">
        <v>5.1422249999999996E-2</v>
      </c>
      <c r="T37" s="63">
        <v>2.0011571015553231E-3</v>
      </c>
      <c r="V37" s="114">
        <v>1.1350689199999999</v>
      </c>
      <c r="W37" s="72">
        <v>2.8658863999999999</v>
      </c>
      <c r="X37" s="72">
        <v>4.3586406100000001</v>
      </c>
      <c r="Y37" s="72">
        <v>5.59841766</v>
      </c>
      <c r="Z37" s="115">
        <v>7.08119576</v>
      </c>
    </row>
    <row r="38" spans="2:26" x14ac:dyDescent="0.35">
      <c r="B38" s="55" t="s">
        <v>42</v>
      </c>
      <c r="C38" s="53" t="s">
        <v>35</v>
      </c>
      <c r="D38" s="53" t="s">
        <v>43</v>
      </c>
      <c r="E38" s="53" t="s">
        <v>423</v>
      </c>
      <c r="F38" s="73">
        <v>3.9097205707825225E-2</v>
      </c>
      <c r="G38" s="71">
        <v>4.9069685893087842E-2</v>
      </c>
      <c r="H38" s="71">
        <v>5.9200108088651567E-2</v>
      </c>
      <c r="I38" s="71">
        <v>6.5173518307529529E-2</v>
      </c>
      <c r="J38" s="63">
        <v>7.0637447178350646E-2</v>
      </c>
      <c r="K38" s="73">
        <v>1.1682375078252297E-3</v>
      </c>
      <c r="L38" s="71">
        <v>1.1880888993087842E-2</v>
      </c>
      <c r="M38" s="71">
        <v>2.1107579588651552E-2</v>
      </c>
      <c r="N38" s="71">
        <v>2.5897692707529514E-2</v>
      </c>
      <c r="O38" s="63">
        <v>2.9921414378350643E-2</v>
      </c>
      <c r="P38" s="55" t="s">
        <v>21</v>
      </c>
      <c r="Q38" s="53" t="s">
        <v>21</v>
      </c>
      <c r="R38" s="94" t="s">
        <v>21</v>
      </c>
      <c r="S38" s="71" t="s">
        <v>21</v>
      </c>
      <c r="T38" s="63" t="s">
        <v>21</v>
      </c>
      <c r="V38" s="114">
        <v>1.1339082300000001</v>
      </c>
      <c r="W38" s="72">
        <v>2.8563367900000003</v>
      </c>
      <c r="X38" s="72">
        <v>4.3249538300000001</v>
      </c>
      <c r="Y38" s="72">
        <v>5.5281515699999995</v>
      </c>
      <c r="Z38" s="115">
        <v>6.9324200399999993</v>
      </c>
    </row>
    <row r="39" spans="2:26" x14ac:dyDescent="0.35">
      <c r="B39" s="79" t="s">
        <v>45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7"/>
      <c r="P39" s="79"/>
      <c r="Q39" s="78"/>
      <c r="R39" s="95"/>
      <c r="S39" s="78"/>
      <c r="T39" s="77"/>
      <c r="V39" s="112"/>
      <c r="W39" s="107"/>
      <c r="X39" s="107"/>
      <c r="Y39" s="107"/>
      <c r="Z39" s="113"/>
    </row>
    <row r="40" spans="2:26" x14ac:dyDescent="0.35">
      <c r="B40" s="56" t="s">
        <v>46</v>
      </c>
      <c r="C40" s="66" t="s">
        <v>30</v>
      </c>
      <c r="D40" s="66" t="s">
        <v>47</v>
      </c>
      <c r="E40" s="66" t="s">
        <v>424</v>
      </c>
      <c r="F40" s="75">
        <v>3.6844892141034931E-2</v>
      </c>
      <c r="G40" s="80">
        <v>4.3034496604983978E-2</v>
      </c>
      <c r="H40" s="80">
        <v>4.9209195242803719E-2</v>
      </c>
      <c r="I40" s="80">
        <v>5.3197387834529014E-2</v>
      </c>
      <c r="J40" s="62">
        <v>5.6870105708401467E-2</v>
      </c>
      <c r="K40" s="75" t="s">
        <v>21</v>
      </c>
      <c r="L40" s="80">
        <v>6.064333204983975E-3</v>
      </c>
      <c r="M40" s="80">
        <v>1.1548518342803727E-2</v>
      </c>
      <c r="N40" s="80">
        <v>1.4478617334529011E-2</v>
      </c>
      <c r="O40" s="62">
        <v>1.6800201408401463E-2</v>
      </c>
      <c r="P40" s="55" t="s">
        <v>425</v>
      </c>
      <c r="Q40" s="53" t="s">
        <v>426</v>
      </c>
      <c r="R40" s="94" t="s">
        <v>32</v>
      </c>
      <c r="S40" s="71">
        <v>4.4522769999999996E-2</v>
      </c>
      <c r="T40" s="63">
        <v>4.6864252428037226E-3</v>
      </c>
      <c r="V40" s="118">
        <v>1.1362903099999999</v>
      </c>
      <c r="W40" s="61">
        <v>2.88355118</v>
      </c>
      <c r="X40" s="61">
        <v>4.4222701500000001</v>
      </c>
      <c r="Y40" s="61">
        <v>5.7345174200000004</v>
      </c>
      <c r="Z40" s="119">
        <v>7.3475124200000002</v>
      </c>
    </row>
    <row r="41" spans="2:26" x14ac:dyDescent="0.35">
      <c r="B41" s="55" t="s">
        <v>46</v>
      </c>
      <c r="C41" s="53" t="s">
        <v>33</v>
      </c>
      <c r="D41" s="53" t="s">
        <v>47</v>
      </c>
      <c r="E41" s="53" t="s">
        <v>427</v>
      </c>
      <c r="F41" s="73">
        <v>3.762062454149482E-2</v>
      </c>
      <c r="G41" s="71">
        <v>4.5104979204293905E-2</v>
      </c>
      <c r="H41" s="71">
        <v>5.3057713270655837E-2</v>
      </c>
      <c r="I41" s="71">
        <v>5.7639303273018486E-2</v>
      </c>
      <c r="J41" s="63">
        <v>6.1423127471174829E-2</v>
      </c>
      <c r="K41" s="73" t="s">
        <v>21</v>
      </c>
      <c r="L41" s="71">
        <v>8.0384068042939107E-3</v>
      </c>
      <c r="M41" s="71">
        <v>1.5201512970655825E-2</v>
      </c>
      <c r="N41" s="71">
        <v>1.868739697301848E-2</v>
      </c>
      <c r="O41" s="63">
        <v>2.1117043371174829E-2</v>
      </c>
      <c r="P41" s="55" t="s">
        <v>21</v>
      </c>
      <c r="Q41" s="53" t="s">
        <v>21</v>
      </c>
      <c r="R41" s="94" t="s">
        <v>21</v>
      </c>
      <c r="S41" s="71" t="s">
        <v>21</v>
      </c>
      <c r="T41" s="63" t="s">
        <v>21</v>
      </c>
      <c r="V41" s="114">
        <v>1.13481107</v>
      </c>
      <c r="W41" s="72">
        <v>2.8681767000000002</v>
      </c>
      <c r="X41" s="72">
        <v>4.3653911299999999</v>
      </c>
      <c r="Y41" s="72">
        <v>5.6132126600000003</v>
      </c>
      <c r="Z41" s="115">
        <v>7.1153858300000001</v>
      </c>
    </row>
    <row r="42" spans="2:26" x14ac:dyDescent="0.35">
      <c r="B42" s="57" t="s">
        <v>46</v>
      </c>
      <c r="C42" s="67" t="s">
        <v>35</v>
      </c>
      <c r="D42" s="67" t="s">
        <v>47</v>
      </c>
      <c r="E42" s="67" t="s">
        <v>21</v>
      </c>
      <c r="F42" s="74">
        <v>3.8848746468969006E-2</v>
      </c>
      <c r="G42" s="76">
        <v>4.8372463071966451E-2</v>
      </c>
      <c r="H42" s="76">
        <v>5.8325404588104299E-2</v>
      </c>
      <c r="I42" s="76">
        <v>6.4304508313298384E-2</v>
      </c>
      <c r="J42" s="64">
        <v>6.8934172935840407E-2</v>
      </c>
      <c r="K42" s="74">
        <v>9.1826066896901534E-4</v>
      </c>
      <c r="L42" s="76">
        <v>1.1209493971966449E-2</v>
      </c>
      <c r="M42" s="76">
        <v>2.0278627388104299E-2</v>
      </c>
      <c r="N42" s="76">
        <v>2.5076613813298378E-2</v>
      </c>
      <c r="O42" s="64">
        <v>2.8316891735840406E-2</v>
      </c>
      <c r="P42" s="55" t="s">
        <v>21</v>
      </c>
      <c r="Q42" s="53" t="s">
        <v>21</v>
      </c>
      <c r="R42" s="94" t="s">
        <v>21</v>
      </c>
      <c r="S42" s="71" t="s">
        <v>21</v>
      </c>
      <c r="T42" s="63" t="s">
        <v>21</v>
      </c>
      <c r="V42" s="116">
        <v>1.1343249099999999</v>
      </c>
      <c r="W42" s="108">
        <v>2.8603323500000002</v>
      </c>
      <c r="X42" s="108">
        <v>4.3365684900000003</v>
      </c>
      <c r="Y42" s="108">
        <v>5.5491561899999997</v>
      </c>
      <c r="Z42" s="117">
        <v>6.9818319399999993</v>
      </c>
    </row>
    <row r="43" spans="2:26" x14ac:dyDescent="0.35">
      <c r="B43" s="55" t="s">
        <v>49</v>
      </c>
      <c r="C43" s="53" t="s">
        <v>30</v>
      </c>
      <c r="D43" s="53" t="s">
        <v>47</v>
      </c>
      <c r="E43" s="53" t="s">
        <v>356</v>
      </c>
      <c r="F43" s="73">
        <v>3.6635978559148061E-2</v>
      </c>
      <c r="G43" s="71">
        <v>4.2386298204671817E-2</v>
      </c>
      <c r="H43" s="71">
        <v>4.8468384699379218E-2</v>
      </c>
      <c r="I43" s="71">
        <v>5.1893852589458424E-2</v>
      </c>
      <c r="J43" s="63">
        <v>5.5673981167446124E-2</v>
      </c>
      <c r="K43" s="73" t="s">
        <v>21</v>
      </c>
      <c r="L43" s="71">
        <v>5.4451331046718203E-3</v>
      </c>
      <c r="M43" s="71">
        <v>1.0842958199379213E-2</v>
      </c>
      <c r="N43" s="71">
        <v>1.3237562589458416E-2</v>
      </c>
      <c r="O43" s="63">
        <v>1.5652487067446128E-2</v>
      </c>
      <c r="P43" s="56" t="s">
        <v>428</v>
      </c>
      <c r="Q43" s="66" t="s">
        <v>429</v>
      </c>
      <c r="R43" s="100" t="s">
        <v>32</v>
      </c>
      <c r="S43" s="80">
        <v>4.6024429999999998E-2</v>
      </c>
      <c r="T43" s="62">
        <v>2.4439546993792194E-3</v>
      </c>
      <c r="V43" s="114">
        <v>1.13668342</v>
      </c>
      <c r="W43" s="72">
        <v>2.8882641600000003</v>
      </c>
      <c r="X43" s="72">
        <v>4.4355240499999997</v>
      </c>
      <c r="Y43" s="72">
        <v>5.7662111999999999</v>
      </c>
      <c r="Z43" s="115">
        <v>7.4108874800000004</v>
      </c>
    </row>
    <row r="44" spans="2:26" x14ac:dyDescent="0.35">
      <c r="B44" s="55" t="s">
        <v>49</v>
      </c>
      <c r="C44" s="53" t="s">
        <v>33</v>
      </c>
      <c r="D44" s="53" t="s">
        <v>47</v>
      </c>
      <c r="E44" s="53" t="s">
        <v>276</v>
      </c>
      <c r="F44" s="73">
        <v>3.7131047356000806E-2</v>
      </c>
      <c r="G44" s="71">
        <v>4.4608313471620586E-2</v>
      </c>
      <c r="H44" s="71">
        <v>5.2167848956465597E-2</v>
      </c>
      <c r="I44" s="71">
        <v>5.6484881447346598E-2</v>
      </c>
      <c r="J44" s="63">
        <v>6.0552209058244273E-2</v>
      </c>
      <c r="K44" s="73" t="s">
        <v>21</v>
      </c>
      <c r="L44" s="71">
        <v>7.5695011716205921E-3</v>
      </c>
      <c r="M44" s="71">
        <v>1.4362049456465596E-2</v>
      </c>
      <c r="N44" s="71">
        <v>1.7602013847346595E-2</v>
      </c>
      <c r="O44" s="63">
        <v>2.0295676458244285E-2</v>
      </c>
      <c r="P44" s="55" t="s">
        <v>430</v>
      </c>
      <c r="Q44" s="53" t="s">
        <v>431</v>
      </c>
      <c r="R44" s="94" t="s">
        <v>32</v>
      </c>
      <c r="S44" s="71">
        <v>5.0673459999999997E-2</v>
      </c>
      <c r="T44" s="63">
        <v>1.4943889564656004E-3</v>
      </c>
      <c r="V44" s="114">
        <v>1.13569071</v>
      </c>
      <c r="W44" s="72">
        <v>2.8727368100000001</v>
      </c>
      <c r="X44" s="72">
        <v>4.37935243</v>
      </c>
      <c r="Y44" s="72">
        <v>5.64337029</v>
      </c>
      <c r="Z44" s="115">
        <v>7.16718454</v>
      </c>
    </row>
    <row r="45" spans="2:26" x14ac:dyDescent="0.35">
      <c r="B45" s="57" t="s">
        <v>49</v>
      </c>
      <c r="C45" s="67" t="s">
        <v>35</v>
      </c>
      <c r="D45" s="67" t="s">
        <v>47</v>
      </c>
      <c r="E45" s="67" t="s">
        <v>21</v>
      </c>
      <c r="F45" s="74">
        <v>3.8489534954531307E-2</v>
      </c>
      <c r="G45" s="76">
        <v>4.74011621283306E-2</v>
      </c>
      <c r="H45" s="76">
        <v>5.6758609957492538E-2</v>
      </c>
      <c r="I45" s="76">
        <v>6.2564836098949958E-2</v>
      </c>
      <c r="J45" s="64">
        <v>6.7443507181937062E-2</v>
      </c>
      <c r="K45" s="74">
        <v>5.7096825453130818E-4</v>
      </c>
      <c r="L45" s="76">
        <v>1.0279794128330603E-2</v>
      </c>
      <c r="M45" s="76">
        <v>1.8798019657492546E-2</v>
      </c>
      <c r="N45" s="76">
        <v>2.343615429894997E-2</v>
      </c>
      <c r="O45" s="64">
        <v>2.6908589281937064E-2</v>
      </c>
      <c r="P45" s="57" t="s">
        <v>21</v>
      </c>
      <c r="Q45" s="67" t="s">
        <v>21</v>
      </c>
      <c r="R45" s="96" t="s">
        <v>21</v>
      </c>
      <c r="S45" s="76" t="s">
        <v>21</v>
      </c>
      <c r="T45" s="64" t="s">
        <v>21</v>
      </c>
      <c r="V45" s="116">
        <v>1.1348445299999999</v>
      </c>
      <c r="W45" s="108">
        <v>2.8657793099999997</v>
      </c>
      <c r="X45" s="108">
        <v>4.3552907899999997</v>
      </c>
      <c r="Y45" s="108">
        <v>5.5868856999999998</v>
      </c>
      <c r="Z45" s="117">
        <v>7.0469977700000008</v>
      </c>
    </row>
    <row r="46" spans="2:26" x14ac:dyDescent="0.35">
      <c r="B46" s="56" t="s">
        <v>50</v>
      </c>
      <c r="C46" s="66" t="s">
        <v>30</v>
      </c>
      <c r="D46" s="66" t="s">
        <v>47</v>
      </c>
      <c r="E46" s="66" t="s">
        <v>181</v>
      </c>
      <c r="F46" s="75">
        <v>3.6443376587196534E-2</v>
      </c>
      <c r="G46" s="80">
        <v>4.2445744113572929E-2</v>
      </c>
      <c r="H46" s="80">
        <v>4.8775711478861464E-2</v>
      </c>
      <c r="I46" s="80">
        <v>5.2484775753015196E-2</v>
      </c>
      <c r="J46" s="62">
        <v>5.609535132258113E-2</v>
      </c>
      <c r="K46" s="75" t="s">
        <v>21</v>
      </c>
      <c r="L46" s="80">
        <v>5.5027705135729322E-3</v>
      </c>
      <c r="M46" s="80">
        <v>1.1136748478861463E-2</v>
      </c>
      <c r="N46" s="80">
        <v>1.3801848753015185E-2</v>
      </c>
      <c r="O46" s="62">
        <v>1.6059607022581135E-2</v>
      </c>
      <c r="P46" s="55" t="s">
        <v>432</v>
      </c>
      <c r="Q46" s="53" t="s">
        <v>433</v>
      </c>
      <c r="R46" s="94" t="s">
        <v>32</v>
      </c>
      <c r="S46" s="71">
        <v>4.5176420000000002E-2</v>
      </c>
      <c r="T46" s="63">
        <v>3.5992914788614619E-3</v>
      </c>
      <c r="V46" s="118">
        <v>1.1370425900000001</v>
      </c>
      <c r="W46" s="61">
        <v>2.88851236</v>
      </c>
      <c r="X46" s="61">
        <v>4.43252238</v>
      </c>
      <c r="Y46" s="61">
        <v>5.7545214300000005</v>
      </c>
      <c r="Z46" s="119">
        <v>7.3868866199999994</v>
      </c>
    </row>
    <row r="47" spans="2:26" x14ac:dyDescent="0.35">
      <c r="B47" s="55" t="s">
        <v>50</v>
      </c>
      <c r="C47" s="53" t="s">
        <v>33</v>
      </c>
      <c r="D47" s="53" t="s">
        <v>47</v>
      </c>
      <c r="E47" s="53" t="s">
        <v>133</v>
      </c>
      <c r="F47" s="73">
        <v>3.7381401561261789E-2</v>
      </c>
      <c r="G47" s="71">
        <v>4.4829016243520745E-2</v>
      </c>
      <c r="H47" s="71">
        <v>5.2588851696482003E-2</v>
      </c>
      <c r="I47" s="71">
        <v>5.7272420051707691E-2</v>
      </c>
      <c r="J47" s="63">
        <v>6.1048749636438998E-2</v>
      </c>
      <c r="K47" s="73" t="s">
        <v>21</v>
      </c>
      <c r="L47" s="71">
        <v>7.775927243520742E-3</v>
      </c>
      <c r="M47" s="71">
        <v>1.4758006196482008E-2</v>
      </c>
      <c r="N47" s="71">
        <v>1.8342792251707679E-2</v>
      </c>
      <c r="O47" s="63">
        <v>2.0764782136438995E-2</v>
      </c>
      <c r="P47" s="55" t="s">
        <v>434</v>
      </c>
      <c r="Q47" s="53" t="s">
        <v>435</v>
      </c>
      <c r="R47" s="94" t="s">
        <v>32</v>
      </c>
      <c r="S47" s="71">
        <v>4.5713290000000004E-2</v>
      </c>
      <c r="T47" s="63">
        <v>6.8755616964819993E-3</v>
      </c>
      <c r="V47" s="114">
        <v>1.1352658899999999</v>
      </c>
      <c r="W47" s="72">
        <v>2.87066219</v>
      </c>
      <c r="X47" s="72">
        <v>4.3728783299999998</v>
      </c>
      <c r="Y47" s="72">
        <v>5.6260445199999998</v>
      </c>
      <c r="Z47" s="115">
        <v>7.1363910399999995</v>
      </c>
    </row>
    <row r="48" spans="2:26" x14ac:dyDescent="0.35">
      <c r="B48" s="57" t="s">
        <v>50</v>
      </c>
      <c r="C48" s="67" t="s">
        <v>35</v>
      </c>
      <c r="D48" s="67" t="s">
        <v>47</v>
      </c>
      <c r="E48" s="67" t="s">
        <v>21</v>
      </c>
      <c r="F48" s="74">
        <v>3.882833730296302E-2</v>
      </c>
      <c r="G48" s="76">
        <v>4.8190121368712174E-2</v>
      </c>
      <c r="H48" s="76">
        <v>5.802902119212168E-2</v>
      </c>
      <c r="I48" s="76">
        <v>6.3828527395635368E-2</v>
      </c>
      <c r="J48" s="64">
        <v>6.8708550375420716E-2</v>
      </c>
      <c r="K48" s="74">
        <v>8.994036029630172E-4</v>
      </c>
      <c r="L48" s="76">
        <v>1.1035469568712182E-2</v>
      </c>
      <c r="M48" s="76">
        <v>1.9999032392121686E-2</v>
      </c>
      <c r="N48" s="76">
        <v>2.4628402295635374E-2</v>
      </c>
      <c r="O48" s="64">
        <v>2.8102956875420717E-2</v>
      </c>
      <c r="P48" s="55" t="s">
        <v>21</v>
      </c>
      <c r="Q48" s="53" t="s">
        <v>21</v>
      </c>
      <c r="R48" s="94" t="s">
        <v>21</v>
      </c>
      <c r="S48" s="71" t="s">
        <v>21</v>
      </c>
      <c r="T48" s="63" t="s">
        <v>21</v>
      </c>
      <c r="V48" s="116">
        <v>1.1343492900000001</v>
      </c>
      <c r="W48" s="108">
        <v>2.8612243500000001</v>
      </c>
      <c r="X48" s="108">
        <v>4.3399690099999999</v>
      </c>
      <c r="Y48" s="108">
        <v>5.5575987799999993</v>
      </c>
      <c r="Z48" s="117">
        <v>6.9951914200000003</v>
      </c>
    </row>
    <row r="49" spans="2:26" x14ac:dyDescent="0.35">
      <c r="B49" s="79" t="s">
        <v>51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7"/>
      <c r="P49" s="79"/>
      <c r="Q49" s="78"/>
      <c r="R49" s="95"/>
      <c r="S49" s="78"/>
      <c r="T49" s="77"/>
      <c r="V49" s="112"/>
      <c r="W49" s="107"/>
      <c r="X49" s="107"/>
      <c r="Y49" s="107"/>
      <c r="Z49" s="113"/>
    </row>
    <row r="50" spans="2:26" x14ac:dyDescent="0.35">
      <c r="B50" s="56" t="s">
        <v>52</v>
      </c>
      <c r="C50" s="66" t="s">
        <v>30</v>
      </c>
      <c r="D50" s="66" t="s">
        <v>53</v>
      </c>
      <c r="E50" s="66" t="s">
        <v>57</v>
      </c>
      <c r="F50" s="75">
        <v>3.7637495868663044E-2</v>
      </c>
      <c r="G50" s="80">
        <v>4.3262300483758405E-2</v>
      </c>
      <c r="H50" s="80">
        <v>4.9015719654529756E-2</v>
      </c>
      <c r="I50" s="80">
        <v>5.2432117153026439E-2</v>
      </c>
      <c r="J50" s="62">
        <v>5.5711281529997138E-2</v>
      </c>
      <c r="K50" s="75" t="s">
        <v>21</v>
      </c>
      <c r="L50" s="80">
        <v>6.282004283758409E-3</v>
      </c>
      <c r="M50" s="80">
        <v>1.1363656354529761E-2</v>
      </c>
      <c r="N50" s="80">
        <v>1.3748791153026442E-2</v>
      </c>
      <c r="O50" s="62">
        <v>1.5687215929997146E-2</v>
      </c>
      <c r="P50" s="55" t="s">
        <v>436</v>
      </c>
      <c r="Q50" s="53" t="s">
        <v>437</v>
      </c>
      <c r="R50" s="94" t="s">
        <v>32</v>
      </c>
      <c r="S50" s="71">
        <v>4.4177960000000002E-2</v>
      </c>
      <c r="T50" s="63">
        <v>4.8377596545297538E-3</v>
      </c>
      <c r="V50" s="118">
        <v>1.1347665</v>
      </c>
      <c r="W50" s="61">
        <v>2.8794971499999997</v>
      </c>
      <c r="X50" s="61">
        <v>4.4199530200000003</v>
      </c>
      <c r="Y50" s="61">
        <v>5.7434459700000007</v>
      </c>
      <c r="Z50" s="119">
        <v>7.3871535899999996</v>
      </c>
    </row>
    <row r="51" spans="2:26" x14ac:dyDescent="0.35">
      <c r="B51" s="55" t="s">
        <v>52</v>
      </c>
      <c r="C51" s="53" t="s">
        <v>33</v>
      </c>
      <c r="D51" s="53" t="s">
        <v>53</v>
      </c>
      <c r="E51" s="53" t="s">
        <v>58</v>
      </c>
      <c r="F51" s="73">
        <v>3.8087726683991102E-2</v>
      </c>
      <c r="G51" s="71">
        <v>4.4840530149053329E-2</v>
      </c>
      <c r="H51" s="71">
        <v>5.2391817958215993E-2</v>
      </c>
      <c r="I51" s="71">
        <v>5.6610301026395436E-2</v>
      </c>
      <c r="J51" s="63">
        <v>6.0363181783007924E-2</v>
      </c>
      <c r="K51" s="73">
        <v>1.7466828399110516E-4</v>
      </c>
      <c r="L51" s="71">
        <v>7.7864217490533263E-3</v>
      </c>
      <c r="M51" s="71">
        <v>1.4570662058216E-2</v>
      </c>
      <c r="N51" s="71">
        <v>1.7717236626395426E-2</v>
      </c>
      <c r="O51" s="63">
        <v>2.0114560183007911E-2</v>
      </c>
      <c r="P51" s="55" t="s">
        <v>438</v>
      </c>
      <c r="Q51" s="53" t="s">
        <v>439</v>
      </c>
      <c r="R51" s="94" t="s">
        <v>32</v>
      </c>
      <c r="S51" s="71">
        <v>4.6622240000000002E-2</v>
      </c>
      <c r="T51" s="63">
        <v>5.7695779582159906E-3</v>
      </c>
      <c r="V51" s="114">
        <v>1.1339169499999999</v>
      </c>
      <c r="W51" s="72">
        <v>2.86826911</v>
      </c>
      <c r="X51" s="72">
        <v>4.3726359700000001</v>
      </c>
      <c r="Y51" s="72">
        <v>5.63517885</v>
      </c>
      <c r="Z51" s="115">
        <v>7.1638384400000001</v>
      </c>
    </row>
    <row r="52" spans="2:26" x14ac:dyDescent="0.35">
      <c r="B52" s="57" t="s">
        <v>52</v>
      </c>
      <c r="C52" s="67" t="s">
        <v>35</v>
      </c>
      <c r="D52" s="67" t="s">
        <v>53</v>
      </c>
      <c r="E52" s="67" t="s">
        <v>351</v>
      </c>
      <c r="F52" s="74">
        <v>3.8829802868114598E-2</v>
      </c>
      <c r="G52" s="76">
        <v>4.8213183203266424E-2</v>
      </c>
      <c r="H52" s="76">
        <v>5.7838302397909547E-2</v>
      </c>
      <c r="I52" s="76">
        <v>6.3638920071203836E-2</v>
      </c>
      <c r="J52" s="64">
        <v>6.8266620674338571E-2</v>
      </c>
      <c r="K52" s="74">
        <v>9.0228106811459773E-4</v>
      </c>
      <c r="L52" s="76">
        <v>1.1058232703266429E-2</v>
      </c>
      <c r="M52" s="76">
        <v>1.9819264697909553E-2</v>
      </c>
      <c r="N52" s="76">
        <v>2.4449777571203833E-2</v>
      </c>
      <c r="O52" s="64">
        <v>2.7686599274338558E-2</v>
      </c>
      <c r="P52" s="55" t="s">
        <v>21</v>
      </c>
      <c r="Q52" s="53" t="s">
        <v>21</v>
      </c>
      <c r="R52" s="94" t="s">
        <v>21</v>
      </c>
      <c r="S52" s="71" t="s">
        <v>21</v>
      </c>
      <c r="T52" s="63" t="s">
        <v>21</v>
      </c>
      <c r="V52" s="116">
        <v>1.1343385799999999</v>
      </c>
      <c r="W52" s="108">
        <v>2.8610954300000002</v>
      </c>
      <c r="X52" s="108">
        <v>4.3412581100000001</v>
      </c>
      <c r="Y52" s="108">
        <v>5.5611031200000003</v>
      </c>
      <c r="Z52" s="117">
        <v>7.0062999900000005</v>
      </c>
    </row>
    <row r="53" spans="2:26" x14ac:dyDescent="0.35">
      <c r="B53" s="55" t="s">
        <v>56</v>
      </c>
      <c r="C53" s="53" t="s">
        <v>30</v>
      </c>
      <c r="D53" s="53" t="s">
        <v>53</v>
      </c>
      <c r="E53" s="53" t="s">
        <v>440</v>
      </c>
      <c r="F53" s="73">
        <v>3.7242418777240036E-2</v>
      </c>
      <c r="G53" s="71">
        <v>4.3199132878218437E-2</v>
      </c>
      <c r="H53" s="71">
        <v>4.9011489821784882E-2</v>
      </c>
      <c r="I53" s="71">
        <v>5.2619972898916657E-2</v>
      </c>
      <c r="J53" s="63">
        <v>5.572008934644361E-2</v>
      </c>
      <c r="K53" s="73" t="s">
        <v>21</v>
      </c>
      <c r="L53" s="71">
        <v>6.2219901782184367E-3</v>
      </c>
      <c r="M53" s="71">
        <v>1.1360052221784879E-2</v>
      </c>
      <c r="N53" s="71">
        <v>1.3928259198916656E-2</v>
      </c>
      <c r="O53" s="63">
        <v>1.5698109146443609E-2</v>
      </c>
      <c r="P53" s="56" t="s">
        <v>441</v>
      </c>
      <c r="Q53" s="66" t="s">
        <v>442</v>
      </c>
      <c r="R53" s="100" t="s">
        <v>32</v>
      </c>
      <c r="S53" s="80">
        <v>5.1833780000000003E-2</v>
      </c>
      <c r="T53" s="62">
        <v>-2.8222901782151213E-3</v>
      </c>
      <c r="V53" s="114">
        <v>1.1355204299999999</v>
      </c>
      <c r="W53" s="72">
        <v>2.8811926899999998</v>
      </c>
      <c r="X53" s="72">
        <v>4.4216855200000005</v>
      </c>
      <c r="Y53" s="72">
        <v>5.7424612899999996</v>
      </c>
      <c r="Z53" s="115">
        <v>7.3845018499999995</v>
      </c>
    </row>
    <row r="54" spans="2:26" x14ac:dyDescent="0.35">
      <c r="B54" s="55" t="s">
        <v>56</v>
      </c>
      <c r="C54" s="53" t="s">
        <v>33</v>
      </c>
      <c r="D54" s="53" t="s">
        <v>53</v>
      </c>
      <c r="E54" s="53" t="s">
        <v>443</v>
      </c>
      <c r="F54" s="73">
        <v>3.8044315888532368E-2</v>
      </c>
      <c r="G54" s="71">
        <v>4.478583241555438E-2</v>
      </c>
      <c r="H54" s="71">
        <v>5.2187226055995482E-2</v>
      </c>
      <c r="I54" s="71">
        <v>5.6267552111291481E-2</v>
      </c>
      <c r="J54" s="63">
        <v>5.9919884991281168E-2</v>
      </c>
      <c r="K54" s="73">
        <v>1.3185008853237347E-4</v>
      </c>
      <c r="L54" s="71">
        <v>7.7338017155543764E-3</v>
      </c>
      <c r="M54" s="71">
        <v>1.437641005599548E-2</v>
      </c>
      <c r="N54" s="71">
        <v>1.7392521311291476E-2</v>
      </c>
      <c r="O54" s="63">
        <v>1.9695397691281161E-2</v>
      </c>
      <c r="P54" s="55" t="s">
        <v>444</v>
      </c>
      <c r="Q54" s="53" t="s">
        <v>445</v>
      </c>
      <c r="R54" s="94" t="s">
        <v>32</v>
      </c>
      <c r="S54" s="71">
        <v>4.7109569999999996E-2</v>
      </c>
      <c r="T54" s="63">
        <v>5.0776560559954859E-3</v>
      </c>
      <c r="V54" s="114">
        <v>1.1340077400000002</v>
      </c>
      <c r="W54" s="72">
        <v>2.8687660899999998</v>
      </c>
      <c r="X54" s="72">
        <v>4.3752310200000002</v>
      </c>
      <c r="Y54" s="72">
        <v>5.6426427500000003</v>
      </c>
      <c r="Z54" s="115">
        <v>7.1821636499999997</v>
      </c>
    </row>
    <row r="55" spans="2:26" x14ac:dyDescent="0.35">
      <c r="B55" s="55" t="s">
        <v>56</v>
      </c>
      <c r="C55" s="53" t="s">
        <v>35</v>
      </c>
      <c r="D55" s="53" t="s">
        <v>53</v>
      </c>
      <c r="E55" s="53" t="s">
        <v>54</v>
      </c>
      <c r="F55" s="73">
        <v>3.8480460750653915E-2</v>
      </c>
      <c r="G55" s="71">
        <v>4.7406645270675368E-2</v>
      </c>
      <c r="H55" s="71">
        <v>5.6564043016936127E-2</v>
      </c>
      <c r="I55" s="71">
        <v>6.2101539151542824E-2</v>
      </c>
      <c r="J55" s="63">
        <v>6.6809024372504203E-2</v>
      </c>
      <c r="K55" s="73">
        <v>5.6733675065391651E-4</v>
      </c>
      <c r="L55" s="71">
        <v>1.0287483870675365E-2</v>
      </c>
      <c r="M55" s="71">
        <v>1.8615124816936127E-2</v>
      </c>
      <c r="N55" s="71">
        <v>2.3000180951542829E-2</v>
      </c>
      <c r="O55" s="63">
        <v>2.6309579672504198E-2</v>
      </c>
      <c r="P55" s="57" t="s">
        <v>446</v>
      </c>
      <c r="Q55" s="67" t="s">
        <v>447</v>
      </c>
      <c r="R55" s="96" t="s">
        <v>32</v>
      </c>
      <c r="S55" s="76">
        <v>5.3228159999999997E-2</v>
      </c>
      <c r="T55" s="64">
        <v>3.3358830169361309E-3</v>
      </c>
      <c r="V55" s="114">
        <v>1.13482718</v>
      </c>
      <c r="W55" s="72">
        <v>2.8657146099999999</v>
      </c>
      <c r="X55" s="72">
        <v>4.3566841600000004</v>
      </c>
      <c r="Y55" s="72">
        <v>5.5932182699999995</v>
      </c>
      <c r="Z55" s="115">
        <v>7.0653616700000006</v>
      </c>
    </row>
    <row r="56" spans="2:26" x14ac:dyDescent="0.35">
      <c r="B56" s="79" t="s">
        <v>59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7"/>
      <c r="P56" s="79"/>
      <c r="Q56" s="78"/>
      <c r="R56" s="95"/>
      <c r="S56" s="78"/>
      <c r="T56" s="77"/>
      <c r="V56" s="112"/>
      <c r="W56" s="107"/>
      <c r="X56" s="107"/>
      <c r="Y56" s="107"/>
      <c r="Z56" s="113"/>
    </row>
    <row r="57" spans="2:26" x14ac:dyDescent="0.35">
      <c r="B57" s="56" t="s">
        <v>60</v>
      </c>
      <c r="C57" s="66" t="s">
        <v>61</v>
      </c>
      <c r="D57" s="66" t="s">
        <v>62</v>
      </c>
      <c r="E57" s="66" t="s">
        <v>181</v>
      </c>
      <c r="F57" s="75">
        <v>3.8007123458543242E-2</v>
      </c>
      <c r="G57" s="80">
        <v>4.3525115914378854E-2</v>
      </c>
      <c r="H57" s="80">
        <v>4.9433664399838428E-2</v>
      </c>
      <c r="I57" s="80">
        <v>5.2700343555804996E-2</v>
      </c>
      <c r="J57" s="62">
        <v>5.5938091380189542E-2</v>
      </c>
      <c r="K57" s="75">
        <v>1.0348785854324364E-4</v>
      </c>
      <c r="L57" s="80">
        <v>6.5348008143788598E-3</v>
      </c>
      <c r="M57" s="80">
        <v>1.1762905099838428E-2</v>
      </c>
      <c r="N57" s="80">
        <v>1.400552655580499E-2</v>
      </c>
      <c r="O57" s="62">
        <v>1.5904888180189543E-2</v>
      </c>
      <c r="P57" s="55" t="s">
        <v>448</v>
      </c>
      <c r="Q57" s="53" t="s">
        <v>449</v>
      </c>
      <c r="R57" s="94" t="s">
        <v>32</v>
      </c>
      <c r="S57" s="71">
        <v>0</v>
      </c>
      <c r="T57" s="63">
        <v>4.9433664399838428E-2</v>
      </c>
      <c r="V57" s="118">
        <v>1.13403012</v>
      </c>
      <c r="W57" s="61">
        <v>2.8765824799999997</v>
      </c>
      <c r="X57" s="61">
        <v>4.4124822100000003</v>
      </c>
      <c r="Y57" s="61">
        <v>5.7318186299999994</v>
      </c>
      <c r="Z57" s="119">
        <v>7.3704630600000005</v>
      </c>
    </row>
    <row r="58" spans="2:26" x14ac:dyDescent="0.35">
      <c r="B58" s="57" t="s">
        <v>60</v>
      </c>
      <c r="C58" s="67" t="s">
        <v>63</v>
      </c>
      <c r="D58" s="67" t="s">
        <v>62</v>
      </c>
      <c r="E58" s="67" t="s">
        <v>21</v>
      </c>
      <c r="F58" s="74">
        <v>3.9942098982163665E-2</v>
      </c>
      <c r="G58" s="76">
        <v>4.7084113327441043E-2</v>
      </c>
      <c r="H58" s="76">
        <v>5.4398143861376348E-2</v>
      </c>
      <c r="I58" s="76">
        <v>5.865561700962299E-2</v>
      </c>
      <c r="J58" s="64">
        <v>6.1958203560108879E-2</v>
      </c>
      <c r="K58" s="74">
        <v>1.992823782163658E-3</v>
      </c>
      <c r="L58" s="76">
        <v>9.9880239274410462E-3</v>
      </c>
      <c r="M58" s="76">
        <v>1.6560362261376357E-2</v>
      </c>
      <c r="N58" s="76">
        <v>1.9743136309622978E-2</v>
      </c>
      <c r="O58" s="64">
        <v>2.1711910060108877E-2</v>
      </c>
      <c r="P58" s="55" t="s">
        <v>21</v>
      </c>
      <c r="Q58" s="53" t="s">
        <v>21</v>
      </c>
      <c r="R58" s="94" t="s">
        <v>21</v>
      </c>
      <c r="S58" s="71" t="s">
        <v>21</v>
      </c>
      <c r="T58" s="63" t="s">
        <v>21</v>
      </c>
      <c r="V58" s="116">
        <v>1.1322801199999999</v>
      </c>
      <c r="W58" s="108">
        <v>2.8628361400000002</v>
      </c>
      <c r="X58" s="108">
        <v>4.3711791299999998</v>
      </c>
      <c r="Y58" s="108">
        <v>5.6461647500000005</v>
      </c>
      <c r="Z58" s="117">
        <v>7.2103712700000004</v>
      </c>
    </row>
    <row r="59" spans="2:26" x14ac:dyDescent="0.35">
      <c r="B59" s="56" t="s">
        <v>64</v>
      </c>
      <c r="C59" s="66" t="s">
        <v>65</v>
      </c>
      <c r="D59" s="66" t="s">
        <v>62</v>
      </c>
      <c r="E59" s="66" t="s">
        <v>181</v>
      </c>
      <c r="F59" s="75">
        <v>3.7310339851764886E-2</v>
      </c>
      <c r="G59" s="80">
        <v>4.3926786455403356E-2</v>
      </c>
      <c r="H59" s="80">
        <v>5.1030953252406183E-2</v>
      </c>
      <c r="I59" s="80">
        <v>5.4846294962243934E-2</v>
      </c>
      <c r="J59" s="62">
        <v>5.8098230443167448E-2</v>
      </c>
      <c r="K59" s="75" t="s">
        <v>21</v>
      </c>
      <c r="L59" s="80">
        <v>6.9151482554033524E-3</v>
      </c>
      <c r="M59" s="80">
        <v>1.3280233852406191E-2</v>
      </c>
      <c r="N59" s="80">
        <v>1.604640826224394E-2</v>
      </c>
      <c r="O59" s="62">
        <v>1.7974768843167451E-2</v>
      </c>
      <c r="P59" s="56" t="s">
        <v>21</v>
      </c>
      <c r="Q59" s="66" t="s">
        <v>21</v>
      </c>
      <c r="R59" s="100" t="s">
        <v>21</v>
      </c>
      <c r="S59" s="80" t="s">
        <v>21</v>
      </c>
      <c r="T59" s="62" t="s">
        <v>21</v>
      </c>
      <c r="V59" s="118">
        <v>1.13541263</v>
      </c>
      <c r="W59" s="61">
        <v>2.87650133</v>
      </c>
      <c r="X59" s="61">
        <v>4.3956661800000001</v>
      </c>
      <c r="Y59" s="61">
        <v>5.6830768799999998</v>
      </c>
      <c r="Z59" s="119">
        <v>7.2656387499999999</v>
      </c>
    </row>
    <row r="60" spans="2:26" x14ac:dyDescent="0.35">
      <c r="B60" s="57" t="s">
        <v>64</v>
      </c>
      <c r="C60" s="67" t="s">
        <v>66</v>
      </c>
      <c r="D60" s="67" t="s">
        <v>62</v>
      </c>
      <c r="E60" s="67" t="s">
        <v>21</v>
      </c>
      <c r="F60" s="74">
        <v>3.85557783622986E-2</v>
      </c>
      <c r="G60" s="76">
        <v>4.6781543955034276E-2</v>
      </c>
      <c r="H60" s="76">
        <v>5.5581157058665648E-2</v>
      </c>
      <c r="I60" s="76">
        <v>5.9759803308323894E-2</v>
      </c>
      <c r="J60" s="64">
        <v>6.394155390794809E-2</v>
      </c>
      <c r="K60" s="74">
        <v>6.4642486229859238E-4</v>
      </c>
      <c r="L60" s="76">
        <v>9.6914446550342738E-3</v>
      </c>
      <c r="M60" s="76">
        <v>1.7683029758665647E-2</v>
      </c>
      <c r="N60" s="76">
        <v>2.0788598908323894E-2</v>
      </c>
      <c r="O60" s="64">
        <v>2.3593540107948095E-2</v>
      </c>
      <c r="P60" s="57" t="s">
        <v>21</v>
      </c>
      <c r="Q60" s="67" t="s">
        <v>21</v>
      </c>
      <c r="R60" s="96" t="s">
        <v>21</v>
      </c>
      <c r="S60" s="76" t="s">
        <v>21</v>
      </c>
      <c r="T60" s="64" t="s">
        <v>21</v>
      </c>
      <c r="V60" s="116">
        <v>1.1346812100000001</v>
      </c>
      <c r="W60" s="108">
        <v>2.8683825699999996</v>
      </c>
      <c r="X60" s="108">
        <v>4.3677909499999998</v>
      </c>
      <c r="Y60" s="108">
        <v>5.6289785000000006</v>
      </c>
      <c r="Z60" s="117">
        <v>7.1564950500000002</v>
      </c>
    </row>
    <row r="61" spans="2:26" x14ac:dyDescent="0.35">
      <c r="B61" s="79" t="s">
        <v>228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7"/>
      <c r="P61" s="79"/>
      <c r="Q61" s="78"/>
      <c r="R61" s="95"/>
      <c r="S61" s="78"/>
      <c r="T61" s="77"/>
      <c r="V61" s="112"/>
      <c r="W61" s="107"/>
      <c r="X61" s="107"/>
      <c r="Y61" s="107"/>
      <c r="Z61" s="113"/>
    </row>
    <row r="62" spans="2:26" x14ac:dyDescent="0.35">
      <c r="B62" s="56" t="s">
        <v>229</v>
      </c>
      <c r="C62" s="66" t="s">
        <v>61</v>
      </c>
      <c r="D62" s="66" t="s">
        <v>97</v>
      </c>
      <c r="E62" s="66" t="s">
        <v>21</v>
      </c>
      <c r="F62" s="75">
        <v>3.6314628212667496E-2</v>
      </c>
      <c r="G62" s="80">
        <v>4.1597398501656759E-2</v>
      </c>
      <c r="H62" s="80">
        <v>4.6901967160165731E-2</v>
      </c>
      <c r="I62" s="80">
        <v>4.9768945167302507E-2</v>
      </c>
      <c r="J62" s="62">
        <v>5.2133143494187101E-2</v>
      </c>
      <c r="K62" s="75" t="s">
        <v>21</v>
      </c>
      <c r="L62" s="80">
        <v>4.6893998016567639E-3</v>
      </c>
      <c r="M62" s="80">
        <v>9.3462510601657299E-3</v>
      </c>
      <c r="N62" s="80">
        <v>1.1205087967302511E-2</v>
      </c>
      <c r="O62" s="62">
        <v>1.2247156594187096E-2</v>
      </c>
      <c r="P62" s="55" t="s">
        <v>21</v>
      </c>
      <c r="Q62" s="53" t="s">
        <v>21</v>
      </c>
      <c r="R62" s="94" t="s">
        <v>21</v>
      </c>
      <c r="S62" s="71" t="s">
        <v>21</v>
      </c>
      <c r="T62" s="63" t="s">
        <v>21</v>
      </c>
      <c r="V62" s="118">
        <v>1.1373086699999999</v>
      </c>
      <c r="W62" s="61">
        <v>2.8942767000000003</v>
      </c>
      <c r="X62" s="61">
        <v>4.4586669199999998</v>
      </c>
      <c r="Y62" s="61">
        <v>5.82096401</v>
      </c>
      <c r="Z62" s="119">
        <v>7.5541239499999993</v>
      </c>
    </row>
    <row r="63" spans="2:26" x14ac:dyDescent="0.35">
      <c r="B63" s="57" t="s">
        <v>229</v>
      </c>
      <c r="C63" s="67" t="s">
        <v>63</v>
      </c>
      <c r="D63" s="67" t="s">
        <v>97</v>
      </c>
      <c r="E63" s="67" t="s">
        <v>21</v>
      </c>
      <c r="F63" s="74">
        <v>3.7756362129197349E-2</v>
      </c>
      <c r="G63" s="76">
        <v>4.4520236938047679E-2</v>
      </c>
      <c r="H63" s="76">
        <v>5.1213235071612018E-2</v>
      </c>
      <c r="I63" s="76">
        <v>5.5041069757382939E-2</v>
      </c>
      <c r="J63" s="64">
        <v>5.8005624753410548E-2</v>
      </c>
      <c r="K63" s="74" t="s">
        <v>21</v>
      </c>
      <c r="L63" s="76">
        <v>7.5221664380476722E-3</v>
      </c>
      <c r="M63" s="76">
        <v>1.3513982971612021E-2</v>
      </c>
      <c r="N63" s="76">
        <v>1.6298173857382942E-2</v>
      </c>
      <c r="O63" s="64">
        <v>1.7947153853410554E-2</v>
      </c>
      <c r="P63" s="55" t="s">
        <v>21</v>
      </c>
      <c r="Q63" s="53" t="s">
        <v>21</v>
      </c>
      <c r="R63" s="94" t="s">
        <v>21</v>
      </c>
      <c r="S63" s="71" t="s">
        <v>21</v>
      </c>
      <c r="T63" s="63" t="s">
        <v>21</v>
      </c>
      <c r="V63" s="116">
        <v>1.13581321</v>
      </c>
      <c r="W63" s="72">
        <v>2.8809180799999998</v>
      </c>
      <c r="X63" s="72">
        <v>4.4163519600000001</v>
      </c>
      <c r="Y63" s="108">
        <v>5.7315758699999995</v>
      </c>
      <c r="Z63" s="117">
        <v>7.3715504400000009</v>
      </c>
    </row>
    <row r="64" spans="2:26" x14ac:dyDescent="0.35">
      <c r="B64" s="56" t="s">
        <v>230</v>
      </c>
      <c r="C64" s="66" t="s">
        <v>65</v>
      </c>
      <c r="D64" s="66" t="s">
        <v>97</v>
      </c>
      <c r="E64" s="66" t="s">
        <v>21</v>
      </c>
      <c r="F64" s="75">
        <v>3.7164775769618554E-2</v>
      </c>
      <c r="G64" s="80">
        <v>4.3923075156549515E-2</v>
      </c>
      <c r="H64" s="80">
        <v>5.107914802050556E-2</v>
      </c>
      <c r="I64" s="80">
        <v>5.4846648177119345E-2</v>
      </c>
      <c r="J64" s="62">
        <v>5.846367692775533E-2</v>
      </c>
      <c r="K64" s="75" t="s">
        <v>21</v>
      </c>
      <c r="L64" s="80">
        <v>6.9128608565495187E-3</v>
      </c>
      <c r="M64" s="80">
        <v>1.3326980320505562E-2</v>
      </c>
      <c r="N64" s="80">
        <v>1.6047780377119344E-2</v>
      </c>
      <c r="O64" s="62">
        <v>1.8319874127755341E-2</v>
      </c>
      <c r="P64" s="56" t="s">
        <v>21</v>
      </c>
      <c r="Q64" s="66" t="s">
        <v>21</v>
      </c>
      <c r="R64" s="100" t="s">
        <v>21</v>
      </c>
      <c r="S64" s="80" t="s">
        <v>21</v>
      </c>
      <c r="T64" s="62" t="s">
        <v>21</v>
      </c>
      <c r="V64" s="118">
        <v>1.1356737800000001</v>
      </c>
      <c r="W64" s="61">
        <v>2.8769683099999996</v>
      </c>
      <c r="X64" s="61">
        <v>4.39560175</v>
      </c>
      <c r="Y64" s="61">
        <v>5.68284023</v>
      </c>
      <c r="Z64" s="119">
        <v>7.2574691499999995</v>
      </c>
    </row>
    <row r="65" spans="2:26" x14ac:dyDescent="0.35">
      <c r="B65" s="57" t="s">
        <v>230</v>
      </c>
      <c r="C65" s="67" t="s">
        <v>66</v>
      </c>
      <c r="D65" s="67" t="s">
        <v>97</v>
      </c>
      <c r="E65" s="67" t="s">
        <v>21</v>
      </c>
      <c r="F65" s="74">
        <v>3.854905714545391E-2</v>
      </c>
      <c r="G65" s="76">
        <v>4.7588043588469409E-2</v>
      </c>
      <c r="H65" s="76">
        <v>5.6855161163014215E-2</v>
      </c>
      <c r="I65" s="76">
        <v>6.2030554459396404E-2</v>
      </c>
      <c r="J65" s="64">
        <v>6.6225937200843993E-2</v>
      </c>
      <c r="K65" s="74">
        <v>6.371867454539144E-4</v>
      </c>
      <c r="L65" s="76">
        <v>1.0462877688469404E-2</v>
      </c>
      <c r="M65" s="76">
        <v>1.8892259963014215E-2</v>
      </c>
      <c r="N65" s="76">
        <v>2.2934446559396408E-2</v>
      </c>
      <c r="O65" s="64">
        <v>2.5759518000843983E-2</v>
      </c>
      <c r="P65" s="57" t="s">
        <v>21</v>
      </c>
      <c r="Q65" s="67" t="s">
        <v>21</v>
      </c>
      <c r="R65" s="96" t="s">
        <v>21</v>
      </c>
      <c r="S65" s="76" t="s">
        <v>21</v>
      </c>
      <c r="T65" s="64" t="s">
        <v>21</v>
      </c>
      <c r="V65" s="114">
        <v>1.13470713</v>
      </c>
      <c r="W65" s="108">
        <v>2.86465003</v>
      </c>
      <c r="X65" s="72">
        <v>4.3531262100000001</v>
      </c>
      <c r="Y65" s="108">
        <v>5.5900187299999997</v>
      </c>
      <c r="Z65" s="117">
        <v>7.0728084200000003</v>
      </c>
    </row>
    <row r="66" spans="2:26" x14ac:dyDescent="0.35">
      <c r="B66" s="57" t="s">
        <v>308</v>
      </c>
      <c r="C66" s="67" t="s">
        <v>61</v>
      </c>
      <c r="D66" s="67" t="s">
        <v>97</v>
      </c>
      <c r="E66" s="67" t="s">
        <v>21</v>
      </c>
      <c r="F66" s="74">
        <v>3.6016642017247989E-2</v>
      </c>
      <c r="G66" s="76">
        <v>4.1353589732951522E-2</v>
      </c>
      <c r="H66" s="76">
        <v>4.6634910372027556E-2</v>
      </c>
      <c r="I66" s="76">
        <v>4.9603332322499118E-2</v>
      </c>
      <c r="J66" s="64">
        <v>5.2250581429292425E-2</v>
      </c>
      <c r="K66" s="74" t="s">
        <v>21</v>
      </c>
      <c r="L66" s="76">
        <v>4.4566747329515257E-3</v>
      </c>
      <c r="M66" s="76">
        <v>9.0914940720275578E-3</v>
      </c>
      <c r="N66" s="76">
        <v>1.1047017222499116E-2</v>
      </c>
      <c r="O66" s="64">
        <v>1.2360580229292425E-2</v>
      </c>
      <c r="P66" s="57" t="s">
        <v>21</v>
      </c>
      <c r="Q66" s="67" t="s">
        <v>21</v>
      </c>
      <c r="R66" s="96" t="s">
        <v>21</v>
      </c>
      <c r="S66" s="76" t="s">
        <v>21</v>
      </c>
      <c r="T66" s="64" t="s">
        <v>21</v>
      </c>
      <c r="V66" s="118">
        <v>1.1378683999999999</v>
      </c>
      <c r="W66" s="61">
        <v>2.8967697600000002</v>
      </c>
      <c r="X66" s="61">
        <v>4.4642253099999998</v>
      </c>
      <c r="Y66" s="61">
        <v>5.8290651100000002</v>
      </c>
      <c r="Z66" s="119">
        <v>7.5594730799999992</v>
      </c>
    </row>
    <row r="67" spans="2:26" x14ac:dyDescent="0.35">
      <c r="B67" s="79" t="s">
        <v>303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7"/>
      <c r="P67" s="79"/>
      <c r="Q67" s="78"/>
      <c r="R67" s="95"/>
      <c r="S67" s="78"/>
      <c r="T67" s="77"/>
      <c r="V67" s="112"/>
      <c r="W67" s="107"/>
      <c r="X67" s="107"/>
      <c r="Y67" s="107"/>
      <c r="Z67" s="113"/>
    </row>
    <row r="68" spans="2:26" x14ac:dyDescent="0.35">
      <c r="B68" s="56" t="s">
        <v>305</v>
      </c>
      <c r="C68" s="66" t="s">
        <v>30</v>
      </c>
      <c r="D68" s="66" t="s">
        <v>306</v>
      </c>
      <c r="E68" s="66" t="s">
        <v>21</v>
      </c>
      <c r="F68" s="75">
        <v>3.6398064214781124E-2</v>
      </c>
      <c r="G68" s="80">
        <v>4.202586224023256E-2</v>
      </c>
      <c r="H68" s="80">
        <v>4.753231710085757E-2</v>
      </c>
      <c r="I68" s="80">
        <v>5.1020331077818885E-2</v>
      </c>
      <c r="J68" s="62">
        <v>5.4223333139920657E-2</v>
      </c>
      <c r="K68" s="75" t="s">
        <v>21</v>
      </c>
      <c r="L68" s="80">
        <v>5.1001619402325556E-3</v>
      </c>
      <c r="M68" s="80">
        <v>9.949192300857574E-3</v>
      </c>
      <c r="N68" s="80">
        <v>1.2402376877818876E-2</v>
      </c>
      <c r="O68" s="62">
        <v>1.4260880739920656E-2</v>
      </c>
      <c r="P68" s="55" t="s">
        <v>21</v>
      </c>
      <c r="Q68" s="53" t="s">
        <v>21</v>
      </c>
      <c r="R68" s="94" t="s">
        <v>21</v>
      </c>
      <c r="S68" s="71" t="s">
        <v>21</v>
      </c>
      <c r="T68" s="63" t="s">
        <v>21</v>
      </c>
      <c r="V68" s="118">
        <v>1.13714179</v>
      </c>
      <c r="W68" s="61">
        <v>2.8913080599999996</v>
      </c>
      <c r="X68" s="61">
        <v>4.4485568799999999</v>
      </c>
      <c r="Y68" s="61">
        <v>5.7927868399999998</v>
      </c>
      <c r="Z68" s="119">
        <v>7.4725114300000008</v>
      </c>
    </row>
    <row r="69" spans="2:26" x14ac:dyDescent="0.35">
      <c r="B69" s="55" t="s">
        <v>305</v>
      </c>
      <c r="C69" s="67" t="s">
        <v>35</v>
      </c>
      <c r="D69" s="53" t="s">
        <v>306</v>
      </c>
      <c r="E69" s="53" t="s">
        <v>21</v>
      </c>
      <c r="F69" s="73">
        <v>3.8780855900610527E-2</v>
      </c>
      <c r="G69" s="71">
        <v>4.8090995282595597E-2</v>
      </c>
      <c r="H69" s="71">
        <v>5.7643630595102399E-2</v>
      </c>
      <c r="I69" s="71">
        <v>6.3175452404679561E-2</v>
      </c>
      <c r="J69" s="63">
        <v>6.7038300593118036E-2</v>
      </c>
      <c r="K69" s="73">
        <v>8.5372650061052522E-4</v>
      </c>
      <c r="L69" s="71">
        <v>1.0940725582595593E-2</v>
      </c>
      <c r="M69" s="71">
        <v>1.9634900395102389E-2</v>
      </c>
      <c r="N69" s="71">
        <v>2.4012524604679571E-2</v>
      </c>
      <c r="O69" s="63">
        <v>2.6527710693118028E-2</v>
      </c>
      <c r="P69" s="55" t="s">
        <v>21</v>
      </c>
      <c r="Q69" s="53" t="s">
        <v>21</v>
      </c>
      <c r="R69" s="94" t="s">
        <v>21</v>
      </c>
      <c r="S69" s="71" t="s">
        <v>21</v>
      </c>
      <c r="T69" s="63" t="s">
        <v>21</v>
      </c>
      <c r="V69" s="114">
        <v>1.1344166500000001</v>
      </c>
      <c r="W69" s="72">
        <v>2.86180441</v>
      </c>
      <c r="X69" s="72">
        <v>4.34362154</v>
      </c>
      <c r="Y69" s="72">
        <v>5.5682817599999996</v>
      </c>
      <c r="Z69" s="115">
        <v>7.0348914699999998</v>
      </c>
    </row>
    <row r="70" spans="2:26" x14ac:dyDescent="0.35">
      <c r="B70" s="57" t="s">
        <v>305</v>
      </c>
      <c r="C70" s="53" t="s">
        <v>33</v>
      </c>
      <c r="D70" s="67" t="s">
        <v>306</v>
      </c>
      <c r="E70" s="54" t="s">
        <v>21</v>
      </c>
      <c r="F70" s="74">
        <v>3.7227598312113176E-2</v>
      </c>
      <c r="G70" s="76">
        <v>4.4699068706036023E-2</v>
      </c>
      <c r="H70" s="76">
        <v>5.217378677939595E-2</v>
      </c>
      <c r="I70" s="76">
        <v>5.6443218840596159E-2</v>
      </c>
      <c r="J70" s="64">
        <v>6.0194030411294779E-2</v>
      </c>
      <c r="K70" s="74" t="s">
        <v>21</v>
      </c>
      <c r="L70" s="76">
        <v>7.654811106036029E-3</v>
      </c>
      <c r="M70" s="76">
        <v>1.4366721779395943E-2</v>
      </c>
      <c r="N70" s="76">
        <v>1.7561655140596162E-2</v>
      </c>
      <c r="O70" s="64">
        <v>1.9957754511294765E-2</v>
      </c>
      <c r="P70" s="55" t="s">
        <v>21</v>
      </c>
      <c r="Q70" s="53" t="s">
        <v>21</v>
      </c>
      <c r="R70" s="94" t="s">
        <v>21</v>
      </c>
      <c r="S70" s="71" t="s">
        <v>21</v>
      </c>
      <c r="T70" s="63" t="s">
        <v>21</v>
      </c>
      <c r="V70" s="116">
        <v>1.1355222599999999</v>
      </c>
      <c r="W70" s="72">
        <v>2.8718919000000001</v>
      </c>
      <c r="X70" s="72">
        <v>4.3783324700000001</v>
      </c>
      <c r="Y70" s="108">
        <v>5.6430435000000001</v>
      </c>
      <c r="Z70" s="117">
        <v>7.1750410900000006</v>
      </c>
    </row>
    <row r="71" spans="2:26" x14ac:dyDescent="0.35">
      <c r="B71" s="79" t="s">
        <v>304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7"/>
      <c r="P71" s="79"/>
      <c r="Q71" s="78"/>
      <c r="R71" s="95"/>
      <c r="S71" s="78"/>
      <c r="T71" s="77"/>
      <c r="V71" s="112"/>
      <c r="W71" s="107"/>
      <c r="X71" s="107"/>
      <c r="Y71" s="107"/>
      <c r="Z71" s="113"/>
    </row>
    <row r="72" spans="2:26" x14ac:dyDescent="0.35">
      <c r="B72" s="56" t="s">
        <v>307</v>
      </c>
      <c r="C72" s="66" t="s">
        <v>30</v>
      </c>
      <c r="D72" s="66" t="s">
        <v>131</v>
      </c>
      <c r="E72" s="66" t="s">
        <v>21</v>
      </c>
      <c r="F72" s="75">
        <v>3.6513151033416721E-2</v>
      </c>
      <c r="G72" s="80">
        <v>4.2068153787856957E-2</v>
      </c>
      <c r="H72" s="80">
        <v>4.7636627252275979E-2</v>
      </c>
      <c r="I72" s="80">
        <v>5.0881399793283551E-2</v>
      </c>
      <c r="J72" s="62">
        <v>5.3656412077059901E-2</v>
      </c>
      <c r="K72" s="75" t="s">
        <v>21</v>
      </c>
      <c r="L72" s="80">
        <v>5.140744587856955E-3</v>
      </c>
      <c r="M72" s="80">
        <v>1.0048894752275972E-2</v>
      </c>
      <c r="N72" s="80">
        <v>1.226993939328355E-2</v>
      </c>
      <c r="O72" s="62">
        <v>1.371632997705991E-2</v>
      </c>
      <c r="P72" s="56" t="s">
        <v>21</v>
      </c>
      <c r="Q72" s="66" t="s">
        <v>21</v>
      </c>
      <c r="R72" s="100" t="s">
        <v>21</v>
      </c>
      <c r="S72" s="80" t="s">
        <v>21</v>
      </c>
      <c r="T72" s="62" t="s">
        <v>21</v>
      </c>
      <c r="V72" s="118">
        <v>1.1369186200000001</v>
      </c>
      <c r="W72" s="61">
        <v>2.8906558700000002</v>
      </c>
      <c r="X72" s="61">
        <v>4.4468098700000001</v>
      </c>
      <c r="Y72" s="61">
        <v>5.7927665299999997</v>
      </c>
      <c r="Z72" s="119">
        <v>7.4865999099999998</v>
      </c>
    </row>
    <row r="73" spans="2:26" x14ac:dyDescent="0.35">
      <c r="B73" s="57" t="s">
        <v>307</v>
      </c>
      <c r="C73" s="67" t="s">
        <v>35</v>
      </c>
      <c r="D73" s="67" t="s">
        <v>131</v>
      </c>
      <c r="E73" s="67" t="s">
        <v>21</v>
      </c>
      <c r="F73" s="74">
        <v>3.8797599115149115E-2</v>
      </c>
      <c r="G73" s="76">
        <v>4.8097591213774403E-2</v>
      </c>
      <c r="H73" s="76">
        <v>5.7647972840045525E-2</v>
      </c>
      <c r="I73" s="76">
        <v>6.3178852223365778E-2</v>
      </c>
      <c r="J73" s="64">
        <v>6.7380161625271606E-2</v>
      </c>
      <c r="K73" s="74">
        <v>8.6407661514911749E-4</v>
      </c>
      <c r="L73" s="76">
        <v>1.0944252613774397E-2</v>
      </c>
      <c r="M73" s="76">
        <v>1.9636922540045516E-2</v>
      </c>
      <c r="N73" s="76">
        <v>2.4013968323365779E-2</v>
      </c>
      <c r="O73" s="64">
        <v>2.6848234925271584E-2</v>
      </c>
      <c r="P73" s="57" t="s">
        <v>21</v>
      </c>
      <c r="Q73" s="67" t="s">
        <v>21</v>
      </c>
      <c r="R73" s="96" t="s">
        <v>21</v>
      </c>
      <c r="S73" s="76" t="s">
        <v>21</v>
      </c>
      <c r="T73" s="64" t="s">
        <v>21</v>
      </c>
      <c r="V73" s="114">
        <v>1.1344267800000001</v>
      </c>
      <c r="W73" s="108">
        <v>2.8618011000000001</v>
      </c>
      <c r="X73" s="72">
        <v>4.3436077500000003</v>
      </c>
      <c r="Y73" s="108">
        <v>5.5682588700000002</v>
      </c>
      <c r="Z73" s="117">
        <v>7.0293645099999997</v>
      </c>
    </row>
    <row r="74" spans="2:26" x14ac:dyDescent="0.35">
      <c r="B74" s="79" t="s">
        <v>67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7"/>
      <c r="P74" s="79"/>
      <c r="Q74" s="78"/>
      <c r="R74" s="95"/>
      <c r="S74" s="78"/>
      <c r="T74" s="77"/>
      <c r="V74" s="112"/>
      <c r="W74" s="107"/>
      <c r="X74" s="107"/>
      <c r="Y74" s="107"/>
      <c r="Z74" s="113"/>
    </row>
    <row r="75" spans="2:26" x14ac:dyDescent="0.35">
      <c r="B75" s="56" t="s">
        <v>68</v>
      </c>
      <c r="C75" s="66" t="s">
        <v>61</v>
      </c>
      <c r="D75" s="66" t="s">
        <v>69</v>
      </c>
      <c r="E75" s="66" t="s">
        <v>21</v>
      </c>
      <c r="F75" s="75">
        <v>3.9295445298171382E-2</v>
      </c>
      <c r="G75" s="80">
        <v>4.5183639707416373E-2</v>
      </c>
      <c r="H75" s="80">
        <v>5.1650894111608711E-2</v>
      </c>
      <c r="I75" s="80">
        <v>5.5170417600640724E-2</v>
      </c>
      <c r="J75" s="62">
        <v>5.8420649508275586E-2</v>
      </c>
      <c r="K75" s="75">
        <v>1.3336805981713782E-3</v>
      </c>
      <c r="L75" s="80">
        <v>8.113359707416383E-3</v>
      </c>
      <c r="M75" s="80">
        <v>1.3867462011608709E-2</v>
      </c>
      <c r="N75" s="80">
        <v>1.6351043500640726E-2</v>
      </c>
      <c r="O75" s="62">
        <v>1.8273340808275584E-2</v>
      </c>
      <c r="P75" s="56" t="s">
        <v>21</v>
      </c>
      <c r="Q75" s="66" t="s">
        <v>21</v>
      </c>
      <c r="R75" s="100" t="s">
        <v>21</v>
      </c>
      <c r="S75" s="80" t="s">
        <v>21</v>
      </c>
      <c r="T75" s="62" t="s">
        <v>21</v>
      </c>
      <c r="V75" s="118">
        <v>1.1315980300000001</v>
      </c>
      <c r="W75" s="61">
        <v>2.8621592299999996</v>
      </c>
      <c r="X75" s="61">
        <v>4.3735715500000003</v>
      </c>
      <c r="Y75" s="61">
        <v>5.6574965200000005</v>
      </c>
      <c r="Z75" s="119">
        <v>7.2356661500000001</v>
      </c>
    </row>
    <row r="76" spans="2:26" x14ac:dyDescent="0.35">
      <c r="B76" s="57" t="s">
        <v>68</v>
      </c>
      <c r="C76" s="67" t="s">
        <v>63</v>
      </c>
      <c r="D76" s="67" t="s">
        <v>69</v>
      </c>
      <c r="E76" s="67" t="s">
        <v>81</v>
      </c>
      <c r="F76" s="74">
        <v>4.0914961686458924E-2</v>
      </c>
      <c r="G76" s="76">
        <v>4.8099593223694996E-2</v>
      </c>
      <c r="H76" s="76">
        <v>5.5130460607742869E-2</v>
      </c>
      <c r="I76" s="76">
        <v>5.8937012874530653E-2</v>
      </c>
      <c r="J76" s="64">
        <v>6.2144789036147147E-2</v>
      </c>
      <c r="K76" s="74">
        <v>2.90143308645892E-3</v>
      </c>
      <c r="L76" s="76">
        <v>1.0951419123695003E-2</v>
      </c>
      <c r="M76" s="76">
        <v>1.7250398907742871E-2</v>
      </c>
      <c r="N76" s="76">
        <v>2.0003054274530665E-2</v>
      </c>
      <c r="O76" s="64">
        <v>2.1881149736147146E-2</v>
      </c>
      <c r="P76" s="57" t="s">
        <v>21</v>
      </c>
      <c r="Q76" s="67" t="s">
        <v>21</v>
      </c>
      <c r="R76" s="96" t="s">
        <v>21</v>
      </c>
      <c r="S76" s="76" t="s">
        <v>21</v>
      </c>
      <c r="T76" s="64" t="s">
        <v>21</v>
      </c>
      <c r="V76" s="116">
        <v>1.13058178</v>
      </c>
      <c r="W76" s="108">
        <v>2.85507249</v>
      </c>
      <c r="X76" s="108">
        <v>4.3566872700000001</v>
      </c>
      <c r="Y76" s="108">
        <v>5.6286827800000001</v>
      </c>
      <c r="Z76" s="117">
        <v>7.1914171700000002</v>
      </c>
    </row>
    <row r="77" spans="2:26" x14ac:dyDescent="0.35">
      <c r="B77" s="56" t="s">
        <v>70</v>
      </c>
      <c r="C77" s="66" t="s">
        <v>65</v>
      </c>
      <c r="D77" s="66" t="s">
        <v>69</v>
      </c>
      <c r="E77" s="66" t="s">
        <v>231</v>
      </c>
      <c r="F77" s="75">
        <v>3.9578396753627308E-2</v>
      </c>
      <c r="G77" s="80">
        <v>4.6089589114700152E-2</v>
      </c>
      <c r="H77" s="80">
        <v>5.2857370141697405E-2</v>
      </c>
      <c r="I77" s="80">
        <v>5.6878676463167167E-2</v>
      </c>
      <c r="J77" s="62">
        <v>6.0448949008332226E-2</v>
      </c>
      <c r="K77" s="75">
        <v>1.6055240536272993E-3</v>
      </c>
      <c r="L77" s="80">
        <v>8.977123214700157E-3</v>
      </c>
      <c r="M77" s="80">
        <v>1.5011772541697411E-2</v>
      </c>
      <c r="N77" s="80">
        <v>1.7969194063167167E-2</v>
      </c>
      <c r="O77" s="62">
        <v>2.0190979808332236E-2</v>
      </c>
      <c r="P77" s="55" t="s">
        <v>450</v>
      </c>
      <c r="Q77" s="53" t="s">
        <v>451</v>
      </c>
      <c r="R77" s="94">
        <v>47371</v>
      </c>
      <c r="S77" s="71">
        <v>4.8669989999999996E-2</v>
      </c>
      <c r="T77" s="63">
        <v>4.1873801416974082E-3</v>
      </c>
      <c r="V77" s="118">
        <v>1.1308549699999999</v>
      </c>
      <c r="W77" s="61">
        <v>2.8553059799999998</v>
      </c>
      <c r="X77" s="61">
        <v>4.35339528</v>
      </c>
      <c r="Y77" s="61">
        <v>5.6134922600000001</v>
      </c>
      <c r="Z77" s="119">
        <v>7.1428033399999995</v>
      </c>
    </row>
    <row r="78" spans="2:26" x14ac:dyDescent="0.35">
      <c r="B78" s="55" t="s">
        <v>70</v>
      </c>
      <c r="C78" s="53" t="s">
        <v>66</v>
      </c>
      <c r="D78" s="53" t="s">
        <v>69</v>
      </c>
      <c r="E78" s="53" t="s">
        <v>81</v>
      </c>
      <c r="F78" s="73">
        <v>4.1058230019459852E-2</v>
      </c>
      <c r="G78" s="71">
        <v>4.9601530396579031E-2</v>
      </c>
      <c r="H78" s="71">
        <v>5.8574892646333199E-2</v>
      </c>
      <c r="I78" s="71">
        <v>6.4014049078561147E-2</v>
      </c>
      <c r="J78" s="63">
        <v>6.8044412040566049E-2</v>
      </c>
      <c r="K78" s="73">
        <v>3.0343053194598537E-3</v>
      </c>
      <c r="L78" s="71">
        <v>1.2385554096579031E-2</v>
      </c>
      <c r="M78" s="71">
        <v>2.0513440446333207E-2</v>
      </c>
      <c r="N78" s="71">
        <v>2.4800166878561149E-2</v>
      </c>
      <c r="O78" s="63">
        <v>2.7472185040566057E-2</v>
      </c>
      <c r="P78" s="55" t="s">
        <v>21</v>
      </c>
      <c r="Q78" s="53" t="s">
        <v>21</v>
      </c>
      <c r="R78" s="94" t="s">
        <v>21</v>
      </c>
      <c r="S78" s="71" t="s">
        <v>21</v>
      </c>
      <c r="T78" s="63" t="s">
        <v>21</v>
      </c>
      <c r="V78" s="116">
        <v>1.1303371099999999</v>
      </c>
      <c r="W78" s="108">
        <v>2.84769812</v>
      </c>
      <c r="X78" s="108">
        <v>4.3209481799999994</v>
      </c>
      <c r="Y78" s="108">
        <v>5.5376963999999997</v>
      </c>
      <c r="Z78" s="117">
        <v>6.9888267899999992</v>
      </c>
    </row>
    <row r="79" spans="2:26" x14ac:dyDescent="0.35">
      <c r="B79" s="56" t="s">
        <v>71</v>
      </c>
      <c r="C79" s="66" t="s">
        <v>61</v>
      </c>
      <c r="D79" s="66" t="s">
        <v>69</v>
      </c>
      <c r="E79" s="66" t="s">
        <v>21</v>
      </c>
      <c r="F79" s="75">
        <v>3.7237386973378014E-2</v>
      </c>
      <c r="G79" s="80">
        <v>4.2602786459495036E-2</v>
      </c>
      <c r="H79" s="80">
        <v>4.79105510633729E-2</v>
      </c>
      <c r="I79" s="80">
        <v>5.1006440988690963E-2</v>
      </c>
      <c r="J79" s="62">
        <v>5.3687543904807469E-2</v>
      </c>
      <c r="K79" s="75" t="s">
        <v>21</v>
      </c>
      <c r="L79" s="80">
        <v>5.6542888594950345E-3</v>
      </c>
      <c r="M79" s="80">
        <v>1.0311400263372895E-2</v>
      </c>
      <c r="N79" s="80">
        <v>1.2389460588690969E-2</v>
      </c>
      <c r="O79" s="62">
        <v>1.3744916004807473E-2</v>
      </c>
      <c r="P79" s="56" t="s">
        <v>21</v>
      </c>
      <c r="Q79" s="66" t="s">
        <v>21</v>
      </c>
      <c r="R79" s="100" t="s">
        <v>21</v>
      </c>
      <c r="S79" s="80" t="s">
        <v>21</v>
      </c>
      <c r="T79" s="62" t="s">
        <v>21</v>
      </c>
      <c r="V79" s="118">
        <v>1.1354947900000001</v>
      </c>
      <c r="W79" s="61">
        <v>2.8848414299999998</v>
      </c>
      <c r="X79" s="61">
        <v>4.43741319</v>
      </c>
      <c r="Y79" s="61">
        <v>5.7818266600000001</v>
      </c>
      <c r="Z79" s="119">
        <v>7.4759395199999998</v>
      </c>
    </row>
    <row r="80" spans="2:26" x14ac:dyDescent="0.35">
      <c r="B80" s="57" t="s">
        <v>71</v>
      </c>
      <c r="C80" s="67" t="s">
        <v>63</v>
      </c>
      <c r="D80" s="67" t="s">
        <v>69</v>
      </c>
      <c r="E80" s="67" t="s">
        <v>21</v>
      </c>
      <c r="F80" s="74">
        <v>3.86912776142498E-2</v>
      </c>
      <c r="G80" s="76">
        <v>4.4835873926085956E-2</v>
      </c>
      <c r="H80" s="76">
        <v>5.0834075204161874E-2</v>
      </c>
      <c r="I80" s="76">
        <v>5.4445886237148682E-2</v>
      </c>
      <c r="J80" s="64">
        <v>5.7256248147427115E-2</v>
      </c>
      <c r="K80" s="74">
        <v>7.8550081424979667E-4</v>
      </c>
      <c r="L80" s="76">
        <v>7.8274664260859599E-3</v>
      </c>
      <c r="M80" s="76">
        <v>1.3151060304161877E-2</v>
      </c>
      <c r="N80" s="76">
        <v>1.5727647037148677E-2</v>
      </c>
      <c r="O80" s="64">
        <v>1.7224018047427112E-2</v>
      </c>
      <c r="P80" s="57" t="s">
        <v>21</v>
      </c>
      <c r="Q80" s="67" t="s">
        <v>21</v>
      </c>
      <c r="R80" s="96" t="s">
        <v>21</v>
      </c>
      <c r="S80" s="76" t="s">
        <v>21</v>
      </c>
      <c r="T80" s="64" t="s">
        <v>21</v>
      </c>
      <c r="V80" s="116">
        <v>1.1344378100000001</v>
      </c>
      <c r="W80" s="108">
        <v>2.8773007400000004</v>
      </c>
      <c r="X80" s="108">
        <v>4.4159953999999999</v>
      </c>
      <c r="Y80" s="108">
        <v>5.7383420100000002</v>
      </c>
      <c r="Z80" s="117">
        <v>7.3939833299999993</v>
      </c>
    </row>
    <row r="81" spans="2:26" x14ac:dyDescent="0.35">
      <c r="B81" s="55" t="s">
        <v>72</v>
      </c>
      <c r="C81" s="53" t="s">
        <v>65</v>
      </c>
      <c r="D81" s="53" t="s">
        <v>69</v>
      </c>
      <c r="E81" s="53" t="s">
        <v>34</v>
      </c>
      <c r="F81" s="73">
        <v>3.7182647533895337E-2</v>
      </c>
      <c r="G81" s="71">
        <v>4.3501337931627151E-2</v>
      </c>
      <c r="H81" s="71">
        <v>5.0351486192272858E-2</v>
      </c>
      <c r="I81" s="71">
        <v>5.4082668194839263E-2</v>
      </c>
      <c r="J81" s="63">
        <v>5.7727356517628808E-2</v>
      </c>
      <c r="K81" s="73" t="s">
        <v>21</v>
      </c>
      <c r="L81" s="71">
        <v>6.5096641316271537E-3</v>
      </c>
      <c r="M81" s="71">
        <v>1.2635154092272862E-2</v>
      </c>
      <c r="N81" s="71">
        <v>1.5321451294839262E-2</v>
      </c>
      <c r="O81" s="63">
        <v>1.7619875017628801E-2</v>
      </c>
      <c r="P81" s="55" t="s">
        <v>21</v>
      </c>
      <c r="Q81" s="53" t="s">
        <v>21</v>
      </c>
      <c r="R81" s="94" t="s">
        <v>21</v>
      </c>
      <c r="S81" s="71" t="s">
        <v>21</v>
      </c>
      <c r="T81" s="63" t="s">
        <v>21</v>
      </c>
      <c r="V81" s="118">
        <v>1.1356495799999999</v>
      </c>
      <c r="W81" s="61">
        <v>2.8795457399999997</v>
      </c>
      <c r="X81" s="61">
        <v>4.4061651799999995</v>
      </c>
      <c r="Y81" s="61">
        <v>5.7046785699999996</v>
      </c>
      <c r="Z81" s="119">
        <v>7.2973741900000002</v>
      </c>
    </row>
    <row r="82" spans="2:26" x14ac:dyDescent="0.35">
      <c r="B82" s="57" t="s">
        <v>72</v>
      </c>
      <c r="C82" s="67" t="s">
        <v>66</v>
      </c>
      <c r="D82" s="67" t="s">
        <v>69</v>
      </c>
      <c r="E82" s="67" t="s">
        <v>36</v>
      </c>
      <c r="F82" s="74">
        <v>3.8383497834785438E-2</v>
      </c>
      <c r="G82" s="76">
        <v>4.7154867485454895E-2</v>
      </c>
      <c r="H82" s="76">
        <v>5.5975964890297665E-2</v>
      </c>
      <c r="I82" s="76">
        <v>6.1018947025554007E-2</v>
      </c>
      <c r="J82" s="64">
        <v>6.4909670973003319E-2</v>
      </c>
      <c r="K82" s="74">
        <v>4.8031033478544444E-4</v>
      </c>
      <c r="L82" s="76">
        <v>1.0049479785454903E-2</v>
      </c>
      <c r="M82" s="76">
        <v>1.805858089029767E-2</v>
      </c>
      <c r="N82" s="76">
        <v>2.1979290325553999E-2</v>
      </c>
      <c r="O82" s="64">
        <v>2.4514470373003326E-2</v>
      </c>
      <c r="P82" s="57" t="s">
        <v>21</v>
      </c>
      <c r="Q82" s="67" t="s">
        <v>21</v>
      </c>
      <c r="R82" s="96" t="s">
        <v>21</v>
      </c>
      <c r="S82" s="76" t="s">
        <v>21</v>
      </c>
      <c r="T82" s="64" t="s">
        <v>21</v>
      </c>
      <c r="V82" s="116">
        <v>1.1349273900000001</v>
      </c>
      <c r="W82" s="108">
        <v>2.8670576999999997</v>
      </c>
      <c r="X82" s="108">
        <v>4.3628506300000005</v>
      </c>
      <c r="Y82" s="108">
        <v>5.6109749799999999</v>
      </c>
      <c r="Z82" s="117">
        <v>7.1176998199999995</v>
      </c>
    </row>
    <row r="83" spans="2:26" x14ac:dyDescent="0.35">
      <c r="B83" s="57" t="s">
        <v>74</v>
      </c>
      <c r="C83" s="67" t="s">
        <v>61</v>
      </c>
      <c r="D83" s="67" t="s">
        <v>69</v>
      </c>
      <c r="E83" s="67" t="s">
        <v>314</v>
      </c>
      <c r="F83" s="74">
        <v>3.8095345108537251E-2</v>
      </c>
      <c r="G83" s="76">
        <v>4.4182185587096641E-2</v>
      </c>
      <c r="H83" s="76">
        <v>5.0481360017599917E-2</v>
      </c>
      <c r="I83" s="76">
        <v>5.4210209031573808E-2</v>
      </c>
      <c r="J83" s="64">
        <v>5.7534121043308573E-2</v>
      </c>
      <c r="K83" s="74">
        <v>1.867465085372633E-4</v>
      </c>
      <c r="L83" s="76">
        <v>7.1611278870966459E-3</v>
      </c>
      <c r="M83" s="76">
        <v>1.2759103017599919E-2</v>
      </c>
      <c r="N83" s="76">
        <v>1.5441530331573812E-2</v>
      </c>
      <c r="O83" s="64">
        <v>1.7434090143308573E-2</v>
      </c>
      <c r="P83" s="57" t="s">
        <v>21</v>
      </c>
      <c r="Q83" s="67" t="s">
        <v>21</v>
      </c>
      <c r="R83" s="96" t="s">
        <v>21</v>
      </c>
      <c r="S83" s="76" t="s">
        <v>21</v>
      </c>
      <c r="T83" s="64" t="s">
        <v>21</v>
      </c>
      <c r="V83" s="118">
        <v>1.13387069</v>
      </c>
      <c r="W83" s="61">
        <v>2.8722435900000001</v>
      </c>
      <c r="X83" s="61">
        <v>4.3965873899999997</v>
      </c>
      <c r="Y83" s="61">
        <v>5.69419509</v>
      </c>
      <c r="Z83" s="119">
        <v>7.2921679800000003</v>
      </c>
    </row>
    <row r="84" spans="2:26" x14ac:dyDescent="0.35">
      <c r="B84" s="55" t="s">
        <v>76</v>
      </c>
      <c r="C84" s="53" t="s">
        <v>65</v>
      </c>
      <c r="D84" s="53" t="s">
        <v>69</v>
      </c>
      <c r="E84" s="53" t="s">
        <v>34</v>
      </c>
      <c r="F84" s="73">
        <v>3.8301532753340292E-2</v>
      </c>
      <c r="G84" s="71">
        <v>4.4879599499973839E-2</v>
      </c>
      <c r="H84" s="71">
        <v>5.2441970072308726E-2</v>
      </c>
      <c r="I84" s="71">
        <v>5.6472344371781398E-2</v>
      </c>
      <c r="J84" s="63">
        <v>6.0039748436757572E-2</v>
      </c>
      <c r="K84" s="73">
        <v>3.8560445334028925E-4</v>
      </c>
      <c r="L84" s="71">
        <v>7.8262138999738527E-3</v>
      </c>
      <c r="M84" s="71">
        <v>1.4619953672308722E-2</v>
      </c>
      <c r="N84" s="71">
        <v>1.7588302971781405E-2</v>
      </c>
      <c r="O84" s="63">
        <v>1.981027753675757E-2</v>
      </c>
      <c r="P84" s="55" t="s">
        <v>21</v>
      </c>
      <c r="Q84" s="53" t="s">
        <v>21</v>
      </c>
      <c r="R84" s="94" t="s">
        <v>21</v>
      </c>
      <c r="S84" s="71" t="s">
        <v>21</v>
      </c>
      <c r="T84" s="63" t="s">
        <v>21</v>
      </c>
      <c r="V84" s="118">
        <v>1.1334696</v>
      </c>
      <c r="W84" s="61">
        <v>2.8672426099999999</v>
      </c>
      <c r="X84" s="61">
        <v>4.3710863900000003</v>
      </c>
      <c r="Y84" s="61">
        <v>5.6354362599999996</v>
      </c>
      <c r="Z84" s="119">
        <v>7.172136430000001</v>
      </c>
    </row>
    <row r="85" spans="2:26" x14ac:dyDescent="0.35">
      <c r="B85" s="57" t="s">
        <v>76</v>
      </c>
      <c r="C85" s="67" t="s">
        <v>66</v>
      </c>
      <c r="D85" s="67" t="s">
        <v>69</v>
      </c>
      <c r="E85" s="67" t="s">
        <v>21</v>
      </c>
      <c r="F85" s="74">
        <v>3.9379584671919717E-2</v>
      </c>
      <c r="G85" s="76">
        <v>4.8437477919630711E-2</v>
      </c>
      <c r="H85" s="76">
        <v>5.8217100979117031E-2</v>
      </c>
      <c r="I85" s="76">
        <v>6.3480919601435981E-2</v>
      </c>
      <c r="J85" s="64">
        <v>6.7260175082096738E-2</v>
      </c>
      <c r="K85" s="74">
        <v>1.4532625719197133E-3</v>
      </c>
      <c r="L85" s="76">
        <v>1.1282844519630708E-2</v>
      </c>
      <c r="M85" s="76">
        <v>2.0184413679117039E-2</v>
      </c>
      <c r="N85" s="76">
        <v>2.4307168401435993E-2</v>
      </c>
      <c r="O85" s="64">
        <v>2.674183108209674E-2</v>
      </c>
      <c r="P85" s="57" t="s">
        <v>21</v>
      </c>
      <c r="Q85" s="67" t="s">
        <v>21</v>
      </c>
      <c r="R85" s="96" t="s">
        <v>21</v>
      </c>
      <c r="S85" s="76" t="s">
        <v>21</v>
      </c>
      <c r="T85" s="64" t="s">
        <v>21</v>
      </c>
      <c r="V85" s="116">
        <v>1.13335936</v>
      </c>
      <c r="W85" s="108">
        <v>2.85831452</v>
      </c>
      <c r="X85" s="108">
        <v>4.3353060699999997</v>
      </c>
      <c r="Y85" s="108">
        <v>5.5563278700000005</v>
      </c>
      <c r="Z85" s="117">
        <v>7.0196384099999998</v>
      </c>
    </row>
    <row r="86" spans="2:26" x14ac:dyDescent="0.35">
      <c r="B86" s="55" t="s">
        <v>77</v>
      </c>
      <c r="C86" s="53" t="s">
        <v>61</v>
      </c>
      <c r="D86" s="53" t="s">
        <v>69</v>
      </c>
      <c r="E86" s="53" t="s">
        <v>21</v>
      </c>
      <c r="F86" s="73">
        <v>3.7361000568546548E-2</v>
      </c>
      <c r="G86" s="71">
        <v>4.291723106791389E-2</v>
      </c>
      <c r="H86" s="71">
        <v>4.8386657789789685E-2</v>
      </c>
      <c r="I86" s="71">
        <v>5.1716383551462922E-2</v>
      </c>
      <c r="J86" s="63">
        <v>5.441700877905558E-2</v>
      </c>
      <c r="K86" s="73" t="s">
        <v>21</v>
      </c>
      <c r="L86" s="71">
        <v>5.9528610679138909E-3</v>
      </c>
      <c r="M86" s="71">
        <v>1.0764335489789679E-2</v>
      </c>
      <c r="N86" s="71">
        <v>1.3066280951462925E-2</v>
      </c>
      <c r="O86" s="63">
        <v>1.4446766979055579E-2</v>
      </c>
      <c r="P86" s="55" t="s">
        <v>21</v>
      </c>
      <c r="Q86" s="53" t="s">
        <v>21</v>
      </c>
      <c r="R86" s="94" t="s">
        <v>21</v>
      </c>
      <c r="S86" s="71" t="s">
        <v>21</v>
      </c>
      <c r="T86" s="63" t="s">
        <v>21</v>
      </c>
      <c r="V86" s="118">
        <v>1.13528885</v>
      </c>
      <c r="W86" s="61">
        <v>2.8825414199999999</v>
      </c>
      <c r="X86" s="61">
        <v>4.42982415</v>
      </c>
      <c r="Y86" s="61">
        <v>5.7639303599999998</v>
      </c>
      <c r="Z86" s="119">
        <v>7.4388129200000002</v>
      </c>
    </row>
    <row r="87" spans="2:26" x14ac:dyDescent="0.35">
      <c r="B87" s="57" t="s">
        <v>77</v>
      </c>
      <c r="C87" s="67" t="s">
        <v>63</v>
      </c>
      <c r="D87" s="67" t="s">
        <v>69</v>
      </c>
      <c r="E87" s="67" t="s">
        <v>21</v>
      </c>
      <c r="F87" s="74">
        <v>3.9194957867065221E-2</v>
      </c>
      <c r="G87" s="76">
        <v>4.5393928068320225E-2</v>
      </c>
      <c r="H87" s="76">
        <v>5.1921429349207029E-2</v>
      </c>
      <c r="I87" s="76">
        <v>5.5259247245578194E-2</v>
      </c>
      <c r="J87" s="64">
        <v>5.7811742992870549E-2</v>
      </c>
      <c r="K87" s="74">
        <v>1.2674905670652199E-3</v>
      </c>
      <c r="L87" s="76">
        <v>8.3613897683202307E-3</v>
      </c>
      <c r="M87" s="76">
        <v>1.4191137649207026E-2</v>
      </c>
      <c r="N87" s="76">
        <v>1.65055574455782E-2</v>
      </c>
      <c r="O87" s="64">
        <v>1.7757872592870552E-2</v>
      </c>
      <c r="P87" s="57" t="s">
        <v>21</v>
      </c>
      <c r="Q87" s="67" t="s">
        <v>21</v>
      </c>
      <c r="R87" s="96" t="s">
        <v>21</v>
      </c>
      <c r="S87" s="76" t="s">
        <v>21</v>
      </c>
      <c r="T87" s="64" t="s">
        <v>21</v>
      </c>
      <c r="V87" s="116">
        <v>1.13373916</v>
      </c>
      <c r="W87" s="108">
        <v>2.8732238300000001</v>
      </c>
      <c r="X87" s="108">
        <v>4.4023817899999997</v>
      </c>
      <c r="Y87" s="108">
        <v>5.7149847899999999</v>
      </c>
      <c r="Z87" s="117">
        <v>7.3597037399999996</v>
      </c>
    </row>
    <row r="88" spans="2:26" x14ac:dyDescent="0.35">
      <c r="B88" s="55" t="s">
        <v>78</v>
      </c>
      <c r="C88" s="53" t="s">
        <v>65</v>
      </c>
      <c r="D88" s="53" t="s">
        <v>69</v>
      </c>
      <c r="E88" s="53" t="s">
        <v>79</v>
      </c>
      <c r="F88" s="73">
        <v>3.7456276788661404E-2</v>
      </c>
      <c r="G88" s="71">
        <v>4.4171232464417051E-2</v>
      </c>
      <c r="H88" s="71">
        <v>5.1443417792620377E-2</v>
      </c>
      <c r="I88" s="71">
        <v>5.5395418464345009E-2</v>
      </c>
      <c r="J88" s="63">
        <v>5.9072983855676706E-2</v>
      </c>
      <c r="K88" s="73" t="s">
        <v>21</v>
      </c>
      <c r="L88" s="71">
        <v>7.1516138644170538E-3</v>
      </c>
      <c r="M88" s="71">
        <v>1.3674069892620376E-2</v>
      </c>
      <c r="N88" s="71">
        <v>1.6569144664345004E-2</v>
      </c>
      <c r="O88" s="63">
        <v>1.8897328355676701E-2</v>
      </c>
      <c r="P88" s="55" t="s">
        <v>21</v>
      </c>
      <c r="Q88" s="53" t="s">
        <v>21</v>
      </c>
      <c r="R88" s="94" t="s">
        <v>21</v>
      </c>
      <c r="S88" s="71" t="s">
        <v>21</v>
      </c>
      <c r="T88" s="63" t="s">
        <v>21</v>
      </c>
      <c r="V88" s="118">
        <v>1.1350832900000001</v>
      </c>
      <c r="W88" s="61">
        <v>2.8743997000000001</v>
      </c>
      <c r="X88" s="61">
        <v>4.3890549299999995</v>
      </c>
      <c r="Y88" s="61">
        <v>5.6685958200000002</v>
      </c>
      <c r="Z88" s="119">
        <v>7.2281944599999992</v>
      </c>
    </row>
    <row r="89" spans="2:26" x14ac:dyDescent="0.35">
      <c r="B89" s="57" t="s">
        <v>78</v>
      </c>
      <c r="C89" s="67" t="s">
        <v>66</v>
      </c>
      <c r="D89" s="67" t="s">
        <v>69</v>
      </c>
      <c r="E89" s="67" t="s">
        <v>133</v>
      </c>
      <c r="F89" s="74">
        <v>3.8877222119318967E-2</v>
      </c>
      <c r="G89" s="76">
        <v>4.8186532032593085E-2</v>
      </c>
      <c r="H89" s="76">
        <v>5.8026958860424818E-2</v>
      </c>
      <c r="I89" s="76">
        <v>6.3288122197825966E-2</v>
      </c>
      <c r="J89" s="64">
        <v>6.7404305952053337E-2</v>
      </c>
      <c r="K89" s="74">
        <v>9.498933193189639E-4</v>
      </c>
      <c r="L89" s="76">
        <v>1.1033582032593083E-2</v>
      </c>
      <c r="M89" s="76">
        <v>1.9998229460424809E-2</v>
      </c>
      <c r="N89" s="76">
        <v>2.4120186397825968E-2</v>
      </c>
      <c r="O89" s="64">
        <v>2.6873148752053332E-2</v>
      </c>
      <c r="P89" s="57" t="s">
        <v>21</v>
      </c>
      <c r="Q89" s="67" t="s">
        <v>21</v>
      </c>
      <c r="R89" s="96" t="s">
        <v>21</v>
      </c>
      <c r="S89" s="76" t="s">
        <v>21</v>
      </c>
      <c r="T89" s="64" t="s">
        <v>21</v>
      </c>
      <c r="V89" s="116">
        <v>1.1342596</v>
      </c>
      <c r="W89" s="108">
        <v>2.8610801299999999</v>
      </c>
      <c r="X89" s="108">
        <v>4.3398411400000008</v>
      </c>
      <c r="Y89" s="108">
        <v>5.5628243900000003</v>
      </c>
      <c r="Z89" s="117">
        <v>7.0239117100000001</v>
      </c>
    </row>
    <row r="90" spans="2:26" x14ac:dyDescent="0.35">
      <c r="B90" s="55" t="s">
        <v>80</v>
      </c>
      <c r="C90" s="53" t="s">
        <v>61</v>
      </c>
      <c r="D90" s="53" t="s">
        <v>69</v>
      </c>
      <c r="E90" s="53" t="s">
        <v>21</v>
      </c>
      <c r="F90" s="73">
        <v>3.689406494418776E-2</v>
      </c>
      <c r="G90" s="71">
        <v>4.2563380142099427E-2</v>
      </c>
      <c r="H90" s="71">
        <v>4.8779496194390919E-2</v>
      </c>
      <c r="I90" s="71">
        <v>5.2056849290156512E-2</v>
      </c>
      <c r="J90" s="63">
        <v>5.514330108661715E-2</v>
      </c>
      <c r="K90" s="73" t="s">
        <v>21</v>
      </c>
      <c r="L90" s="71">
        <v>5.616722642099432E-3</v>
      </c>
      <c r="M90" s="71">
        <v>1.1141108794390923E-2</v>
      </c>
      <c r="N90" s="71">
        <v>1.3394503690156507E-2</v>
      </c>
      <c r="O90" s="63">
        <v>1.514673338661714E-2</v>
      </c>
      <c r="P90" s="55" t="s">
        <v>21</v>
      </c>
      <c r="Q90" s="53" t="s">
        <v>21</v>
      </c>
      <c r="R90" s="94" t="s">
        <v>21</v>
      </c>
      <c r="S90" s="71" t="s">
        <v>21</v>
      </c>
      <c r="T90" s="63" t="s">
        <v>21</v>
      </c>
      <c r="V90" s="118">
        <v>1.1361530200000001</v>
      </c>
      <c r="W90" s="61">
        <v>2.8862277000000001</v>
      </c>
      <c r="X90" s="61">
        <v>4.4300940099999995</v>
      </c>
      <c r="Y90" s="61">
        <v>5.75812144</v>
      </c>
      <c r="Z90" s="119">
        <v>7.41483325</v>
      </c>
    </row>
    <row r="91" spans="2:26" x14ac:dyDescent="0.35">
      <c r="B91" s="55" t="s">
        <v>80</v>
      </c>
      <c r="C91" s="53" t="s">
        <v>63</v>
      </c>
      <c r="D91" s="53" t="s">
        <v>69</v>
      </c>
      <c r="E91" s="53" t="s">
        <v>36</v>
      </c>
      <c r="F91" s="73">
        <v>3.9049686163134825E-2</v>
      </c>
      <c r="G91" s="71">
        <v>4.552412762192036E-2</v>
      </c>
      <c r="H91" s="71">
        <v>5.1977959431034657E-2</v>
      </c>
      <c r="I91" s="71">
        <v>5.5890971342463951E-2</v>
      </c>
      <c r="J91" s="63">
        <v>5.9222816593146134E-2</v>
      </c>
      <c r="K91" s="73">
        <v>1.1271811631348222E-3</v>
      </c>
      <c r="L91" s="71">
        <v>8.4864637219203634E-3</v>
      </c>
      <c r="M91" s="71">
        <v>1.4245086031034655E-2</v>
      </c>
      <c r="N91" s="71">
        <v>1.7109492442463955E-2</v>
      </c>
      <c r="O91" s="63">
        <v>1.9106027793146133E-2</v>
      </c>
      <c r="P91" s="55" t="s">
        <v>21</v>
      </c>
      <c r="Q91" s="53" t="s">
        <v>21</v>
      </c>
      <c r="R91" s="94" t="s">
        <v>21</v>
      </c>
      <c r="S91" s="71" t="s">
        <v>21</v>
      </c>
      <c r="T91" s="63" t="s">
        <v>21</v>
      </c>
      <c r="V91" s="116">
        <v>1.1339483699999999</v>
      </c>
      <c r="W91" s="108">
        <v>2.8729515800000001</v>
      </c>
      <c r="X91" s="108">
        <v>4.4023436700000005</v>
      </c>
      <c r="Y91" s="108">
        <v>5.70834727</v>
      </c>
      <c r="Z91" s="117">
        <v>7.3258604099999998</v>
      </c>
    </row>
    <row r="92" spans="2:26" x14ac:dyDescent="0.35">
      <c r="B92" s="56" t="s">
        <v>82</v>
      </c>
      <c r="C92" s="66" t="s">
        <v>65</v>
      </c>
      <c r="D92" s="66" t="s">
        <v>69</v>
      </c>
      <c r="E92" s="66" t="s">
        <v>34</v>
      </c>
      <c r="F92" s="75">
        <v>3.7888063159213378E-2</v>
      </c>
      <c r="G92" s="80">
        <v>4.4819709574165027E-2</v>
      </c>
      <c r="H92" s="80">
        <v>5.2488737131408822E-2</v>
      </c>
      <c r="I92" s="80">
        <v>5.6518045437763037E-2</v>
      </c>
      <c r="J92" s="62">
        <v>6.0132198750742973E-2</v>
      </c>
      <c r="K92" s="75" t="s">
        <v>21</v>
      </c>
      <c r="L92" s="80">
        <v>7.7682827741650355E-3</v>
      </c>
      <c r="M92" s="80">
        <v>1.4663839531408818E-2</v>
      </c>
      <c r="N92" s="80">
        <v>1.763162963776304E-2</v>
      </c>
      <c r="O92" s="62">
        <v>1.989786245074298E-2</v>
      </c>
      <c r="P92" s="56" t="s">
        <v>21</v>
      </c>
      <c r="Q92" s="66" t="s">
        <v>21</v>
      </c>
      <c r="R92" s="100" t="s">
        <v>21</v>
      </c>
      <c r="S92" s="80" t="s">
        <v>21</v>
      </c>
      <c r="T92" s="62" t="s">
        <v>21</v>
      </c>
      <c r="V92" s="114">
        <v>1.13427521</v>
      </c>
      <c r="W92" s="72">
        <v>2.8690054599999999</v>
      </c>
      <c r="X92" s="72">
        <v>4.3723723100000003</v>
      </c>
      <c r="Y92" s="72">
        <v>5.6358218500000001</v>
      </c>
      <c r="Z92" s="115">
        <v>7.1701267400000006</v>
      </c>
    </row>
    <row r="93" spans="2:26" x14ac:dyDescent="0.35">
      <c r="B93" s="57" t="s">
        <v>82</v>
      </c>
      <c r="C93" s="67" t="s">
        <v>66</v>
      </c>
      <c r="D93" s="67" t="s">
        <v>69</v>
      </c>
      <c r="E93" s="67" t="s">
        <v>21</v>
      </c>
      <c r="F93" s="74">
        <v>3.893629665682017E-2</v>
      </c>
      <c r="G93" s="76">
        <v>4.8512385487840537E-2</v>
      </c>
      <c r="H93" s="76">
        <v>5.832065381387997E-2</v>
      </c>
      <c r="I93" s="76">
        <v>6.3671543623242455E-2</v>
      </c>
      <c r="J93" s="64">
        <v>6.7790447297662773E-2</v>
      </c>
      <c r="K93" s="74">
        <v>1.0138774568201692E-3</v>
      </c>
      <c r="L93" s="76">
        <v>1.1348599887840535E-2</v>
      </c>
      <c r="M93" s="76">
        <v>2.0277936013879963E-2</v>
      </c>
      <c r="N93" s="76">
        <v>2.4483480623242449E-2</v>
      </c>
      <c r="O93" s="64">
        <v>2.723941249766279E-2</v>
      </c>
      <c r="P93" s="57" t="s">
        <v>21</v>
      </c>
      <c r="Q93" s="67" t="s">
        <v>21</v>
      </c>
      <c r="R93" s="96" t="s">
        <v>21</v>
      </c>
      <c r="S93" s="76" t="s">
        <v>21</v>
      </c>
      <c r="T93" s="64" t="s">
        <v>21</v>
      </c>
      <c r="V93" s="114">
        <v>1.1341338400000001</v>
      </c>
      <c r="W93" s="72">
        <v>2.8593272600000001</v>
      </c>
      <c r="X93" s="72">
        <v>4.3353718899999993</v>
      </c>
      <c r="Y93" s="72">
        <v>5.5543291899999998</v>
      </c>
      <c r="Z93" s="115">
        <v>7.0084088700000002</v>
      </c>
    </row>
    <row r="94" spans="2:26" x14ac:dyDescent="0.35">
      <c r="B94" s="79" t="s">
        <v>452</v>
      </c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7"/>
      <c r="P94" s="79"/>
      <c r="Q94" s="78"/>
      <c r="R94" s="95"/>
      <c r="S94" s="78"/>
      <c r="T94" s="77"/>
      <c r="V94" s="112"/>
      <c r="W94" s="107"/>
      <c r="X94" s="107"/>
      <c r="Y94" s="107"/>
      <c r="Z94" s="113"/>
    </row>
    <row r="95" spans="2:26" x14ac:dyDescent="0.35">
      <c r="B95" s="55" t="s">
        <v>84</v>
      </c>
      <c r="C95" s="53" t="s">
        <v>85</v>
      </c>
      <c r="D95" s="53" t="s">
        <v>20</v>
      </c>
      <c r="E95" s="53" t="s">
        <v>453</v>
      </c>
      <c r="F95" s="73">
        <v>3.9784662560414484E-2</v>
      </c>
      <c r="G95" s="71">
        <v>4.5486441355580005E-2</v>
      </c>
      <c r="H95" s="71">
        <v>5.1745688835111554E-2</v>
      </c>
      <c r="I95" s="71">
        <v>5.5180447383329889E-2</v>
      </c>
      <c r="J95" s="63">
        <v>5.8173835446610062E-2</v>
      </c>
      <c r="K95" s="73">
        <v>1.8229157604144949E-3</v>
      </c>
      <c r="L95" s="71">
        <v>8.4253562555800052E-3</v>
      </c>
      <c r="M95" s="71">
        <v>1.3982613535111559E-2</v>
      </c>
      <c r="N95" s="71">
        <v>1.63864067833299E-2</v>
      </c>
      <c r="O95" s="63">
        <v>1.8065887946610067E-2</v>
      </c>
      <c r="P95" s="55" t="s">
        <v>21</v>
      </c>
      <c r="Q95" s="53" t="s">
        <v>21</v>
      </c>
      <c r="R95" s="94" t="s">
        <v>21</v>
      </c>
      <c r="S95" s="71" t="s">
        <v>21</v>
      </c>
      <c r="T95" s="63" t="s">
        <v>21</v>
      </c>
      <c r="V95" s="114">
        <v>1.1316808700000001</v>
      </c>
      <c r="W95" s="72">
        <v>2.8634681799999999</v>
      </c>
      <c r="X95" s="72">
        <v>4.38032194</v>
      </c>
      <c r="Y95" s="72">
        <v>5.67056366</v>
      </c>
      <c r="Z95" s="115">
        <v>7.2654849400000003</v>
      </c>
    </row>
    <row r="96" spans="2:26" x14ac:dyDescent="0.35">
      <c r="B96" s="55" t="s">
        <v>86</v>
      </c>
      <c r="C96" s="53" t="s">
        <v>85</v>
      </c>
      <c r="D96" s="53" t="s">
        <v>20</v>
      </c>
      <c r="E96" s="53" t="s">
        <v>453</v>
      </c>
      <c r="F96" s="73">
        <v>3.9836933388666833E-2</v>
      </c>
      <c r="G96" s="71">
        <v>4.5740212577093597E-2</v>
      </c>
      <c r="H96" s="71">
        <v>5.1864113863823398E-2</v>
      </c>
      <c r="I96" s="71">
        <v>5.5303938109326357E-2</v>
      </c>
      <c r="J96" s="63">
        <v>5.8381144952890651E-2</v>
      </c>
      <c r="K96" s="73">
        <v>1.8738522886668357E-3</v>
      </c>
      <c r="L96" s="71">
        <v>8.6677315770936E-3</v>
      </c>
      <c r="M96" s="71">
        <v>1.4095353263823406E-2</v>
      </c>
      <c r="N96" s="71">
        <v>1.6504494809326354E-2</v>
      </c>
      <c r="O96" s="63">
        <v>1.8263759452890656E-2</v>
      </c>
      <c r="P96" s="55" t="s">
        <v>21</v>
      </c>
      <c r="Q96" s="53" t="s">
        <v>21</v>
      </c>
      <c r="R96" s="94" t="s">
        <v>21</v>
      </c>
      <c r="S96" s="71" t="s">
        <v>21</v>
      </c>
      <c r="T96" s="63" t="s">
        <v>21</v>
      </c>
      <c r="V96" s="114">
        <v>1.13156703</v>
      </c>
      <c r="W96" s="72">
        <v>2.8624252299999999</v>
      </c>
      <c r="X96" s="72">
        <v>4.3781770099999999</v>
      </c>
      <c r="Y96" s="72">
        <v>5.6654493600000002</v>
      </c>
      <c r="Z96" s="115">
        <v>7.2560251199999994</v>
      </c>
    </row>
    <row r="97" spans="2:26" x14ac:dyDescent="0.35">
      <c r="B97" s="55" t="s">
        <v>87</v>
      </c>
      <c r="C97" s="53" t="s">
        <v>85</v>
      </c>
      <c r="D97" s="53" t="s">
        <v>20</v>
      </c>
      <c r="E97" s="53" t="s">
        <v>88</v>
      </c>
      <c r="F97" s="73">
        <v>3.9636994740009243E-2</v>
      </c>
      <c r="G97" s="71">
        <v>4.5593457846083485E-2</v>
      </c>
      <c r="H97" s="71">
        <v>5.2018288512938965E-2</v>
      </c>
      <c r="I97" s="71">
        <v>5.5183897854567038E-2</v>
      </c>
      <c r="J97" s="63">
        <v>5.8226829110758965E-2</v>
      </c>
      <c r="K97" s="73">
        <v>1.6841703400092495E-3</v>
      </c>
      <c r="L97" s="71">
        <v>8.5283829460834799E-3</v>
      </c>
      <c r="M97" s="71">
        <v>1.424204581293897E-2</v>
      </c>
      <c r="N97" s="71">
        <v>1.6389821254567033E-2</v>
      </c>
      <c r="O97" s="63">
        <v>1.8116336810758964E-2</v>
      </c>
      <c r="P97" s="55" t="s">
        <v>21</v>
      </c>
      <c r="Q97" s="53" t="s">
        <v>21</v>
      </c>
      <c r="R97" s="94" t="s">
        <v>21</v>
      </c>
      <c r="S97" s="71" t="s">
        <v>21</v>
      </c>
      <c r="T97" s="63" t="s">
        <v>21</v>
      </c>
      <c r="V97" s="114">
        <v>1.1319305399999999</v>
      </c>
      <c r="W97" s="72">
        <v>2.8628021299999999</v>
      </c>
      <c r="X97" s="72">
        <v>4.3772478399999999</v>
      </c>
      <c r="Y97" s="72">
        <v>5.6692708000000005</v>
      </c>
      <c r="Z97" s="115">
        <v>7.2626330799999996</v>
      </c>
    </row>
    <row r="98" spans="2:26" x14ac:dyDescent="0.35">
      <c r="B98" s="55" t="s">
        <v>89</v>
      </c>
      <c r="C98" s="53" t="s">
        <v>85</v>
      </c>
      <c r="D98" s="53" t="s">
        <v>20</v>
      </c>
      <c r="E98" s="53" t="s">
        <v>314</v>
      </c>
      <c r="F98" s="73">
        <v>3.8372932248997196E-2</v>
      </c>
      <c r="G98" s="71">
        <v>4.409802328610541E-2</v>
      </c>
      <c r="H98" s="71">
        <v>4.9759378787831529E-2</v>
      </c>
      <c r="I98" s="71">
        <v>5.3101777246917038E-2</v>
      </c>
      <c r="J98" s="63">
        <v>5.6043074500214486E-2</v>
      </c>
      <c r="K98" s="73">
        <v>4.7044174899719092E-4</v>
      </c>
      <c r="L98" s="71">
        <v>7.1024692861054121E-3</v>
      </c>
      <c r="M98" s="71">
        <v>1.2095359887831527E-2</v>
      </c>
      <c r="N98" s="71">
        <v>1.4410325546917043E-2</v>
      </c>
      <c r="O98" s="63">
        <v>1.6026396800214494E-2</v>
      </c>
      <c r="P98" s="55" t="s">
        <v>21</v>
      </c>
      <c r="Q98" s="53" t="s">
        <v>21</v>
      </c>
      <c r="R98" s="94" t="s">
        <v>21</v>
      </c>
      <c r="S98" s="71" t="s">
        <v>21</v>
      </c>
      <c r="T98" s="63" t="s">
        <v>21</v>
      </c>
      <c r="V98" s="114">
        <v>1.1343102900000002</v>
      </c>
      <c r="W98" s="72">
        <v>2.8763871600000002</v>
      </c>
      <c r="X98" s="72">
        <v>4.4145518600000004</v>
      </c>
      <c r="Y98" s="72">
        <v>5.7352806100000002</v>
      </c>
      <c r="Z98" s="115">
        <v>7.3832117700000008</v>
      </c>
    </row>
    <row r="99" spans="2:26" x14ac:dyDescent="0.35">
      <c r="B99" s="55" t="s">
        <v>90</v>
      </c>
      <c r="C99" s="53" t="s">
        <v>85</v>
      </c>
      <c r="D99" s="53" t="s">
        <v>20</v>
      </c>
      <c r="E99" s="53" t="s">
        <v>75</v>
      </c>
      <c r="F99" s="73">
        <v>3.97198539358736E-2</v>
      </c>
      <c r="G99" s="71">
        <v>4.5863100547109868E-2</v>
      </c>
      <c r="H99" s="71">
        <v>5.2316429566037596E-2</v>
      </c>
      <c r="I99" s="71">
        <v>5.5845551518668296E-2</v>
      </c>
      <c r="J99" s="63">
        <v>5.8760239836054377E-2</v>
      </c>
      <c r="K99" s="73">
        <v>1.7568926358735946E-3</v>
      </c>
      <c r="L99" s="71">
        <v>8.7823445471098653E-3</v>
      </c>
      <c r="M99" s="71">
        <v>1.4523034266037595E-2</v>
      </c>
      <c r="N99" s="71">
        <v>1.70168147186683E-2</v>
      </c>
      <c r="O99" s="63">
        <v>1.862354243605439E-2</v>
      </c>
      <c r="P99" s="55" t="s">
        <v>21</v>
      </c>
      <c r="Q99" s="53" t="s">
        <v>21</v>
      </c>
      <c r="R99" s="94" t="s">
        <v>21</v>
      </c>
      <c r="S99" s="71" t="s">
        <v>21</v>
      </c>
      <c r="T99" s="63" t="s">
        <v>21</v>
      </c>
      <c r="V99" s="114">
        <v>1.1317806500000001</v>
      </c>
      <c r="W99" s="72">
        <v>2.8619732299999998</v>
      </c>
      <c r="X99" s="72">
        <v>4.37232603</v>
      </c>
      <c r="Y99" s="72">
        <v>5.6529125000000002</v>
      </c>
      <c r="Z99" s="115">
        <v>7.2332486999999999</v>
      </c>
    </row>
    <row r="100" spans="2:26" x14ac:dyDescent="0.35">
      <c r="B100" s="55" t="s">
        <v>91</v>
      </c>
      <c r="C100" s="53" t="s">
        <v>85</v>
      </c>
      <c r="D100" s="53" t="s">
        <v>20</v>
      </c>
      <c r="E100" s="53" t="s">
        <v>92</v>
      </c>
      <c r="F100" s="73">
        <v>3.9014060819407809E-2</v>
      </c>
      <c r="G100" s="71">
        <v>4.4812998729638641E-2</v>
      </c>
      <c r="H100" s="71">
        <v>5.1074433529211809E-2</v>
      </c>
      <c r="I100" s="71">
        <v>5.4414603851628045E-2</v>
      </c>
      <c r="J100" s="63">
        <v>5.741566217776483E-2</v>
      </c>
      <c r="K100" s="73">
        <v>1.0809797194078095E-3</v>
      </c>
      <c r="L100" s="71">
        <v>7.7824505296386444E-3</v>
      </c>
      <c r="M100" s="71">
        <v>1.3344864729211814E-2</v>
      </c>
      <c r="N100" s="71">
        <v>1.5659737051628042E-2</v>
      </c>
      <c r="O100" s="63">
        <v>1.7341944277764823E-2</v>
      </c>
      <c r="P100" s="55" t="s">
        <v>21</v>
      </c>
      <c r="Q100" s="53" t="s">
        <v>21</v>
      </c>
      <c r="R100" s="94" t="s">
        <v>21</v>
      </c>
      <c r="S100" s="71" t="s">
        <v>21</v>
      </c>
      <c r="T100" s="63" t="s">
        <v>21</v>
      </c>
      <c r="V100" s="114">
        <v>1.1331249700000001</v>
      </c>
      <c r="W100" s="72">
        <v>2.8703326200000001</v>
      </c>
      <c r="X100" s="72">
        <v>4.3942344599999998</v>
      </c>
      <c r="Y100" s="72">
        <v>5.69422593</v>
      </c>
      <c r="Z100" s="115">
        <v>7.3069576999999999</v>
      </c>
    </row>
    <row r="101" spans="2:26" x14ac:dyDescent="0.35">
      <c r="B101" s="55" t="s">
        <v>309</v>
      </c>
      <c r="C101" s="53" t="s">
        <v>85</v>
      </c>
      <c r="D101" s="53" t="s">
        <v>20</v>
      </c>
      <c r="E101" s="53" t="s">
        <v>315</v>
      </c>
      <c r="F101" s="73">
        <v>3.7084268590857221E-2</v>
      </c>
      <c r="G101" s="71">
        <v>4.311750823408201E-2</v>
      </c>
      <c r="H101" s="71">
        <v>4.907023514034492E-2</v>
      </c>
      <c r="I101" s="71">
        <v>5.2417457015210327E-2</v>
      </c>
      <c r="J101" s="63">
        <v>5.5395334499037524E-2</v>
      </c>
      <c r="K101" s="73" t="s">
        <v>21</v>
      </c>
      <c r="L101" s="71">
        <v>6.1640547340820195E-3</v>
      </c>
      <c r="M101" s="71">
        <v>1.1438341940344926E-2</v>
      </c>
      <c r="N101" s="71">
        <v>1.3759264015210323E-2</v>
      </c>
      <c r="O101" s="63">
        <v>1.5409221799037526E-2</v>
      </c>
      <c r="P101" s="55" t="s">
        <v>21</v>
      </c>
      <c r="Q101" s="53" t="s">
        <v>21</v>
      </c>
      <c r="R101" s="94" t="s">
        <v>21</v>
      </c>
      <c r="S101" s="71" t="s">
        <v>21</v>
      </c>
      <c r="T101" s="63" t="s">
        <v>21</v>
      </c>
      <c r="V101" s="114">
        <v>1.1368211099999999</v>
      </c>
      <c r="W101" s="72">
        <v>2.8872195199999999</v>
      </c>
      <c r="X101" s="72">
        <v>4.4337217999999998</v>
      </c>
      <c r="Y101" s="72">
        <v>5.7632832199999999</v>
      </c>
      <c r="Z101" s="115">
        <v>7.4230155000000009</v>
      </c>
    </row>
    <row r="102" spans="2:26" x14ac:dyDescent="0.35">
      <c r="B102" s="55" t="s">
        <v>310</v>
      </c>
      <c r="C102" s="53" t="s">
        <v>85</v>
      </c>
      <c r="D102" s="53" t="s">
        <v>20</v>
      </c>
      <c r="E102" s="53" t="s">
        <v>73</v>
      </c>
      <c r="F102" s="73">
        <v>3.9580361663827467E-2</v>
      </c>
      <c r="G102" s="71">
        <v>4.70442193589053E-2</v>
      </c>
      <c r="H102" s="71">
        <v>5.5196367650016148E-2</v>
      </c>
      <c r="I102" s="71">
        <v>5.9153350552951109E-2</v>
      </c>
      <c r="J102" s="63">
        <v>6.3060575947913755E-2</v>
      </c>
      <c r="K102" s="73">
        <v>1.6216242638274637E-3</v>
      </c>
      <c r="L102" s="71">
        <v>9.9044489589052934E-3</v>
      </c>
      <c r="M102" s="71">
        <v>1.7246202050016139E-2</v>
      </c>
      <c r="N102" s="71">
        <v>2.0138247152951105E-2</v>
      </c>
      <c r="O102" s="63">
        <v>2.2686210747913757E-2</v>
      </c>
      <c r="P102" s="55" t="s">
        <v>21</v>
      </c>
      <c r="Q102" s="53" t="s">
        <v>21</v>
      </c>
      <c r="R102" s="94" t="s">
        <v>21</v>
      </c>
      <c r="S102" s="71" t="s">
        <v>21</v>
      </c>
      <c r="T102" s="63" t="s">
        <v>21</v>
      </c>
      <c r="V102" s="114">
        <v>1.1320520299999999</v>
      </c>
      <c r="W102" s="72">
        <v>2.85503295</v>
      </c>
      <c r="X102" s="72">
        <v>4.3346488699999997</v>
      </c>
      <c r="Y102" s="72">
        <v>5.5662403100000004</v>
      </c>
      <c r="Z102" s="115">
        <v>7.0402192299999999</v>
      </c>
    </row>
    <row r="103" spans="2:26" x14ac:dyDescent="0.35">
      <c r="B103" s="55" t="s">
        <v>311</v>
      </c>
      <c r="C103" s="53" t="s">
        <v>85</v>
      </c>
      <c r="D103" s="53" t="s">
        <v>20</v>
      </c>
      <c r="E103" s="53" t="s">
        <v>48</v>
      </c>
      <c r="F103" s="73">
        <v>4.1513428759497754E-2</v>
      </c>
      <c r="G103" s="71">
        <v>5.2873860443289955E-2</v>
      </c>
      <c r="H103" s="71">
        <v>6.3612304900700314E-2</v>
      </c>
      <c r="I103" s="71">
        <v>7.0056860462287929E-2</v>
      </c>
      <c r="J103" s="63">
        <v>7.430479623604283E-2</v>
      </c>
      <c r="K103" s="73">
        <v>3.4437980594977623E-3</v>
      </c>
      <c r="L103" s="71">
        <v>1.5405938343289958E-2</v>
      </c>
      <c r="M103" s="71">
        <v>2.5098299700700315E-2</v>
      </c>
      <c r="N103" s="71">
        <v>3.0288647662287921E-2</v>
      </c>
      <c r="O103" s="63">
        <v>3.3184000836042851E-2</v>
      </c>
      <c r="P103" s="55" t="s">
        <v>21</v>
      </c>
      <c r="Q103" s="53" t="s">
        <v>21</v>
      </c>
      <c r="R103" s="94" t="s">
        <v>21</v>
      </c>
      <c r="S103" s="71" t="s">
        <v>21</v>
      </c>
      <c r="T103" s="63" t="s">
        <v>21</v>
      </c>
      <c r="V103" s="114">
        <v>1.12739254</v>
      </c>
      <c r="W103" s="72">
        <v>2.8101363300000002</v>
      </c>
      <c r="X103" s="72">
        <v>4.2005800000000004</v>
      </c>
      <c r="Y103" s="72">
        <v>5.2892384000000003</v>
      </c>
      <c r="Z103" s="115">
        <v>6.5336790599999999</v>
      </c>
    </row>
    <row r="104" spans="2:26" x14ac:dyDescent="0.35">
      <c r="B104" s="55" t="s">
        <v>312</v>
      </c>
      <c r="C104" s="53" t="s">
        <v>85</v>
      </c>
      <c r="D104" s="53" t="s">
        <v>20</v>
      </c>
      <c r="E104" s="53" t="s">
        <v>161</v>
      </c>
      <c r="F104" s="73">
        <v>3.7201453488953741E-2</v>
      </c>
      <c r="G104" s="71">
        <v>4.3523199127012441E-2</v>
      </c>
      <c r="H104" s="71">
        <v>4.9622276618847522E-2</v>
      </c>
      <c r="I104" s="71">
        <v>5.4027852479302252E-2</v>
      </c>
      <c r="J104" s="63">
        <v>5.6674230400700118E-2</v>
      </c>
      <c r="K104" s="73" t="s">
        <v>21</v>
      </c>
      <c r="L104" s="71">
        <v>6.5535613270124391E-3</v>
      </c>
      <c r="M104" s="71">
        <v>1.196581941884752E-2</v>
      </c>
      <c r="N104" s="71">
        <v>1.5293589379302256E-2</v>
      </c>
      <c r="O104" s="63">
        <v>1.6641209000700111E-2</v>
      </c>
      <c r="P104" s="55" t="s">
        <v>316</v>
      </c>
      <c r="Q104" s="53" t="s">
        <v>317</v>
      </c>
      <c r="R104" s="94">
        <v>47788</v>
      </c>
      <c r="S104" s="71">
        <v>4.7258370000000001E-2</v>
      </c>
      <c r="T104" s="63">
        <v>2.3639066188475208E-3</v>
      </c>
      <c r="V104" s="114">
        <v>1.1365703700000001</v>
      </c>
      <c r="W104" s="72">
        <v>2.8840141699999999</v>
      </c>
      <c r="X104" s="72">
        <v>4.4234610299999995</v>
      </c>
      <c r="Y104" s="72">
        <v>5.7298921299999996</v>
      </c>
      <c r="Z104" s="115">
        <v>7.3551936100000006</v>
      </c>
    </row>
    <row r="105" spans="2:26" x14ac:dyDescent="0.35">
      <c r="B105" s="57" t="s">
        <v>313</v>
      </c>
      <c r="C105" s="53" t="s">
        <v>85</v>
      </c>
      <c r="D105" s="67" t="s">
        <v>20</v>
      </c>
      <c r="E105" s="67" t="s">
        <v>276</v>
      </c>
      <c r="F105" s="74">
        <v>3.834277260731641E-2</v>
      </c>
      <c r="G105" s="76">
        <v>4.5409745778103722E-2</v>
      </c>
      <c r="H105" s="76">
        <v>5.3375115434986575E-2</v>
      </c>
      <c r="I105" s="76">
        <v>5.8226341442365936E-2</v>
      </c>
      <c r="J105" s="64">
        <v>6.2218492150681114E-2</v>
      </c>
      <c r="K105" s="74">
        <v>4.4204480731641072E-4</v>
      </c>
      <c r="L105" s="76">
        <v>8.3535680781037236E-3</v>
      </c>
      <c r="M105" s="76">
        <v>1.5529545634986574E-2</v>
      </c>
      <c r="N105" s="76">
        <v>1.9270726342365936E-2</v>
      </c>
      <c r="O105" s="64">
        <v>2.1898502450681118E-2</v>
      </c>
      <c r="P105" s="57" t="s">
        <v>21</v>
      </c>
      <c r="Q105" s="67" t="s">
        <v>21</v>
      </c>
      <c r="R105" s="96" t="s">
        <v>21</v>
      </c>
      <c r="S105" s="76" t="s">
        <v>21</v>
      </c>
      <c r="T105" s="64" t="s">
        <v>21</v>
      </c>
      <c r="V105" s="116">
        <v>1.1343715699999999</v>
      </c>
      <c r="W105" s="108">
        <v>2.8686275299999999</v>
      </c>
      <c r="X105" s="108">
        <v>4.3681145400000005</v>
      </c>
      <c r="Y105" s="108">
        <v>5.6133336300000005</v>
      </c>
      <c r="Z105" s="117">
        <v>7.1056686199999994</v>
      </c>
    </row>
    <row r="106" spans="2:26" x14ac:dyDescent="0.35">
      <c r="B106" s="53" t="s">
        <v>21</v>
      </c>
      <c r="C106" s="53" t="s">
        <v>21</v>
      </c>
      <c r="E106" s="53" t="s">
        <v>21</v>
      </c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R106" s="94"/>
      <c r="V106" s="72"/>
      <c r="W106" s="72"/>
      <c r="X106" s="72"/>
      <c r="Y106" s="72"/>
      <c r="Z106" s="72"/>
    </row>
    <row r="107" spans="2:26" ht="15.5" x14ac:dyDescent="0.35">
      <c r="B107" s="122" t="s">
        <v>93</v>
      </c>
      <c r="C107" s="53" t="s">
        <v>21</v>
      </c>
      <c r="E107" s="53" t="s">
        <v>21</v>
      </c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R107" s="94"/>
      <c r="V107" s="72"/>
      <c r="W107" s="72"/>
      <c r="X107" s="72"/>
      <c r="Y107" s="72"/>
      <c r="Z107" s="72"/>
    </row>
    <row r="108" spans="2:26" x14ac:dyDescent="0.35">
      <c r="B108" s="85" t="s">
        <v>5</v>
      </c>
      <c r="C108" s="84" t="s">
        <v>6</v>
      </c>
      <c r="D108" s="84" t="s">
        <v>7</v>
      </c>
      <c r="E108" s="84" t="s">
        <v>8</v>
      </c>
      <c r="F108" s="83" t="s">
        <v>9</v>
      </c>
      <c r="G108" s="82" t="s">
        <v>10</v>
      </c>
      <c r="H108" s="82" t="s">
        <v>11</v>
      </c>
      <c r="I108" s="82" t="s">
        <v>12</v>
      </c>
      <c r="J108" s="81" t="s">
        <v>13</v>
      </c>
      <c r="K108" s="83" t="s">
        <v>9</v>
      </c>
      <c r="L108" s="82" t="s">
        <v>10</v>
      </c>
      <c r="M108" s="82" t="s">
        <v>11</v>
      </c>
      <c r="N108" s="82" t="s">
        <v>12</v>
      </c>
      <c r="O108" s="81" t="s">
        <v>13</v>
      </c>
      <c r="P108" s="70" t="s">
        <v>14</v>
      </c>
      <c r="Q108" s="58" t="s">
        <v>15</v>
      </c>
      <c r="R108" s="58" t="s">
        <v>16</v>
      </c>
      <c r="S108" s="58" t="s">
        <v>218</v>
      </c>
      <c r="T108" s="58" t="s">
        <v>18</v>
      </c>
      <c r="V108" s="110" t="s">
        <v>9</v>
      </c>
      <c r="W108" s="106" t="s">
        <v>10</v>
      </c>
      <c r="X108" s="106" t="s">
        <v>11</v>
      </c>
      <c r="Y108" s="106" t="s">
        <v>12</v>
      </c>
      <c r="Z108" s="111" t="s">
        <v>13</v>
      </c>
    </row>
    <row r="109" spans="2:26" x14ac:dyDescent="0.35">
      <c r="B109" s="79" t="s">
        <v>94</v>
      </c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7"/>
      <c r="P109" s="79"/>
      <c r="Q109" s="78"/>
      <c r="R109" s="95"/>
      <c r="S109" s="78"/>
      <c r="T109" s="77"/>
      <c r="V109" s="112"/>
      <c r="W109" s="107"/>
      <c r="X109" s="107"/>
      <c r="Y109" s="107"/>
      <c r="Z109" s="113"/>
    </row>
    <row r="110" spans="2:26" x14ac:dyDescent="0.35">
      <c r="B110" s="56" t="s">
        <v>95</v>
      </c>
      <c r="C110" s="66" t="s">
        <v>85</v>
      </c>
      <c r="D110" s="66" t="s">
        <v>43</v>
      </c>
      <c r="E110" s="66" t="s">
        <v>232</v>
      </c>
      <c r="F110" s="75">
        <v>3.6685807920524338E-2</v>
      </c>
      <c r="G110" s="80">
        <v>4.3038909217589134E-2</v>
      </c>
      <c r="H110" s="80">
        <v>4.9564213726325468E-2</v>
      </c>
      <c r="I110" s="80">
        <v>5.2877486846782333E-2</v>
      </c>
      <c r="J110" s="62">
        <v>5.5751348559955921E-2</v>
      </c>
      <c r="K110" s="75" t="s">
        <v>21</v>
      </c>
      <c r="L110" s="80">
        <v>6.0700161175891391E-3</v>
      </c>
      <c r="M110" s="80">
        <v>1.1887856826325467E-2</v>
      </c>
      <c r="N110" s="80">
        <v>1.4176589446782333E-2</v>
      </c>
      <c r="O110" s="62">
        <v>1.5731501859955921E-2</v>
      </c>
      <c r="P110" s="56" t="s">
        <v>21</v>
      </c>
      <c r="Q110" s="66" t="s">
        <v>21</v>
      </c>
      <c r="R110" s="100" t="s">
        <v>21</v>
      </c>
      <c r="S110" s="80" t="s">
        <v>21</v>
      </c>
      <c r="T110" s="63" t="s">
        <v>21</v>
      </c>
      <c r="V110" s="118">
        <v>1.13657425</v>
      </c>
      <c r="W110" s="61">
        <v>2.88400692</v>
      </c>
      <c r="X110" s="61">
        <v>4.4191181300000002</v>
      </c>
      <c r="Y110" s="61">
        <v>5.7348116099999995</v>
      </c>
      <c r="Z110" s="119">
        <v>7.3755387399999996</v>
      </c>
    </row>
    <row r="111" spans="2:26" x14ac:dyDescent="0.35">
      <c r="B111" s="57" t="s">
        <v>95</v>
      </c>
      <c r="C111" s="67" t="s">
        <v>35</v>
      </c>
      <c r="D111" s="67" t="s">
        <v>43</v>
      </c>
      <c r="E111" s="67" t="s">
        <v>233</v>
      </c>
      <c r="F111" s="74">
        <v>3.8154224430677237E-2</v>
      </c>
      <c r="G111" s="76">
        <v>4.6660605268613341E-2</v>
      </c>
      <c r="H111" s="76">
        <v>5.5385146819456381E-2</v>
      </c>
      <c r="I111" s="76">
        <v>5.9654691078266764E-2</v>
      </c>
      <c r="J111" s="64">
        <v>6.331708656472175E-2</v>
      </c>
      <c r="K111" s="74">
        <v>2.5568973067723218E-4</v>
      </c>
      <c r="L111" s="76">
        <v>9.5744032686133386E-3</v>
      </c>
      <c r="M111" s="76">
        <v>1.7495875319456376E-2</v>
      </c>
      <c r="N111" s="76">
        <v>2.0688581578266758E-2</v>
      </c>
      <c r="O111" s="64">
        <v>2.300282746472174E-2</v>
      </c>
      <c r="P111" s="57" t="s">
        <v>21</v>
      </c>
      <c r="Q111" s="67" t="s">
        <v>21</v>
      </c>
      <c r="R111" s="96" t="s">
        <v>21</v>
      </c>
      <c r="S111" s="76" t="s">
        <v>21</v>
      </c>
      <c r="T111" s="64" t="s">
        <v>21</v>
      </c>
      <c r="V111" s="116">
        <v>1.13527606</v>
      </c>
      <c r="W111" s="108">
        <v>2.8699890400000001</v>
      </c>
      <c r="X111" s="108">
        <v>4.3710068800000004</v>
      </c>
      <c r="Y111" s="108">
        <v>5.6334259800000002</v>
      </c>
      <c r="Z111" s="117">
        <v>7.1711440099999999</v>
      </c>
    </row>
    <row r="112" spans="2:26" x14ac:dyDescent="0.35">
      <c r="B112" s="55" t="s">
        <v>96</v>
      </c>
      <c r="C112" s="53" t="s">
        <v>85</v>
      </c>
      <c r="D112" s="53" t="s">
        <v>97</v>
      </c>
      <c r="E112" s="53" t="s">
        <v>21</v>
      </c>
      <c r="F112" s="73">
        <v>3.709279474582753E-2</v>
      </c>
      <c r="G112" s="71">
        <v>4.3381113730743166E-2</v>
      </c>
      <c r="H112" s="71">
        <v>4.9832608635557364E-2</v>
      </c>
      <c r="I112" s="71">
        <v>5.3524422273531456E-2</v>
      </c>
      <c r="J112" s="63">
        <v>5.6649746425470077E-2</v>
      </c>
      <c r="K112" s="73" t="s">
        <v>21</v>
      </c>
      <c r="L112" s="71">
        <v>6.3964477307431652E-3</v>
      </c>
      <c r="M112" s="71">
        <v>1.2142539035557365E-2</v>
      </c>
      <c r="N112" s="71">
        <v>1.4790967773531449E-2</v>
      </c>
      <c r="O112" s="63">
        <v>1.6591398025470071E-2</v>
      </c>
      <c r="P112" s="55" t="s">
        <v>21</v>
      </c>
      <c r="Q112" s="53" t="s">
        <v>21</v>
      </c>
      <c r="R112" s="94" t="s">
        <v>21</v>
      </c>
      <c r="S112" s="71" t="s">
        <v>21</v>
      </c>
      <c r="T112" s="63" t="s">
        <v>21</v>
      </c>
      <c r="V112" s="114">
        <v>1.1357976999999999</v>
      </c>
      <c r="W112" s="72">
        <v>2.8803722199999999</v>
      </c>
      <c r="X112" s="72">
        <v>4.4129119799999996</v>
      </c>
      <c r="Y112" s="72">
        <v>5.71979068</v>
      </c>
      <c r="Z112" s="115">
        <v>7.3379060200000001</v>
      </c>
    </row>
    <row r="113" spans="2:26" x14ac:dyDescent="0.35">
      <c r="B113" s="57" t="s">
        <v>96</v>
      </c>
      <c r="C113" s="67" t="s">
        <v>35</v>
      </c>
      <c r="D113" s="67" t="s">
        <v>97</v>
      </c>
      <c r="E113" s="67" t="s">
        <v>44</v>
      </c>
      <c r="F113" s="74">
        <v>3.9404912519529101E-2</v>
      </c>
      <c r="G113" s="76">
        <v>4.6884232427270495E-2</v>
      </c>
      <c r="H113" s="76">
        <v>5.5011317619015947E-2</v>
      </c>
      <c r="I113" s="76">
        <v>5.9922656245776397E-2</v>
      </c>
      <c r="J113" s="64">
        <v>6.350346209804629E-2</v>
      </c>
      <c r="K113" s="74">
        <v>1.4681037195291066E-3</v>
      </c>
      <c r="L113" s="76">
        <v>9.7908624272704942E-3</v>
      </c>
      <c r="M113" s="76">
        <v>1.7140849119015943E-2</v>
      </c>
      <c r="N113" s="76">
        <v>2.0941146045776401E-2</v>
      </c>
      <c r="O113" s="64">
        <v>2.3180001098046271E-2</v>
      </c>
      <c r="P113" s="57" t="s">
        <v>21</v>
      </c>
      <c r="Q113" s="67" t="s">
        <v>21</v>
      </c>
      <c r="R113" s="96" t="s">
        <v>21</v>
      </c>
      <c r="S113" s="76" t="s">
        <v>21</v>
      </c>
      <c r="T113" s="64" t="s">
        <v>21</v>
      </c>
      <c r="V113" s="116">
        <v>1.1333796899999999</v>
      </c>
      <c r="W113" s="108">
        <v>2.8653693699999998</v>
      </c>
      <c r="X113" s="108">
        <v>4.3694561399999996</v>
      </c>
      <c r="Y113" s="108">
        <v>5.6303060399999998</v>
      </c>
      <c r="Z113" s="117">
        <v>7.1635287600000002</v>
      </c>
    </row>
    <row r="114" spans="2:26" x14ac:dyDescent="0.35">
      <c r="B114" s="55" t="s">
        <v>98</v>
      </c>
      <c r="C114" s="53" t="s">
        <v>85</v>
      </c>
      <c r="D114" s="53" t="s">
        <v>47</v>
      </c>
      <c r="E114" s="53" t="s">
        <v>21</v>
      </c>
      <c r="F114" s="73">
        <v>3.7313872776230751E-2</v>
      </c>
      <c r="G114" s="71">
        <v>4.3918940110374088E-2</v>
      </c>
      <c r="H114" s="71">
        <v>5.1025928706404794E-2</v>
      </c>
      <c r="I114" s="71">
        <v>5.4747518296756864E-2</v>
      </c>
      <c r="J114" s="63">
        <v>5.8042495044288475E-2</v>
      </c>
      <c r="K114" s="73" t="s">
        <v>21</v>
      </c>
      <c r="L114" s="71">
        <v>6.9110988103740917E-3</v>
      </c>
      <c r="M114" s="71">
        <v>1.3277943306404793E-2</v>
      </c>
      <c r="N114" s="71">
        <v>1.5954810296756872E-2</v>
      </c>
      <c r="O114" s="63">
        <v>1.7923101044288479E-2</v>
      </c>
      <c r="P114" s="55" t="s">
        <v>21</v>
      </c>
      <c r="Q114" s="53" t="s">
        <v>21</v>
      </c>
      <c r="R114" s="94" t="s">
        <v>21</v>
      </c>
      <c r="S114" s="71" t="s">
        <v>21</v>
      </c>
      <c r="T114" s="63" t="s">
        <v>21</v>
      </c>
      <c r="V114" s="114">
        <v>1.1353546699999999</v>
      </c>
      <c r="W114" s="72">
        <v>2.87642993</v>
      </c>
      <c r="X114" s="72">
        <v>4.3956163799999999</v>
      </c>
      <c r="Y114" s="72">
        <v>5.6843087799999994</v>
      </c>
      <c r="Z114" s="115">
        <v>7.2686230199999997</v>
      </c>
    </row>
    <row r="115" spans="2:26" x14ac:dyDescent="0.35">
      <c r="B115" s="57" t="s">
        <v>98</v>
      </c>
      <c r="C115" s="67" t="s">
        <v>35</v>
      </c>
      <c r="D115" s="67" t="s">
        <v>47</v>
      </c>
      <c r="E115" s="67" t="s">
        <v>454</v>
      </c>
      <c r="F115" s="74">
        <v>3.8956581305196962E-2</v>
      </c>
      <c r="G115" s="76">
        <v>4.745386737247119E-2</v>
      </c>
      <c r="H115" s="76">
        <v>5.6654754193239572E-2</v>
      </c>
      <c r="I115" s="76">
        <v>6.1923425069583066E-2</v>
      </c>
      <c r="J115" s="64">
        <v>6.5949719347275407E-2</v>
      </c>
      <c r="K115" s="74">
        <v>1.0408226051969675E-3</v>
      </c>
      <c r="L115" s="76">
        <v>1.0338910072471197E-2</v>
      </c>
      <c r="M115" s="76">
        <v>1.8705762793239558E-2</v>
      </c>
      <c r="N115" s="76">
        <v>2.2835710969583065E-2</v>
      </c>
      <c r="O115" s="64">
        <v>2.5500864147275412E-2</v>
      </c>
      <c r="P115" s="57" t="s">
        <v>455</v>
      </c>
      <c r="Q115" s="67" t="s">
        <v>456</v>
      </c>
      <c r="R115" s="96" t="s">
        <v>32</v>
      </c>
      <c r="S115" s="76">
        <v>4.7715029999999999E-2</v>
      </c>
      <c r="T115" s="64">
        <v>8.9397241932395732E-3</v>
      </c>
      <c r="V115" s="116">
        <v>1.1340615199999999</v>
      </c>
      <c r="W115" s="108">
        <v>2.86414138</v>
      </c>
      <c r="X115" s="108">
        <v>4.3543891800000001</v>
      </c>
      <c r="Y115" s="108">
        <v>5.5926408099999998</v>
      </c>
      <c r="Z115" s="117">
        <v>7.0799602300000002</v>
      </c>
    </row>
    <row r="116" spans="2:26" x14ac:dyDescent="0.35">
      <c r="B116" s="55" t="s">
        <v>99</v>
      </c>
      <c r="C116" s="53" t="s">
        <v>85</v>
      </c>
      <c r="D116" s="53" t="s">
        <v>69</v>
      </c>
      <c r="E116" s="53" t="s">
        <v>100</v>
      </c>
      <c r="F116" s="73">
        <v>3.7057985223655325E-2</v>
      </c>
      <c r="G116" s="71">
        <v>4.4449497691756698E-2</v>
      </c>
      <c r="H116" s="71">
        <v>5.1906595451472526E-2</v>
      </c>
      <c r="I116" s="71">
        <v>5.5851368429383395E-2</v>
      </c>
      <c r="J116" s="63">
        <v>5.9494883975604693E-2</v>
      </c>
      <c r="K116" s="73" t="s">
        <v>21</v>
      </c>
      <c r="L116" s="71">
        <v>7.4187792917566955E-3</v>
      </c>
      <c r="M116" s="71">
        <v>1.4114899851472525E-2</v>
      </c>
      <c r="N116" s="71">
        <v>1.7002983229383397E-2</v>
      </c>
      <c r="O116" s="63">
        <v>1.9297944975604702E-2</v>
      </c>
      <c r="P116" s="55" t="s">
        <v>21</v>
      </c>
      <c r="Q116" s="53" t="s">
        <v>21</v>
      </c>
      <c r="R116" s="94" t="s">
        <v>21</v>
      </c>
      <c r="S116" s="71" t="s">
        <v>21</v>
      </c>
      <c r="T116" s="63" t="s">
        <v>21</v>
      </c>
      <c r="V116" s="114">
        <v>1.1358216399999999</v>
      </c>
      <c r="W116" s="72">
        <v>2.87394135</v>
      </c>
      <c r="X116" s="72">
        <v>4.3833800200000006</v>
      </c>
      <c r="Y116" s="72">
        <v>5.6560914900000006</v>
      </c>
      <c r="Z116" s="115">
        <v>7.2054019600000005</v>
      </c>
    </row>
    <row r="117" spans="2:26" x14ac:dyDescent="0.35">
      <c r="B117" s="57" t="s">
        <v>99</v>
      </c>
      <c r="C117" s="67" t="s">
        <v>35</v>
      </c>
      <c r="D117" s="67" t="s">
        <v>69</v>
      </c>
      <c r="E117" s="67" t="s">
        <v>226</v>
      </c>
      <c r="F117" s="74">
        <v>3.7846211092235481E-2</v>
      </c>
      <c r="G117" s="76">
        <v>4.7495258824054414E-2</v>
      </c>
      <c r="H117" s="76">
        <v>5.684569636801156E-2</v>
      </c>
      <c r="I117" s="76">
        <v>6.2201726025102391E-2</v>
      </c>
      <c r="J117" s="64">
        <v>6.5931311856394961E-2</v>
      </c>
      <c r="K117" s="74" t="s">
        <v>21</v>
      </c>
      <c r="L117" s="76">
        <v>1.0375677924054411E-2</v>
      </c>
      <c r="M117" s="76">
        <v>1.8884817068011567E-2</v>
      </c>
      <c r="N117" s="76">
        <v>2.309763992510239E-2</v>
      </c>
      <c r="O117" s="64">
        <v>2.5484540856394979E-2</v>
      </c>
      <c r="P117" s="57" t="s">
        <v>457</v>
      </c>
      <c r="Q117" s="67" t="s">
        <v>458</v>
      </c>
      <c r="R117" s="96" t="s">
        <v>32</v>
      </c>
      <c r="S117" s="76">
        <v>5.1302320000000005E-2</v>
      </c>
      <c r="T117" s="64">
        <v>5.5433763680115544E-3</v>
      </c>
      <c r="V117" s="116">
        <v>1.13570379</v>
      </c>
      <c r="W117" s="108">
        <v>2.8668090100000003</v>
      </c>
      <c r="X117" s="108">
        <v>4.3553156800000004</v>
      </c>
      <c r="Y117" s="108">
        <v>5.5902637400000001</v>
      </c>
      <c r="Z117" s="117">
        <v>7.0766962200000005</v>
      </c>
    </row>
    <row r="118" spans="2:26" x14ac:dyDescent="0.35">
      <c r="B118" s="55" t="s">
        <v>101</v>
      </c>
      <c r="C118" s="53" t="s">
        <v>85</v>
      </c>
      <c r="D118" s="53" t="s">
        <v>31</v>
      </c>
      <c r="E118" s="53" t="s">
        <v>21</v>
      </c>
      <c r="F118" s="73">
        <v>3.6692538332762509E-2</v>
      </c>
      <c r="G118" s="71">
        <v>4.3702113119017984E-2</v>
      </c>
      <c r="H118" s="71">
        <v>5.0660769926747659E-2</v>
      </c>
      <c r="I118" s="71">
        <v>5.4529467032445829E-2</v>
      </c>
      <c r="J118" s="63">
        <v>5.7957773200989701E-2</v>
      </c>
      <c r="K118" s="73" t="s">
        <v>21</v>
      </c>
      <c r="L118" s="71">
        <v>6.7023872190179797E-3</v>
      </c>
      <c r="M118" s="71">
        <v>1.2930046626747661E-2</v>
      </c>
      <c r="N118" s="71">
        <v>1.574690453244583E-2</v>
      </c>
      <c r="O118" s="63">
        <v>1.7842641300989708E-2</v>
      </c>
      <c r="P118" s="55" t="s">
        <v>21</v>
      </c>
      <c r="Q118" s="53" t="s">
        <v>21</v>
      </c>
      <c r="R118" s="94" t="s">
        <v>21</v>
      </c>
      <c r="S118" s="71" t="s">
        <v>21</v>
      </c>
      <c r="T118" s="63" t="s">
        <v>21</v>
      </c>
      <c r="V118" s="114">
        <v>1.1365766799999999</v>
      </c>
      <c r="W118" s="72">
        <v>2.87989696</v>
      </c>
      <c r="X118" s="72">
        <v>4.4029166600000007</v>
      </c>
      <c r="Y118" s="72">
        <v>5.6948656399999997</v>
      </c>
      <c r="Z118" s="115">
        <v>7.2807419799999993</v>
      </c>
    </row>
    <row r="119" spans="2:26" x14ac:dyDescent="0.35">
      <c r="B119" s="57" t="s">
        <v>101</v>
      </c>
      <c r="C119" s="67" t="s">
        <v>35</v>
      </c>
      <c r="D119" s="67" t="s">
        <v>31</v>
      </c>
      <c r="E119" s="67" t="s">
        <v>21</v>
      </c>
      <c r="F119" s="74">
        <v>3.8127918407329632E-2</v>
      </c>
      <c r="G119" s="76">
        <v>4.6598778728594768E-2</v>
      </c>
      <c r="H119" s="76">
        <v>5.5287059680025889E-2</v>
      </c>
      <c r="I119" s="76">
        <v>5.9830846501987507E-2</v>
      </c>
      <c r="J119" s="64">
        <v>6.3409604800402655E-2</v>
      </c>
      <c r="K119" s="74">
        <v>2.3026230732963414E-4</v>
      </c>
      <c r="L119" s="76">
        <v>9.5151331285947636E-3</v>
      </c>
      <c r="M119" s="76">
        <v>1.7402565280025886E-2</v>
      </c>
      <c r="N119" s="76">
        <v>2.0855147701987504E-2</v>
      </c>
      <c r="O119" s="64">
        <v>2.3091665600402649E-2</v>
      </c>
      <c r="P119" s="57" t="s">
        <v>21</v>
      </c>
      <c r="Q119" s="67" t="s">
        <v>21</v>
      </c>
      <c r="R119" s="96" t="s">
        <v>21</v>
      </c>
      <c r="S119" s="76" t="s">
        <v>21</v>
      </c>
      <c r="T119" s="64" t="s">
        <v>21</v>
      </c>
      <c r="V119" s="116">
        <v>1.1353139999999999</v>
      </c>
      <c r="W119" s="108">
        <v>2.8703454900000001</v>
      </c>
      <c r="X119" s="108">
        <v>4.3722032000000004</v>
      </c>
      <c r="Y119" s="108">
        <v>5.6329710500000001</v>
      </c>
      <c r="Z119" s="117">
        <v>7.1680343300000002</v>
      </c>
    </row>
    <row r="120" spans="2:26" x14ac:dyDescent="0.35">
      <c r="B120" s="55" t="s">
        <v>102</v>
      </c>
      <c r="C120" s="53" t="s">
        <v>85</v>
      </c>
      <c r="D120" s="53" t="s">
        <v>69</v>
      </c>
      <c r="E120" s="53" t="s">
        <v>459</v>
      </c>
      <c r="F120" s="73">
        <v>3.7629338994154791E-2</v>
      </c>
      <c r="G120" s="71">
        <v>4.4456889972730729E-2</v>
      </c>
      <c r="H120" s="71">
        <v>5.1914041702544822E-2</v>
      </c>
      <c r="I120" s="71">
        <v>5.5905490899594026E-2</v>
      </c>
      <c r="J120" s="63">
        <v>5.9368811114664619E-2</v>
      </c>
      <c r="K120" s="73" t="s">
        <v>21</v>
      </c>
      <c r="L120" s="71">
        <v>7.4230103727307237E-3</v>
      </c>
      <c r="M120" s="71">
        <v>1.4119684402544821E-2</v>
      </c>
      <c r="N120" s="71">
        <v>1.7051993199594027E-2</v>
      </c>
      <c r="O120" s="63">
        <v>1.917759461466461E-2</v>
      </c>
      <c r="P120" s="55" t="s">
        <v>21</v>
      </c>
      <c r="Q120" s="53" t="s">
        <v>21</v>
      </c>
      <c r="R120" s="94" t="s">
        <v>21</v>
      </c>
      <c r="S120" s="71" t="s">
        <v>21</v>
      </c>
      <c r="T120" s="63" t="s">
        <v>21</v>
      </c>
      <c r="V120" s="114">
        <v>1.1347651300000001</v>
      </c>
      <c r="W120" s="72">
        <v>2.8720890400000001</v>
      </c>
      <c r="X120" s="72">
        <v>4.3816615199999998</v>
      </c>
      <c r="Y120" s="72">
        <v>5.6538637300000003</v>
      </c>
      <c r="Z120" s="115">
        <v>7.2059015500000001</v>
      </c>
    </row>
    <row r="121" spans="2:26" x14ac:dyDescent="0.35">
      <c r="B121" s="57" t="s">
        <v>102</v>
      </c>
      <c r="C121" s="67" t="s">
        <v>35</v>
      </c>
      <c r="D121" s="67" t="s">
        <v>69</v>
      </c>
      <c r="E121" s="67" t="s">
        <v>161</v>
      </c>
      <c r="F121" s="74">
        <v>3.8538079986697574E-2</v>
      </c>
      <c r="G121" s="76">
        <v>4.7495319568781377E-2</v>
      </c>
      <c r="H121" s="76">
        <v>5.6849156082430199E-2</v>
      </c>
      <c r="I121" s="76">
        <v>6.1844390209919387E-2</v>
      </c>
      <c r="J121" s="64">
        <v>6.5867680097969616E-2</v>
      </c>
      <c r="K121" s="74">
        <v>6.303757866975776E-4</v>
      </c>
      <c r="L121" s="76">
        <v>1.0375884068781378E-2</v>
      </c>
      <c r="M121" s="76">
        <v>1.8887997882430188E-2</v>
      </c>
      <c r="N121" s="76">
        <v>2.2760040209919397E-2</v>
      </c>
      <c r="O121" s="64">
        <v>2.5421755597969622E-2</v>
      </c>
      <c r="P121" s="57" t="s">
        <v>21</v>
      </c>
      <c r="Q121" s="67" t="s">
        <v>21</v>
      </c>
      <c r="R121" s="96" t="s">
        <v>21</v>
      </c>
      <c r="S121" s="76" t="s">
        <v>21</v>
      </c>
      <c r="T121" s="64" t="s">
        <v>21</v>
      </c>
      <c r="V121" s="114">
        <v>1.1347004900000002</v>
      </c>
      <c r="W121" s="72">
        <v>2.8650664300000002</v>
      </c>
      <c r="X121" s="72">
        <v>4.3536993199999996</v>
      </c>
      <c r="Y121" s="72">
        <v>5.5923624700000003</v>
      </c>
      <c r="Z121" s="115">
        <v>7.0817247900000009</v>
      </c>
    </row>
    <row r="122" spans="2:26" x14ac:dyDescent="0.35">
      <c r="B122" s="56" t="s">
        <v>104</v>
      </c>
      <c r="C122" s="66" t="s">
        <v>85</v>
      </c>
      <c r="D122" s="66" t="s">
        <v>43</v>
      </c>
      <c r="E122" s="65" t="s">
        <v>417</v>
      </c>
      <c r="F122" s="80">
        <v>3.6714252310622496E-2</v>
      </c>
      <c r="G122" s="80">
        <v>4.2920190466257266E-2</v>
      </c>
      <c r="H122" s="80">
        <v>4.9560827722501019E-2</v>
      </c>
      <c r="I122" s="80">
        <v>5.2874184309748926E-2</v>
      </c>
      <c r="J122" s="62">
        <v>5.5794893591289946E-2</v>
      </c>
      <c r="K122" s="80" t="s">
        <v>21</v>
      </c>
      <c r="L122" s="80">
        <v>5.955249066257268E-3</v>
      </c>
      <c r="M122" s="80">
        <v>1.1883857222501017E-2</v>
      </c>
      <c r="N122" s="80">
        <v>1.4173048609748929E-2</v>
      </c>
      <c r="O122" s="62">
        <v>1.577297699128994E-2</v>
      </c>
      <c r="P122" s="56" t="s">
        <v>21</v>
      </c>
      <c r="Q122" s="66" t="s">
        <v>21</v>
      </c>
      <c r="R122" s="100" t="s">
        <v>21</v>
      </c>
      <c r="S122" s="80" t="s">
        <v>21</v>
      </c>
      <c r="T122" s="62" t="s">
        <v>21</v>
      </c>
      <c r="V122" s="118">
        <v>1.1365415300000001</v>
      </c>
      <c r="W122" s="61">
        <v>2.8851571499999999</v>
      </c>
      <c r="X122" s="61">
        <v>4.4203189599999995</v>
      </c>
      <c r="Y122" s="61">
        <v>5.7359154300000004</v>
      </c>
      <c r="Z122" s="119">
        <v>7.3754876999999999</v>
      </c>
    </row>
    <row r="123" spans="2:26" x14ac:dyDescent="0.35">
      <c r="B123" s="57" t="s">
        <v>104</v>
      </c>
      <c r="C123" s="67" t="s">
        <v>35</v>
      </c>
      <c r="D123" s="67" t="s">
        <v>43</v>
      </c>
      <c r="E123" s="54" t="s">
        <v>417</v>
      </c>
      <c r="F123" s="76">
        <v>3.8425623723005849E-2</v>
      </c>
      <c r="G123" s="76">
        <v>4.7282126508464098E-2</v>
      </c>
      <c r="H123" s="76">
        <v>5.6367552200002433E-2</v>
      </c>
      <c r="I123" s="76">
        <v>6.0908905401038618E-2</v>
      </c>
      <c r="J123" s="64">
        <v>6.4406696147761344E-2</v>
      </c>
      <c r="K123" s="76">
        <v>5.1511642300585553E-4</v>
      </c>
      <c r="L123" s="76">
        <v>1.0168593808464091E-2</v>
      </c>
      <c r="M123" s="76">
        <v>1.842875500000243E-2</v>
      </c>
      <c r="N123" s="76">
        <v>2.1874177001038622E-2</v>
      </c>
      <c r="O123" s="76">
        <v>2.403661134776134E-2</v>
      </c>
      <c r="P123" s="67" t="s">
        <v>21</v>
      </c>
      <c r="Q123" s="67" t="s">
        <v>21</v>
      </c>
      <c r="R123" s="96" t="s">
        <v>21</v>
      </c>
      <c r="S123" s="76" t="s">
        <v>21</v>
      </c>
      <c r="T123" s="64" t="s">
        <v>21</v>
      </c>
      <c r="V123" s="116">
        <v>1.1349016999999999</v>
      </c>
      <c r="W123" s="108">
        <v>2.8664264500000001</v>
      </c>
      <c r="X123" s="108">
        <v>4.3590663000000003</v>
      </c>
      <c r="Y123" s="108">
        <v>5.6077389599999998</v>
      </c>
      <c r="Z123" s="117">
        <v>7.1242159200000001</v>
      </c>
    </row>
    <row r="124" spans="2:26" x14ac:dyDescent="0.35">
      <c r="B124" s="55" t="s">
        <v>105</v>
      </c>
      <c r="C124" s="53" t="s">
        <v>85</v>
      </c>
      <c r="D124" s="53" t="s">
        <v>43</v>
      </c>
      <c r="E124" s="53" t="s">
        <v>417</v>
      </c>
      <c r="F124" s="73">
        <v>3.6666192407004812E-2</v>
      </c>
      <c r="G124" s="71">
        <v>4.2976584864126893E-2</v>
      </c>
      <c r="H124" s="71">
        <v>4.946014320532871E-2</v>
      </c>
      <c r="I124" s="71">
        <v>5.2774816393734984E-2</v>
      </c>
      <c r="J124" s="63">
        <v>5.5599430569843497E-2</v>
      </c>
      <c r="K124" s="73" t="s">
        <v>21</v>
      </c>
      <c r="L124" s="71">
        <v>6.0101787641268917E-3</v>
      </c>
      <c r="M124" s="71">
        <v>1.1788580705328709E-2</v>
      </c>
      <c r="N124" s="71">
        <v>1.4078585493734991E-2</v>
      </c>
      <c r="O124" s="63">
        <v>1.5585852669843494E-2</v>
      </c>
      <c r="P124" s="55" t="s">
        <v>21</v>
      </c>
      <c r="Q124" s="53" t="s">
        <v>21</v>
      </c>
      <c r="R124" s="94" t="s">
        <v>21</v>
      </c>
      <c r="S124" s="71" t="s">
        <v>21</v>
      </c>
      <c r="T124" s="63" t="s">
        <v>21</v>
      </c>
      <c r="V124" s="114">
        <v>1.1366162000000002</v>
      </c>
      <c r="W124" s="72">
        <v>2.8844688600000001</v>
      </c>
      <c r="X124" s="72">
        <v>4.4207292899999997</v>
      </c>
      <c r="Y124" s="72">
        <v>5.7379618200000007</v>
      </c>
      <c r="Z124" s="115">
        <v>7.3823320999999993</v>
      </c>
    </row>
    <row r="125" spans="2:26" x14ac:dyDescent="0.35">
      <c r="B125" s="57" t="s">
        <v>105</v>
      </c>
      <c r="C125" s="67" t="s">
        <v>35</v>
      </c>
      <c r="D125" s="67" t="s">
        <v>43</v>
      </c>
      <c r="E125" s="67" t="s">
        <v>21</v>
      </c>
      <c r="F125" s="74">
        <v>3.8335677762983682E-2</v>
      </c>
      <c r="G125" s="76">
        <v>4.7092320439218051E-2</v>
      </c>
      <c r="H125" s="76">
        <v>5.6070746511618356E-2</v>
      </c>
      <c r="I125" s="76">
        <v>6.0522132811322599E-2</v>
      </c>
      <c r="J125" s="64">
        <v>6.4103819198826434E-2</v>
      </c>
      <c r="K125" s="74">
        <v>4.3199346298368035E-4</v>
      </c>
      <c r="L125" s="76">
        <v>9.9885718392180578E-3</v>
      </c>
      <c r="M125" s="76">
        <v>1.8148072611618354E-2</v>
      </c>
      <c r="N125" s="76">
        <v>2.1509589011322605E-2</v>
      </c>
      <c r="O125" s="64">
        <v>2.3749941798826432E-2</v>
      </c>
      <c r="P125" s="57" t="s">
        <v>21</v>
      </c>
      <c r="Q125" s="67" t="s">
        <v>21</v>
      </c>
      <c r="R125" s="96" t="s">
        <v>21</v>
      </c>
      <c r="S125" s="76" t="s">
        <v>21</v>
      </c>
      <c r="T125" s="64" t="s">
        <v>21</v>
      </c>
      <c r="V125" s="114">
        <v>1.1350088300000001</v>
      </c>
      <c r="W125" s="72">
        <v>2.86749622</v>
      </c>
      <c r="X125" s="72">
        <v>4.3626498600000003</v>
      </c>
      <c r="Y125" s="72">
        <v>5.6155271899999999</v>
      </c>
      <c r="Z125" s="115">
        <v>7.1379788799999995</v>
      </c>
    </row>
    <row r="126" spans="2:26" x14ac:dyDescent="0.35">
      <c r="B126" s="56" t="s">
        <v>106</v>
      </c>
      <c r="C126" s="66" t="s">
        <v>85</v>
      </c>
      <c r="D126" s="66" t="s">
        <v>62</v>
      </c>
      <c r="E126" s="66" t="s">
        <v>460</v>
      </c>
      <c r="F126" s="75">
        <v>3.7086637824136889E-2</v>
      </c>
      <c r="G126" s="80">
        <v>4.3858499010065673E-2</v>
      </c>
      <c r="H126" s="80">
        <v>5.0922355100346102E-2</v>
      </c>
      <c r="I126" s="80">
        <v>5.4597462479263552E-2</v>
      </c>
      <c r="J126" s="62">
        <v>5.7750404883643781E-2</v>
      </c>
      <c r="K126" s="75" t="s">
        <v>21</v>
      </c>
      <c r="L126" s="80">
        <v>6.8522175100656762E-3</v>
      </c>
      <c r="M126" s="80">
        <v>1.3178801800346101E-2</v>
      </c>
      <c r="N126" s="80">
        <v>1.5811855779263549E-2</v>
      </c>
      <c r="O126" s="62">
        <v>1.7645151483643779E-2</v>
      </c>
      <c r="P126" s="56" t="s">
        <v>461</v>
      </c>
      <c r="Q126" s="66" t="s">
        <v>462</v>
      </c>
      <c r="R126" s="100" t="s">
        <v>32</v>
      </c>
      <c r="S126" s="80">
        <v>4.7190839999999998E-2</v>
      </c>
      <c r="T126" s="62">
        <v>3.7315151003461042E-3</v>
      </c>
      <c r="V126" s="118">
        <v>1.1358095500000001</v>
      </c>
      <c r="W126" s="61">
        <v>2.8775975599999999</v>
      </c>
      <c r="X126" s="61">
        <v>4.3978608799999996</v>
      </c>
      <c r="Y126" s="61">
        <v>5.6886428000000002</v>
      </c>
      <c r="Z126" s="119">
        <v>7.2797914500000003</v>
      </c>
    </row>
    <row r="127" spans="2:26" x14ac:dyDescent="0.35">
      <c r="B127" s="57" t="s">
        <v>106</v>
      </c>
      <c r="C127" s="67" t="s">
        <v>35</v>
      </c>
      <c r="D127" s="67" t="s">
        <v>62</v>
      </c>
      <c r="E127" s="67" t="s">
        <v>463</v>
      </c>
      <c r="F127" s="74">
        <v>3.8409409904574573E-2</v>
      </c>
      <c r="G127" s="76">
        <v>4.7523062783409745E-2</v>
      </c>
      <c r="H127" s="76">
        <v>5.6754652546538636E-2</v>
      </c>
      <c r="I127" s="76">
        <v>6.1205387047122424E-2</v>
      </c>
      <c r="J127" s="64">
        <v>6.5049258312554939E-2</v>
      </c>
      <c r="K127" s="76">
        <v>5.0487260457457613E-4</v>
      </c>
      <c r="L127" s="76">
        <v>1.0401951983409747E-2</v>
      </c>
      <c r="M127" s="76">
        <v>1.8798202546538641E-2</v>
      </c>
      <c r="N127" s="76">
        <v>2.2156206047122429E-2</v>
      </c>
      <c r="O127" s="64">
        <v>2.4645493112554942E-2</v>
      </c>
      <c r="P127" s="67" t="s">
        <v>21</v>
      </c>
      <c r="Q127" s="67" t="s">
        <v>21</v>
      </c>
      <c r="R127" s="96" t="s">
        <v>21</v>
      </c>
      <c r="S127" s="76" t="s">
        <v>21</v>
      </c>
      <c r="T127" s="64" t="s">
        <v>21</v>
      </c>
      <c r="V127" s="116">
        <v>1.13489288</v>
      </c>
      <c r="W127" s="108">
        <v>2.86527222</v>
      </c>
      <c r="X127" s="108">
        <v>4.3545670100000002</v>
      </c>
      <c r="Y127" s="108">
        <v>5.5997699800000005</v>
      </c>
      <c r="Z127" s="117">
        <v>7.1053187599999994</v>
      </c>
    </row>
    <row r="128" spans="2:26" x14ac:dyDescent="0.35">
      <c r="B128" s="55" t="s">
        <v>107</v>
      </c>
      <c r="C128" s="53" t="s">
        <v>85</v>
      </c>
      <c r="D128" s="53" t="s">
        <v>62</v>
      </c>
      <c r="E128" s="53" t="s">
        <v>266</v>
      </c>
      <c r="F128" s="73">
        <v>3.7280925635612888E-2</v>
      </c>
      <c r="G128" s="71">
        <v>4.379618673342716E-2</v>
      </c>
      <c r="H128" s="71">
        <v>5.0819442592773718E-2</v>
      </c>
      <c r="I128" s="71">
        <v>5.4638784726910965E-2</v>
      </c>
      <c r="J128" s="63">
        <v>5.7748604542979337E-2</v>
      </c>
      <c r="K128" s="73" t="s">
        <v>21</v>
      </c>
      <c r="L128" s="71">
        <v>6.792576633427163E-3</v>
      </c>
      <c r="M128" s="71">
        <v>1.308084759277372E-2</v>
      </c>
      <c r="N128" s="71">
        <v>1.5850557326910968E-2</v>
      </c>
      <c r="O128" s="63">
        <v>1.7643756942979344E-2</v>
      </c>
      <c r="P128" s="55" t="s">
        <v>21</v>
      </c>
      <c r="Q128" s="53" t="s">
        <v>21</v>
      </c>
      <c r="R128" s="94" t="s">
        <v>21</v>
      </c>
      <c r="S128" s="71" t="s">
        <v>21</v>
      </c>
      <c r="T128" s="63" t="s">
        <v>21</v>
      </c>
      <c r="V128" s="114">
        <v>1.1354387000000001</v>
      </c>
      <c r="W128" s="72">
        <v>2.87734391</v>
      </c>
      <c r="X128" s="72">
        <v>4.3988023399999996</v>
      </c>
      <c r="Y128" s="72">
        <v>5.6892450099999996</v>
      </c>
      <c r="Z128" s="115">
        <v>7.2798787899999997</v>
      </c>
    </row>
    <row r="129" spans="2:26" x14ac:dyDescent="0.35">
      <c r="B129" s="55" t="s">
        <v>107</v>
      </c>
      <c r="C129" s="53" t="s">
        <v>35</v>
      </c>
      <c r="D129" s="53" t="s">
        <v>62</v>
      </c>
      <c r="E129" s="53" t="s">
        <v>291</v>
      </c>
      <c r="F129" s="73">
        <v>3.8336628081380823E-2</v>
      </c>
      <c r="G129" s="71">
        <v>4.6843479188122886E-2</v>
      </c>
      <c r="H129" s="71">
        <v>5.5678145858430353E-2</v>
      </c>
      <c r="I129" s="71">
        <v>5.9856501632700287E-2</v>
      </c>
      <c r="J129" s="63">
        <v>6.3692655064165826E-2</v>
      </c>
      <c r="K129" s="73">
        <v>4.343580813808293E-4</v>
      </c>
      <c r="L129" s="71">
        <v>9.7507634881228832E-3</v>
      </c>
      <c r="M129" s="71">
        <v>1.7775298358430353E-2</v>
      </c>
      <c r="N129" s="71">
        <v>2.0880271832700279E-2</v>
      </c>
      <c r="O129" s="63">
        <v>2.3358739764165831E-2</v>
      </c>
      <c r="P129" s="55" t="s">
        <v>21</v>
      </c>
      <c r="Q129" s="53" t="s">
        <v>21</v>
      </c>
      <c r="R129" s="94" t="s">
        <v>21</v>
      </c>
      <c r="S129" s="71" t="s">
        <v>21</v>
      </c>
      <c r="T129" s="63" t="s">
        <v>21</v>
      </c>
      <c r="V129" s="114">
        <v>1.1349988600000001</v>
      </c>
      <c r="W129" s="72">
        <v>2.8686443100000001</v>
      </c>
      <c r="X129" s="72">
        <v>4.3671695100000001</v>
      </c>
      <c r="Y129" s="72">
        <v>5.6272142199999999</v>
      </c>
      <c r="Z129" s="115">
        <v>7.1585758900000007</v>
      </c>
    </row>
    <row r="130" spans="2:26" x14ac:dyDescent="0.35">
      <c r="B130" s="97" t="s">
        <v>83</v>
      </c>
      <c r="C130" s="98"/>
      <c r="D130" s="98"/>
      <c r="E130" s="98"/>
      <c r="F130" s="78"/>
      <c r="G130" s="78"/>
      <c r="H130" s="78"/>
      <c r="I130" s="78"/>
      <c r="J130" s="78"/>
      <c r="K130" s="98"/>
      <c r="L130" s="98"/>
      <c r="M130" s="98"/>
      <c r="N130" s="98"/>
      <c r="O130" s="77"/>
      <c r="P130" s="97"/>
      <c r="Q130" s="98"/>
      <c r="R130" s="101"/>
      <c r="S130" s="98"/>
      <c r="T130" s="99"/>
      <c r="V130" s="120"/>
      <c r="W130" s="109"/>
      <c r="X130" s="109"/>
      <c r="Y130" s="109"/>
      <c r="Z130" s="121"/>
    </row>
    <row r="131" spans="2:26" x14ac:dyDescent="0.35">
      <c r="B131" s="56" t="s">
        <v>108</v>
      </c>
      <c r="C131" s="66" t="s">
        <v>85</v>
      </c>
      <c r="D131" s="66" t="s">
        <v>20</v>
      </c>
      <c r="E131" s="65" t="s">
        <v>58</v>
      </c>
      <c r="F131" s="80">
        <v>3.7806970559973674E-2</v>
      </c>
      <c r="G131" s="80">
        <v>4.4252136388596555E-2</v>
      </c>
      <c r="H131" s="80">
        <v>5.0872681952727178E-2</v>
      </c>
      <c r="I131" s="80">
        <v>5.5444725106461111E-2</v>
      </c>
      <c r="J131" s="62">
        <v>5.8899829649437047E-2</v>
      </c>
      <c r="K131" s="80" t="s">
        <v>21</v>
      </c>
      <c r="L131" s="80">
        <v>7.251247588596561E-3</v>
      </c>
      <c r="M131" s="80">
        <v>1.315651665272718E-2</v>
      </c>
      <c r="N131" s="80">
        <v>1.6640678606461113E-2</v>
      </c>
      <c r="O131" s="62">
        <v>1.8763848049437044E-2</v>
      </c>
      <c r="P131" s="56" t="s">
        <v>464</v>
      </c>
      <c r="Q131" s="66" t="s">
        <v>465</v>
      </c>
      <c r="R131" s="100">
        <v>47580</v>
      </c>
      <c r="S131" s="80">
        <v>4.698625E-2</v>
      </c>
      <c r="T131" s="62">
        <v>3.8864319527271776E-3</v>
      </c>
      <c r="V131" s="118">
        <v>1.1353629299999999</v>
      </c>
      <c r="W131" s="61">
        <v>2.8777989699999997</v>
      </c>
      <c r="X131" s="61">
        <v>4.4047388400000003</v>
      </c>
      <c r="Y131" s="61">
        <v>5.6906208500000002</v>
      </c>
      <c r="Z131" s="119">
        <v>7.2631784699999997</v>
      </c>
    </row>
    <row r="132" spans="2:26" x14ac:dyDescent="0.35">
      <c r="B132" s="55" t="s">
        <v>109</v>
      </c>
      <c r="C132" s="53" t="s">
        <v>85</v>
      </c>
      <c r="D132" s="53" t="s">
        <v>20</v>
      </c>
      <c r="E132" s="59" t="s">
        <v>54</v>
      </c>
      <c r="F132" s="71">
        <v>4.0710814969806421E-2</v>
      </c>
      <c r="G132" s="71">
        <v>5.059142020144515E-2</v>
      </c>
      <c r="H132" s="71">
        <v>6.1430830770620122E-2</v>
      </c>
      <c r="I132" s="71">
        <v>6.8176297482014106E-2</v>
      </c>
      <c r="J132" s="63">
        <v>7.040871782283438E-2</v>
      </c>
      <c r="K132" s="71">
        <v>2.7143234698064162E-3</v>
      </c>
      <c r="L132" s="71">
        <v>1.3274253601445143E-2</v>
      </c>
      <c r="M132" s="71">
        <v>2.3082910770620118E-2</v>
      </c>
      <c r="N132" s="71">
        <v>2.8554767982014107E-2</v>
      </c>
      <c r="O132" s="63">
        <v>2.9579677822834376E-2</v>
      </c>
      <c r="P132" s="55" t="s">
        <v>466</v>
      </c>
      <c r="Q132" s="53" t="s">
        <v>467</v>
      </c>
      <c r="R132" s="94">
        <v>47618</v>
      </c>
      <c r="S132" s="71">
        <v>5.1218060000000003E-2</v>
      </c>
      <c r="T132" s="63">
        <v>1.0212770770620119E-2</v>
      </c>
      <c r="V132" s="114">
        <v>1.1292266400000002</v>
      </c>
      <c r="W132" s="72">
        <v>2.82973454</v>
      </c>
      <c r="X132" s="72">
        <v>4.2418307400000002</v>
      </c>
      <c r="Y132" s="72">
        <v>5.3534508699999996</v>
      </c>
      <c r="Z132" s="115">
        <v>6.6752797899999994</v>
      </c>
    </row>
    <row r="133" spans="2:26" x14ac:dyDescent="0.35">
      <c r="B133" s="57" t="s">
        <v>111</v>
      </c>
      <c r="C133" s="67" t="s">
        <v>85</v>
      </c>
      <c r="D133" s="67" t="s">
        <v>20</v>
      </c>
      <c r="E133" s="54" t="s">
        <v>112</v>
      </c>
      <c r="F133" s="76">
        <v>3.8884929362157809E-2</v>
      </c>
      <c r="G133" s="76">
        <v>4.6521582560800363E-2</v>
      </c>
      <c r="H133" s="76">
        <v>5.3996984438876586E-2</v>
      </c>
      <c r="I133" s="76">
        <v>5.8026900775612587E-2</v>
      </c>
      <c r="J133" s="64">
        <v>6.1512882774259613E-2</v>
      </c>
      <c r="K133" s="76">
        <v>9.5743096215781132E-4</v>
      </c>
      <c r="L133" s="76">
        <v>9.409205660800361E-3</v>
      </c>
      <c r="M133" s="76">
        <v>1.6115187038876586E-2</v>
      </c>
      <c r="N133" s="76">
        <v>1.908067447561259E-2</v>
      </c>
      <c r="O133" s="64">
        <v>2.1229935074259611E-2</v>
      </c>
      <c r="P133" s="57" t="s">
        <v>21</v>
      </c>
      <c r="Q133" s="67" t="s">
        <v>21</v>
      </c>
      <c r="R133" s="96" t="s">
        <v>21</v>
      </c>
      <c r="S133" s="76" t="s">
        <v>21</v>
      </c>
      <c r="T133" s="64" t="s">
        <v>21</v>
      </c>
      <c r="V133" s="116">
        <v>1.1333823200000002</v>
      </c>
      <c r="W133" s="108">
        <v>2.8604907900000001</v>
      </c>
      <c r="X133" s="108">
        <v>4.3534214599999999</v>
      </c>
      <c r="Y133" s="108">
        <v>5.6022445100000002</v>
      </c>
      <c r="Z133" s="117">
        <v>7.1115494699999999</v>
      </c>
    </row>
    <row r="134" spans="2:26" x14ac:dyDescent="0.35">
      <c r="P134" s="128"/>
      <c r="Q134" s="128"/>
      <c r="R134" s="44"/>
      <c r="S134" s="128"/>
      <c r="T134" s="128"/>
      <c r="V134" s="72"/>
      <c r="W134" s="72"/>
      <c r="X134" s="72"/>
      <c r="Y134" s="72"/>
      <c r="Z134" s="72"/>
    </row>
    <row r="135" spans="2:26" ht="15.5" x14ac:dyDescent="0.35">
      <c r="B135" s="122" t="s">
        <v>113</v>
      </c>
      <c r="R135" s="94"/>
      <c r="S135" s="71"/>
      <c r="T135" s="71"/>
      <c r="V135" s="72"/>
      <c r="W135" s="72"/>
      <c r="X135" s="72"/>
      <c r="Y135" s="72"/>
      <c r="Z135" s="72"/>
    </row>
    <row r="136" spans="2:26" x14ac:dyDescent="0.35">
      <c r="B136" s="85" t="s">
        <v>5</v>
      </c>
      <c r="C136" s="84" t="s">
        <v>6</v>
      </c>
      <c r="D136" s="84" t="s">
        <v>7</v>
      </c>
      <c r="E136" s="84" t="s">
        <v>8</v>
      </c>
      <c r="F136" s="83" t="s">
        <v>9</v>
      </c>
      <c r="G136" s="82" t="s">
        <v>10</v>
      </c>
      <c r="H136" s="82" t="s">
        <v>11</v>
      </c>
      <c r="I136" s="82" t="s">
        <v>12</v>
      </c>
      <c r="J136" s="81" t="s">
        <v>13</v>
      </c>
      <c r="K136" s="83" t="s">
        <v>9</v>
      </c>
      <c r="L136" s="82" t="s">
        <v>10</v>
      </c>
      <c r="M136" s="82" t="s">
        <v>11</v>
      </c>
      <c r="N136" s="82" t="s">
        <v>12</v>
      </c>
      <c r="O136" s="81" t="s">
        <v>13</v>
      </c>
      <c r="P136" s="70" t="s">
        <v>14</v>
      </c>
      <c r="Q136" s="58" t="s">
        <v>15</v>
      </c>
      <c r="R136" s="58" t="s">
        <v>16</v>
      </c>
      <c r="S136" s="58" t="s">
        <v>218</v>
      </c>
      <c r="T136" s="58" t="s">
        <v>18</v>
      </c>
      <c r="V136" s="110" t="s">
        <v>9</v>
      </c>
      <c r="W136" s="106" t="s">
        <v>10</v>
      </c>
      <c r="X136" s="106" t="s">
        <v>11</v>
      </c>
      <c r="Y136" s="106" t="s">
        <v>12</v>
      </c>
      <c r="Z136" s="111" t="s">
        <v>13</v>
      </c>
    </row>
    <row r="137" spans="2:26" x14ac:dyDescent="0.35">
      <c r="B137" s="79" t="s">
        <v>114</v>
      </c>
      <c r="C137" s="9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7"/>
      <c r="P137" s="79"/>
      <c r="Q137" s="78"/>
      <c r="R137" s="95"/>
      <c r="S137" s="78"/>
      <c r="T137" s="77"/>
      <c r="V137" s="112"/>
      <c r="W137" s="107"/>
      <c r="X137" s="107"/>
      <c r="Y137" s="107"/>
      <c r="Z137" s="113"/>
    </row>
    <row r="138" spans="2:26" x14ac:dyDescent="0.35">
      <c r="B138" s="56" t="s">
        <v>319</v>
      </c>
      <c r="C138" s="66" t="s">
        <v>234</v>
      </c>
      <c r="D138" s="66" t="s">
        <v>20</v>
      </c>
      <c r="E138" s="66" t="s">
        <v>21</v>
      </c>
      <c r="F138" s="80">
        <v>4.0343698252367909E-2</v>
      </c>
      <c r="G138" s="80">
        <v>5.2738674710200481E-2</v>
      </c>
      <c r="H138" s="80">
        <v>6.8914744326012328E-2</v>
      </c>
      <c r="I138" s="80">
        <v>7.5976038235602159E-2</v>
      </c>
      <c r="J138" s="62">
        <v>8.1179037011471389E-2</v>
      </c>
      <c r="K138" s="80">
        <v>2.3405871523679081E-3</v>
      </c>
      <c r="L138" s="80">
        <v>1.5280251310200478E-2</v>
      </c>
      <c r="M138" s="80">
        <v>3.0002691326012298E-2</v>
      </c>
      <c r="N138" s="80">
        <v>3.5751846635602137E-2</v>
      </c>
      <c r="O138" s="62">
        <v>3.9547089811471391E-2</v>
      </c>
      <c r="P138" s="56" t="s">
        <v>21</v>
      </c>
      <c r="Q138" s="66" t="s">
        <v>21</v>
      </c>
      <c r="R138" s="100" t="s">
        <v>21</v>
      </c>
      <c r="S138" s="75" t="s">
        <v>21</v>
      </c>
      <c r="T138" s="62" t="s">
        <v>21</v>
      </c>
      <c r="V138" s="114">
        <v>1.1303779999999999</v>
      </c>
      <c r="W138" s="72">
        <v>2.8180332900000002</v>
      </c>
      <c r="X138" s="72">
        <v>4.1571210999999995</v>
      </c>
      <c r="Y138" s="72">
        <v>5.1655365900000003</v>
      </c>
      <c r="Z138" s="115">
        <v>6.2650035600000002</v>
      </c>
    </row>
    <row r="139" spans="2:26" x14ac:dyDescent="0.35">
      <c r="B139" s="55" t="s">
        <v>177</v>
      </c>
      <c r="C139" s="53" t="s">
        <v>234</v>
      </c>
      <c r="D139" s="53" t="s">
        <v>43</v>
      </c>
      <c r="E139" s="53" t="s">
        <v>21</v>
      </c>
      <c r="F139" s="71">
        <v>3.9476652373231877E-2</v>
      </c>
      <c r="G139" s="71">
        <v>5.2950812880131329E-2</v>
      </c>
      <c r="H139" s="71">
        <v>6.6677723793493529E-2</v>
      </c>
      <c r="I139" s="71">
        <v>7.5624546508230694E-2</v>
      </c>
      <c r="J139" s="63">
        <v>8.0080862304452216E-2</v>
      </c>
      <c r="K139" s="71">
        <v>1.5015624732318761E-3</v>
      </c>
      <c r="L139" s="71">
        <v>1.5451452080131326E-2</v>
      </c>
      <c r="M139" s="71">
        <v>2.7901663593493525E-2</v>
      </c>
      <c r="N139" s="71">
        <v>3.5380612008230686E-2</v>
      </c>
      <c r="O139" s="63">
        <v>3.8498165904452201E-2</v>
      </c>
      <c r="P139" s="55" t="s">
        <v>21</v>
      </c>
      <c r="Q139" s="53" t="s">
        <v>21</v>
      </c>
      <c r="R139" s="94" t="s">
        <v>21</v>
      </c>
      <c r="S139" s="73" t="s">
        <v>21</v>
      </c>
      <c r="T139" s="63" t="s">
        <v>21</v>
      </c>
      <c r="V139" s="114">
        <v>1.13118765</v>
      </c>
      <c r="W139" s="72">
        <v>2.8131027199999998</v>
      </c>
      <c r="X139" s="72">
        <v>4.1664763599999999</v>
      </c>
      <c r="Y139" s="72">
        <v>5.1800011899999996</v>
      </c>
      <c r="Z139" s="115">
        <v>6.28845718</v>
      </c>
    </row>
    <row r="140" spans="2:26" x14ac:dyDescent="0.35">
      <c r="B140" s="55" t="s">
        <v>122</v>
      </c>
      <c r="C140" s="53" t="s">
        <v>234</v>
      </c>
      <c r="D140" s="53" t="s">
        <v>97</v>
      </c>
      <c r="E140" s="53" t="s">
        <v>269</v>
      </c>
      <c r="F140" s="71">
        <v>3.8965928665054911E-2</v>
      </c>
      <c r="G140" s="71">
        <v>5.2439078495493827E-2</v>
      </c>
      <c r="H140" s="71">
        <v>6.5836419937416207E-2</v>
      </c>
      <c r="I140" s="71">
        <v>7.4584415220295436E-2</v>
      </c>
      <c r="J140" s="63">
        <v>8.1228294546114743E-2</v>
      </c>
      <c r="K140" s="71">
        <v>1.023340165054917E-3</v>
      </c>
      <c r="L140" s="71">
        <v>1.4976819695493823E-2</v>
      </c>
      <c r="M140" s="71">
        <v>2.7129546837416207E-2</v>
      </c>
      <c r="N140" s="71">
        <v>3.4430862220295448E-2</v>
      </c>
      <c r="O140" s="63">
        <v>3.9547309346114758E-2</v>
      </c>
      <c r="P140" s="55" t="s">
        <v>21</v>
      </c>
      <c r="Q140" s="53" t="s">
        <v>21</v>
      </c>
      <c r="R140" s="94" t="s">
        <v>21</v>
      </c>
      <c r="S140" s="73" t="s">
        <v>21</v>
      </c>
      <c r="T140" s="63" t="s">
        <v>21</v>
      </c>
      <c r="V140" s="114">
        <v>1.1321964600000001</v>
      </c>
      <c r="W140" s="72">
        <v>2.8185774600000002</v>
      </c>
      <c r="X140" s="72">
        <v>4.1803059300000003</v>
      </c>
      <c r="Y140" s="72">
        <v>5.2061840900000007</v>
      </c>
      <c r="Z140" s="115">
        <v>6.2935759100000004</v>
      </c>
    </row>
    <row r="141" spans="2:26" x14ac:dyDescent="0.35">
      <c r="B141" s="55" t="s">
        <v>170</v>
      </c>
      <c r="C141" s="53" t="s">
        <v>234</v>
      </c>
      <c r="D141" s="53" t="s">
        <v>20</v>
      </c>
      <c r="E141" s="53" t="s">
        <v>21</v>
      </c>
      <c r="F141" s="71">
        <v>4.2691726843859933E-2</v>
      </c>
      <c r="G141" s="71">
        <v>5.3429407000301445E-2</v>
      </c>
      <c r="H141" s="71">
        <v>6.517284624703977E-2</v>
      </c>
      <c r="I141" s="71">
        <v>7.0817550299087623E-2</v>
      </c>
      <c r="J141" s="63">
        <v>7.5847617491117431E-2</v>
      </c>
      <c r="K141" s="71">
        <v>4.5670593438599328E-3</v>
      </c>
      <c r="L141" s="71">
        <v>1.5934407900301449E-2</v>
      </c>
      <c r="M141" s="71">
        <v>2.6548961547039781E-2</v>
      </c>
      <c r="N141" s="71">
        <v>3.1001585299087635E-2</v>
      </c>
      <c r="O141" s="63">
        <v>3.4618019991117438E-2</v>
      </c>
      <c r="P141" s="55" t="s">
        <v>468</v>
      </c>
      <c r="Q141" s="53" t="s">
        <v>469</v>
      </c>
      <c r="R141" s="94">
        <v>47505</v>
      </c>
      <c r="S141" s="73">
        <v>5.5480260000000003E-2</v>
      </c>
      <c r="T141" s="63">
        <v>9.6925862470397667E-3</v>
      </c>
      <c r="V141" s="114">
        <v>1.12436837</v>
      </c>
      <c r="W141" s="72">
        <v>2.8022332800000003</v>
      </c>
      <c r="X141" s="72">
        <v>4.1801492599999994</v>
      </c>
      <c r="Y141" s="72">
        <v>5.2506876099999999</v>
      </c>
      <c r="Z141" s="115">
        <v>6.4616041200000005</v>
      </c>
    </row>
    <row r="142" spans="2:26" x14ac:dyDescent="0.35">
      <c r="B142" s="55" t="s">
        <v>153</v>
      </c>
      <c r="C142" s="53" t="s">
        <v>234</v>
      </c>
      <c r="D142" s="53" t="s">
        <v>20</v>
      </c>
      <c r="E142" s="53" t="s">
        <v>123</v>
      </c>
      <c r="F142" s="71">
        <v>4.1958226305148436E-2</v>
      </c>
      <c r="G142" s="71">
        <v>5.5268610701726638E-2</v>
      </c>
      <c r="H142" s="71">
        <v>6.4538657765287166E-2</v>
      </c>
      <c r="I142" s="71">
        <v>7.0187378058630998E-2</v>
      </c>
      <c r="J142" s="63">
        <v>7.3886386261348233E-2</v>
      </c>
      <c r="K142" s="71">
        <v>3.8731492051484392E-3</v>
      </c>
      <c r="L142" s="71">
        <v>1.765223720172664E-2</v>
      </c>
      <c r="M142" s="71">
        <v>2.5955113665287181E-2</v>
      </c>
      <c r="N142" s="71">
        <v>3.0403744258630988E-2</v>
      </c>
      <c r="O142" s="63">
        <v>3.2788672761348239E-2</v>
      </c>
      <c r="P142" s="55" t="s">
        <v>470</v>
      </c>
      <c r="Q142" s="53" t="s">
        <v>471</v>
      </c>
      <c r="R142" s="94">
        <v>47484</v>
      </c>
      <c r="S142" s="73">
        <v>5.4847310000000003E-2</v>
      </c>
      <c r="T142" s="63">
        <v>9.691347765287163E-3</v>
      </c>
      <c r="V142" s="114">
        <v>1.12620126</v>
      </c>
      <c r="W142" s="72">
        <v>2.79433065</v>
      </c>
      <c r="X142" s="72">
        <v>4.1722306299999996</v>
      </c>
      <c r="Y142" s="72">
        <v>5.2590751300000003</v>
      </c>
      <c r="Z142" s="115">
        <v>6.5118469999999995</v>
      </c>
    </row>
    <row r="143" spans="2:26" x14ac:dyDescent="0.35">
      <c r="B143" s="55" t="s">
        <v>176</v>
      </c>
      <c r="C143" s="53" t="s">
        <v>234</v>
      </c>
      <c r="D143" s="53" t="s">
        <v>47</v>
      </c>
      <c r="E143" s="53" t="s">
        <v>21</v>
      </c>
      <c r="F143" s="71">
        <v>4.1920733606726809E-2</v>
      </c>
      <c r="G143" s="71">
        <v>5.0932199876873654E-2</v>
      </c>
      <c r="H143" s="71">
        <v>6.0804921071685357E-2</v>
      </c>
      <c r="I143" s="71">
        <v>6.4810240850978917E-2</v>
      </c>
      <c r="J143" s="63">
        <v>6.8304356566127156E-2</v>
      </c>
      <c r="K143" s="71">
        <v>3.7976519067268177E-3</v>
      </c>
      <c r="L143" s="71">
        <v>1.3551961176873644E-2</v>
      </c>
      <c r="M143" s="71">
        <v>2.245354947168535E-2</v>
      </c>
      <c r="N143" s="71">
        <v>2.5383556150978908E-2</v>
      </c>
      <c r="O143" s="63">
        <v>2.7559636866127144E-2</v>
      </c>
      <c r="P143" s="55" t="s">
        <v>21</v>
      </c>
      <c r="Q143" s="53" t="s">
        <v>21</v>
      </c>
      <c r="R143" s="94" t="s">
        <v>21</v>
      </c>
      <c r="S143" s="73" t="s">
        <v>21</v>
      </c>
      <c r="T143" s="63" t="s">
        <v>21</v>
      </c>
      <c r="V143" s="114">
        <v>1.1251501400000001</v>
      </c>
      <c r="W143" s="72">
        <v>2.8177444400000002</v>
      </c>
      <c r="X143" s="72">
        <v>4.2305739300000003</v>
      </c>
      <c r="Y143" s="72">
        <v>5.3811282499999997</v>
      </c>
      <c r="Z143" s="115">
        <v>6.7385911399999996</v>
      </c>
    </row>
    <row r="144" spans="2:26" x14ac:dyDescent="0.35">
      <c r="B144" s="55" t="s">
        <v>325</v>
      </c>
      <c r="C144" s="53" t="s">
        <v>234</v>
      </c>
      <c r="D144" s="53" t="s">
        <v>69</v>
      </c>
      <c r="E144" s="53" t="s">
        <v>116</v>
      </c>
      <c r="F144" s="71">
        <v>3.9327310789063111E-2</v>
      </c>
      <c r="G144" s="71">
        <v>4.8928000164424078E-2</v>
      </c>
      <c r="H144" s="71">
        <v>6.0460089358125392E-2</v>
      </c>
      <c r="I144" s="71">
        <v>6.6731180808426327E-2</v>
      </c>
      <c r="J144" s="63">
        <v>7.1631937161059353E-2</v>
      </c>
      <c r="K144" s="71">
        <v>1.3639411890631042E-3</v>
      </c>
      <c r="L144" s="71">
        <v>1.1666658564424073E-2</v>
      </c>
      <c r="M144" s="71">
        <v>2.2139389158125404E-2</v>
      </c>
      <c r="N144" s="71">
        <v>2.7174902608426338E-2</v>
      </c>
      <c r="O144" s="63">
        <v>3.0674654361059345E-2</v>
      </c>
      <c r="P144" s="55" t="s">
        <v>376</v>
      </c>
      <c r="Q144" s="53" t="s">
        <v>377</v>
      </c>
      <c r="R144" s="94" t="s">
        <v>32</v>
      </c>
      <c r="S144" s="73">
        <v>4.9461100000000001E-2</v>
      </c>
      <c r="T144" s="63">
        <v>1.0998989358125391E-2</v>
      </c>
      <c r="V144" s="114">
        <v>1.1315172499999999</v>
      </c>
      <c r="W144" s="72">
        <v>2.8391164799999999</v>
      </c>
      <c r="X144" s="72">
        <v>4.2573699700000001</v>
      </c>
      <c r="Y144" s="72">
        <v>5.3806467900000001</v>
      </c>
      <c r="Z144" s="115">
        <v>6.6565967500000003</v>
      </c>
    </row>
    <row r="145" spans="2:26" x14ac:dyDescent="0.35">
      <c r="B145" s="55" t="s">
        <v>173</v>
      </c>
      <c r="C145" s="53" t="s">
        <v>234</v>
      </c>
      <c r="D145" s="53" t="s">
        <v>20</v>
      </c>
      <c r="E145" s="53" t="s">
        <v>290</v>
      </c>
      <c r="F145" s="71">
        <v>4.0935842979637788E-2</v>
      </c>
      <c r="G145" s="71">
        <v>5.0006538910029805E-2</v>
      </c>
      <c r="H145" s="71">
        <v>5.9801420824367034E-2</v>
      </c>
      <c r="I145" s="71">
        <v>6.495160162261665E-2</v>
      </c>
      <c r="J145" s="63">
        <v>6.9569983243975259E-2</v>
      </c>
      <c r="K145" s="71">
        <v>2.9065265796377852E-3</v>
      </c>
      <c r="L145" s="71">
        <v>1.271273351002981E-2</v>
      </c>
      <c r="M145" s="71">
        <v>2.156146802436703E-2</v>
      </c>
      <c r="N145" s="71">
        <v>2.5559883222616653E-2</v>
      </c>
      <c r="O145" s="63">
        <v>2.8787893343975281E-2</v>
      </c>
      <c r="P145" s="55" t="s">
        <v>472</v>
      </c>
      <c r="Q145" s="53" t="s">
        <v>473</v>
      </c>
      <c r="R145" s="94">
        <v>47644</v>
      </c>
      <c r="S145" s="73">
        <v>5.0990029999999999E-2</v>
      </c>
      <c r="T145" s="63">
        <v>8.8113908243670352E-3</v>
      </c>
      <c r="V145" s="114">
        <v>1.12875415</v>
      </c>
      <c r="W145" s="72">
        <v>2.8332497999999999</v>
      </c>
      <c r="X145" s="72">
        <v>4.2627296699999997</v>
      </c>
      <c r="Y145" s="72">
        <v>5.4149534399999997</v>
      </c>
      <c r="Z145" s="115">
        <v>6.7498256400000001</v>
      </c>
    </row>
    <row r="146" spans="2:26" x14ac:dyDescent="0.35">
      <c r="B146" s="55" t="s">
        <v>130</v>
      </c>
      <c r="C146" s="53" t="s">
        <v>234</v>
      </c>
      <c r="D146" s="53" t="s">
        <v>131</v>
      </c>
      <c r="E146" s="53" t="s">
        <v>21</v>
      </c>
      <c r="F146" s="71">
        <v>3.892846803960158E-2</v>
      </c>
      <c r="G146" s="71">
        <v>4.8306826535337077E-2</v>
      </c>
      <c r="H146" s="71">
        <v>5.8599464100325876E-2</v>
      </c>
      <c r="I146" s="71">
        <v>6.5300793084446029E-2</v>
      </c>
      <c r="J146" s="63">
        <v>6.9919787518915658E-2</v>
      </c>
      <c r="K146" s="71">
        <v>9.7834653960158276E-4</v>
      </c>
      <c r="L146" s="71">
        <v>1.1076934635337078E-2</v>
      </c>
      <c r="M146" s="71">
        <v>2.040481130032587E-2</v>
      </c>
      <c r="N146" s="71">
        <v>2.5843515084446031E-2</v>
      </c>
      <c r="O146" s="63">
        <v>2.9081942318915643E-2</v>
      </c>
      <c r="P146" s="55" t="s">
        <v>474</v>
      </c>
      <c r="Q146" s="53" t="s">
        <v>475</v>
      </c>
      <c r="R146" s="94">
        <v>47532</v>
      </c>
      <c r="S146" s="73">
        <v>4.8971049999999995E-2</v>
      </c>
      <c r="T146" s="63">
        <v>9.6284141003258814E-3</v>
      </c>
      <c r="V146" s="114">
        <v>1.1323271100000001</v>
      </c>
      <c r="W146" s="72">
        <v>2.8442887399999996</v>
      </c>
      <c r="X146" s="72">
        <v>4.2816477200000005</v>
      </c>
      <c r="Y146" s="72">
        <v>5.4250483699999998</v>
      </c>
      <c r="Z146" s="115">
        <v>6.7345447000000007</v>
      </c>
    </row>
    <row r="147" spans="2:26" x14ac:dyDescent="0.35">
      <c r="B147" s="55" t="s">
        <v>118</v>
      </c>
      <c r="C147" s="53" t="s">
        <v>234</v>
      </c>
      <c r="D147" s="53" t="s">
        <v>20</v>
      </c>
      <c r="E147" s="53" t="s">
        <v>21</v>
      </c>
      <c r="F147" s="71">
        <v>3.9707218799998452E-2</v>
      </c>
      <c r="G147" s="71">
        <v>4.879372135056427E-2</v>
      </c>
      <c r="H147" s="71">
        <v>5.882644418650728E-2</v>
      </c>
      <c r="I147" s="71">
        <v>6.4684269567804348E-2</v>
      </c>
      <c r="J147" s="63">
        <v>6.863327333801536E-2</v>
      </c>
      <c r="K147" s="71">
        <v>1.747512599998449E-3</v>
      </c>
      <c r="L147" s="71">
        <v>1.1565795150564275E-2</v>
      </c>
      <c r="M147" s="71">
        <v>2.0653965286507276E-2</v>
      </c>
      <c r="N147" s="71">
        <v>2.5310329467804347E-2</v>
      </c>
      <c r="O147" s="63">
        <v>2.7919981538015358E-2</v>
      </c>
      <c r="P147" s="55" t="s">
        <v>476</v>
      </c>
      <c r="Q147" s="53" t="s">
        <v>477</v>
      </c>
      <c r="R147" s="94">
        <v>47557</v>
      </c>
      <c r="S147" s="73">
        <v>4.9035809999999999E-2</v>
      </c>
      <c r="T147" s="63">
        <v>9.7906341865072813E-3</v>
      </c>
      <c r="V147" s="114">
        <v>1.13177891</v>
      </c>
      <c r="W147" s="72">
        <v>2.8435007400000001</v>
      </c>
      <c r="X147" s="72">
        <v>4.2835521199999995</v>
      </c>
      <c r="Y147" s="72">
        <v>5.4451148199999997</v>
      </c>
      <c r="Z147" s="115">
        <v>6.7968113199999998</v>
      </c>
    </row>
    <row r="148" spans="2:26" x14ac:dyDescent="0.35">
      <c r="B148" s="55" t="s">
        <v>320</v>
      </c>
      <c r="C148" s="53" t="s">
        <v>234</v>
      </c>
      <c r="D148" s="53" t="s">
        <v>20</v>
      </c>
      <c r="E148" s="53" t="s">
        <v>123</v>
      </c>
      <c r="F148" s="71">
        <v>3.96569385812462E-2</v>
      </c>
      <c r="G148" s="71">
        <v>4.8988111036140092E-2</v>
      </c>
      <c r="H148" s="71">
        <v>5.7954623688451154E-2</v>
      </c>
      <c r="I148" s="71">
        <v>6.2678007235391214E-2</v>
      </c>
      <c r="J148" s="63">
        <v>6.6403462307318181E-2</v>
      </c>
      <c r="K148" s="71">
        <v>1.7008878812461974E-3</v>
      </c>
      <c r="L148" s="71">
        <v>1.1749840336140085E-2</v>
      </c>
      <c r="M148" s="71">
        <v>1.9836593688451171E-2</v>
      </c>
      <c r="N148" s="71">
        <v>2.3436532035391217E-2</v>
      </c>
      <c r="O148" s="63">
        <v>2.5825532707318157E-2</v>
      </c>
      <c r="P148" s="55" t="s">
        <v>21</v>
      </c>
      <c r="Q148" s="53" t="s">
        <v>21</v>
      </c>
      <c r="R148" s="94" t="s">
        <v>21</v>
      </c>
      <c r="S148" s="73" t="s">
        <v>21</v>
      </c>
      <c r="T148" s="63" t="s">
        <v>21</v>
      </c>
      <c r="V148" s="114">
        <v>1.1318656300000001</v>
      </c>
      <c r="W148" s="72">
        <v>2.8411414699999997</v>
      </c>
      <c r="X148" s="72">
        <v>4.2900409100000001</v>
      </c>
      <c r="Y148" s="72">
        <v>5.4740115200000004</v>
      </c>
      <c r="Z148" s="115">
        <v>6.8759333199999997</v>
      </c>
    </row>
    <row r="149" spans="2:26" x14ac:dyDescent="0.35">
      <c r="B149" s="55" t="s">
        <v>334</v>
      </c>
      <c r="C149" s="53" t="s">
        <v>234</v>
      </c>
      <c r="D149" s="53" t="s">
        <v>20</v>
      </c>
      <c r="E149" s="53" t="s">
        <v>318</v>
      </c>
      <c r="F149" s="71">
        <v>3.8941110384695415E-2</v>
      </c>
      <c r="G149" s="71">
        <v>4.7272301866385466E-2</v>
      </c>
      <c r="H149" s="71">
        <v>5.7586884280675661E-2</v>
      </c>
      <c r="I149" s="71">
        <v>6.2450768889663701E-2</v>
      </c>
      <c r="J149" s="63">
        <v>6.6854677283223779E-2</v>
      </c>
      <c r="K149" s="71">
        <v>1.0080730846954251E-3</v>
      </c>
      <c r="L149" s="71">
        <v>1.0120288266385457E-2</v>
      </c>
      <c r="M149" s="71">
        <v>1.9492398780675664E-2</v>
      </c>
      <c r="N149" s="71">
        <v>2.3228342289663712E-2</v>
      </c>
      <c r="O149" s="63">
        <v>2.625140848322377E-2</v>
      </c>
      <c r="P149" s="55" t="s">
        <v>21</v>
      </c>
      <c r="Q149" s="53" t="s">
        <v>21</v>
      </c>
      <c r="R149" s="94" t="s">
        <v>21</v>
      </c>
      <c r="S149" s="73" t="s">
        <v>21</v>
      </c>
      <c r="T149" s="63" t="s">
        <v>21</v>
      </c>
      <c r="V149" s="114">
        <v>1.13333817</v>
      </c>
      <c r="W149" s="72">
        <v>2.8541833999999997</v>
      </c>
      <c r="X149" s="72">
        <v>4.3096629900000005</v>
      </c>
      <c r="Y149" s="72">
        <v>5.49166022</v>
      </c>
      <c r="Z149" s="115">
        <v>6.8820372399999998</v>
      </c>
    </row>
    <row r="150" spans="2:26" x14ac:dyDescent="0.35">
      <c r="B150" s="55" t="s">
        <v>119</v>
      </c>
      <c r="C150" s="53" t="s">
        <v>234</v>
      </c>
      <c r="D150" s="53" t="s">
        <v>120</v>
      </c>
      <c r="E150" s="53" t="s">
        <v>21</v>
      </c>
      <c r="F150" s="71">
        <v>3.7607575709571787E-2</v>
      </c>
      <c r="G150" s="71">
        <v>4.6714648288713613E-2</v>
      </c>
      <c r="H150" s="71">
        <v>5.6454335142743582E-2</v>
      </c>
      <c r="I150" s="71">
        <v>6.2658453510665693E-2</v>
      </c>
      <c r="J150" s="63">
        <v>6.8726102091392224E-2</v>
      </c>
      <c r="K150" s="71" t="s">
        <v>21</v>
      </c>
      <c r="L150" s="71">
        <v>9.5709765887136145E-3</v>
      </c>
      <c r="M150" s="71">
        <v>1.8406695742743579E-2</v>
      </c>
      <c r="N150" s="71">
        <v>2.3392323610665684E-2</v>
      </c>
      <c r="O150" s="63">
        <v>2.7972559991392226E-2</v>
      </c>
      <c r="P150" s="55" t="s">
        <v>21</v>
      </c>
      <c r="Q150" s="53" t="s">
        <v>21</v>
      </c>
      <c r="R150" s="94" t="s">
        <v>21</v>
      </c>
      <c r="S150" s="73" t="s">
        <v>21</v>
      </c>
      <c r="T150" s="63" t="s">
        <v>21</v>
      </c>
      <c r="V150" s="114">
        <v>1.13481626</v>
      </c>
      <c r="W150" s="72">
        <v>2.8593452699999999</v>
      </c>
      <c r="X150" s="72">
        <v>4.3204034600000005</v>
      </c>
      <c r="Y150" s="72">
        <v>5.49957092</v>
      </c>
      <c r="Z150" s="115">
        <v>6.8383557799999997</v>
      </c>
    </row>
    <row r="151" spans="2:26" x14ac:dyDescent="0.35">
      <c r="B151" s="55" t="s">
        <v>321</v>
      </c>
      <c r="C151" s="53" t="s">
        <v>234</v>
      </c>
      <c r="D151" s="53" t="s">
        <v>97</v>
      </c>
      <c r="E151" s="53" t="s">
        <v>21</v>
      </c>
      <c r="F151" s="71">
        <v>3.8145775988475544E-2</v>
      </c>
      <c r="G151" s="71">
        <v>4.6604779383978612E-2</v>
      </c>
      <c r="H151" s="71">
        <v>5.6227842925688748E-2</v>
      </c>
      <c r="I151" s="71">
        <v>6.2010420987162661E-2</v>
      </c>
      <c r="J151" s="63">
        <v>6.7986481073515501E-2</v>
      </c>
      <c r="K151" s="71">
        <v>2.3461438847555399E-4</v>
      </c>
      <c r="L151" s="71">
        <v>9.4666463839786098E-3</v>
      </c>
      <c r="M151" s="71">
        <v>1.819350382568875E-2</v>
      </c>
      <c r="N151" s="71">
        <v>2.2786709287162664E-2</v>
      </c>
      <c r="O151" s="63">
        <v>2.7279186273515499E-2</v>
      </c>
      <c r="P151" s="55" t="s">
        <v>21</v>
      </c>
      <c r="Q151" s="53" t="s">
        <v>21</v>
      </c>
      <c r="R151" s="94" t="s">
        <v>21</v>
      </c>
      <c r="S151" s="73" t="s">
        <v>21</v>
      </c>
      <c r="T151" s="63" t="s">
        <v>21</v>
      </c>
      <c r="V151" s="114">
        <v>1.1337777099999999</v>
      </c>
      <c r="W151" s="72">
        <v>2.8572559200000001</v>
      </c>
      <c r="X151" s="72">
        <v>4.32105008</v>
      </c>
      <c r="Y151" s="72">
        <v>5.5090530600000003</v>
      </c>
      <c r="Z151" s="115">
        <v>6.8655834600000007</v>
      </c>
    </row>
    <row r="152" spans="2:26" x14ac:dyDescent="0.35">
      <c r="B152" s="55" t="s">
        <v>115</v>
      </c>
      <c r="C152" s="53" t="s">
        <v>234</v>
      </c>
      <c r="D152" s="53" t="s">
        <v>31</v>
      </c>
      <c r="E152" s="53" t="s">
        <v>36</v>
      </c>
      <c r="F152" s="71">
        <v>3.8147657333742223E-2</v>
      </c>
      <c r="G152" s="71">
        <v>4.6132172537422488E-2</v>
      </c>
      <c r="H152" s="71">
        <v>5.5959430748950469E-2</v>
      </c>
      <c r="I152" s="71">
        <v>6.1744444386940593E-2</v>
      </c>
      <c r="J152" s="63">
        <v>6.7117749304921301E-2</v>
      </c>
      <c r="K152" s="71">
        <v>2.3825903374222624E-4</v>
      </c>
      <c r="L152" s="71">
        <v>9.0182855374224928E-3</v>
      </c>
      <c r="M152" s="71">
        <v>1.793985404895047E-2</v>
      </c>
      <c r="N152" s="71">
        <v>2.2535302586940593E-2</v>
      </c>
      <c r="O152" s="63">
        <v>2.646540180492131E-2</v>
      </c>
      <c r="P152" s="55" t="s">
        <v>478</v>
      </c>
      <c r="Q152" s="53" t="s">
        <v>479</v>
      </c>
      <c r="R152" s="94">
        <v>47492</v>
      </c>
      <c r="S152" s="73">
        <v>4.6785350000000003E-2</v>
      </c>
      <c r="T152" s="63">
        <v>9.1740807489504653E-3</v>
      </c>
      <c r="V152" s="114">
        <v>1.13376191</v>
      </c>
      <c r="W152" s="72">
        <v>2.8603256699999999</v>
      </c>
      <c r="X152" s="72">
        <v>4.3270334400000001</v>
      </c>
      <c r="Y152" s="72">
        <v>5.5172395300000003</v>
      </c>
      <c r="Z152" s="115">
        <v>6.8885579099999994</v>
      </c>
    </row>
    <row r="153" spans="2:26" x14ac:dyDescent="0.35">
      <c r="B153" s="55" t="s">
        <v>328</v>
      </c>
      <c r="C153" s="53" t="s">
        <v>234</v>
      </c>
      <c r="D153" s="53" t="s">
        <v>257</v>
      </c>
      <c r="E153" s="53" t="s">
        <v>480</v>
      </c>
      <c r="F153" s="71">
        <v>3.9092870534843019E-2</v>
      </c>
      <c r="G153" s="71">
        <v>4.6941341286562584E-2</v>
      </c>
      <c r="H153" s="71">
        <v>5.5525183106534745E-2</v>
      </c>
      <c r="I153" s="71">
        <v>5.9830094214013085E-2</v>
      </c>
      <c r="J153" s="63">
        <v>6.3836865107302354E-2</v>
      </c>
      <c r="K153" s="71">
        <v>1.140234934843022E-3</v>
      </c>
      <c r="L153" s="71">
        <v>9.7843848865625874E-3</v>
      </c>
      <c r="M153" s="71">
        <v>1.7528457306534739E-2</v>
      </c>
      <c r="N153" s="71">
        <v>2.0741492614013091E-2</v>
      </c>
      <c r="O153" s="63">
        <v>2.3383861907302343E-2</v>
      </c>
      <c r="P153" s="55" t="s">
        <v>21</v>
      </c>
      <c r="Q153" s="53" t="s">
        <v>21</v>
      </c>
      <c r="R153" s="94" t="s">
        <v>21</v>
      </c>
      <c r="S153" s="73" t="s">
        <v>21</v>
      </c>
      <c r="T153" s="63" t="s">
        <v>21</v>
      </c>
      <c r="V153" s="114">
        <v>1.13198518</v>
      </c>
      <c r="W153" s="72">
        <v>2.8520357299999999</v>
      </c>
      <c r="X153" s="72">
        <v>4.3221281899999999</v>
      </c>
      <c r="Y153" s="72">
        <v>5.5393112699999998</v>
      </c>
      <c r="Z153" s="115">
        <v>6.9894084800000007</v>
      </c>
    </row>
    <row r="154" spans="2:26" x14ac:dyDescent="0.35">
      <c r="B154" s="55" t="s">
        <v>134</v>
      </c>
      <c r="C154" s="53" t="s">
        <v>234</v>
      </c>
      <c r="D154" s="53" t="s">
        <v>43</v>
      </c>
      <c r="E154" s="53" t="s">
        <v>21</v>
      </c>
      <c r="F154" s="71">
        <v>3.7883628906215321E-2</v>
      </c>
      <c r="G154" s="71">
        <v>4.6028829083155864E-2</v>
      </c>
      <c r="H154" s="71">
        <v>5.5363702965170548E-2</v>
      </c>
      <c r="I154" s="71">
        <v>6.0961442478762104E-2</v>
      </c>
      <c r="J154" s="63">
        <v>6.6573148215430006E-2</v>
      </c>
      <c r="K154" s="71" t="s">
        <v>21</v>
      </c>
      <c r="L154" s="71">
        <v>8.9234668831558624E-3</v>
      </c>
      <c r="M154" s="71">
        <v>1.7382039965170543E-2</v>
      </c>
      <c r="N154" s="71">
        <v>2.1805385378762098E-2</v>
      </c>
      <c r="O154" s="63">
        <v>2.5955348515430004E-2</v>
      </c>
      <c r="P154" s="55" t="s">
        <v>481</v>
      </c>
      <c r="Q154" s="53" t="s">
        <v>482</v>
      </c>
      <c r="R154" s="94" t="s">
        <v>32</v>
      </c>
      <c r="S154" s="73">
        <v>5.0122380000000001E-2</v>
      </c>
      <c r="T154" s="63">
        <v>5.2413229651705473E-3</v>
      </c>
      <c r="V154" s="114">
        <v>1.13422106</v>
      </c>
      <c r="W154" s="72">
        <v>2.8620106199999999</v>
      </c>
      <c r="X154" s="72">
        <v>4.3346712400000005</v>
      </c>
      <c r="Y154" s="72">
        <v>5.5358105799999997</v>
      </c>
      <c r="Z154" s="115">
        <v>6.9201164899999998</v>
      </c>
    </row>
    <row r="155" spans="2:26" x14ac:dyDescent="0.35">
      <c r="B155" s="55" t="s">
        <v>132</v>
      </c>
      <c r="C155" s="53" t="s">
        <v>234</v>
      </c>
      <c r="D155" s="53" t="s">
        <v>20</v>
      </c>
      <c r="E155" s="53" t="s">
        <v>21</v>
      </c>
      <c r="F155" s="71">
        <v>3.8576365770399836E-2</v>
      </c>
      <c r="G155" s="71">
        <v>4.7408804499050439E-2</v>
      </c>
      <c r="H155" s="71">
        <v>5.6208202966707962E-2</v>
      </c>
      <c r="I155" s="71">
        <v>6.0063125148061752E-2</v>
      </c>
      <c r="J155" s="63">
        <v>6.414039515321969E-2</v>
      </c>
      <c r="K155" s="71">
        <v>6.6149877039983502E-4</v>
      </c>
      <c r="L155" s="71">
        <v>1.0252174199050444E-2</v>
      </c>
      <c r="M155" s="71">
        <v>1.8200483866707969E-2</v>
      </c>
      <c r="N155" s="71">
        <v>2.0995936448061754E-2</v>
      </c>
      <c r="O155" s="63">
        <v>2.3701919253219694E-2</v>
      </c>
      <c r="P155" s="55" t="s">
        <v>483</v>
      </c>
      <c r="Q155" s="53" t="s">
        <v>484</v>
      </c>
      <c r="R155" s="94">
        <v>47567</v>
      </c>
      <c r="S155" s="73">
        <v>4.9040199999999999E-2</v>
      </c>
      <c r="T155" s="63">
        <v>7.1680029667079634E-3</v>
      </c>
      <c r="V155" s="114">
        <v>1.1339950700000001</v>
      </c>
      <c r="W155" s="72">
        <v>2.8563053200000001</v>
      </c>
      <c r="X155" s="72">
        <v>4.3240433700000001</v>
      </c>
      <c r="Y155" s="72">
        <v>5.5386772899999999</v>
      </c>
      <c r="Z155" s="115">
        <v>6.9929437299999995</v>
      </c>
    </row>
    <row r="156" spans="2:26" x14ac:dyDescent="0.35">
      <c r="B156" s="55" t="s">
        <v>335</v>
      </c>
      <c r="C156" s="53" t="s">
        <v>234</v>
      </c>
      <c r="D156" s="53" t="s">
        <v>20</v>
      </c>
      <c r="E156" s="53" t="s">
        <v>133</v>
      </c>
      <c r="F156" s="71">
        <v>3.8899646803584972E-2</v>
      </c>
      <c r="G156" s="71">
        <v>4.7047799261265129E-2</v>
      </c>
      <c r="H156" s="71">
        <v>5.614403178104517E-2</v>
      </c>
      <c r="I156" s="71">
        <v>6.0326845083208971E-2</v>
      </c>
      <c r="J156" s="63">
        <v>6.4032656198894505E-2</v>
      </c>
      <c r="K156" s="71">
        <v>9.8316630358498067E-4</v>
      </c>
      <c r="L156" s="71">
        <v>9.9149091612651258E-3</v>
      </c>
      <c r="M156" s="71">
        <v>1.8144170281045178E-2</v>
      </c>
      <c r="N156" s="71">
        <v>2.124476588320898E-2</v>
      </c>
      <c r="O156" s="63">
        <v>2.3606919698894498E-2</v>
      </c>
      <c r="P156" s="55" t="s">
        <v>21</v>
      </c>
      <c r="Q156" s="53" t="s">
        <v>21</v>
      </c>
      <c r="R156" s="94" t="s">
        <v>21</v>
      </c>
      <c r="S156" s="73" t="s">
        <v>21</v>
      </c>
      <c r="T156" s="63" t="s">
        <v>21</v>
      </c>
      <c r="V156" s="114">
        <v>1.1332734900000001</v>
      </c>
      <c r="W156" s="72">
        <v>2.85783436</v>
      </c>
      <c r="X156" s="72">
        <v>4.32794217</v>
      </c>
      <c r="Y156" s="72">
        <v>5.5421735399999994</v>
      </c>
      <c r="Z156" s="115">
        <v>6.9958292100000001</v>
      </c>
    </row>
    <row r="157" spans="2:26" x14ac:dyDescent="0.35">
      <c r="B157" s="55" t="s">
        <v>126</v>
      </c>
      <c r="C157" s="53" t="s">
        <v>234</v>
      </c>
      <c r="D157" s="53" t="s">
        <v>69</v>
      </c>
      <c r="E157" s="53" t="s">
        <v>135</v>
      </c>
      <c r="F157" s="71">
        <v>3.7162173465732244E-2</v>
      </c>
      <c r="G157" s="71">
        <v>4.5917651421233753E-2</v>
      </c>
      <c r="H157" s="71">
        <v>5.5077015834455782E-2</v>
      </c>
      <c r="I157" s="71">
        <v>6.0638310480623285E-2</v>
      </c>
      <c r="J157" s="63">
        <v>6.6390155838654902E-2</v>
      </c>
      <c r="K157" s="71" t="s">
        <v>21</v>
      </c>
      <c r="L157" s="71">
        <v>8.8161560212337495E-3</v>
      </c>
      <c r="M157" s="71">
        <v>1.711333693445579E-2</v>
      </c>
      <c r="N157" s="71">
        <v>2.1506868980623293E-2</v>
      </c>
      <c r="O157" s="63">
        <v>2.5789509738654903E-2</v>
      </c>
      <c r="P157" s="55" t="s">
        <v>485</v>
      </c>
      <c r="Q157" s="53" t="s">
        <v>486</v>
      </c>
      <c r="R157" s="94">
        <v>47484</v>
      </c>
      <c r="S157" s="73">
        <v>4.8172180000000002E-2</v>
      </c>
      <c r="T157" s="63">
        <v>6.9048358344557803E-3</v>
      </c>
      <c r="V157" s="114">
        <v>1.1356446900000001</v>
      </c>
      <c r="W157" s="72">
        <v>2.8672132100000001</v>
      </c>
      <c r="X157" s="72">
        <v>4.3429136399999999</v>
      </c>
      <c r="Y157" s="72">
        <v>5.5491206100000001</v>
      </c>
      <c r="Z157" s="115">
        <v>6.9396741500000001</v>
      </c>
    </row>
    <row r="158" spans="2:26" x14ac:dyDescent="0.35">
      <c r="B158" s="55" t="s">
        <v>127</v>
      </c>
      <c r="C158" s="53" t="s">
        <v>234</v>
      </c>
      <c r="D158" s="53" t="s">
        <v>62</v>
      </c>
      <c r="E158" s="53" t="s">
        <v>487</v>
      </c>
      <c r="F158" s="71">
        <v>3.7961522590122004E-2</v>
      </c>
      <c r="G158" s="71">
        <v>4.5818350083122301E-2</v>
      </c>
      <c r="H158" s="71">
        <v>5.4842464830765755E-2</v>
      </c>
      <c r="I158" s="71">
        <v>6.0090379506939046E-2</v>
      </c>
      <c r="J158" s="63">
        <v>6.5208459157591936E-2</v>
      </c>
      <c r="K158" s="71">
        <v>6.4044290122011564E-5</v>
      </c>
      <c r="L158" s="71">
        <v>8.722827183122301E-3</v>
      </c>
      <c r="M158" s="71">
        <v>1.6892767530765754E-2</v>
      </c>
      <c r="N158" s="71">
        <v>2.099369840693904E-2</v>
      </c>
      <c r="O158" s="63">
        <v>2.4681983557591929E-2</v>
      </c>
      <c r="P158" s="55" t="s">
        <v>488</v>
      </c>
      <c r="Q158" s="53" t="s">
        <v>489</v>
      </c>
      <c r="R158" s="94">
        <v>47635</v>
      </c>
      <c r="S158" s="73">
        <v>4.8920490000000004E-2</v>
      </c>
      <c r="T158" s="63">
        <v>5.9219748307657513E-3</v>
      </c>
      <c r="V158" s="114">
        <v>1.1340885599999999</v>
      </c>
      <c r="W158" s="72">
        <v>2.8643679</v>
      </c>
      <c r="X158" s="72">
        <v>4.34291669</v>
      </c>
      <c r="Y158" s="72">
        <v>5.5568531800000001</v>
      </c>
      <c r="Z158" s="115">
        <v>6.9742173300000001</v>
      </c>
    </row>
    <row r="159" spans="2:26" x14ac:dyDescent="0.35">
      <c r="B159" s="55" t="s">
        <v>330</v>
      </c>
      <c r="C159" s="53" t="s">
        <v>234</v>
      </c>
      <c r="D159" s="53" t="s">
        <v>31</v>
      </c>
      <c r="E159" s="53" t="s">
        <v>21</v>
      </c>
      <c r="F159" s="71">
        <v>3.7935251508338687E-2</v>
      </c>
      <c r="G159" s="71">
        <v>4.626769638512096E-2</v>
      </c>
      <c r="H159" s="71">
        <v>5.45575215762263E-2</v>
      </c>
      <c r="I159" s="71">
        <v>5.9313801882885611E-2</v>
      </c>
      <c r="J159" s="63">
        <v>6.3755834546124726E-2</v>
      </c>
      <c r="K159" s="71">
        <v>2.9289908338686436E-5</v>
      </c>
      <c r="L159" s="71">
        <v>9.1446455851209585E-3</v>
      </c>
      <c r="M159" s="71">
        <v>1.6617947076226301E-2</v>
      </c>
      <c r="N159" s="71">
        <v>2.0258093482885622E-2</v>
      </c>
      <c r="O159" s="63">
        <v>2.3309124746124725E-2</v>
      </c>
      <c r="P159" s="55" t="s">
        <v>21</v>
      </c>
      <c r="Q159" s="53" t="s">
        <v>21</v>
      </c>
      <c r="R159" s="94" t="s">
        <v>21</v>
      </c>
      <c r="S159" s="73" t="s">
        <v>21</v>
      </c>
      <c r="T159" s="63" t="s">
        <v>21</v>
      </c>
      <c r="V159" s="114">
        <v>1.1342024399999999</v>
      </c>
      <c r="W159" s="72">
        <v>2.85996893</v>
      </c>
      <c r="X159" s="72">
        <v>4.3404659199999998</v>
      </c>
      <c r="Y159" s="72">
        <v>5.5649963900000001</v>
      </c>
      <c r="Z159" s="115">
        <v>7.0149651899999999</v>
      </c>
    </row>
    <row r="160" spans="2:26" x14ac:dyDescent="0.35">
      <c r="B160" s="55" t="s">
        <v>332</v>
      </c>
      <c r="C160" s="53" t="s">
        <v>234</v>
      </c>
      <c r="D160" s="53" t="s">
        <v>97</v>
      </c>
      <c r="E160" s="53" t="s">
        <v>21</v>
      </c>
      <c r="F160" s="71">
        <v>3.8682950506042875E-2</v>
      </c>
      <c r="G160" s="71">
        <v>4.5840833883151841E-2</v>
      </c>
      <c r="H160" s="71">
        <v>5.4488313386742898E-2</v>
      </c>
      <c r="I160" s="71">
        <v>5.8875404885016462E-2</v>
      </c>
      <c r="J160" s="63">
        <v>6.2243974382677758E-2</v>
      </c>
      <c r="K160" s="71">
        <v>7.4785980604287396E-4</v>
      </c>
      <c r="L160" s="71">
        <v>8.7396345831518354E-3</v>
      </c>
      <c r="M160" s="71">
        <v>1.6553377786742894E-2</v>
      </c>
      <c r="N160" s="71">
        <v>1.9848579385016472E-2</v>
      </c>
      <c r="O160" s="63">
        <v>2.1891973682677753E-2</v>
      </c>
      <c r="P160" s="55" t="s">
        <v>380</v>
      </c>
      <c r="Q160" s="53" t="s">
        <v>381</v>
      </c>
      <c r="R160" s="94">
        <v>47497</v>
      </c>
      <c r="S160" s="73">
        <v>4.7607650000000001E-2</v>
      </c>
      <c r="T160" s="63">
        <v>6.8806633867428968E-3</v>
      </c>
      <c r="V160" s="114">
        <v>1.13276413</v>
      </c>
      <c r="W160" s="72">
        <v>2.8612214699999998</v>
      </c>
      <c r="X160" s="72">
        <v>4.3432335899999996</v>
      </c>
      <c r="Y160" s="72">
        <v>5.5731552400000002</v>
      </c>
      <c r="Z160" s="115">
        <v>7.0566325999999995</v>
      </c>
    </row>
    <row r="161" spans="2:26" x14ac:dyDescent="0.35">
      <c r="B161" s="55" t="s">
        <v>121</v>
      </c>
      <c r="C161" s="53" t="s">
        <v>234</v>
      </c>
      <c r="D161" s="53" t="s">
        <v>69</v>
      </c>
      <c r="E161" s="53" t="s">
        <v>133</v>
      </c>
      <c r="F161" s="71">
        <v>3.741948784772231E-2</v>
      </c>
      <c r="G161" s="71">
        <v>4.5210606879595189E-2</v>
      </c>
      <c r="H161" s="71">
        <v>5.438175915415272E-2</v>
      </c>
      <c r="I161" s="71">
        <v>6.0715154268470663E-2</v>
      </c>
      <c r="J161" s="63">
        <v>6.5363126195986845E-2</v>
      </c>
      <c r="K161" s="71" t="s">
        <v>21</v>
      </c>
      <c r="L161" s="71">
        <v>8.1396978795951896E-3</v>
      </c>
      <c r="M161" s="71">
        <v>1.6455086854152715E-2</v>
      </c>
      <c r="N161" s="71">
        <v>2.1575437168470671E-2</v>
      </c>
      <c r="O161" s="63">
        <v>2.4831693695986843E-2</v>
      </c>
      <c r="P161" s="55" t="s">
        <v>21</v>
      </c>
      <c r="Q161" s="53" t="s">
        <v>21</v>
      </c>
      <c r="R161" s="94" t="s">
        <v>21</v>
      </c>
      <c r="S161" s="73" t="s">
        <v>21</v>
      </c>
      <c r="T161" s="63" t="s">
        <v>21</v>
      </c>
      <c r="V161" s="114">
        <v>1.1351903400000001</v>
      </c>
      <c r="W161" s="72">
        <v>2.8682548299999997</v>
      </c>
      <c r="X161" s="72">
        <v>4.3525406599999998</v>
      </c>
      <c r="Y161" s="72">
        <v>5.5587244499999997</v>
      </c>
      <c r="Z161" s="115">
        <v>6.96738195</v>
      </c>
    </row>
    <row r="162" spans="2:26" x14ac:dyDescent="0.35">
      <c r="B162" s="55" t="s">
        <v>333</v>
      </c>
      <c r="C162" s="53" t="s">
        <v>234</v>
      </c>
      <c r="D162" s="53" t="s">
        <v>20</v>
      </c>
      <c r="E162" s="53" t="s">
        <v>238</v>
      </c>
      <c r="F162" s="71">
        <v>3.8234564552730978E-2</v>
      </c>
      <c r="G162" s="71">
        <v>4.629410862878227E-2</v>
      </c>
      <c r="H162" s="71">
        <v>5.5121737458576389E-2</v>
      </c>
      <c r="I162" s="71">
        <v>5.9852025093194629E-2</v>
      </c>
      <c r="J162" s="63">
        <v>6.3522300825179942E-2</v>
      </c>
      <c r="K162" s="71">
        <v>3.3544635273098384E-4</v>
      </c>
      <c r="L162" s="71">
        <v>9.1941952287822697E-3</v>
      </c>
      <c r="M162" s="71">
        <v>1.7179026858576387E-2</v>
      </c>
      <c r="N162" s="71">
        <v>2.0796805493194633E-2</v>
      </c>
      <c r="O162" s="63">
        <v>2.3127644025179948E-2</v>
      </c>
      <c r="P162" s="55" t="s">
        <v>21</v>
      </c>
      <c r="Q162" s="53" t="s">
        <v>21</v>
      </c>
      <c r="R162" s="94" t="s">
        <v>21</v>
      </c>
      <c r="S162" s="73" t="s">
        <v>21</v>
      </c>
      <c r="T162" s="63" t="s">
        <v>21</v>
      </c>
      <c r="V162" s="114">
        <v>1.13459668</v>
      </c>
      <c r="W162" s="72">
        <v>2.8641988899999999</v>
      </c>
      <c r="X162" s="72">
        <v>4.3447537199999999</v>
      </c>
      <c r="Y162" s="72">
        <v>5.5662547700000005</v>
      </c>
      <c r="Z162" s="115">
        <v>7.0289061500000001</v>
      </c>
    </row>
    <row r="163" spans="2:26" x14ac:dyDescent="0.35">
      <c r="B163" s="55" t="s">
        <v>329</v>
      </c>
      <c r="C163" s="53" t="s">
        <v>234</v>
      </c>
      <c r="D163" s="53" t="s">
        <v>43</v>
      </c>
      <c r="E163" s="53" t="s">
        <v>21</v>
      </c>
      <c r="F163" s="71">
        <v>3.7742058938647009E-2</v>
      </c>
      <c r="G163" s="71">
        <v>4.5421686408568036E-2</v>
      </c>
      <c r="H163" s="71">
        <v>5.3810191449763095E-2</v>
      </c>
      <c r="I163" s="71">
        <v>5.8871639441328186E-2</v>
      </c>
      <c r="J163" s="63">
        <v>6.3442546733899624E-2</v>
      </c>
      <c r="K163" s="71" t="s">
        <v>21</v>
      </c>
      <c r="L163" s="71">
        <v>8.3404640085680409E-3</v>
      </c>
      <c r="M163" s="71">
        <v>1.5914318249763103E-2</v>
      </c>
      <c r="N163" s="71">
        <v>1.9847281241328191E-2</v>
      </c>
      <c r="O163" s="63">
        <v>2.3020725533899625E-2</v>
      </c>
      <c r="P163" s="55" t="s">
        <v>21</v>
      </c>
      <c r="Q163" s="53" t="s">
        <v>21</v>
      </c>
      <c r="R163" s="94" t="s">
        <v>21</v>
      </c>
      <c r="S163" s="73" t="s">
        <v>21</v>
      </c>
      <c r="T163" s="63" t="s">
        <v>21</v>
      </c>
      <c r="V163" s="114">
        <v>1.1345725900000001</v>
      </c>
      <c r="W163" s="72">
        <v>2.8658893500000002</v>
      </c>
      <c r="X163" s="72">
        <v>4.3554622399999996</v>
      </c>
      <c r="Y163" s="72">
        <v>5.5868829299999998</v>
      </c>
      <c r="Z163" s="115">
        <v>7.0441042899999999</v>
      </c>
    </row>
    <row r="164" spans="2:26" x14ac:dyDescent="0.35">
      <c r="B164" s="55" t="s">
        <v>242</v>
      </c>
      <c r="C164" s="53" t="s">
        <v>234</v>
      </c>
      <c r="D164" s="53" t="s">
        <v>20</v>
      </c>
      <c r="E164" s="53" t="s">
        <v>21</v>
      </c>
      <c r="F164" s="71">
        <v>3.7629480530358354E-2</v>
      </c>
      <c r="G164" s="71">
        <v>4.540679096812273E-2</v>
      </c>
      <c r="H164" s="71">
        <v>5.4636955137263514E-2</v>
      </c>
      <c r="I164" s="71">
        <v>5.8844364495933339E-2</v>
      </c>
      <c r="J164" s="63">
        <v>6.2886177559245832E-2</v>
      </c>
      <c r="K164" s="71" t="s">
        <v>21</v>
      </c>
      <c r="L164" s="71">
        <v>8.3514338681227283E-3</v>
      </c>
      <c r="M164" s="71">
        <v>1.6723827737263507E-2</v>
      </c>
      <c r="N164" s="71">
        <v>1.9855271795933348E-2</v>
      </c>
      <c r="O164" s="63">
        <v>2.2530094059245824E-2</v>
      </c>
      <c r="P164" s="55" t="s">
        <v>21</v>
      </c>
      <c r="Q164" s="53" t="s">
        <v>21</v>
      </c>
      <c r="R164" s="94" t="s">
        <v>21</v>
      </c>
      <c r="S164" s="73" t="s">
        <v>21</v>
      </c>
      <c r="T164" s="63" t="s">
        <v>21</v>
      </c>
      <c r="V164" s="114">
        <v>1.13573075</v>
      </c>
      <c r="W164" s="72">
        <v>2.8715843599999999</v>
      </c>
      <c r="X164" s="72">
        <v>4.3594592199999997</v>
      </c>
      <c r="Y164" s="72">
        <v>5.5938678899999994</v>
      </c>
      <c r="Z164" s="115">
        <v>7.0714054200000005</v>
      </c>
    </row>
    <row r="165" spans="2:26" x14ac:dyDescent="0.35">
      <c r="B165" s="55" t="s">
        <v>237</v>
      </c>
      <c r="C165" s="53" t="s">
        <v>234</v>
      </c>
      <c r="D165" s="53" t="s">
        <v>31</v>
      </c>
      <c r="E165" s="53" t="s">
        <v>143</v>
      </c>
      <c r="F165" s="71">
        <v>3.7408549366759136E-2</v>
      </c>
      <c r="G165" s="71">
        <v>4.5523044674497685E-2</v>
      </c>
      <c r="H165" s="71">
        <v>5.3631027511900284E-2</v>
      </c>
      <c r="I165" s="71">
        <v>5.8944213655509281E-2</v>
      </c>
      <c r="J165" s="63">
        <v>6.4084102358527503E-2</v>
      </c>
      <c r="K165" s="71" t="s">
        <v>21</v>
      </c>
      <c r="L165" s="71">
        <v>8.4340318744976911E-3</v>
      </c>
      <c r="M165" s="71">
        <v>1.5742156511900286E-2</v>
      </c>
      <c r="N165" s="71">
        <v>1.9910020655509286E-2</v>
      </c>
      <c r="O165" s="63">
        <v>2.3616437958527508E-2</v>
      </c>
      <c r="P165" s="55" t="s">
        <v>21</v>
      </c>
      <c r="Q165" s="53" t="s">
        <v>21</v>
      </c>
      <c r="R165" s="94" t="s">
        <v>21</v>
      </c>
      <c r="S165" s="73" t="s">
        <v>21</v>
      </c>
      <c r="T165" s="63" t="s">
        <v>21</v>
      </c>
      <c r="V165" s="114">
        <v>1.1352531100000001</v>
      </c>
      <c r="W165" s="72">
        <v>2.8667864700000001</v>
      </c>
      <c r="X165" s="72">
        <v>4.3575574000000001</v>
      </c>
      <c r="Y165" s="72">
        <v>5.5875775900000004</v>
      </c>
      <c r="Z165" s="115">
        <v>7.0282589199999999</v>
      </c>
    </row>
    <row r="166" spans="2:26" x14ac:dyDescent="0.35">
      <c r="B166" s="55" t="s">
        <v>237</v>
      </c>
      <c r="C166" s="53" t="s">
        <v>234</v>
      </c>
      <c r="D166" s="53" t="s">
        <v>31</v>
      </c>
      <c r="E166" s="53" t="s">
        <v>21</v>
      </c>
      <c r="F166" s="71">
        <v>3.7408549366759136E-2</v>
      </c>
      <c r="G166" s="71">
        <v>4.5523044674497685E-2</v>
      </c>
      <c r="H166" s="71">
        <v>5.3631027511900284E-2</v>
      </c>
      <c r="I166" s="71">
        <v>5.8944213655509281E-2</v>
      </c>
      <c r="J166" s="63">
        <v>6.4084102358527503E-2</v>
      </c>
      <c r="K166" s="71" t="s">
        <v>21</v>
      </c>
      <c r="L166" s="71">
        <v>8.4340318744976911E-3</v>
      </c>
      <c r="M166" s="71">
        <v>1.5742156511900286E-2</v>
      </c>
      <c r="N166" s="71">
        <v>1.9910020655509286E-2</v>
      </c>
      <c r="O166" s="63">
        <v>2.3616437958527508E-2</v>
      </c>
      <c r="P166" s="55" t="s">
        <v>21</v>
      </c>
      <c r="Q166" s="53" t="s">
        <v>21</v>
      </c>
      <c r="R166" s="94" t="s">
        <v>21</v>
      </c>
      <c r="S166" s="73" t="s">
        <v>21</v>
      </c>
      <c r="T166" s="63" t="s">
        <v>21</v>
      </c>
      <c r="V166" s="114">
        <v>1.1352531100000001</v>
      </c>
      <c r="W166" s="72">
        <v>2.8667864700000001</v>
      </c>
      <c r="X166" s="72">
        <v>4.3575574000000001</v>
      </c>
      <c r="Y166" s="72">
        <v>5.5875775900000004</v>
      </c>
      <c r="Z166" s="115">
        <v>7.0282589199999999</v>
      </c>
    </row>
    <row r="167" spans="2:26" x14ac:dyDescent="0.35">
      <c r="B167" s="55" t="s">
        <v>239</v>
      </c>
      <c r="C167" s="53" t="s">
        <v>234</v>
      </c>
      <c r="D167" s="53" t="s">
        <v>43</v>
      </c>
      <c r="E167" s="53" t="s">
        <v>110</v>
      </c>
      <c r="F167" s="71">
        <v>3.730452614530709E-2</v>
      </c>
      <c r="G167" s="71">
        <v>4.5210868092425006E-2</v>
      </c>
      <c r="H167" s="71">
        <v>5.3463876621446561E-2</v>
      </c>
      <c r="I167" s="71">
        <v>5.8410446234274521E-2</v>
      </c>
      <c r="J167" s="63">
        <v>6.2662078471159899E-2</v>
      </c>
      <c r="K167" s="71" t="s">
        <v>21</v>
      </c>
      <c r="L167" s="71">
        <v>8.1393826924250103E-3</v>
      </c>
      <c r="M167" s="71">
        <v>1.5586075221446571E-2</v>
      </c>
      <c r="N167" s="71">
        <v>1.9411767534274517E-2</v>
      </c>
      <c r="O167" s="63">
        <v>2.2284299771159893E-2</v>
      </c>
      <c r="P167" s="55" t="s">
        <v>21</v>
      </c>
      <c r="Q167" s="53" t="s">
        <v>21</v>
      </c>
      <c r="R167" s="94" t="s">
        <v>21</v>
      </c>
      <c r="S167" s="73" t="s">
        <v>21</v>
      </c>
      <c r="T167" s="63" t="s">
        <v>21</v>
      </c>
      <c r="V167" s="114">
        <v>1.1354159500000001</v>
      </c>
      <c r="W167" s="72">
        <v>2.86856372</v>
      </c>
      <c r="X167" s="72">
        <v>4.3615093700000003</v>
      </c>
      <c r="Y167" s="72">
        <v>5.5984370300000004</v>
      </c>
      <c r="Z167" s="115">
        <v>7.0711223599999995</v>
      </c>
    </row>
    <row r="168" spans="2:26" x14ac:dyDescent="0.35">
      <c r="B168" s="55" t="s">
        <v>331</v>
      </c>
      <c r="C168" s="53" t="s">
        <v>234</v>
      </c>
      <c r="D168" s="53" t="s">
        <v>62</v>
      </c>
      <c r="E168" s="53" t="s">
        <v>21</v>
      </c>
      <c r="F168" s="71">
        <v>3.7633174278230826E-2</v>
      </c>
      <c r="G168" s="71">
        <v>4.5044185015299644E-2</v>
      </c>
      <c r="H168" s="71">
        <v>5.3257516009440668E-2</v>
      </c>
      <c r="I168" s="71">
        <v>5.7867228484784483E-2</v>
      </c>
      <c r="J168" s="63">
        <v>6.2661326946068338E-2</v>
      </c>
      <c r="K168" s="71" t="s">
        <v>21</v>
      </c>
      <c r="L168" s="71">
        <v>7.980264015299646E-3</v>
      </c>
      <c r="M168" s="71">
        <v>1.5390491009440664E-2</v>
      </c>
      <c r="N168" s="71">
        <v>1.8905196884784488E-2</v>
      </c>
      <c r="O168" s="63">
        <v>2.2297889646068336E-2</v>
      </c>
      <c r="P168" s="55" t="s">
        <v>21</v>
      </c>
      <c r="Q168" s="53" t="s">
        <v>21</v>
      </c>
      <c r="R168" s="94" t="s">
        <v>21</v>
      </c>
      <c r="S168" s="73" t="s">
        <v>21</v>
      </c>
      <c r="T168" s="63" t="s">
        <v>21</v>
      </c>
      <c r="V168" s="114">
        <v>1.13479072</v>
      </c>
      <c r="W168" s="72">
        <v>2.86851828</v>
      </c>
      <c r="X168" s="72">
        <v>4.3638913500000003</v>
      </c>
      <c r="Y168" s="72">
        <v>5.601648</v>
      </c>
      <c r="Z168" s="115">
        <v>7.0504043200000002</v>
      </c>
    </row>
    <row r="169" spans="2:26" x14ac:dyDescent="0.35">
      <c r="B169" s="55" t="s">
        <v>373</v>
      </c>
      <c r="C169" s="53" t="s">
        <v>234</v>
      </c>
      <c r="D169" s="53" t="s">
        <v>20</v>
      </c>
      <c r="E169" s="53" t="s">
        <v>21</v>
      </c>
      <c r="F169" s="71">
        <v>3.6525224669676323E-2</v>
      </c>
      <c r="G169" s="71">
        <v>4.1719830349933908E-2</v>
      </c>
      <c r="H169" s="71">
        <v>4.6788356234076012E-2</v>
      </c>
      <c r="I169" s="71">
        <v>4.9643176542389811E-2</v>
      </c>
      <c r="J169" s="63">
        <v>5.2175817571047868E-2</v>
      </c>
      <c r="K169" s="71" t="s">
        <v>21</v>
      </c>
      <c r="L169" s="71">
        <v>4.8278865499339074E-3</v>
      </c>
      <c r="M169" s="71">
        <v>9.259211834076006E-3</v>
      </c>
      <c r="N169" s="71">
        <v>1.1105121642389811E-2</v>
      </c>
      <c r="O169" s="63">
        <v>1.2305236971047866E-2</v>
      </c>
      <c r="P169" s="55" t="s">
        <v>21</v>
      </c>
      <c r="Q169" s="53" t="s">
        <v>21</v>
      </c>
      <c r="R169" s="94" t="s">
        <v>21</v>
      </c>
      <c r="S169" s="73" t="s">
        <v>21</v>
      </c>
      <c r="T169" s="63" t="s">
        <v>21</v>
      </c>
      <c r="V169" s="114">
        <v>1.13785892</v>
      </c>
      <c r="W169" s="72">
        <v>2.8975174999999997</v>
      </c>
      <c r="X169" s="72">
        <v>4.4687574699999999</v>
      </c>
      <c r="Y169" s="72">
        <v>5.8407679799999999</v>
      </c>
      <c r="Z169" s="115">
        <v>7.585059750000001</v>
      </c>
    </row>
    <row r="170" spans="2:26" x14ac:dyDescent="0.35">
      <c r="B170" s="55" t="s">
        <v>137</v>
      </c>
      <c r="C170" s="53" t="s">
        <v>234</v>
      </c>
      <c r="D170" s="53" t="s">
        <v>31</v>
      </c>
      <c r="E170" s="53" t="s">
        <v>81</v>
      </c>
      <c r="F170" s="71">
        <v>3.7395794167273441E-2</v>
      </c>
      <c r="G170" s="71">
        <v>4.4196953816374125E-2</v>
      </c>
      <c r="H170" s="71">
        <v>5.1899203952696885E-2</v>
      </c>
      <c r="I170" s="71">
        <v>5.6127687923533703E-2</v>
      </c>
      <c r="J170" s="63">
        <v>6.0590287170668916E-2</v>
      </c>
      <c r="K170" s="71" t="s">
        <v>21</v>
      </c>
      <c r="L170" s="71">
        <v>7.1772300163741171E-3</v>
      </c>
      <c r="M170" s="71">
        <v>1.4107390452696886E-2</v>
      </c>
      <c r="N170" s="71">
        <v>1.72641449235337E-2</v>
      </c>
      <c r="O170" s="63">
        <v>2.0329984570668924E-2</v>
      </c>
      <c r="P170" s="55" t="s">
        <v>490</v>
      </c>
      <c r="Q170" s="53" t="s">
        <v>491</v>
      </c>
      <c r="R170" s="94" t="s">
        <v>32</v>
      </c>
      <c r="S170" s="73">
        <v>4.5599309999999997E-2</v>
      </c>
      <c r="T170" s="63">
        <v>6.2998939526968875E-3</v>
      </c>
      <c r="V170" s="114">
        <v>1.1351834000000001</v>
      </c>
      <c r="W170" s="72">
        <v>2.8744071099999999</v>
      </c>
      <c r="X170" s="72">
        <v>4.3844922500000001</v>
      </c>
      <c r="Y170" s="72">
        <v>5.6533703900000001</v>
      </c>
      <c r="Z170" s="115">
        <v>7.17709829</v>
      </c>
    </row>
    <row r="171" spans="2:26" x14ac:dyDescent="0.35">
      <c r="B171" s="55" t="s">
        <v>242</v>
      </c>
      <c r="C171" s="53" t="s">
        <v>234</v>
      </c>
      <c r="D171" s="53" t="s">
        <v>20</v>
      </c>
      <c r="E171" s="53" t="s">
        <v>21</v>
      </c>
      <c r="F171" s="71">
        <v>3.7629480530358354E-2</v>
      </c>
      <c r="G171" s="71">
        <v>4.540679096812273E-2</v>
      </c>
      <c r="H171" s="71">
        <v>5.4636955137263514E-2</v>
      </c>
      <c r="I171" s="71">
        <v>5.8844364495933339E-2</v>
      </c>
      <c r="J171" s="63">
        <v>6.2886177559245832E-2</v>
      </c>
      <c r="K171" s="71" t="s">
        <v>21</v>
      </c>
      <c r="L171" s="71">
        <v>8.3514338681227283E-3</v>
      </c>
      <c r="M171" s="71">
        <v>1.6723827737263507E-2</v>
      </c>
      <c r="N171" s="71">
        <v>1.9855271795933348E-2</v>
      </c>
      <c r="O171" s="63">
        <v>2.2530094059245824E-2</v>
      </c>
      <c r="P171" s="55" t="s">
        <v>21</v>
      </c>
      <c r="Q171" s="53" t="s">
        <v>21</v>
      </c>
      <c r="R171" s="94" t="s">
        <v>21</v>
      </c>
      <c r="S171" s="73" t="s">
        <v>21</v>
      </c>
      <c r="T171" s="63" t="s">
        <v>21</v>
      </c>
      <c r="V171" s="114">
        <v>1.13573075</v>
      </c>
      <c r="W171" s="72">
        <v>2.8715843599999999</v>
      </c>
      <c r="X171" s="72">
        <v>4.3594592199999997</v>
      </c>
      <c r="Y171" s="72">
        <v>5.5938678899999994</v>
      </c>
      <c r="Z171" s="115">
        <v>7.0714054200000005</v>
      </c>
    </row>
    <row r="172" spans="2:26" x14ac:dyDescent="0.35">
      <c r="B172" s="55" t="s">
        <v>151</v>
      </c>
      <c r="C172" s="53" t="s">
        <v>234</v>
      </c>
      <c r="D172" s="53" t="s">
        <v>43</v>
      </c>
      <c r="E172" s="53" t="s">
        <v>21</v>
      </c>
      <c r="F172" s="71">
        <v>3.7620656075568311E-2</v>
      </c>
      <c r="G172" s="71">
        <v>4.4352718862906419E-2</v>
      </c>
      <c r="H172" s="71">
        <v>5.1611170241584639E-2</v>
      </c>
      <c r="I172" s="71">
        <v>5.6030588863678864E-2</v>
      </c>
      <c r="J172" s="63">
        <v>6.1024228130160917E-2</v>
      </c>
      <c r="K172" s="71" t="s">
        <v>21</v>
      </c>
      <c r="L172" s="71">
        <v>7.3193918629064223E-3</v>
      </c>
      <c r="M172" s="71">
        <v>1.3829282641584641E-2</v>
      </c>
      <c r="N172" s="71">
        <v>1.716700896367887E-2</v>
      </c>
      <c r="O172" s="63">
        <v>2.0732884930160921E-2</v>
      </c>
      <c r="P172" s="55" t="s">
        <v>21</v>
      </c>
      <c r="Q172" s="53" t="s">
        <v>21</v>
      </c>
      <c r="R172" s="94" t="s">
        <v>21</v>
      </c>
      <c r="S172" s="73" t="s">
        <v>21</v>
      </c>
      <c r="T172" s="63" t="s">
        <v>21</v>
      </c>
      <c r="V172" s="114">
        <v>1.13484539</v>
      </c>
      <c r="W172" s="72">
        <v>2.8728963699999999</v>
      </c>
      <c r="X172" s="72">
        <v>4.38568873</v>
      </c>
      <c r="Y172" s="72">
        <v>5.6567845600000002</v>
      </c>
      <c r="Z172" s="115">
        <v>7.1712881300000006</v>
      </c>
    </row>
    <row r="173" spans="2:26" x14ac:dyDescent="0.35">
      <c r="B173" s="55" t="s">
        <v>142</v>
      </c>
      <c r="C173" s="53" t="s">
        <v>234</v>
      </c>
      <c r="D173" s="53" t="s">
        <v>53</v>
      </c>
      <c r="E173" s="53" t="s">
        <v>123</v>
      </c>
      <c r="F173" s="71">
        <v>3.7031429446623965E-2</v>
      </c>
      <c r="G173" s="71">
        <v>4.4199776691420251E-2</v>
      </c>
      <c r="H173" s="71">
        <v>5.1547395933443235E-2</v>
      </c>
      <c r="I173" s="71">
        <v>5.6062976650104027E-2</v>
      </c>
      <c r="J173" s="63">
        <v>6.0881710263905875E-2</v>
      </c>
      <c r="K173" s="71" t="s">
        <v>21</v>
      </c>
      <c r="L173" s="71">
        <v>7.1781360914202445E-3</v>
      </c>
      <c r="M173" s="71">
        <v>1.3772343733443233E-2</v>
      </c>
      <c r="N173" s="71">
        <v>1.7200896150104027E-2</v>
      </c>
      <c r="O173" s="63">
        <v>2.0602827563905877E-2</v>
      </c>
      <c r="P173" s="55" t="s">
        <v>492</v>
      </c>
      <c r="Q173" s="53" t="s">
        <v>493</v>
      </c>
      <c r="R173" s="94" t="s">
        <v>32</v>
      </c>
      <c r="S173" s="73">
        <v>5.0071879999999999E-2</v>
      </c>
      <c r="T173" s="63">
        <v>1.4755159334432361E-3</v>
      </c>
      <c r="V173" s="114">
        <v>1.1359073000000002</v>
      </c>
      <c r="W173" s="72">
        <v>2.8750062700000001</v>
      </c>
      <c r="X173" s="72">
        <v>4.3885433000000003</v>
      </c>
      <c r="Y173" s="72">
        <v>5.6590019600000003</v>
      </c>
      <c r="Z173" s="115">
        <v>7.1757583700000005</v>
      </c>
    </row>
    <row r="174" spans="2:26" x14ac:dyDescent="0.35">
      <c r="B174" s="55" t="s">
        <v>341</v>
      </c>
      <c r="C174" s="53" t="s">
        <v>234</v>
      </c>
      <c r="D174" s="53" t="s">
        <v>69</v>
      </c>
      <c r="E174" s="53" t="s">
        <v>21</v>
      </c>
      <c r="F174" s="71">
        <v>3.7017600975506937E-2</v>
      </c>
      <c r="G174" s="71">
        <v>4.41588796621969E-2</v>
      </c>
      <c r="H174" s="71">
        <v>5.149837653878428E-2</v>
      </c>
      <c r="I174" s="71">
        <v>5.544761064419064E-2</v>
      </c>
      <c r="J174" s="63">
        <v>5.9802221309932006E-2</v>
      </c>
      <c r="K174" s="71" t="s">
        <v>21</v>
      </c>
      <c r="L174" s="71">
        <v>7.1346358621968992E-3</v>
      </c>
      <c r="M174" s="71">
        <v>1.3722659938784276E-2</v>
      </c>
      <c r="N174" s="71">
        <v>1.6616082044190645E-2</v>
      </c>
      <c r="O174" s="63">
        <v>1.9581855309931992E-2</v>
      </c>
      <c r="P174" s="55" t="s">
        <v>494</v>
      </c>
      <c r="Q174" s="53" t="s">
        <v>495</v>
      </c>
      <c r="R174" s="94" t="s">
        <v>32</v>
      </c>
      <c r="S174" s="73">
        <v>4.7845760000000001E-2</v>
      </c>
      <c r="T174" s="63">
        <v>3.6526165387842785E-3</v>
      </c>
      <c r="V174" s="114">
        <v>1.1360036</v>
      </c>
      <c r="W174" s="72">
        <v>2.8760951299999999</v>
      </c>
      <c r="X174" s="72">
        <v>4.390155</v>
      </c>
      <c r="Y174" s="72">
        <v>5.6687826299999999</v>
      </c>
      <c r="Z174" s="115">
        <v>7.2122277600000011</v>
      </c>
    </row>
    <row r="175" spans="2:26" x14ac:dyDescent="0.35">
      <c r="B175" s="55" t="s">
        <v>343</v>
      </c>
      <c r="C175" s="53" t="s">
        <v>234</v>
      </c>
      <c r="D175" s="53" t="s">
        <v>20</v>
      </c>
      <c r="E175" s="53" t="s">
        <v>339</v>
      </c>
      <c r="F175" s="71">
        <v>3.7731022160311566E-2</v>
      </c>
      <c r="G175" s="71">
        <v>4.4812915612750998E-2</v>
      </c>
      <c r="H175" s="71">
        <v>5.2290698320425995E-2</v>
      </c>
      <c r="I175" s="71">
        <v>5.6443084958246244E-2</v>
      </c>
      <c r="J175" s="63">
        <v>6.0798204551362936E-2</v>
      </c>
      <c r="K175" s="71" t="s">
        <v>21</v>
      </c>
      <c r="L175" s="71">
        <v>7.7871409127510047E-3</v>
      </c>
      <c r="M175" s="71">
        <v>1.4503854420425998E-2</v>
      </c>
      <c r="N175" s="71">
        <v>1.7589685558246242E-2</v>
      </c>
      <c r="O175" s="63">
        <v>2.0554467751362944E-2</v>
      </c>
      <c r="P175" s="55" t="s">
        <v>21</v>
      </c>
      <c r="Q175" s="53" t="s">
        <v>21</v>
      </c>
      <c r="R175" s="94" t="s">
        <v>21</v>
      </c>
      <c r="S175" s="73" t="s">
        <v>21</v>
      </c>
      <c r="T175" s="63" t="s">
        <v>21</v>
      </c>
      <c r="V175" s="114">
        <v>1.1355156399999999</v>
      </c>
      <c r="W175" s="72">
        <v>2.8742153199999998</v>
      </c>
      <c r="X175" s="72">
        <v>4.3859233700000004</v>
      </c>
      <c r="Y175" s="72">
        <v>5.6562450100000001</v>
      </c>
      <c r="Z175" s="115">
        <v>7.1877151799999996</v>
      </c>
    </row>
    <row r="176" spans="2:26" x14ac:dyDescent="0.35">
      <c r="B176" s="55" t="s">
        <v>150</v>
      </c>
      <c r="C176" s="53" t="s">
        <v>234</v>
      </c>
      <c r="D176" s="53" t="s">
        <v>53</v>
      </c>
      <c r="E176" s="53" t="s">
        <v>21</v>
      </c>
      <c r="F176" s="71">
        <v>3.7416475086220195E-2</v>
      </c>
      <c r="G176" s="71">
        <v>4.4159673224111719E-2</v>
      </c>
      <c r="H176" s="71">
        <v>5.1242088828350491E-2</v>
      </c>
      <c r="I176" s="71">
        <v>5.5480248110669567E-2</v>
      </c>
      <c r="J176" s="63">
        <v>5.9838417472780049E-2</v>
      </c>
      <c r="K176" s="71" t="s">
        <v>21</v>
      </c>
      <c r="L176" s="71">
        <v>7.1387263241117251E-3</v>
      </c>
      <c r="M176" s="71">
        <v>1.3481592528350499E-2</v>
      </c>
      <c r="N176" s="71">
        <v>1.6647758010669568E-2</v>
      </c>
      <c r="O176" s="63">
        <v>1.9617476072780058E-2</v>
      </c>
      <c r="P176" s="55" t="s">
        <v>496</v>
      </c>
      <c r="Q176" s="53" t="s">
        <v>497</v>
      </c>
      <c r="R176" s="94">
        <v>47498</v>
      </c>
      <c r="S176" s="73">
        <v>4.4161510000000001E-2</v>
      </c>
      <c r="T176" s="63">
        <v>7.0805788283504895E-3</v>
      </c>
      <c r="V176" s="114">
        <v>1.13518735</v>
      </c>
      <c r="W176" s="72">
        <v>2.8746616400000002</v>
      </c>
      <c r="X176" s="72">
        <v>4.3913338500000005</v>
      </c>
      <c r="Y176" s="72">
        <v>5.6701693799999999</v>
      </c>
      <c r="Z176" s="115">
        <v>7.2120445500000008</v>
      </c>
    </row>
    <row r="177" spans="2:26" x14ac:dyDescent="0.35">
      <c r="B177" s="55" t="s">
        <v>138</v>
      </c>
      <c r="C177" s="53" t="s">
        <v>234</v>
      </c>
      <c r="D177" s="53" t="s">
        <v>20</v>
      </c>
      <c r="E177" s="53" t="s">
        <v>21</v>
      </c>
      <c r="F177" s="71">
        <v>3.8910022056523025E-2</v>
      </c>
      <c r="G177" s="71">
        <v>4.5654989253444279E-2</v>
      </c>
      <c r="H177" s="71">
        <v>5.2237088955081314E-2</v>
      </c>
      <c r="I177" s="71">
        <v>5.5693093029366633E-2</v>
      </c>
      <c r="J177" s="63">
        <v>5.9023636363170262E-2</v>
      </c>
      <c r="K177" s="71">
        <v>9.8468065652302511E-4</v>
      </c>
      <c r="L177" s="71">
        <v>8.5861943534442792E-3</v>
      </c>
      <c r="M177" s="71">
        <v>1.4449436055081309E-2</v>
      </c>
      <c r="N177" s="71">
        <v>1.687559392936664E-2</v>
      </c>
      <c r="O177" s="63">
        <v>1.8882024963170256E-2</v>
      </c>
      <c r="P177" s="55" t="s">
        <v>498</v>
      </c>
      <c r="Q177" s="53" t="s">
        <v>499</v>
      </c>
      <c r="R177" s="94">
        <v>47423</v>
      </c>
      <c r="S177" s="73">
        <v>4.7446700000000001E-2</v>
      </c>
      <c r="T177" s="63">
        <v>4.7903889550813122E-3</v>
      </c>
      <c r="V177" s="114">
        <v>1.1333136500000001</v>
      </c>
      <c r="W177" s="72">
        <v>2.8654048899999998</v>
      </c>
      <c r="X177" s="72">
        <v>4.3772923800000001</v>
      </c>
      <c r="Y177" s="72">
        <v>5.6572557899999998</v>
      </c>
      <c r="Z177" s="115">
        <v>7.2180935000000002</v>
      </c>
    </row>
    <row r="178" spans="2:26" x14ac:dyDescent="0.35">
      <c r="B178" s="55" t="s">
        <v>159</v>
      </c>
      <c r="C178" s="53" t="s">
        <v>234</v>
      </c>
      <c r="D178" s="53" t="s">
        <v>20</v>
      </c>
      <c r="E178" s="53" t="s">
        <v>290</v>
      </c>
      <c r="F178" s="71">
        <v>3.8235461858882859E-2</v>
      </c>
      <c r="G178" s="71">
        <v>4.5224673994791062E-2</v>
      </c>
      <c r="H178" s="71">
        <v>5.221917229927131E-2</v>
      </c>
      <c r="I178" s="71">
        <v>5.5704348249695286E-2</v>
      </c>
      <c r="J178" s="63">
        <v>5.9070008771127371E-2</v>
      </c>
      <c r="K178" s="71">
        <v>3.3653665888285986E-4</v>
      </c>
      <c r="L178" s="71">
        <v>8.1763684947910656E-3</v>
      </c>
      <c r="M178" s="71">
        <v>1.4433162499271306E-2</v>
      </c>
      <c r="N178" s="71">
        <v>1.6888797449695285E-2</v>
      </c>
      <c r="O178" s="63">
        <v>1.8920961071127378E-2</v>
      </c>
      <c r="P178" s="55" t="s">
        <v>500</v>
      </c>
      <c r="Q178" s="53" t="s">
        <v>501</v>
      </c>
      <c r="R178" s="94">
        <v>47543</v>
      </c>
      <c r="S178" s="73">
        <v>4.7674279999999999E-2</v>
      </c>
      <c r="T178" s="63">
        <v>4.5448922992713109E-3</v>
      </c>
      <c r="V178" s="114">
        <v>1.1346028500000001</v>
      </c>
      <c r="W178" s="72">
        <v>2.87082389</v>
      </c>
      <c r="X178" s="72">
        <v>4.3829177399999999</v>
      </c>
      <c r="Y178" s="72">
        <v>5.6603899499999999</v>
      </c>
      <c r="Z178" s="115">
        <v>7.2325411600000002</v>
      </c>
    </row>
    <row r="179" spans="2:26" x14ac:dyDescent="0.35">
      <c r="B179" s="55" t="s">
        <v>367</v>
      </c>
      <c r="C179" s="53" t="s">
        <v>234</v>
      </c>
      <c r="D179" s="53" t="s">
        <v>20</v>
      </c>
      <c r="E179" s="53" t="s">
        <v>21</v>
      </c>
      <c r="F179" s="71">
        <v>3.7395942721671467E-2</v>
      </c>
      <c r="G179" s="71">
        <v>4.2981822205961688E-2</v>
      </c>
      <c r="H179" s="71">
        <v>4.8472614622666728E-2</v>
      </c>
      <c r="I179" s="71">
        <v>5.1493672799446312E-2</v>
      </c>
      <c r="J179" s="63">
        <v>5.409047233087156E-2</v>
      </c>
      <c r="K179" s="71" t="s">
        <v>21</v>
      </c>
      <c r="L179" s="71">
        <v>6.0361084059616966E-3</v>
      </c>
      <c r="M179" s="71">
        <v>1.0869159522666731E-2</v>
      </c>
      <c r="N179" s="71">
        <v>1.2877264899446302E-2</v>
      </c>
      <c r="O179" s="63">
        <v>1.4152797030871564E-2</v>
      </c>
      <c r="P179" s="55" t="s">
        <v>394</v>
      </c>
      <c r="Q179" s="53" t="s">
        <v>395</v>
      </c>
      <c r="R179" s="94">
        <v>47270</v>
      </c>
      <c r="S179" s="73">
        <v>4.2671890000000004E-2</v>
      </c>
      <c r="T179" s="63">
        <v>5.8007246226667239E-3</v>
      </c>
      <c r="V179" s="114">
        <v>1.1361872</v>
      </c>
      <c r="W179" s="72">
        <v>2.8871886899999999</v>
      </c>
      <c r="X179" s="72">
        <v>4.4396230899999996</v>
      </c>
      <c r="Y179" s="72">
        <v>5.7830903899999999</v>
      </c>
      <c r="Z179" s="115">
        <v>7.4780909000000007</v>
      </c>
    </row>
    <row r="180" spans="2:26" x14ac:dyDescent="0.35">
      <c r="B180" s="55" t="s">
        <v>359</v>
      </c>
      <c r="C180" s="53" t="s">
        <v>234</v>
      </c>
      <c r="D180" s="53" t="s">
        <v>20</v>
      </c>
      <c r="E180" s="53" t="s">
        <v>128</v>
      </c>
      <c r="F180" s="71">
        <v>3.7842431624387281E-2</v>
      </c>
      <c r="G180" s="71">
        <v>4.4569403310334696E-2</v>
      </c>
      <c r="H180" s="71">
        <v>5.1787036638514125E-2</v>
      </c>
      <c r="I180" s="71">
        <v>5.5147801581321348E-2</v>
      </c>
      <c r="J180" s="63">
        <v>5.8493598272018818E-2</v>
      </c>
      <c r="K180" s="71" t="s">
        <v>21</v>
      </c>
      <c r="L180" s="71">
        <v>7.5525006103346953E-3</v>
      </c>
      <c r="M180" s="71">
        <v>1.4024096538514125E-2</v>
      </c>
      <c r="N180" s="71">
        <v>1.6360628081321354E-2</v>
      </c>
      <c r="O180" s="63">
        <v>1.8377153172018806E-2</v>
      </c>
      <c r="P180" s="55" t="s">
        <v>21</v>
      </c>
      <c r="Q180" s="53" t="s">
        <v>21</v>
      </c>
      <c r="R180" s="94" t="s">
        <v>21</v>
      </c>
      <c r="S180" s="73" t="s">
        <v>21</v>
      </c>
      <c r="T180" s="63" t="s">
        <v>21</v>
      </c>
      <c r="V180" s="114">
        <v>1.1353393999999999</v>
      </c>
      <c r="W180" s="72">
        <v>2.8767094499999999</v>
      </c>
      <c r="X180" s="72">
        <v>4.3947766700000006</v>
      </c>
      <c r="Y180" s="72">
        <v>5.6832024500000005</v>
      </c>
      <c r="Z180" s="115">
        <v>7.2677253100000003</v>
      </c>
    </row>
    <row r="181" spans="2:26" x14ac:dyDescent="0.35">
      <c r="B181" s="55" t="s">
        <v>155</v>
      </c>
      <c r="C181" s="53" t="s">
        <v>234</v>
      </c>
      <c r="D181" s="53" t="s">
        <v>43</v>
      </c>
      <c r="E181" s="53" t="s">
        <v>21</v>
      </c>
      <c r="F181" s="71">
        <v>3.7249808829080841E-2</v>
      </c>
      <c r="G181" s="71">
        <v>4.3571541348124923E-2</v>
      </c>
      <c r="H181" s="71">
        <v>5.075876785871887E-2</v>
      </c>
      <c r="I181" s="71">
        <v>5.4911711779280198E-2</v>
      </c>
      <c r="J181" s="63">
        <v>5.8717495933140539E-2</v>
      </c>
      <c r="K181" s="71" t="s">
        <v>21</v>
      </c>
      <c r="L181" s="71">
        <v>6.5788005481249214E-3</v>
      </c>
      <c r="M181" s="71">
        <v>1.3023824758718871E-2</v>
      </c>
      <c r="N181" s="71">
        <v>1.6109985879280204E-2</v>
      </c>
      <c r="O181" s="63">
        <v>1.856167563314054E-2</v>
      </c>
      <c r="P181" s="55" t="s">
        <v>502</v>
      </c>
      <c r="Q181" s="53" t="s">
        <v>503</v>
      </c>
      <c r="R181" s="94">
        <v>47536</v>
      </c>
      <c r="S181" s="73">
        <v>4.2271789999999997E-2</v>
      </c>
      <c r="T181" s="63">
        <v>8.4869778587188735E-3</v>
      </c>
      <c r="V181" s="114">
        <v>1.1354887899999999</v>
      </c>
      <c r="W181" s="72">
        <v>2.87881973</v>
      </c>
      <c r="X181" s="72">
        <v>4.4012718099999999</v>
      </c>
      <c r="Y181" s="72">
        <v>5.6879209499999996</v>
      </c>
      <c r="Z181" s="115">
        <v>7.2551646200000004</v>
      </c>
    </row>
    <row r="182" spans="2:26" x14ac:dyDescent="0.35">
      <c r="B182" s="55" t="s">
        <v>136</v>
      </c>
      <c r="C182" s="53" t="s">
        <v>234</v>
      </c>
      <c r="D182" s="53" t="s">
        <v>47</v>
      </c>
      <c r="E182" s="53" t="s">
        <v>21</v>
      </c>
      <c r="F182" s="71">
        <v>3.7278397053670323E-2</v>
      </c>
      <c r="G182" s="71">
        <v>4.3594151480652182E-2</v>
      </c>
      <c r="H182" s="71">
        <v>5.0702717654858911E-2</v>
      </c>
      <c r="I182" s="71">
        <v>5.4667921129792602E-2</v>
      </c>
      <c r="J182" s="63">
        <v>5.8648553943916409E-2</v>
      </c>
      <c r="K182" s="71" t="s">
        <v>21</v>
      </c>
      <c r="L182" s="71">
        <v>6.6031231806521849E-3</v>
      </c>
      <c r="M182" s="71">
        <v>1.2972560754858913E-2</v>
      </c>
      <c r="N182" s="71">
        <v>1.5880426829792595E-2</v>
      </c>
      <c r="O182" s="63">
        <v>1.8496283143916402E-2</v>
      </c>
      <c r="P182" s="55" t="s">
        <v>504</v>
      </c>
      <c r="Q182" s="53" t="s">
        <v>505</v>
      </c>
      <c r="R182" s="94">
        <v>47559</v>
      </c>
      <c r="S182" s="73">
        <v>4.2952169999999998E-2</v>
      </c>
      <c r="T182" s="63">
        <v>7.7505476548589136E-3</v>
      </c>
      <c r="V182" s="114">
        <v>1.1353956199999999</v>
      </c>
      <c r="W182" s="72">
        <v>2.8791031500000002</v>
      </c>
      <c r="X182" s="72">
        <v>4.4019629999999994</v>
      </c>
      <c r="Y182" s="72">
        <v>5.69191425</v>
      </c>
      <c r="Z182" s="115">
        <v>7.2618840700000007</v>
      </c>
    </row>
    <row r="183" spans="2:26" x14ac:dyDescent="0.35">
      <c r="B183" s="55" t="s">
        <v>322</v>
      </c>
      <c r="C183" s="53" t="s">
        <v>234</v>
      </c>
      <c r="D183" s="53" t="s">
        <v>69</v>
      </c>
      <c r="E183" s="53" t="s">
        <v>423</v>
      </c>
      <c r="F183" s="71">
        <v>3.695363378284991E-2</v>
      </c>
      <c r="G183" s="71">
        <v>4.3607980722164465E-2</v>
      </c>
      <c r="H183" s="71">
        <v>5.0608419884375595E-2</v>
      </c>
      <c r="I183" s="71">
        <v>5.5141341745233122E-2</v>
      </c>
      <c r="J183" s="63">
        <v>5.8864943392644122E-2</v>
      </c>
      <c r="K183" s="71" t="s">
        <v>21</v>
      </c>
      <c r="L183" s="71">
        <v>6.6119056221644644E-3</v>
      </c>
      <c r="M183" s="71">
        <v>1.2879790884375592E-2</v>
      </c>
      <c r="N183" s="71">
        <v>1.632624514523312E-2</v>
      </c>
      <c r="O183" s="63">
        <v>1.8701968392644115E-2</v>
      </c>
      <c r="P183" s="55" t="s">
        <v>21</v>
      </c>
      <c r="Q183" s="53" t="s">
        <v>21</v>
      </c>
      <c r="R183" s="94" t="s">
        <v>21</v>
      </c>
      <c r="S183" s="73" t="s">
        <v>21</v>
      </c>
      <c r="T183" s="63" t="s">
        <v>21</v>
      </c>
      <c r="V183" s="114">
        <v>1.13608357</v>
      </c>
      <c r="W183" s="72">
        <v>2.8796321300000001</v>
      </c>
      <c r="X183" s="72">
        <v>4.4034333299999995</v>
      </c>
      <c r="Y183" s="72">
        <v>5.6873125800000004</v>
      </c>
      <c r="Z183" s="115">
        <v>7.2494835599999998</v>
      </c>
    </row>
    <row r="184" spans="2:26" x14ac:dyDescent="0.35">
      <c r="B184" s="55" t="s">
        <v>156</v>
      </c>
      <c r="C184" s="53" t="s">
        <v>234</v>
      </c>
      <c r="D184" s="53" t="s">
        <v>131</v>
      </c>
      <c r="E184" s="53" t="s">
        <v>75</v>
      </c>
      <c r="F184" s="71">
        <v>3.7115928428460149E-2</v>
      </c>
      <c r="G184" s="71">
        <v>4.3585912734327728E-2</v>
      </c>
      <c r="H184" s="71">
        <v>5.0608314451566251E-2</v>
      </c>
      <c r="I184" s="71">
        <v>5.4857733958777251E-2</v>
      </c>
      <c r="J184" s="63">
        <v>5.9024438772732585E-2</v>
      </c>
      <c r="K184" s="71" t="s">
        <v>21</v>
      </c>
      <c r="L184" s="71">
        <v>6.5908799343277254E-3</v>
      </c>
      <c r="M184" s="71">
        <v>1.2879670751566251E-2</v>
      </c>
      <c r="N184" s="71">
        <v>1.6057460458777251E-2</v>
      </c>
      <c r="O184" s="63">
        <v>1.8849710772732588E-2</v>
      </c>
      <c r="P184" s="55" t="s">
        <v>506</v>
      </c>
      <c r="Q184" s="53" t="s">
        <v>507</v>
      </c>
      <c r="R184" s="94">
        <v>47534</v>
      </c>
      <c r="S184" s="73">
        <v>4.6385059999999999E-2</v>
      </c>
      <c r="T184" s="63">
        <v>4.2232544515662523E-3</v>
      </c>
      <c r="V184" s="114">
        <v>1.13577079</v>
      </c>
      <c r="W184" s="72">
        <v>2.8792278800000002</v>
      </c>
      <c r="X184" s="72">
        <v>4.4031212700000006</v>
      </c>
      <c r="Y184" s="72">
        <v>5.6908057900000006</v>
      </c>
      <c r="Z184" s="115">
        <v>7.2512241300000007</v>
      </c>
    </row>
    <row r="185" spans="2:26" x14ac:dyDescent="0.35">
      <c r="B185" s="55" t="s">
        <v>326</v>
      </c>
      <c r="C185" s="53" t="s">
        <v>234</v>
      </c>
      <c r="D185" s="53" t="s">
        <v>20</v>
      </c>
      <c r="E185" s="53" t="s">
        <v>21</v>
      </c>
      <c r="F185" s="71">
        <v>3.7139323277875495E-2</v>
      </c>
      <c r="G185" s="71">
        <v>4.4109918353748501E-2</v>
      </c>
      <c r="H185" s="71">
        <v>5.1575538643249201E-2</v>
      </c>
      <c r="I185" s="71">
        <v>5.5799327271216864E-2</v>
      </c>
      <c r="J185" s="63">
        <v>5.9390756690982087E-2</v>
      </c>
      <c r="K185" s="71" t="s">
        <v>21</v>
      </c>
      <c r="L185" s="71">
        <v>7.1147986537485122E-3</v>
      </c>
      <c r="M185" s="71">
        <v>1.3824716343249201E-2</v>
      </c>
      <c r="N185" s="71">
        <v>1.6979508871216863E-2</v>
      </c>
      <c r="O185" s="63">
        <v>1.9230406990982083E-2</v>
      </c>
      <c r="P185" s="55" t="s">
        <v>21</v>
      </c>
      <c r="Q185" s="53" t="s">
        <v>21</v>
      </c>
      <c r="R185" s="94" t="s">
        <v>21</v>
      </c>
      <c r="S185" s="73" t="s">
        <v>21</v>
      </c>
      <c r="T185" s="63" t="s">
        <v>21</v>
      </c>
      <c r="V185" s="114">
        <v>1.1367080200000002</v>
      </c>
      <c r="W185" s="72">
        <v>2.8813407899999999</v>
      </c>
      <c r="X185" s="72">
        <v>4.40035094</v>
      </c>
      <c r="Y185" s="72">
        <v>5.6795864800000002</v>
      </c>
      <c r="Z185" s="115">
        <v>7.239299270000001</v>
      </c>
    </row>
    <row r="186" spans="2:26" x14ac:dyDescent="0.35">
      <c r="B186" s="55" t="s">
        <v>267</v>
      </c>
      <c r="C186" s="53" t="s">
        <v>234</v>
      </c>
      <c r="D186" s="53" t="s">
        <v>31</v>
      </c>
      <c r="E186" s="53" t="s">
        <v>21</v>
      </c>
      <c r="F186" s="71">
        <v>3.6946567678083922E-2</v>
      </c>
      <c r="G186" s="71">
        <v>4.3751049579563932E-2</v>
      </c>
      <c r="H186" s="71">
        <v>5.0564252370126003E-2</v>
      </c>
      <c r="I186" s="71">
        <v>5.4243769376537798E-2</v>
      </c>
      <c r="J186" s="63">
        <v>5.6925556702131251E-2</v>
      </c>
      <c r="K186" s="71" t="s">
        <v>21</v>
      </c>
      <c r="L186" s="71">
        <v>6.7475643795639282E-3</v>
      </c>
      <c r="M186" s="71">
        <v>1.2837058270125993E-2</v>
      </c>
      <c r="N186" s="71">
        <v>1.5474372776537796E-2</v>
      </c>
      <c r="O186" s="63">
        <v>1.6857250502131247E-2</v>
      </c>
      <c r="P186" s="55" t="s">
        <v>508</v>
      </c>
      <c r="Q186" s="53" t="s">
        <v>509</v>
      </c>
      <c r="R186" s="94">
        <v>47679</v>
      </c>
      <c r="S186" s="73">
        <v>4.8774499999999998E-2</v>
      </c>
      <c r="T186" s="63">
        <v>1.7897523701260049E-3</v>
      </c>
      <c r="V186" s="114">
        <v>1.13611061</v>
      </c>
      <c r="W186" s="72">
        <v>2.87879649</v>
      </c>
      <c r="X186" s="72">
        <v>4.40278101</v>
      </c>
      <c r="Y186" s="72">
        <v>5.6989071899999999</v>
      </c>
      <c r="Z186" s="115">
        <v>7.3091230600000001</v>
      </c>
    </row>
    <row r="187" spans="2:26" x14ac:dyDescent="0.35">
      <c r="B187" s="55" t="s">
        <v>243</v>
      </c>
      <c r="C187" s="53" t="s">
        <v>234</v>
      </c>
      <c r="D187" s="53" t="s">
        <v>43</v>
      </c>
      <c r="E187" s="53" t="s">
        <v>112</v>
      </c>
      <c r="F187" s="71">
        <v>3.7072138022141224E-2</v>
      </c>
      <c r="G187" s="71">
        <v>4.3527661270081265E-2</v>
      </c>
      <c r="H187" s="71">
        <v>5.0501570141560287E-2</v>
      </c>
      <c r="I187" s="71">
        <v>5.4847755010857792E-2</v>
      </c>
      <c r="J187" s="63">
        <v>5.8925189722589956E-2</v>
      </c>
      <c r="K187" s="71" t="s">
        <v>21</v>
      </c>
      <c r="L187" s="71">
        <v>6.5356683700812726E-3</v>
      </c>
      <c r="M187" s="71">
        <v>1.2778583541560289E-2</v>
      </c>
      <c r="N187" s="71">
        <v>1.6048199610857794E-2</v>
      </c>
      <c r="O187" s="63">
        <v>1.8756978122589963E-2</v>
      </c>
      <c r="P187" s="55" t="s">
        <v>510</v>
      </c>
      <c r="Q187" s="53" t="s">
        <v>511</v>
      </c>
      <c r="R187" s="94" t="s">
        <v>32</v>
      </c>
      <c r="S187" s="73">
        <v>4.715871E-2</v>
      </c>
      <c r="T187" s="63">
        <v>3.3428601415602874E-3</v>
      </c>
      <c r="V187" s="114">
        <v>1.13585128</v>
      </c>
      <c r="W187" s="72">
        <v>2.88021518</v>
      </c>
      <c r="X187" s="72">
        <v>4.4051893500000006</v>
      </c>
      <c r="Y187" s="72">
        <v>5.6930863499999997</v>
      </c>
      <c r="Z187" s="115">
        <v>7.2552280700000003</v>
      </c>
    </row>
    <row r="188" spans="2:26" x14ac:dyDescent="0.35">
      <c r="B188" s="55" t="s">
        <v>244</v>
      </c>
      <c r="C188" s="53" t="s">
        <v>234</v>
      </c>
      <c r="D188" s="53" t="s">
        <v>43</v>
      </c>
      <c r="E188" s="53" t="s">
        <v>245</v>
      </c>
      <c r="F188" s="71">
        <v>3.702170173907636E-2</v>
      </c>
      <c r="G188" s="71">
        <v>4.3521903368452644E-2</v>
      </c>
      <c r="H188" s="71">
        <v>5.0451683443137642E-2</v>
      </c>
      <c r="I188" s="71">
        <v>5.4991138522706734E-2</v>
      </c>
      <c r="J188" s="63">
        <v>5.9072928802361133E-2</v>
      </c>
      <c r="K188" s="71" t="s">
        <v>21</v>
      </c>
      <c r="L188" s="71">
        <v>6.531199068452653E-3</v>
      </c>
      <c r="M188" s="71">
        <v>1.2732017943137639E-2</v>
      </c>
      <c r="N188" s="71">
        <v>1.6184889022706726E-2</v>
      </c>
      <c r="O188" s="63">
        <v>1.8897723602361118E-2</v>
      </c>
      <c r="P188" s="55" t="s">
        <v>512</v>
      </c>
      <c r="Q188" s="53" t="s">
        <v>513</v>
      </c>
      <c r="R188" s="94">
        <v>47492</v>
      </c>
      <c r="S188" s="73">
        <v>4.7988479999999993E-2</v>
      </c>
      <c r="T188" s="63">
        <v>2.4632034431376487E-3</v>
      </c>
      <c r="V188" s="114">
        <v>1.1359323100000001</v>
      </c>
      <c r="W188" s="72">
        <v>2.8802731000000001</v>
      </c>
      <c r="X188" s="72">
        <v>4.4051858300000006</v>
      </c>
      <c r="Y188" s="72">
        <v>5.6906133199999998</v>
      </c>
      <c r="Z188" s="115">
        <v>7.24878892</v>
      </c>
    </row>
    <row r="189" spans="2:26" x14ac:dyDescent="0.35">
      <c r="B189" s="55" t="s">
        <v>124</v>
      </c>
      <c r="C189" s="53" t="s">
        <v>234</v>
      </c>
      <c r="D189" s="53" t="s">
        <v>69</v>
      </c>
      <c r="E189" s="53" t="s">
        <v>81</v>
      </c>
      <c r="F189" s="71">
        <v>3.6789811273595416E-2</v>
      </c>
      <c r="G189" s="71">
        <v>4.326594236868652E-2</v>
      </c>
      <c r="H189" s="71">
        <v>5.0441136517519788E-2</v>
      </c>
      <c r="I189" s="71">
        <v>5.4788416738533852E-2</v>
      </c>
      <c r="J189" s="63">
        <v>5.9046061920350668E-2</v>
      </c>
      <c r="K189" s="71" t="s">
        <v>21</v>
      </c>
      <c r="L189" s="71">
        <v>6.2857749686865208E-3</v>
      </c>
      <c r="M189" s="71">
        <v>1.2721395517519789E-2</v>
      </c>
      <c r="N189" s="71">
        <v>1.5992531038533851E-2</v>
      </c>
      <c r="O189" s="63">
        <v>1.8871552920350667E-2</v>
      </c>
      <c r="P189" s="55" t="s">
        <v>21</v>
      </c>
      <c r="Q189" s="53" t="s">
        <v>21</v>
      </c>
      <c r="R189" s="94" t="s">
        <v>21</v>
      </c>
      <c r="S189" s="73" t="s">
        <v>21</v>
      </c>
      <c r="T189" s="63" t="s">
        <v>21</v>
      </c>
      <c r="V189" s="114">
        <v>1.1363915099999999</v>
      </c>
      <c r="W189" s="72">
        <v>2.8822859999999997</v>
      </c>
      <c r="X189" s="72">
        <v>4.4083164100000003</v>
      </c>
      <c r="Y189" s="72">
        <v>5.6967905200000004</v>
      </c>
      <c r="Z189" s="115">
        <v>7.2560062600000004</v>
      </c>
    </row>
    <row r="190" spans="2:26" x14ac:dyDescent="0.35">
      <c r="B190" s="55" t="s">
        <v>246</v>
      </c>
      <c r="C190" s="53" t="s">
        <v>234</v>
      </c>
      <c r="D190" s="53" t="s">
        <v>31</v>
      </c>
      <c r="E190" s="53" t="s">
        <v>255</v>
      </c>
      <c r="F190" s="71">
        <v>3.705744768755543E-2</v>
      </c>
      <c r="G190" s="71">
        <v>4.3603562978168219E-2</v>
      </c>
      <c r="H190" s="71">
        <v>5.035448299557143E-2</v>
      </c>
      <c r="I190" s="71">
        <v>5.4037657766602819E-2</v>
      </c>
      <c r="J190" s="63">
        <v>5.7726138256359007E-2</v>
      </c>
      <c r="K190" s="71" t="s">
        <v>21</v>
      </c>
      <c r="L190" s="71">
        <v>6.6074751781682274E-3</v>
      </c>
      <c r="M190" s="71">
        <v>1.2638138495571435E-2</v>
      </c>
      <c r="N190" s="71">
        <v>1.5278747766602825E-2</v>
      </c>
      <c r="O190" s="63">
        <v>1.7618231256359005E-2</v>
      </c>
      <c r="P190" s="55" t="s">
        <v>514</v>
      </c>
      <c r="Q190" s="53" t="s">
        <v>515</v>
      </c>
      <c r="R190" s="94">
        <v>47491</v>
      </c>
      <c r="S190" s="73">
        <v>4.6487840000000002E-2</v>
      </c>
      <c r="T190" s="63">
        <v>3.8666429955714274E-3</v>
      </c>
      <c r="V190" s="114">
        <v>1.1358870700000001</v>
      </c>
      <c r="W190" s="72">
        <v>2.8793209499999999</v>
      </c>
      <c r="X190" s="72">
        <v>4.4056800999999997</v>
      </c>
      <c r="Y190" s="72">
        <v>5.7048695500000006</v>
      </c>
      <c r="Z190" s="115">
        <v>7.2979818599999993</v>
      </c>
    </row>
    <row r="191" spans="2:26" x14ac:dyDescent="0.35">
      <c r="B191" s="55" t="s">
        <v>336</v>
      </c>
      <c r="C191" s="53" t="s">
        <v>234</v>
      </c>
      <c r="D191" s="53" t="s">
        <v>20</v>
      </c>
      <c r="E191" s="53" t="s">
        <v>123</v>
      </c>
      <c r="F191" s="71">
        <v>3.9011788634650192E-2</v>
      </c>
      <c r="G191" s="71">
        <v>4.482309687477342E-2</v>
      </c>
      <c r="H191" s="71">
        <v>5.125396232032306E-2</v>
      </c>
      <c r="I191" s="71">
        <v>5.4855830712239317E-2</v>
      </c>
      <c r="J191" s="63">
        <v>5.8559399592953573E-2</v>
      </c>
      <c r="K191" s="71">
        <v>1.0729841346501885E-3</v>
      </c>
      <c r="L191" s="71">
        <v>7.7895646747734113E-3</v>
      </c>
      <c r="M191" s="71">
        <v>1.3513821520323068E-2</v>
      </c>
      <c r="N191" s="71">
        <v>1.607746791223932E-2</v>
      </c>
      <c r="O191" s="63">
        <v>1.8430616192953567E-2</v>
      </c>
      <c r="P191" s="55" t="s">
        <v>21</v>
      </c>
      <c r="Q191" s="53" t="s">
        <v>21</v>
      </c>
      <c r="R191" s="94" t="s">
        <v>21</v>
      </c>
      <c r="S191" s="73" t="s">
        <v>21</v>
      </c>
      <c r="T191" s="63" t="s">
        <v>21</v>
      </c>
      <c r="V191" s="114">
        <v>1.1331940899999999</v>
      </c>
      <c r="W191" s="72">
        <v>2.87063055</v>
      </c>
      <c r="X191" s="72">
        <v>4.3923938699999994</v>
      </c>
      <c r="Y191" s="72">
        <v>5.6864317999999994</v>
      </c>
      <c r="Z191" s="115">
        <v>7.2733180100000006</v>
      </c>
    </row>
    <row r="192" spans="2:26" x14ac:dyDescent="0.35">
      <c r="B192" s="55" t="s">
        <v>337</v>
      </c>
      <c r="C192" s="53" t="s">
        <v>234</v>
      </c>
      <c r="D192" s="53" t="s">
        <v>20</v>
      </c>
      <c r="E192" s="53" t="s">
        <v>251</v>
      </c>
      <c r="F192" s="71">
        <v>3.7458385179393844E-2</v>
      </c>
      <c r="G192" s="71">
        <v>4.429888288920554E-2</v>
      </c>
      <c r="H192" s="71">
        <v>5.1204025823440975E-2</v>
      </c>
      <c r="I192" s="71">
        <v>5.5428924875553294E-2</v>
      </c>
      <c r="J192" s="63">
        <v>5.8866670108100275E-2</v>
      </c>
      <c r="K192" s="71" t="s">
        <v>21</v>
      </c>
      <c r="L192" s="71">
        <v>7.295041289205547E-3</v>
      </c>
      <c r="M192" s="71">
        <v>1.3471172423440978E-2</v>
      </c>
      <c r="N192" s="71">
        <v>1.6626337175553299E-2</v>
      </c>
      <c r="O192" s="63">
        <v>1.873417580810028E-2</v>
      </c>
      <c r="P192" s="55" t="s">
        <v>382</v>
      </c>
      <c r="Q192" s="53" t="s">
        <v>383</v>
      </c>
      <c r="R192" s="94">
        <v>47624</v>
      </c>
      <c r="S192" s="73">
        <v>4.8562170000000002E-2</v>
      </c>
      <c r="T192" s="63">
        <v>2.6418558234409736E-3</v>
      </c>
      <c r="V192" s="114">
        <v>1.1360515799999999</v>
      </c>
      <c r="W192" s="72">
        <v>2.8790636899999997</v>
      </c>
      <c r="X192" s="72">
        <v>4.4022539900000002</v>
      </c>
      <c r="Y192" s="72">
        <v>5.6880202899999999</v>
      </c>
      <c r="Z192" s="115">
        <v>7.2586388099999999</v>
      </c>
    </row>
    <row r="193" spans="2:26" x14ac:dyDescent="0.35">
      <c r="B193" s="55" t="s">
        <v>146</v>
      </c>
      <c r="C193" s="53" t="s">
        <v>234</v>
      </c>
      <c r="D193" s="53" t="s">
        <v>69</v>
      </c>
      <c r="E193" s="53" t="s">
        <v>348</v>
      </c>
      <c r="F193" s="71">
        <v>3.7141830197919772E-2</v>
      </c>
      <c r="G193" s="71">
        <v>4.3443686501502127E-2</v>
      </c>
      <c r="H193" s="71">
        <v>5.0196455927261206E-2</v>
      </c>
      <c r="I193" s="71">
        <v>5.4168077546685553E-2</v>
      </c>
      <c r="J193" s="63">
        <v>5.8770399483408883E-2</v>
      </c>
      <c r="K193" s="71" t="s">
        <v>21</v>
      </c>
      <c r="L193" s="71">
        <v>6.4549288015021238E-3</v>
      </c>
      <c r="M193" s="71">
        <v>1.2487949927261207E-2</v>
      </c>
      <c r="N193" s="71">
        <v>1.5402301046685558E-2</v>
      </c>
      <c r="O193" s="63">
        <v>1.8605774283408889E-2</v>
      </c>
      <c r="P193" s="55" t="s">
        <v>516</v>
      </c>
      <c r="Q193" s="53" t="s">
        <v>517</v>
      </c>
      <c r="R193" s="94" t="s">
        <v>32</v>
      </c>
      <c r="S193" s="73">
        <v>4.8317079999999998E-2</v>
      </c>
      <c r="T193" s="63">
        <v>1.8793759272612079E-3</v>
      </c>
      <c r="V193" s="114">
        <v>1.1357226</v>
      </c>
      <c r="W193" s="72">
        <v>2.8798639800000001</v>
      </c>
      <c r="X193" s="72">
        <v>4.4081309800000001</v>
      </c>
      <c r="Y193" s="72">
        <v>5.7057778599999995</v>
      </c>
      <c r="Z193" s="115">
        <v>7.2745209500000003</v>
      </c>
    </row>
    <row r="194" spans="2:26" x14ac:dyDescent="0.35">
      <c r="B194" s="55" t="s">
        <v>145</v>
      </c>
      <c r="C194" s="53" t="s">
        <v>234</v>
      </c>
      <c r="D194" s="53" t="s">
        <v>20</v>
      </c>
      <c r="E194" s="53" t="s">
        <v>21</v>
      </c>
      <c r="F194" s="71">
        <v>3.9034309669389526E-2</v>
      </c>
      <c r="G194" s="71">
        <v>4.5031850550609161E-2</v>
      </c>
      <c r="H194" s="71">
        <v>5.1190846878986722E-2</v>
      </c>
      <c r="I194" s="71">
        <v>5.485355024022865E-2</v>
      </c>
      <c r="J194" s="63">
        <v>5.8324335994417317E-2</v>
      </c>
      <c r="K194" s="71">
        <v>1.101375069389534E-3</v>
      </c>
      <c r="L194" s="71">
        <v>7.9913932506091613E-3</v>
      </c>
      <c r="M194" s="71">
        <v>1.3455563778986726E-2</v>
      </c>
      <c r="N194" s="71">
        <v>1.6075750040228654E-2</v>
      </c>
      <c r="O194" s="63">
        <v>1.8209669694417327E-2</v>
      </c>
      <c r="P194" s="55" t="s">
        <v>518</v>
      </c>
      <c r="Q194" s="53" t="s">
        <v>519</v>
      </c>
      <c r="R194" s="94" t="s">
        <v>32</v>
      </c>
      <c r="S194" s="73">
        <v>4.4884820000000006E-2</v>
      </c>
      <c r="T194" s="63">
        <v>6.306026878986716E-3</v>
      </c>
      <c r="V194" s="114">
        <v>1.1330972099999999</v>
      </c>
      <c r="W194" s="72">
        <v>2.8685931600000001</v>
      </c>
      <c r="X194" s="72">
        <v>4.39101125</v>
      </c>
      <c r="Y194" s="72">
        <v>5.6861649999999999</v>
      </c>
      <c r="Z194" s="115">
        <v>7.2759587799999998</v>
      </c>
    </row>
    <row r="195" spans="2:26" x14ac:dyDescent="0.35">
      <c r="B195" s="55" t="s">
        <v>152</v>
      </c>
      <c r="C195" s="53" t="s">
        <v>234</v>
      </c>
      <c r="D195" s="53" t="s">
        <v>47</v>
      </c>
      <c r="E195" s="53" t="s">
        <v>141</v>
      </c>
      <c r="F195" s="71">
        <v>3.7277879432015715E-2</v>
      </c>
      <c r="G195" s="71">
        <v>4.3553532766973588E-2</v>
      </c>
      <c r="H195" s="71">
        <v>5.014881024569709E-2</v>
      </c>
      <c r="I195" s="71">
        <v>5.4121303373636687E-2</v>
      </c>
      <c r="J195" s="63">
        <v>5.8360542222456832E-2</v>
      </c>
      <c r="K195" s="71" t="s">
        <v>21</v>
      </c>
      <c r="L195" s="71">
        <v>6.5603913669735926E-3</v>
      </c>
      <c r="M195" s="71">
        <v>1.2442923645697089E-2</v>
      </c>
      <c r="N195" s="71">
        <v>1.5357765373636688E-2</v>
      </c>
      <c r="O195" s="63">
        <v>1.8219119222456826E-2</v>
      </c>
      <c r="P195" s="55" t="s">
        <v>520</v>
      </c>
      <c r="Q195" s="53" t="s">
        <v>521</v>
      </c>
      <c r="R195" s="94" t="s">
        <v>32</v>
      </c>
      <c r="S195" s="73">
        <v>4.3880860000000001E-2</v>
      </c>
      <c r="T195" s="63">
        <v>6.267950245697089E-3</v>
      </c>
      <c r="V195" s="114">
        <v>1.1354530899999999</v>
      </c>
      <c r="W195" s="72">
        <v>2.8788767900000001</v>
      </c>
      <c r="X195" s="72">
        <v>4.4074262199999996</v>
      </c>
      <c r="Y195" s="72">
        <v>5.7059504400000005</v>
      </c>
      <c r="Z195" s="115">
        <v>7.2840422700000005</v>
      </c>
    </row>
    <row r="196" spans="2:26" x14ac:dyDescent="0.35">
      <c r="B196" s="55" t="s">
        <v>241</v>
      </c>
      <c r="C196" s="53" t="s">
        <v>234</v>
      </c>
      <c r="D196" s="53" t="s">
        <v>69</v>
      </c>
      <c r="E196" s="53" t="s">
        <v>342</v>
      </c>
      <c r="F196" s="71">
        <v>3.6728346851671097E-2</v>
      </c>
      <c r="G196" s="71">
        <v>4.3140936351674999E-2</v>
      </c>
      <c r="H196" s="71">
        <v>5.007715518307379E-2</v>
      </c>
      <c r="I196" s="71">
        <v>5.4289215009693151E-2</v>
      </c>
      <c r="J196" s="63">
        <v>5.8036599562390455E-2</v>
      </c>
      <c r="K196" s="71" t="s">
        <v>21</v>
      </c>
      <c r="L196" s="71">
        <v>6.1681877516749986E-3</v>
      </c>
      <c r="M196" s="71">
        <v>1.2376584283073793E-2</v>
      </c>
      <c r="N196" s="71">
        <v>1.5519404909693156E-2</v>
      </c>
      <c r="O196" s="63">
        <v>1.7918452462390461E-2</v>
      </c>
      <c r="P196" s="55" t="s">
        <v>522</v>
      </c>
      <c r="Q196" s="53" t="s">
        <v>523</v>
      </c>
      <c r="R196" s="94" t="s">
        <v>32</v>
      </c>
      <c r="S196" s="73">
        <v>5.0609409999999994E-2</v>
      </c>
      <c r="T196" s="63">
        <v>-5.3225481692620313E-4</v>
      </c>
      <c r="V196" s="114">
        <v>1.13648203</v>
      </c>
      <c r="W196" s="72">
        <v>2.8832088200000001</v>
      </c>
      <c r="X196" s="72">
        <v>4.4130382199999998</v>
      </c>
      <c r="Y196" s="72">
        <v>5.7087859099999996</v>
      </c>
      <c r="Z196" s="115">
        <v>7.2918510500000009</v>
      </c>
    </row>
    <row r="197" spans="2:26" x14ac:dyDescent="0.35">
      <c r="B197" s="55" t="s">
        <v>340</v>
      </c>
      <c r="C197" s="53" t="s">
        <v>234</v>
      </c>
      <c r="D197" s="53" t="s">
        <v>20</v>
      </c>
      <c r="E197" s="53" t="s">
        <v>123</v>
      </c>
      <c r="F197" s="71">
        <v>3.7938867056800177E-2</v>
      </c>
      <c r="G197" s="71">
        <v>4.4409233900689772E-2</v>
      </c>
      <c r="H197" s="71">
        <v>5.1073235082600608E-2</v>
      </c>
      <c r="I197" s="71">
        <v>5.4605453769497055E-2</v>
      </c>
      <c r="J197" s="63">
        <v>5.7967833787763302E-2</v>
      </c>
      <c r="K197" s="71">
        <v>4.1280156800171247E-5</v>
      </c>
      <c r="L197" s="71">
        <v>7.3943473006897725E-3</v>
      </c>
      <c r="M197" s="71">
        <v>1.3342384382600603E-2</v>
      </c>
      <c r="N197" s="71">
        <v>1.5841555669497052E-2</v>
      </c>
      <c r="O197" s="63">
        <v>1.7871406787763305E-2</v>
      </c>
      <c r="P197" s="55" t="s">
        <v>21</v>
      </c>
      <c r="Q197" s="53" t="s">
        <v>21</v>
      </c>
      <c r="R197" s="94" t="s">
        <v>21</v>
      </c>
      <c r="S197" s="73" t="s">
        <v>21</v>
      </c>
      <c r="T197" s="63" t="s">
        <v>21</v>
      </c>
      <c r="V197" s="114">
        <v>1.1352513799999999</v>
      </c>
      <c r="W197" s="72">
        <v>2.87727311</v>
      </c>
      <c r="X197" s="72">
        <v>4.40140756</v>
      </c>
      <c r="Y197" s="72">
        <v>5.6974033000000004</v>
      </c>
      <c r="Z197" s="115">
        <v>7.2952035100000003</v>
      </c>
    </row>
    <row r="198" spans="2:26" x14ac:dyDescent="0.35">
      <c r="B198" s="55" t="s">
        <v>240</v>
      </c>
      <c r="C198" s="53" t="s">
        <v>234</v>
      </c>
      <c r="D198" s="53" t="s">
        <v>20</v>
      </c>
      <c r="E198" s="53" t="s">
        <v>245</v>
      </c>
      <c r="F198" s="71">
        <v>3.7536817323783583E-2</v>
      </c>
      <c r="G198" s="71">
        <v>4.4424847258996439E-2</v>
      </c>
      <c r="H198" s="71">
        <v>5.1058765790773973E-2</v>
      </c>
      <c r="I198" s="71">
        <v>5.5482944068457052E-2</v>
      </c>
      <c r="J198" s="63">
        <v>5.9270703270720815E-2</v>
      </c>
      <c r="K198" s="71" t="s">
        <v>21</v>
      </c>
      <c r="L198" s="71">
        <v>7.4110619589964379E-3</v>
      </c>
      <c r="M198" s="71">
        <v>1.3330372290773981E-2</v>
      </c>
      <c r="N198" s="71">
        <v>1.6675985868457054E-2</v>
      </c>
      <c r="O198" s="63">
        <v>1.9114255170720802E-2</v>
      </c>
      <c r="P198" s="55" t="s">
        <v>524</v>
      </c>
      <c r="Q198" s="53" t="s">
        <v>525</v>
      </c>
      <c r="R198" s="94">
        <v>47515</v>
      </c>
      <c r="S198" s="73">
        <v>4.7891139999999999E-2</v>
      </c>
      <c r="T198" s="63">
        <v>3.1676257907739744E-3</v>
      </c>
      <c r="V198" s="114">
        <v>1.1359601699999999</v>
      </c>
      <c r="W198" s="72">
        <v>2.8771617799999998</v>
      </c>
      <c r="X198" s="72">
        <v>4.4011563900000006</v>
      </c>
      <c r="Y198" s="72">
        <v>5.6865809299999999</v>
      </c>
      <c r="Z198" s="115">
        <v>7.2495893899999997</v>
      </c>
    </row>
    <row r="199" spans="2:26" x14ac:dyDescent="0.35">
      <c r="B199" s="55" t="s">
        <v>147</v>
      </c>
      <c r="C199" s="53" t="s">
        <v>234</v>
      </c>
      <c r="D199" s="53" t="s">
        <v>69</v>
      </c>
      <c r="E199" s="53" t="s">
        <v>21</v>
      </c>
      <c r="F199" s="71">
        <v>3.6696671426943821E-2</v>
      </c>
      <c r="G199" s="71">
        <v>4.308850841666919E-2</v>
      </c>
      <c r="H199" s="71">
        <v>4.9975209199454217E-2</v>
      </c>
      <c r="I199" s="71">
        <v>5.3998499049836626E-2</v>
      </c>
      <c r="J199" s="63">
        <v>5.801037498688371E-2</v>
      </c>
      <c r="K199" s="71" t="s">
        <v>21</v>
      </c>
      <c r="L199" s="71">
        <v>6.1166229166691923E-3</v>
      </c>
      <c r="M199" s="71">
        <v>1.2278558799454222E-2</v>
      </c>
      <c r="N199" s="71">
        <v>1.5242484249836631E-2</v>
      </c>
      <c r="O199" s="63">
        <v>1.78910266868837E-2</v>
      </c>
      <c r="P199" s="55" t="s">
        <v>526</v>
      </c>
      <c r="Q199" s="53" t="s">
        <v>527</v>
      </c>
      <c r="R199" s="94" t="s">
        <v>32</v>
      </c>
      <c r="S199" s="73">
        <v>4.5662229999999998E-2</v>
      </c>
      <c r="T199" s="63">
        <v>4.3129791994542185E-3</v>
      </c>
      <c r="V199" s="114">
        <v>1.1365653200000001</v>
      </c>
      <c r="W199" s="72">
        <v>2.8836876899999999</v>
      </c>
      <c r="X199" s="72">
        <v>4.4146359300000002</v>
      </c>
      <c r="Y199" s="72">
        <v>5.7144419800000001</v>
      </c>
      <c r="Z199" s="115">
        <v>7.2994849799999999</v>
      </c>
    </row>
    <row r="200" spans="2:26" x14ac:dyDescent="0.35">
      <c r="B200" s="55" t="s">
        <v>178</v>
      </c>
      <c r="C200" s="53" t="s">
        <v>234</v>
      </c>
      <c r="D200" s="53" t="s">
        <v>47</v>
      </c>
      <c r="E200" s="53" t="s">
        <v>128</v>
      </c>
      <c r="F200" s="71">
        <v>3.6816910926593033E-2</v>
      </c>
      <c r="G200" s="71">
        <v>4.2895475330418834E-2</v>
      </c>
      <c r="H200" s="71">
        <v>4.9926214143592322E-2</v>
      </c>
      <c r="I200" s="71">
        <v>5.4225513077541421E-2</v>
      </c>
      <c r="J200" s="63">
        <v>5.8668616874481654E-2</v>
      </c>
      <c r="K200" s="71" t="s">
        <v>21</v>
      </c>
      <c r="L200" s="71">
        <v>5.9320155304188422E-3</v>
      </c>
      <c r="M200" s="71">
        <v>1.2232356443592319E-2</v>
      </c>
      <c r="N200" s="71">
        <v>1.5459733077541414E-2</v>
      </c>
      <c r="O200" s="63">
        <v>1.8516460874481656E-2</v>
      </c>
      <c r="P200" s="55" t="s">
        <v>21</v>
      </c>
      <c r="Q200" s="53" t="s">
        <v>21</v>
      </c>
      <c r="R200" s="94" t="s">
        <v>21</v>
      </c>
      <c r="S200" s="73" t="s">
        <v>21</v>
      </c>
      <c r="T200" s="63" t="s">
        <v>21</v>
      </c>
      <c r="V200" s="114">
        <v>1.13633852</v>
      </c>
      <c r="W200" s="72">
        <v>2.8847416099999998</v>
      </c>
      <c r="X200" s="72">
        <v>4.4166938399999998</v>
      </c>
      <c r="Y200" s="72">
        <v>5.7138887300000007</v>
      </c>
      <c r="Z200" s="115">
        <v>7.2842762899999993</v>
      </c>
    </row>
    <row r="201" spans="2:26" x14ac:dyDescent="0.35">
      <c r="B201" s="55" t="s">
        <v>327</v>
      </c>
      <c r="C201" s="53" t="s">
        <v>234</v>
      </c>
      <c r="D201" s="53" t="s">
        <v>169</v>
      </c>
      <c r="E201" s="53" t="s">
        <v>81</v>
      </c>
      <c r="F201" s="71">
        <v>3.728234199096632E-2</v>
      </c>
      <c r="G201" s="71">
        <v>4.3698142388253709E-2</v>
      </c>
      <c r="H201" s="71">
        <v>5.0758337546631539E-2</v>
      </c>
      <c r="I201" s="71">
        <v>5.5793355654889208E-2</v>
      </c>
      <c r="J201" s="63">
        <v>5.9470425399939325E-2</v>
      </c>
      <c r="K201" s="71" t="s">
        <v>21</v>
      </c>
      <c r="L201" s="71">
        <v>6.7220201882537099E-3</v>
      </c>
      <c r="M201" s="71">
        <v>1.304885464663154E-2</v>
      </c>
      <c r="N201" s="71">
        <v>1.6974571054889202E-2</v>
      </c>
      <c r="O201" s="63">
        <v>1.9310125799939321E-2</v>
      </c>
      <c r="P201" s="55" t="s">
        <v>378</v>
      </c>
      <c r="Q201" s="53" t="s">
        <v>379</v>
      </c>
      <c r="R201" s="94">
        <v>47588</v>
      </c>
      <c r="S201" s="73">
        <v>4.5546699999999996E-2</v>
      </c>
      <c r="T201" s="63">
        <v>5.2116375466315437E-3</v>
      </c>
      <c r="V201" s="114">
        <v>1.13641557</v>
      </c>
      <c r="W201" s="72">
        <v>2.8830969299999998</v>
      </c>
      <c r="X201" s="72">
        <v>4.4110228100000004</v>
      </c>
      <c r="Y201" s="72">
        <v>5.6917335500000004</v>
      </c>
      <c r="Z201" s="115">
        <v>7.2480327500000001</v>
      </c>
    </row>
    <row r="202" spans="2:26" x14ac:dyDescent="0.35">
      <c r="B202" s="55" t="s">
        <v>338</v>
      </c>
      <c r="C202" s="53" t="s">
        <v>234</v>
      </c>
      <c r="D202" s="53" t="s">
        <v>69</v>
      </c>
      <c r="E202" s="53" t="s">
        <v>21</v>
      </c>
      <c r="F202" s="71">
        <v>3.6832172655629637E-2</v>
      </c>
      <c r="G202" s="71">
        <v>4.3290321836302631E-2</v>
      </c>
      <c r="H202" s="71">
        <v>4.9576790709966477E-2</v>
      </c>
      <c r="I202" s="71">
        <v>5.3223907860068864E-2</v>
      </c>
      <c r="J202" s="63">
        <v>5.7397568935073591E-2</v>
      </c>
      <c r="K202" s="71" t="s">
        <v>21</v>
      </c>
      <c r="L202" s="71">
        <v>6.3082618363026277E-3</v>
      </c>
      <c r="M202" s="71">
        <v>1.1898219309966478E-2</v>
      </c>
      <c r="N202" s="71">
        <v>1.4504174160068866E-2</v>
      </c>
      <c r="O202" s="63">
        <v>1.7301078135073592E-2</v>
      </c>
      <c r="P202" s="55" t="s">
        <v>21</v>
      </c>
      <c r="Q202" s="53" t="s">
        <v>21</v>
      </c>
      <c r="R202" s="94" t="s">
        <v>21</v>
      </c>
      <c r="S202" s="73" t="s">
        <v>21</v>
      </c>
      <c r="T202" s="63" t="s">
        <v>21</v>
      </c>
      <c r="V202" s="114">
        <v>1.1363220699999999</v>
      </c>
      <c r="W202" s="72">
        <v>2.88201902</v>
      </c>
      <c r="X202" s="72">
        <v>4.4166059500000001</v>
      </c>
      <c r="Y202" s="72">
        <v>5.7279789299999999</v>
      </c>
      <c r="Z202" s="115">
        <v>7.3305596200000007</v>
      </c>
    </row>
    <row r="203" spans="2:26" x14ac:dyDescent="0.35">
      <c r="B203" s="55" t="s">
        <v>354</v>
      </c>
      <c r="C203" s="53" t="s">
        <v>234</v>
      </c>
      <c r="D203" s="53" t="s">
        <v>20</v>
      </c>
      <c r="E203" s="53" t="s">
        <v>128</v>
      </c>
      <c r="F203" s="71">
        <v>3.8041476521784648E-2</v>
      </c>
      <c r="G203" s="71">
        <v>4.4343371602963137E-2</v>
      </c>
      <c r="H203" s="71">
        <v>5.0409573898025965E-2</v>
      </c>
      <c r="I203" s="71">
        <v>5.3924814863042972E-2</v>
      </c>
      <c r="J203" s="63">
        <v>5.7175083556982857E-2</v>
      </c>
      <c r="K203" s="71">
        <v>1.3712612178464617E-4</v>
      </c>
      <c r="L203" s="71">
        <v>7.33027120296313E-3</v>
      </c>
      <c r="M203" s="71">
        <v>1.2710265198025971E-2</v>
      </c>
      <c r="N203" s="71">
        <v>1.5192019263042977E-2</v>
      </c>
      <c r="O203" s="63">
        <v>1.7109631356982857E-2</v>
      </c>
      <c r="P203" s="55" t="s">
        <v>388</v>
      </c>
      <c r="Q203" s="53" t="s">
        <v>389</v>
      </c>
      <c r="R203" s="94" t="s">
        <v>32</v>
      </c>
      <c r="S203" s="73">
        <v>4.6198469999999998E-2</v>
      </c>
      <c r="T203" s="63">
        <v>4.2111038980259669E-3</v>
      </c>
      <c r="V203" s="114">
        <v>1.13502787</v>
      </c>
      <c r="W203" s="72">
        <v>2.87735115</v>
      </c>
      <c r="X203" s="72">
        <v>4.4080786700000001</v>
      </c>
      <c r="Y203" s="72">
        <v>5.7154271000000003</v>
      </c>
      <c r="Z203" s="115">
        <v>7.3351939800000006</v>
      </c>
    </row>
    <row r="204" spans="2:26" x14ac:dyDescent="0.35">
      <c r="B204" s="55" t="s">
        <v>349</v>
      </c>
      <c r="C204" s="53" t="s">
        <v>234</v>
      </c>
      <c r="D204" s="53" t="s">
        <v>20</v>
      </c>
      <c r="E204" s="53" t="s">
        <v>528</v>
      </c>
      <c r="F204" s="71">
        <v>3.7432747632153436E-2</v>
      </c>
      <c r="G204" s="71">
        <v>4.345376334144975E-2</v>
      </c>
      <c r="H204" s="71">
        <v>5.0003860862385056E-2</v>
      </c>
      <c r="I204" s="71">
        <v>5.3984869598095397E-2</v>
      </c>
      <c r="J204" s="63">
        <v>5.7191434467677708E-2</v>
      </c>
      <c r="K204" s="71" t="s">
        <v>21</v>
      </c>
      <c r="L204" s="71">
        <v>6.4871371414497586E-3</v>
      </c>
      <c r="M204" s="71">
        <v>1.2329234462385064E-2</v>
      </c>
      <c r="N204" s="71">
        <v>1.5252805898095405E-2</v>
      </c>
      <c r="O204" s="63">
        <v>1.7134094267677695E-2</v>
      </c>
      <c r="P204" s="55" t="s">
        <v>384</v>
      </c>
      <c r="Q204" s="53" t="s">
        <v>385</v>
      </c>
      <c r="R204" s="94">
        <v>47529</v>
      </c>
      <c r="S204" s="73">
        <v>4.6931640000000004E-2</v>
      </c>
      <c r="T204" s="63">
        <v>3.0722208623850528E-3</v>
      </c>
      <c r="V204" s="114">
        <v>1.1361277300000001</v>
      </c>
      <c r="W204" s="72">
        <v>2.8842235500000002</v>
      </c>
      <c r="X204" s="72">
        <v>4.4207199399999997</v>
      </c>
      <c r="Y204" s="72">
        <v>5.7292303200000001</v>
      </c>
      <c r="Z204" s="115">
        <v>7.3427392600000001</v>
      </c>
    </row>
    <row r="205" spans="2:26" x14ac:dyDescent="0.35">
      <c r="B205" s="55" t="s">
        <v>253</v>
      </c>
      <c r="C205" s="53" t="s">
        <v>234</v>
      </c>
      <c r="D205" s="53" t="s">
        <v>53</v>
      </c>
      <c r="E205" s="53" t="s">
        <v>125</v>
      </c>
      <c r="F205" s="71">
        <v>3.6531214644734827E-2</v>
      </c>
      <c r="G205" s="71">
        <v>4.2698860957541399E-2</v>
      </c>
      <c r="H205" s="71">
        <v>4.8989378020379948E-2</v>
      </c>
      <c r="I205" s="71">
        <v>5.269453981569034E-2</v>
      </c>
      <c r="J205" s="63">
        <v>5.6355053984186526E-2</v>
      </c>
      <c r="K205" s="71" t="s">
        <v>21</v>
      </c>
      <c r="L205" s="71">
        <v>5.7439981575413968E-3</v>
      </c>
      <c r="M205" s="71">
        <v>1.133972982037995E-2</v>
      </c>
      <c r="N205" s="71">
        <v>1.400112101569034E-2</v>
      </c>
      <c r="O205" s="63">
        <v>1.6307503484186525E-2</v>
      </c>
      <c r="P205" s="55" t="s">
        <v>529</v>
      </c>
      <c r="Q205" s="53" t="s">
        <v>530</v>
      </c>
      <c r="R205" s="94" t="s">
        <v>32</v>
      </c>
      <c r="S205" s="73">
        <v>4.8297090000000001E-2</v>
      </c>
      <c r="T205" s="63">
        <v>6.9228802037994697E-4</v>
      </c>
      <c r="V205" s="114">
        <v>1.1368884100000001</v>
      </c>
      <c r="W205" s="72">
        <v>2.88705232</v>
      </c>
      <c r="X205" s="72">
        <v>4.42844221</v>
      </c>
      <c r="Y205" s="72">
        <v>5.7474130300000006</v>
      </c>
      <c r="Z205" s="115">
        <v>7.3736462599999992</v>
      </c>
    </row>
    <row r="206" spans="2:26" x14ac:dyDescent="0.35">
      <c r="B206" s="55" t="s">
        <v>144</v>
      </c>
      <c r="C206" s="53" t="s">
        <v>234</v>
      </c>
      <c r="D206" s="53" t="s">
        <v>20</v>
      </c>
      <c r="E206" s="53" t="s">
        <v>57</v>
      </c>
      <c r="F206" s="71">
        <v>3.7602312912143263E-2</v>
      </c>
      <c r="G206" s="71">
        <v>4.3480564568595156E-2</v>
      </c>
      <c r="H206" s="71">
        <v>4.9890464472023131E-2</v>
      </c>
      <c r="I206" s="71">
        <v>5.356078200978992E-2</v>
      </c>
      <c r="J206" s="63">
        <v>5.7221811446952507E-2</v>
      </c>
      <c r="K206" s="71" t="s">
        <v>21</v>
      </c>
      <c r="L206" s="71">
        <v>6.5154025685951536E-3</v>
      </c>
      <c r="M206" s="71">
        <v>1.2223346072023134E-2</v>
      </c>
      <c r="N206" s="71">
        <v>1.4853055109789919E-2</v>
      </c>
      <c r="O206" s="63">
        <v>1.7162661046952507E-2</v>
      </c>
      <c r="P206" s="55" t="s">
        <v>531</v>
      </c>
      <c r="Q206" s="53" t="s">
        <v>532</v>
      </c>
      <c r="R206" s="94">
        <v>47498</v>
      </c>
      <c r="S206" s="73">
        <v>4.689202E-2</v>
      </c>
      <c r="T206" s="63">
        <v>2.9984444720231318E-3</v>
      </c>
      <c r="V206" s="114">
        <v>1.13575132</v>
      </c>
      <c r="W206" s="72">
        <v>2.88328987</v>
      </c>
      <c r="X206" s="72">
        <v>4.4207945100000003</v>
      </c>
      <c r="Y206" s="72">
        <v>5.7329613400000001</v>
      </c>
      <c r="Z206" s="115">
        <v>7.3490358100000002</v>
      </c>
    </row>
    <row r="207" spans="2:26" x14ac:dyDescent="0.35">
      <c r="B207" s="55" t="s">
        <v>344</v>
      </c>
      <c r="C207" s="53" t="s">
        <v>234</v>
      </c>
      <c r="D207" s="53" t="s">
        <v>31</v>
      </c>
      <c r="E207" s="53" t="s">
        <v>21</v>
      </c>
      <c r="F207" s="71">
        <v>3.6964097777342671E-2</v>
      </c>
      <c r="G207" s="71">
        <v>4.2481948409262504E-2</v>
      </c>
      <c r="H207" s="71">
        <v>4.8725652251428969E-2</v>
      </c>
      <c r="I207" s="71">
        <v>5.2340544600586E-2</v>
      </c>
      <c r="J207" s="63">
        <v>5.5808619340335944E-2</v>
      </c>
      <c r="K207" s="71" t="s">
        <v>21</v>
      </c>
      <c r="L207" s="71">
        <v>5.5388827092625031E-3</v>
      </c>
      <c r="M207" s="71">
        <v>1.1089812651428969E-2</v>
      </c>
      <c r="N207" s="71">
        <v>1.366466490058601E-2</v>
      </c>
      <c r="O207" s="63">
        <v>1.5784725840335936E-2</v>
      </c>
      <c r="P207" s="55" t="s">
        <v>21</v>
      </c>
      <c r="Q207" s="53" t="s">
        <v>21</v>
      </c>
      <c r="R207" s="94" t="s">
        <v>21</v>
      </c>
      <c r="S207" s="73" t="s">
        <v>21</v>
      </c>
      <c r="T207" s="63" t="s">
        <v>21</v>
      </c>
      <c r="V207" s="114">
        <v>1.13601748</v>
      </c>
      <c r="W207" s="72">
        <v>2.8864992599999999</v>
      </c>
      <c r="X207" s="72">
        <v>4.4310772099999998</v>
      </c>
      <c r="Y207" s="72">
        <v>5.7553211399999995</v>
      </c>
      <c r="Z207" s="115">
        <v>7.3951127000000003</v>
      </c>
    </row>
    <row r="208" spans="2:26" x14ac:dyDescent="0.35">
      <c r="B208" s="55" t="s">
        <v>345</v>
      </c>
      <c r="C208" s="53" t="s">
        <v>234</v>
      </c>
      <c r="D208" s="53" t="s">
        <v>97</v>
      </c>
      <c r="E208" s="53" t="s">
        <v>21</v>
      </c>
      <c r="F208" s="71">
        <v>3.6368320878128906E-2</v>
      </c>
      <c r="G208" s="71">
        <v>4.2726107096678047E-2</v>
      </c>
      <c r="H208" s="71">
        <v>4.8684018674652801E-2</v>
      </c>
      <c r="I208" s="71">
        <v>5.2393586003388462E-2</v>
      </c>
      <c r="J208" s="63">
        <v>5.5769237610680422E-2</v>
      </c>
      <c r="K208" s="71" t="s">
        <v>21</v>
      </c>
      <c r="L208" s="71">
        <v>5.7701450966780518E-3</v>
      </c>
      <c r="M208" s="71">
        <v>1.1048588974652801E-2</v>
      </c>
      <c r="N208" s="71">
        <v>1.3713722603388464E-2</v>
      </c>
      <c r="O208" s="63">
        <v>1.574647051068042E-2</v>
      </c>
      <c r="P208" s="55" t="s">
        <v>21</v>
      </c>
      <c r="Q208" s="53" t="s">
        <v>21</v>
      </c>
      <c r="R208" s="94" t="s">
        <v>21</v>
      </c>
      <c r="S208" s="73" t="s">
        <v>21</v>
      </c>
      <c r="T208" s="63" t="s">
        <v>21</v>
      </c>
      <c r="V208" s="114">
        <v>1.13719901</v>
      </c>
      <c r="W208" s="72">
        <v>2.8870415</v>
      </c>
      <c r="X208" s="72">
        <v>4.4314232799999997</v>
      </c>
      <c r="Y208" s="72">
        <v>5.7551763399999993</v>
      </c>
      <c r="Z208" s="115">
        <v>7.3955579499999997</v>
      </c>
    </row>
    <row r="209" spans="2:26" x14ac:dyDescent="0.35">
      <c r="B209" s="55" t="s">
        <v>154</v>
      </c>
      <c r="C209" s="53" t="s">
        <v>234</v>
      </c>
      <c r="D209" s="53" t="s">
        <v>20</v>
      </c>
      <c r="E209" s="53" t="s">
        <v>133</v>
      </c>
      <c r="F209" s="71">
        <v>3.6949574034130031E-2</v>
      </c>
      <c r="G209" s="71">
        <v>4.2957260141388648E-2</v>
      </c>
      <c r="H209" s="71">
        <v>4.9626867436036844E-2</v>
      </c>
      <c r="I209" s="71">
        <v>5.3600992149998389E-2</v>
      </c>
      <c r="J209" s="63">
        <v>5.6879021028100753E-2</v>
      </c>
      <c r="K209" s="71" t="s">
        <v>21</v>
      </c>
      <c r="L209" s="71">
        <v>6.0150394413886503E-3</v>
      </c>
      <c r="M209" s="71">
        <v>1.197269983603684E-2</v>
      </c>
      <c r="N209" s="71">
        <v>1.489099934999839E-2</v>
      </c>
      <c r="O209" s="63">
        <v>1.6837447728100748E-2</v>
      </c>
      <c r="P209" s="55" t="s">
        <v>533</v>
      </c>
      <c r="Q209" s="53" t="s">
        <v>534</v>
      </c>
      <c r="R209" s="94">
        <v>47529</v>
      </c>
      <c r="S209" s="73">
        <v>4.6642110000000001E-2</v>
      </c>
      <c r="T209" s="63">
        <v>2.9847574360368431E-3</v>
      </c>
      <c r="V209" s="114">
        <v>1.1370263999999999</v>
      </c>
      <c r="W209" s="72">
        <v>2.8892007399999997</v>
      </c>
      <c r="X209" s="72">
        <v>4.4291464000000005</v>
      </c>
      <c r="Y209" s="72">
        <v>5.7407864000000002</v>
      </c>
      <c r="Z209" s="115">
        <v>7.3620818300000002</v>
      </c>
    </row>
    <row r="210" spans="2:26" x14ac:dyDescent="0.35">
      <c r="B210" s="55" t="s">
        <v>252</v>
      </c>
      <c r="C210" s="53" t="s">
        <v>234</v>
      </c>
      <c r="D210" s="53" t="s">
        <v>43</v>
      </c>
      <c r="E210" s="53" t="s">
        <v>21</v>
      </c>
      <c r="F210" s="71">
        <v>3.6631443536108366E-2</v>
      </c>
      <c r="G210" s="71">
        <v>4.2476232421218979E-2</v>
      </c>
      <c r="H210" s="71">
        <v>4.8623068971060751E-2</v>
      </c>
      <c r="I210" s="71">
        <v>5.2238852242902076E-2</v>
      </c>
      <c r="J210" s="63">
        <v>5.5796769168299863E-2</v>
      </c>
      <c r="K210" s="71" t="s">
        <v>21</v>
      </c>
      <c r="L210" s="71">
        <v>5.5325745212189848E-3</v>
      </c>
      <c r="M210" s="71">
        <v>1.0991492471060757E-2</v>
      </c>
      <c r="N210" s="71">
        <v>1.3567326742902078E-2</v>
      </c>
      <c r="O210" s="63">
        <v>1.5772740168299867E-2</v>
      </c>
      <c r="P210" s="55" t="s">
        <v>21</v>
      </c>
      <c r="Q210" s="53" t="s">
        <v>21</v>
      </c>
      <c r="R210" s="94" t="s">
        <v>21</v>
      </c>
      <c r="S210" s="73" t="s">
        <v>21</v>
      </c>
      <c r="T210" s="63" t="s">
        <v>21</v>
      </c>
      <c r="V210" s="114">
        <v>1.1366705499999998</v>
      </c>
      <c r="W210" s="72">
        <v>2.8876730199999998</v>
      </c>
      <c r="X210" s="72">
        <v>4.4331971000000001</v>
      </c>
      <c r="Y210" s="72">
        <v>5.75895153</v>
      </c>
      <c r="Z210" s="115">
        <v>7.3992347799999996</v>
      </c>
    </row>
    <row r="211" spans="2:26" x14ac:dyDescent="0.35">
      <c r="B211" s="55" t="s">
        <v>357</v>
      </c>
      <c r="C211" s="53" t="s">
        <v>234</v>
      </c>
      <c r="D211" s="53" t="s">
        <v>20</v>
      </c>
      <c r="E211" s="53" t="s">
        <v>21</v>
      </c>
      <c r="F211" s="71">
        <v>3.7459845905948225E-2</v>
      </c>
      <c r="G211" s="71">
        <v>4.3430838510719209E-2</v>
      </c>
      <c r="H211" s="71">
        <v>4.9591773396706035E-2</v>
      </c>
      <c r="I211" s="71">
        <v>5.3096006436467107E-2</v>
      </c>
      <c r="J211" s="63">
        <v>5.6383211351727636E-2</v>
      </c>
      <c r="K211" s="71" t="s">
        <v>21</v>
      </c>
      <c r="L211" s="71">
        <v>6.4638621107192106E-3</v>
      </c>
      <c r="M211" s="71">
        <v>1.1935482096706026E-2</v>
      </c>
      <c r="N211" s="71">
        <v>1.4406118836467105E-2</v>
      </c>
      <c r="O211" s="63">
        <v>1.6355712051727634E-2</v>
      </c>
      <c r="P211" s="55" t="s">
        <v>21</v>
      </c>
      <c r="Q211" s="53" t="s">
        <v>21</v>
      </c>
      <c r="R211" s="94" t="s">
        <v>21</v>
      </c>
      <c r="S211" s="73" t="s">
        <v>21</v>
      </c>
      <c r="T211" s="63" t="s">
        <v>21</v>
      </c>
      <c r="V211" s="114">
        <v>1.1360834900000001</v>
      </c>
      <c r="W211" s="72">
        <v>2.88322346</v>
      </c>
      <c r="X211" s="72">
        <v>4.4239999499999998</v>
      </c>
      <c r="Y211" s="72">
        <v>5.7435973899999997</v>
      </c>
      <c r="Z211" s="115">
        <v>7.3798841299999998</v>
      </c>
    </row>
    <row r="212" spans="2:26" x14ac:dyDescent="0.35">
      <c r="B212" s="55" t="s">
        <v>360</v>
      </c>
      <c r="C212" s="53" t="s">
        <v>234</v>
      </c>
      <c r="D212" s="53" t="s">
        <v>20</v>
      </c>
      <c r="E212" s="53" t="s">
        <v>535</v>
      </c>
      <c r="F212" s="71">
        <v>3.7562379672927783E-2</v>
      </c>
      <c r="G212" s="71">
        <v>4.3415209530041E-2</v>
      </c>
      <c r="H212" s="71">
        <v>4.9589319949777111E-2</v>
      </c>
      <c r="I212" s="71">
        <v>5.3076703312826691E-2</v>
      </c>
      <c r="J212" s="63">
        <v>5.6480164123677554E-2</v>
      </c>
      <c r="K212" s="71" t="s">
        <v>21</v>
      </c>
      <c r="L212" s="71">
        <v>6.4493326300409989E-3</v>
      </c>
      <c r="M212" s="71">
        <v>1.1933434149777112E-2</v>
      </c>
      <c r="N212" s="71">
        <v>1.4388222612826693E-2</v>
      </c>
      <c r="O212" s="63">
        <v>1.6448591123677556E-2</v>
      </c>
      <c r="P212" s="55" t="s">
        <v>21</v>
      </c>
      <c r="Q212" s="53" t="s">
        <v>21</v>
      </c>
      <c r="R212" s="94" t="s">
        <v>21</v>
      </c>
      <c r="S212" s="73" t="s">
        <v>21</v>
      </c>
      <c r="T212" s="63" t="s">
        <v>21</v>
      </c>
      <c r="V212" s="114">
        <v>1.13588694</v>
      </c>
      <c r="W212" s="72">
        <v>2.88354731</v>
      </c>
      <c r="X212" s="72">
        <v>4.4244803899999994</v>
      </c>
      <c r="Y212" s="72">
        <v>5.7439759100000005</v>
      </c>
      <c r="Z212" s="115">
        <v>7.3780067699999989</v>
      </c>
    </row>
    <row r="213" spans="2:26" x14ac:dyDescent="0.35">
      <c r="B213" s="55" t="s">
        <v>353</v>
      </c>
      <c r="C213" s="53" t="s">
        <v>234</v>
      </c>
      <c r="D213" s="53" t="s">
        <v>31</v>
      </c>
      <c r="E213" s="53" t="s">
        <v>21</v>
      </c>
      <c r="F213" s="71">
        <v>3.6312506502310445E-2</v>
      </c>
      <c r="G213" s="71">
        <v>4.2381302470098872E-2</v>
      </c>
      <c r="H213" s="71">
        <v>4.8569102228841067E-2</v>
      </c>
      <c r="I213" s="71">
        <v>5.2137106273802025E-2</v>
      </c>
      <c r="J213" s="63">
        <v>5.5646040252731517E-2</v>
      </c>
      <c r="K213" s="71" t="s">
        <v>21</v>
      </c>
      <c r="L213" s="71">
        <v>5.4405883700988818E-3</v>
      </c>
      <c r="M213" s="71">
        <v>1.093936712884106E-2</v>
      </c>
      <c r="N213" s="71">
        <v>1.3470086473802021E-2</v>
      </c>
      <c r="O213" s="63">
        <v>1.5628310852731524E-2</v>
      </c>
      <c r="P213" s="55" t="s">
        <v>21</v>
      </c>
      <c r="Q213" s="53" t="s">
        <v>21</v>
      </c>
      <c r="R213" s="94" t="s">
        <v>21</v>
      </c>
      <c r="S213" s="73" t="s">
        <v>21</v>
      </c>
      <c r="T213" s="63" t="s">
        <v>21</v>
      </c>
      <c r="V213" s="114">
        <v>1.1373029400000001</v>
      </c>
      <c r="W213" s="72">
        <v>2.8893690799999998</v>
      </c>
      <c r="X213" s="72">
        <v>4.4355322900000003</v>
      </c>
      <c r="Y213" s="72">
        <v>5.7625921900000003</v>
      </c>
      <c r="Z213" s="115">
        <v>7.4064761300000006</v>
      </c>
    </row>
    <row r="214" spans="2:26" x14ac:dyDescent="0.35">
      <c r="B214" s="55" t="s">
        <v>250</v>
      </c>
      <c r="C214" s="53" t="s">
        <v>234</v>
      </c>
      <c r="D214" s="53" t="s">
        <v>97</v>
      </c>
      <c r="E214" s="53" t="s">
        <v>227</v>
      </c>
      <c r="F214" s="71">
        <v>3.6680002439378558E-2</v>
      </c>
      <c r="G214" s="71">
        <v>4.2468103100247061E-2</v>
      </c>
      <c r="H214" s="71">
        <v>4.8523532516734455E-2</v>
      </c>
      <c r="I214" s="71">
        <v>5.1851557342371575E-2</v>
      </c>
      <c r="J214" s="63">
        <v>5.5305129448470589E-2</v>
      </c>
      <c r="K214" s="71" t="s">
        <v>21</v>
      </c>
      <c r="L214" s="71">
        <v>5.5227286002470632E-3</v>
      </c>
      <c r="M214" s="71">
        <v>1.0895043516734456E-2</v>
      </c>
      <c r="N214" s="71">
        <v>1.3196834742371575E-2</v>
      </c>
      <c r="O214" s="63">
        <v>1.5299181648470595E-2</v>
      </c>
      <c r="P214" s="55" t="s">
        <v>536</v>
      </c>
      <c r="Q214" s="53" t="s">
        <v>537</v>
      </c>
      <c r="R214" s="94">
        <v>47551</v>
      </c>
      <c r="S214" s="73">
        <v>4.3123300000000003E-2</v>
      </c>
      <c r="T214" s="63">
        <v>5.4002325167344517E-3</v>
      </c>
      <c r="V214" s="114">
        <v>1.1366088999999999</v>
      </c>
      <c r="W214" s="72">
        <v>2.8876290999999998</v>
      </c>
      <c r="X214" s="72">
        <v>4.43420477</v>
      </c>
      <c r="Y214" s="72">
        <v>5.7654527299999998</v>
      </c>
      <c r="Z214" s="115">
        <v>7.4189638099999993</v>
      </c>
    </row>
    <row r="215" spans="2:26" x14ac:dyDescent="0.35">
      <c r="B215" s="55" t="s">
        <v>261</v>
      </c>
      <c r="C215" s="53" t="s">
        <v>234</v>
      </c>
      <c r="D215" s="53" t="s">
        <v>31</v>
      </c>
      <c r="E215" s="53" t="s">
        <v>538</v>
      </c>
      <c r="F215" s="71">
        <v>3.6577577525235667E-2</v>
      </c>
      <c r="G215" s="71">
        <v>4.2420275661490078E-2</v>
      </c>
      <c r="H215" s="71">
        <v>4.8519582817077654E-2</v>
      </c>
      <c r="I215" s="71">
        <v>5.1848124626434754E-2</v>
      </c>
      <c r="J215" s="63">
        <v>5.4695983177279153E-2</v>
      </c>
      <c r="K215" s="71" t="s">
        <v>21</v>
      </c>
      <c r="L215" s="71">
        <v>5.4783188614900852E-3</v>
      </c>
      <c r="M215" s="71">
        <v>1.0892296817077653E-2</v>
      </c>
      <c r="N215" s="71">
        <v>1.3194517826434759E-2</v>
      </c>
      <c r="O215" s="63">
        <v>1.4717850177279154E-2</v>
      </c>
      <c r="P215" s="55" t="s">
        <v>539</v>
      </c>
      <c r="Q215" s="53" t="s">
        <v>540</v>
      </c>
      <c r="R215" s="94">
        <v>47517</v>
      </c>
      <c r="S215" s="73">
        <v>4.5395380000000006E-2</v>
      </c>
      <c r="T215" s="63">
        <v>3.1242028170776481E-3</v>
      </c>
      <c r="V215" s="114">
        <v>1.1367854199999998</v>
      </c>
      <c r="W215" s="72">
        <v>2.8882253499999999</v>
      </c>
      <c r="X215" s="72">
        <v>4.4348826500000005</v>
      </c>
      <c r="Y215" s="72">
        <v>5.7660853300000001</v>
      </c>
      <c r="Z215" s="115">
        <v>7.4331235199999997</v>
      </c>
    </row>
    <row r="216" spans="2:26" x14ac:dyDescent="0.35">
      <c r="B216" s="55" t="s">
        <v>361</v>
      </c>
      <c r="C216" s="53" t="s">
        <v>234</v>
      </c>
      <c r="D216" s="53" t="s">
        <v>306</v>
      </c>
      <c r="E216" s="53" t="s">
        <v>21</v>
      </c>
      <c r="F216" s="71">
        <v>3.6448280639529221E-2</v>
      </c>
      <c r="G216" s="71">
        <v>4.237543657224397E-2</v>
      </c>
      <c r="H216" s="71">
        <v>4.8468036460425301E-2</v>
      </c>
      <c r="I216" s="71">
        <v>5.1893170774607048E-2</v>
      </c>
      <c r="J216" s="63">
        <v>5.4976472607165726E-2</v>
      </c>
      <c r="K216" s="71" t="s">
        <v>21</v>
      </c>
      <c r="L216" s="71">
        <v>5.4342592722439725E-3</v>
      </c>
      <c r="M216" s="71">
        <v>1.0842368260425297E-2</v>
      </c>
      <c r="N216" s="71">
        <v>1.3236833574607044E-2</v>
      </c>
      <c r="O216" s="63">
        <v>1.4986261607165725E-2</v>
      </c>
      <c r="P216" s="55" t="s">
        <v>21</v>
      </c>
      <c r="Q216" s="53" t="s">
        <v>21</v>
      </c>
      <c r="R216" s="94" t="s">
        <v>21</v>
      </c>
      <c r="S216" s="73" t="s">
        <v>21</v>
      </c>
      <c r="T216" s="63" t="s">
        <v>21</v>
      </c>
      <c r="V216" s="114">
        <v>1.13705236</v>
      </c>
      <c r="W216" s="72">
        <v>2.8889750700000003</v>
      </c>
      <c r="X216" s="72">
        <v>4.4362094800000005</v>
      </c>
      <c r="Y216" s="72">
        <v>5.7668434700000004</v>
      </c>
      <c r="Z216" s="115">
        <v>7.4270573899999999</v>
      </c>
    </row>
    <row r="217" spans="2:26" x14ac:dyDescent="0.35">
      <c r="B217" s="55" t="s">
        <v>259</v>
      </c>
      <c r="C217" s="53" t="s">
        <v>234</v>
      </c>
      <c r="D217" s="53" t="s">
        <v>69</v>
      </c>
      <c r="E217" s="53" t="s">
        <v>21</v>
      </c>
      <c r="F217" s="71">
        <v>3.6787800668567766E-2</v>
      </c>
      <c r="G217" s="71">
        <v>4.2459116229755713E-2</v>
      </c>
      <c r="H217" s="71">
        <v>4.8464153386570355E-2</v>
      </c>
      <c r="I217" s="71">
        <v>5.1950758245420323E-2</v>
      </c>
      <c r="J217" s="63">
        <v>5.5276402142615831E-2</v>
      </c>
      <c r="K217" s="71" t="s">
        <v>21</v>
      </c>
      <c r="L217" s="71">
        <v>5.5125930297557149E-3</v>
      </c>
      <c r="M217" s="71">
        <v>1.0837335286570361E-2</v>
      </c>
      <c r="N217" s="71">
        <v>1.3290257145420327E-2</v>
      </c>
      <c r="O217" s="63">
        <v>1.5271734042615831E-2</v>
      </c>
      <c r="P217" s="55" t="s">
        <v>541</v>
      </c>
      <c r="Q217" s="53" t="s">
        <v>542</v>
      </c>
      <c r="R217" s="94" t="s">
        <v>32</v>
      </c>
      <c r="S217" s="73">
        <v>3.989521E-2</v>
      </c>
      <c r="T217" s="63">
        <v>8.5689433865703546E-3</v>
      </c>
      <c r="V217" s="114">
        <v>1.1364296200000001</v>
      </c>
      <c r="W217" s="72">
        <v>2.88788519</v>
      </c>
      <c r="X217" s="72">
        <v>4.4349611700000002</v>
      </c>
      <c r="Y217" s="72">
        <v>5.7651651399999997</v>
      </c>
      <c r="Z217" s="115">
        <v>7.4188816800000001</v>
      </c>
    </row>
    <row r="218" spans="2:26" x14ac:dyDescent="0.35">
      <c r="B218" s="55" t="s">
        <v>262</v>
      </c>
      <c r="C218" s="53" t="s">
        <v>234</v>
      </c>
      <c r="D218" s="53" t="s">
        <v>31</v>
      </c>
      <c r="E218" s="53" t="s">
        <v>123</v>
      </c>
      <c r="F218" s="71">
        <v>3.6591697354212749E-2</v>
      </c>
      <c r="G218" s="71">
        <v>4.2340000453395275E-2</v>
      </c>
      <c r="H218" s="71">
        <v>4.8417285835944672E-2</v>
      </c>
      <c r="I218" s="71">
        <v>5.1794956195332864E-2</v>
      </c>
      <c r="J218" s="63">
        <v>5.5247836047067594E-2</v>
      </c>
      <c r="K218" s="71" t="s">
        <v>21</v>
      </c>
      <c r="L218" s="71">
        <v>5.3995377533952796E-3</v>
      </c>
      <c r="M218" s="71">
        <v>1.0793322035944674E-2</v>
      </c>
      <c r="N218" s="71">
        <v>1.3142551595332867E-2</v>
      </c>
      <c r="O218" s="63">
        <v>1.5244368647067595E-2</v>
      </c>
      <c r="P218" s="55" t="s">
        <v>543</v>
      </c>
      <c r="Q218" s="53" t="s">
        <v>544</v>
      </c>
      <c r="R218" s="94">
        <v>47660</v>
      </c>
      <c r="S218" s="73">
        <v>4.5434460000000003E-2</v>
      </c>
      <c r="T218" s="63">
        <v>2.9828258359446691E-3</v>
      </c>
      <c r="V218" s="114">
        <v>1.13678872</v>
      </c>
      <c r="W218" s="72">
        <v>2.8887432899999999</v>
      </c>
      <c r="X218" s="72">
        <v>4.4366060800000007</v>
      </c>
      <c r="Y218" s="72">
        <v>5.7686971500000004</v>
      </c>
      <c r="Z218" s="115">
        <v>7.42333803</v>
      </c>
    </row>
    <row r="219" spans="2:26" x14ac:dyDescent="0.35">
      <c r="B219" s="55" t="s">
        <v>247</v>
      </c>
      <c r="C219" s="53" t="s">
        <v>234</v>
      </c>
      <c r="D219" s="53" t="s">
        <v>20</v>
      </c>
      <c r="E219" s="53" t="s">
        <v>36</v>
      </c>
      <c r="F219" s="71">
        <v>3.7565738513242158E-2</v>
      </c>
      <c r="G219" s="71">
        <v>4.3517393785533362E-2</v>
      </c>
      <c r="H219" s="71">
        <v>4.9433310658918136E-2</v>
      </c>
      <c r="I219" s="71">
        <v>5.2847429894997126E-2</v>
      </c>
      <c r="J219" s="63">
        <v>5.6117766284063994E-2</v>
      </c>
      <c r="K219" s="71" t="s">
        <v>21</v>
      </c>
      <c r="L219" s="71">
        <v>6.5475944855333621E-3</v>
      </c>
      <c r="M219" s="71">
        <v>1.1785466758918135E-2</v>
      </c>
      <c r="N219" s="71">
        <v>1.4170362994997129E-2</v>
      </c>
      <c r="O219" s="63">
        <v>1.6101824984063991E-2</v>
      </c>
      <c r="P219" s="55" t="s">
        <v>248</v>
      </c>
      <c r="Q219" s="53" t="s">
        <v>249</v>
      </c>
      <c r="R219" s="94">
        <v>47543</v>
      </c>
      <c r="S219" s="73">
        <v>4.4885309999999998E-2</v>
      </c>
      <c r="T219" s="63">
        <v>4.5480006589181388E-3</v>
      </c>
      <c r="V219" s="114">
        <v>1.1358850199999999</v>
      </c>
      <c r="W219" s="72">
        <v>2.8833770699999999</v>
      </c>
      <c r="X219" s="72">
        <v>4.4251048400000004</v>
      </c>
      <c r="Y219" s="72">
        <v>5.7488199400000006</v>
      </c>
      <c r="Z219" s="115">
        <v>7.3929611199999998</v>
      </c>
    </row>
    <row r="220" spans="2:26" x14ac:dyDescent="0.35">
      <c r="B220" s="55" t="s">
        <v>254</v>
      </c>
      <c r="C220" s="53" t="s">
        <v>234</v>
      </c>
      <c r="D220" s="53" t="s">
        <v>20</v>
      </c>
      <c r="E220" s="53" t="s">
        <v>161</v>
      </c>
      <c r="F220" s="71">
        <v>3.7706053015412536E-2</v>
      </c>
      <c r="G220" s="71">
        <v>4.4129279938832526E-2</v>
      </c>
      <c r="H220" s="71">
        <v>4.9432797260624328E-2</v>
      </c>
      <c r="I220" s="71">
        <v>5.2376429217988248E-2</v>
      </c>
      <c r="J220" s="63">
        <v>5.6059478656901293E-2</v>
      </c>
      <c r="K220" s="71" t="s">
        <v>21</v>
      </c>
      <c r="L220" s="71">
        <v>7.1262382388325345E-3</v>
      </c>
      <c r="M220" s="71">
        <v>1.1780191560624329E-2</v>
      </c>
      <c r="N220" s="71">
        <v>1.3715319017988257E-2</v>
      </c>
      <c r="O220" s="63">
        <v>1.6031653356901293E-2</v>
      </c>
      <c r="P220" s="55" t="s">
        <v>545</v>
      </c>
      <c r="Q220" s="53" t="s">
        <v>546</v>
      </c>
      <c r="R220" s="94">
        <v>47545</v>
      </c>
      <c r="S220" s="73">
        <v>4.4069779999999996E-2</v>
      </c>
      <c r="T220" s="63">
        <v>5.3630172606243323E-3</v>
      </c>
      <c r="V220" s="114">
        <v>1.1356882500000001</v>
      </c>
      <c r="W220" s="72">
        <v>2.8788542699999997</v>
      </c>
      <c r="X220" s="72">
        <v>4.4196847899999998</v>
      </c>
      <c r="Y220" s="72">
        <v>5.7516049899999997</v>
      </c>
      <c r="Z220" s="115">
        <v>7.4072916899999992</v>
      </c>
    </row>
    <row r="221" spans="2:26" x14ac:dyDescent="0.35">
      <c r="B221" s="55" t="s">
        <v>347</v>
      </c>
      <c r="C221" s="53" t="s">
        <v>234</v>
      </c>
      <c r="D221" s="53" t="s">
        <v>97</v>
      </c>
      <c r="E221" s="53" t="s">
        <v>21</v>
      </c>
      <c r="F221" s="71">
        <v>3.642528024390377E-2</v>
      </c>
      <c r="G221" s="71">
        <v>4.2349466245840905E-2</v>
      </c>
      <c r="H221" s="71">
        <v>4.8364050231574092E-2</v>
      </c>
      <c r="I221" s="71">
        <v>5.1646288430723296E-2</v>
      </c>
      <c r="J221" s="63">
        <v>5.523474191598806E-2</v>
      </c>
      <c r="K221" s="71" t="s">
        <v>21</v>
      </c>
      <c r="L221" s="71">
        <v>5.4098206458409043E-3</v>
      </c>
      <c r="M221" s="71">
        <v>1.0743437731574093E-2</v>
      </c>
      <c r="N221" s="71">
        <v>1.3001487030723284E-2</v>
      </c>
      <c r="O221" s="63">
        <v>1.5231427615988061E-2</v>
      </c>
      <c r="P221" s="55" t="s">
        <v>21</v>
      </c>
      <c r="Q221" s="53" t="s">
        <v>21</v>
      </c>
      <c r="R221" s="94" t="s">
        <v>21</v>
      </c>
      <c r="S221" s="73" t="s">
        <v>21</v>
      </c>
      <c r="T221" s="63" t="s">
        <v>21</v>
      </c>
      <c r="V221" s="114">
        <v>1.13709036</v>
      </c>
      <c r="W221" s="72">
        <v>2.8892004600000001</v>
      </c>
      <c r="X221" s="72">
        <v>4.4375111600000006</v>
      </c>
      <c r="Y221" s="72">
        <v>5.7716866300000005</v>
      </c>
      <c r="Z221" s="115">
        <v>7.4273596400000006</v>
      </c>
    </row>
    <row r="222" spans="2:26" x14ac:dyDescent="0.35">
      <c r="B222" s="55" t="s">
        <v>350</v>
      </c>
      <c r="C222" s="53" t="s">
        <v>234</v>
      </c>
      <c r="D222" s="53" t="s">
        <v>20</v>
      </c>
      <c r="E222" s="53" t="s">
        <v>21</v>
      </c>
      <c r="F222" s="71">
        <v>3.7087816169982135E-2</v>
      </c>
      <c r="G222" s="71">
        <v>4.2924502308089099E-2</v>
      </c>
      <c r="H222" s="71">
        <v>4.9103835104039574E-2</v>
      </c>
      <c r="I222" s="71">
        <v>5.2540042348148436E-2</v>
      </c>
      <c r="J222" s="63">
        <v>5.5463780613745808E-2</v>
      </c>
      <c r="K222" s="71" t="s">
        <v>21</v>
      </c>
      <c r="L222" s="71">
        <v>5.9840325080891014E-3</v>
      </c>
      <c r="M222" s="71">
        <v>1.1473923504039571E-2</v>
      </c>
      <c r="N222" s="71">
        <v>1.387924174814844E-2</v>
      </c>
      <c r="O222" s="63">
        <v>1.5477530013745813E-2</v>
      </c>
      <c r="P222" s="55" t="s">
        <v>386</v>
      </c>
      <c r="Q222" s="53" t="s">
        <v>387</v>
      </c>
      <c r="R222" s="94">
        <v>47802</v>
      </c>
      <c r="S222" s="73">
        <v>4.6777239999999998E-2</v>
      </c>
      <c r="T222" s="63">
        <v>2.3265951040395763E-3</v>
      </c>
      <c r="V222" s="114">
        <v>1.1367597199999999</v>
      </c>
      <c r="W222" s="72">
        <v>2.8881861400000002</v>
      </c>
      <c r="X222" s="72">
        <v>4.4339309799999995</v>
      </c>
      <c r="Y222" s="72">
        <v>5.7614696399999996</v>
      </c>
      <c r="Z222" s="115">
        <v>7.4200336899999995</v>
      </c>
    </row>
    <row r="223" spans="2:26" x14ac:dyDescent="0.35">
      <c r="B223" s="55" t="s">
        <v>256</v>
      </c>
      <c r="C223" s="53" t="s">
        <v>234</v>
      </c>
      <c r="D223" s="53" t="s">
        <v>257</v>
      </c>
      <c r="E223" s="53" t="s">
        <v>103</v>
      </c>
      <c r="F223" s="71">
        <v>3.6625149045286486E-2</v>
      </c>
      <c r="G223" s="71">
        <v>4.2105149957723992E-2</v>
      </c>
      <c r="H223" s="71">
        <v>4.804826831446686E-2</v>
      </c>
      <c r="I223" s="71">
        <v>5.1576931889148338E-2</v>
      </c>
      <c r="J223" s="63">
        <v>5.5026940231193026E-2</v>
      </c>
      <c r="K223" s="71" t="s">
        <v>21</v>
      </c>
      <c r="L223" s="71">
        <v>5.1764630577239932E-3</v>
      </c>
      <c r="M223" s="71">
        <v>1.044233481446687E-2</v>
      </c>
      <c r="N223" s="71">
        <v>1.2934947589148343E-2</v>
      </c>
      <c r="O223" s="63">
        <v>1.5033378831193031E-2</v>
      </c>
      <c r="P223" s="55" t="s">
        <v>547</v>
      </c>
      <c r="Q223" s="53" t="s">
        <v>548</v>
      </c>
      <c r="R223" s="94" t="s">
        <v>32</v>
      </c>
      <c r="S223" s="73">
        <v>4.3956179999999997E-2</v>
      </c>
      <c r="T223" s="63">
        <v>4.0920883144668629E-3</v>
      </c>
      <c r="V223" s="114">
        <v>1.13669825</v>
      </c>
      <c r="W223" s="72">
        <v>2.8900404499999999</v>
      </c>
      <c r="X223" s="72">
        <v>4.4420293200000005</v>
      </c>
      <c r="Y223" s="72">
        <v>5.7776473900000003</v>
      </c>
      <c r="Z223" s="115">
        <v>7.4372688500000006</v>
      </c>
    </row>
    <row r="224" spans="2:26" x14ac:dyDescent="0.35">
      <c r="B224" s="55" t="s">
        <v>157</v>
      </c>
      <c r="C224" s="53" t="s">
        <v>234</v>
      </c>
      <c r="D224" s="53" t="s">
        <v>31</v>
      </c>
      <c r="E224" s="53" t="s">
        <v>549</v>
      </c>
      <c r="F224" s="71">
        <v>3.6205611198605547E-2</v>
      </c>
      <c r="G224" s="71">
        <v>4.1957851365365187E-2</v>
      </c>
      <c r="H224" s="71">
        <v>4.7941925194686576E-2</v>
      </c>
      <c r="I224" s="71">
        <v>5.1374982069116101E-2</v>
      </c>
      <c r="J224" s="63">
        <v>5.48196508685799E-2</v>
      </c>
      <c r="K224" s="71" t="s">
        <v>21</v>
      </c>
      <c r="L224" s="71">
        <v>5.0337161653651839E-3</v>
      </c>
      <c r="M224" s="71">
        <v>1.0339807294686575E-2</v>
      </c>
      <c r="N224" s="71">
        <v>1.2741733569116105E-2</v>
      </c>
      <c r="O224" s="63">
        <v>1.4833940168579897E-2</v>
      </c>
      <c r="P224" s="55" t="s">
        <v>21</v>
      </c>
      <c r="Q224" s="53" t="s">
        <v>21</v>
      </c>
      <c r="R224" s="94" t="s">
        <v>21</v>
      </c>
      <c r="S224" s="73" t="s">
        <v>21</v>
      </c>
      <c r="T224" s="63" t="s">
        <v>21</v>
      </c>
      <c r="V224" s="114">
        <v>1.1375334100000001</v>
      </c>
      <c r="W224" s="72">
        <v>2.89242116</v>
      </c>
      <c r="X224" s="72">
        <v>4.4456568699999996</v>
      </c>
      <c r="Y224" s="72">
        <v>5.7839889399999995</v>
      </c>
      <c r="Z224" s="115">
        <v>7.4489077900000007</v>
      </c>
    </row>
    <row r="225" spans="2:26" x14ac:dyDescent="0.35">
      <c r="B225" s="55" t="s">
        <v>149</v>
      </c>
      <c r="C225" s="53" t="s">
        <v>234</v>
      </c>
      <c r="D225" s="53" t="s">
        <v>97</v>
      </c>
      <c r="E225" s="53" t="s">
        <v>346</v>
      </c>
      <c r="F225" s="71">
        <v>3.6074707390767284E-2</v>
      </c>
      <c r="G225" s="71">
        <v>4.2047242293021182E-2</v>
      </c>
      <c r="H225" s="71">
        <v>4.7840308347895079E-2</v>
      </c>
      <c r="I225" s="71">
        <v>5.1371358859525817E-2</v>
      </c>
      <c r="J225" s="63">
        <v>5.4909481162591055E-2</v>
      </c>
      <c r="K225" s="71" t="s">
        <v>21</v>
      </c>
      <c r="L225" s="71">
        <v>5.1204299930211784E-3</v>
      </c>
      <c r="M225" s="71">
        <v>1.0243518947895082E-2</v>
      </c>
      <c r="N225" s="71">
        <v>1.2738495659525818E-2</v>
      </c>
      <c r="O225" s="63">
        <v>1.4920248162591056E-2</v>
      </c>
      <c r="P225" s="55" t="s">
        <v>550</v>
      </c>
      <c r="Q225" s="53" t="s">
        <v>551</v>
      </c>
      <c r="R225" s="94" t="s">
        <v>32</v>
      </c>
      <c r="S225" s="73">
        <v>4.6864030000000001E-2</v>
      </c>
      <c r="T225" s="63">
        <v>9.7627834789507789E-4</v>
      </c>
      <c r="V225" s="114">
        <v>1.13776827</v>
      </c>
      <c r="W225" s="72">
        <v>2.8922641599999999</v>
      </c>
      <c r="X225" s="72">
        <v>4.4462925499999999</v>
      </c>
      <c r="Y225" s="72">
        <v>5.7849620100000001</v>
      </c>
      <c r="Z225" s="115">
        <v>7.4476767299999995</v>
      </c>
    </row>
    <row r="226" spans="2:26" x14ac:dyDescent="0.35">
      <c r="B226" s="55" t="s">
        <v>260</v>
      </c>
      <c r="C226" s="53" t="s">
        <v>234</v>
      </c>
      <c r="D226" s="53" t="s">
        <v>43</v>
      </c>
      <c r="E226" s="53" t="s">
        <v>21</v>
      </c>
      <c r="F226" s="71">
        <v>3.6814545108830345E-2</v>
      </c>
      <c r="G226" s="71">
        <v>4.2307217636690778E-2</v>
      </c>
      <c r="H226" s="71">
        <v>4.7851302681728478E-2</v>
      </c>
      <c r="I226" s="71">
        <v>5.1092747408899512E-2</v>
      </c>
      <c r="J226" s="63">
        <v>5.4528694174911213E-2</v>
      </c>
      <c r="K226" s="71" t="s">
        <v>21</v>
      </c>
      <c r="L226" s="71">
        <v>5.3692435366907796E-3</v>
      </c>
      <c r="M226" s="71">
        <v>1.0253551881728475E-2</v>
      </c>
      <c r="N226" s="71">
        <v>1.2471418008899515E-2</v>
      </c>
      <c r="O226" s="63">
        <v>1.4551765674911215E-2</v>
      </c>
      <c r="P226" s="55" t="s">
        <v>552</v>
      </c>
      <c r="Q226" s="53" t="s">
        <v>553</v>
      </c>
      <c r="R226" s="94" t="s">
        <v>32</v>
      </c>
      <c r="S226" s="73">
        <v>4.8669289999999997E-2</v>
      </c>
      <c r="T226" s="63">
        <v>-8.1798731827151944E-4</v>
      </c>
      <c r="V226" s="114">
        <v>1.13634316</v>
      </c>
      <c r="W226" s="72">
        <v>2.8881677299999997</v>
      </c>
      <c r="X226" s="72">
        <v>4.4418049399999999</v>
      </c>
      <c r="Y226" s="72">
        <v>5.7847496099999995</v>
      </c>
      <c r="Z226" s="115">
        <v>7.4585788799999992</v>
      </c>
    </row>
    <row r="227" spans="2:26" x14ac:dyDescent="0.35">
      <c r="B227" s="55" t="s">
        <v>324</v>
      </c>
      <c r="C227" s="53" t="s">
        <v>234</v>
      </c>
      <c r="D227" s="53" t="s">
        <v>31</v>
      </c>
      <c r="E227" s="53" t="s">
        <v>21</v>
      </c>
      <c r="F227" s="71">
        <v>3.6045540329881942E-2</v>
      </c>
      <c r="G227" s="71">
        <v>4.1791963160924275E-2</v>
      </c>
      <c r="H227" s="71">
        <v>4.7731084323859002E-2</v>
      </c>
      <c r="I227" s="71">
        <v>5.2032946113396393E-2</v>
      </c>
      <c r="J227" s="63">
        <v>5.5499672779514043E-2</v>
      </c>
      <c r="K227" s="71" t="s">
        <v>21</v>
      </c>
      <c r="L227" s="71">
        <v>4.8746572609242762E-3</v>
      </c>
      <c r="M227" s="71">
        <v>1.0138394323859011E-2</v>
      </c>
      <c r="N227" s="71">
        <v>1.3368693413396391E-2</v>
      </c>
      <c r="O227" s="63">
        <v>1.5490144879514042E-2</v>
      </c>
      <c r="P227" s="55" t="s">
        <v>21</v>
      </c>
      <c r="Q227" s="53" t="s">
        <v>21</v>
      </c>
      <c r="R227" s="94" t="s">
        <v>21</v>
      </c>
      <c r="S227" s="73" t="s">
        <v>21</v>
      </c>
      <c r="T227" s="63" t="s">
        <v>21</v>
      </c>
      <c r="V227" s="114">
        <v>1.13784519</v>
      </c>
      <c r="W227" s="72">
        <v>2.8940005800000002</v>
      </c>
      <c r="X227" s="72">
        <v>4.4496243499999997</v>
      </c>
      <c r="Y227" s="72">
        <v>5.7792689500000005</v>
      </c>
      <c r="Z227" s="115">
        <v>7.42378596</v>
      </c>
    </row>
    <row r="228" spans="2:26" x14ac:dyDescent="0.35">
      <c r="B228" s="55" t="s">
        <v>373</v>
      </c>
      <c r="C228" s="53" t="s">
        <v>234</v>
      </c>
      <c r="D228" s="53" t="s">
        <v>20</v>
      </c>
      <c r="E228" s="53" t="s">
        <v>554</v>
      </c>
      <c r="F228" s="71">
        <v>3.6525224669676323E-2</v>
      </c>
      <c r="G228" s="71">
        <v>4.1719830349933908E-2</v>
      </c>
      <c r="H228" s="71">
        <v>4.6788356234076012E-2</v>
      </c>
      <c r="I228" s="71">
        <v>4.9643176542389811E-2</v>
      </c>
      <c r="J228" s="63">
        <v>5.2175817571047868E-2</v>
      </c>
      <c r="K228" s="71" t="s">
        <v>21</v>
      </c>
      <c r="L228" s="71">
        <v>4.8278865499339074E-3</v>
      </c>
      <c r="M228" s="71">
        <v>9.259211834076006E-3</v>
      </c>
      <c r="N228" s="71">
        <v>1.1105121642389811E-2</v>
      </c>
      <c r="O228" s="63">
        <v>1.2305236971047866E-2</v>
      </c>
      <c r="P228" s="55" t="s">
        <v>21</v>
      </c>
      <c r="Q228" s="53" t="s">
        <v>21</v>
      </c>
      <c r="R228" s="94" t="s">
        <v>21</v>
      </c>
      <c r="S228" s="73" t="s">
        <v>21</v>
      </c>
      <c r="T228" s="63" t="s">
        <v>21</v>
      </c>
      <c r="V228" s="114">
        <v>1.13785892</v>
      </c>
      <c r="W228" s="72">
        <v>2.8975174999999997</v>
      </c>
      <c r="X228" s="72">
        <v>4.4687574699999999</v>
      </c>
      <c r="Y228" s="72">
        <v>5.8407679799999999</v>
      </c>
      <c r="Z228" s="115">
        <v>7.585059750000001</v>
      </c>
    </row>
    <row r="229" spans="2:26" x14ac:dyDescent="0.35">
      <c r="B229" s="55" t="s">
        <v>352</v>
      </c>
      <c r="C229" s="53" t="s">
        <v>234</v>
      </c>
      <c r="D229" s="53" t="s">
        <v>20</v>
      </c>
      <c r="E229" s="53" t="s">
        <v>21</v>
      </c>
      <c r="F229" s="71">
        <v>3.6923016705415757E-2</v>
      </c>
      <c r="G229" s="71">
        <v>4.27847032070022E-2</v>
      </c>
      <c r="H229" s="71">
        <v>4.8740086085491997E-2</v>
      </c>
      <c r="I229" s="71">
        <v>5.2471702198513E-2</v>
      </c>
      <c r="J229" s="63">
        <v>5.5728237922451601E-2</v>
      </c>
      <c r="K229" s="71" t="s">
        <v>21</v>
      </c>
      <c r="L229" s="71">
        <v>5.8443879070022011E-3</v>
      </c>
      <c r="M229" s="71">
        <v>1.1122705585491995E-2</v>
      </c>
      <c r="N229" s="71">
        <v>1.3810373298513002E-2</v>
      </c>
      <c r="O229" s="63">
        <v>1.5728823022451599E-2</v>
      </c>
      <c r="P229" s="55" t="s">
        <v>21</v>
      </c>
      <c r="Q229" s="53" t="s">
        <v>21</v>
      </c>
      <c r="R229" s="94" t="s">
        <v>21</v>
      </c>
      <c r="S229" s="73" t="s">
        <v>21</v>
      </c>
      <c r="T229" s="63" t="s">
        <v>21</v>
      </c>
      <c r="V229" s="114">
        <v>1.1371552999999999</v>
      </c>
      <c r="W229" s="72">
        <v>2.8904329</v>
      </c>
      <c r="X229" s="72">
        <v>4.4405918399999997</v>
      </c>
      <c r="Y229" s="72">
        <v>5.7693523500000001</v>
      </c>
      <c r="Z229" s="115">
        <v>7.4205633300000002</v>
      </c>
    </row>
    <row r="230" spans="2:26" x14ac:dyDescent="0.35">
      <c r="B230" s="55" t="s">
        <v>158</v>
      </c>
      <c r="C230" s="53" t="s">
        <v>234</v>
      </c>
      <c r="D230" s="53" t="s">
        <v>31</v>
      </c>
      <c r="E230" s="53" t="s">
        <v>21</v>
      </c>
      <c r="F230" s="71">
        <v>3.6718643179808524E-2</v>
      </c>
      <c r="G230" s="71">
        <v>4.2042838250123768E-2</v>
      </c>
      <c r="H230" s="71">
        <v>4.7690858931992458E-2</v>
      </c>
      <c r="I230" s="71">
        <v>5.0982816198172763E-2</v>
      </c>
      <c r="J230" s="63">
        <v>5.41362654920058E-2</v>
      </c>
      <c r="K230" s="71" t="s">
        <v>21</v>
      </c>
      <c r="L230" s="71">
        <v>5.1143725501237615E-3</v>
      </c>
      <c r="M230" s="71">
        <v>1.009916363199246E-2</v>
      </c>
      <c r="N230" s="71">
        <v>1.2365613498172761E-2</v>
      </c>
      <c r="O230" s="63">
        <v>1.4175656692005795E-2</v>
      </c>
      <c r="P230" s="55" t="s">
        <v>21</v>
      </c>
      <c r="Q230" s="53" t="s">
        <v>21</v>
      </c>
      <c r="R230" s="94" t="s">
        <v>21</v>
      </c>
      <c r="S230" s="73" t="s">
        <v>21</v>
      </c>
      <c r="T230" s="63" t="s">
        <v>21</v>
      </c>
      <c r="V230" s="114">
        <v>1.13655613</v>
      </c>
      <c r="W230" s="72">
        <v>2.8901970299999999</v>
      </c>
      <c r="X230" s="72">
        <v>4.4459455999999999</v>
      </c>
      <c r="Y230" s="72">
        <v>5.7904503099999998</v>
      </c>
      <c r="Z230" s="115">
        <v>7.4729956599999996</v>
      </c>
    </row>
    <row r="231" spans="2:26" x14ac:dyDescent="0.35">
      <c r="B231" s="55" t="s">
        <v>372</v>
      </c>
      <c r="C231" s="53" t="s">
        <v>234</v>
      </c>
      <c r="D231" s="53" t="s">
        <v>69</v>
      </c>
      <c r="E231" s="53" t="s">
        <v>258</v>
      </c>
      <c r="F231" s="71">
        <v>3.6200398370663536E-2</v>
      </c>
      <c r="G231" s="71">
        <v>4.1917458403612856E-2</v>
      </c>
      <c r="H231" s="71">
        <v>4.7681380586740631E-2</v>
      </c>
      <c r="I231" s="71">
        <v>5.0780501524994512E-2</v>
      </c>
      <c r="J231" s="63">
        <v>5.3599748701852849E-2</v>
      </c>
      <c r="K231" s="71" t="s">
        <v>21</v>
      </c>
      <c r="L231" s="71">
        <v>4.9969223036128562E-3</v>
      </c>
      <c r="M231" s="71">
        <v>1.0092212986740632E-2</v>
      </c>
      <c r="N231" s="71">
        <v>1.2174629724994512E-2</v>
      </c>
      <c r="O231" s="63">
        <v>1.366232940185285E-2</v>
      </c>
      <c r="P231" s="55" t="s">
        <v>21</v>
      </c>
      <c r="Q231" s="53" t="s">
        <v>21</v>
      </c>
      <c r="R231" s="94" t="s">
        <v>21</v>
      </c>
      <c r="S231" s="73" t="s">
        <v>21</v>
      </c>
      <c r="T231" s="63" t="s">
        <v>21</v>
      </c>
      <c r="V231" s="114">
        <v>1.13751409</v>
      </c>
      <c r="W231" s="72">
        <v>2.8926283800000001</v>
      </c>
      <c r="X231" s="72">
        <v>4.4485259800000003</v>
      </c>
      <c r="Y231" s="72">
        <v>5.7954823099999997</v>
      </c>
      <c r="Z231" s="115">
        <v>7.49102275</v>
      </c>
    </row>
    <row r="232" spans="2:26" x14ac:dyDescent="0.35">
      <c r="B232" s="55" t="s">
        <v>365</v>
      </c>
      <c r="C232" s="53" t="s">
        <v>234</v>
      </c>
      <c r="D232" s="53" t="s">
        <v>69</v>
      </c>
      <c r="E232" s="53" t="s">
        <v>21</v>
      </c>
      <c r="F232" s="71">
        <v>3.6637110958078083E-2</v>
      </c>
      <c r="G232" s="71">
        <v>4.1872259675506965E-2</v>
      </c>
      <c r="H232" s="71">
        <v>4.7476377383150095E-2</v>
      </c>
      <c r="I232" s="71">
        <v>5.0675581365549005E-2</v>
      </c>
      <c r="J232" s="63">
        <v>5.3634093082936367E-2</v>
      </c>
      <c r="K232" s="71" t="s">
        <v>21</v>
      </c>
      <c r="L232" s="71">
        <v>4.9532520755069618E-3</v>
      </c>
      <c r="M232" s="71">
        <v>9.8958288831500988E-3</v>
      </c>
      <c r="N232" s="71">
        <v>1.2073219365549006E-2</v>
      </c>
      <c r="O232" s="63">
        <v>1.3693935082936365E-2</v>
      </c>
      <c r="P232" s="55" t="s">
        <v>21</v>
      </c>
      <c r="Q232" s="53" t="s">
        <v>21</v>
      </c>
      <c r="R232" s="94" t="s">
        <v>21</v>
      </c>
      <c r="S232" s="73" t="s">
        <v>21</v>
      </c>
      <c r="T232" s="63" t="s">
        <v>21</v>
      </c>
      <c r="V232" s="114">
        <v>1.13667875</v>
      </c>
      <c r="W232" s="72">
        <v>2.8914611300000002</v>
      </c>
      <c r="X232" s="72">
        <v>4.4496347199999997</v>
      </c>
      <c r="Y232" s="72">
        <v>5.7985824900000003</v>
      </c>
      <c r="Z232" s="115">
        <v>7.4936032099999998</v>
      </c>
    </row>
    <row r="233" spans="2:26" x14ac:dyDescent="0.35">
      <c r="B233" s="55" t="s">
        <v>373</v>
      </c>
      <c r="C233" s="53" t="s">
        <v>234</v>
      </c>
      <c r="D233" s="53" t="s">
        <v>20</v>
      </c>
      <c r="E233" s="53" t="s">
        <v>251</v>
      </c>
      <c r="F233" s="71">
        <v>3.6525224669676323E-2</v>
      </c>
      <c r="G233" s="71">
        <v>4.1719830349933908E-2</v>
      </c>
      <c r="H233" s="71">
        <v>4.6788356234076012E-2</v>
      </c>
      <c r="I233" s="71">
        <v>4.9643176542389811E-2</v>
      </c>
      <c r="J233" s="63">
        <v>5.2175817571047868E-2</v>
      </c>
      <c r="K233" s="71" t="s">
        <v>21</v>
      </c>
      <c r="L233" s="71">
        <v>4.8278865499339074E-3</v>
      </c>
      <c r="M233" s="71">
        <v>9.259211834076006E-3</v>
      </c>
      <c r="N233" s="71">
        <v>1.1105121642389811E-2</v>
      </c>
      <c r="O233" s="63">
        <v>1.2305236971047866E-2</v>
      </c>
      <c r="P233" s="55" t="s">
        <v>21</v>
      </c>
      <c r="Q233" s="53" t="s">
        <v>21</v>
      </c>
      <c r="R233" s="94" t="s">
        <v>21</v>
      </c>
      <c r="S233" s="73" t="s">
        <v>21</v>
      </c>
      <c r="T233" s="63" t="s">
        <v>21</v>
      </c>
      <c r="V233" s="114">
        <v>1.13785892</v>
      </c>
      <c r="W233" s="72">
        <v>2.8975174999999997</v>
      </c>
      <c r="X233" s="72">
        <v>4.4687574699999999</v>
      </c>
      <c r="Y233" s="72">
        <v>5.8407679799999999</v>
      </c>
      <c r="Z233" s="115">
        <v>7.585059750000001</v>
      </c>
    </row>
    <row r="234" spans="2:26" x14ac:dyDescent="0.35">
      <c r="B234" s="55" t="s">
        <v>357</v>
      </c>
      <c r="C234" s="53" t="s">
        <v>234</v>
      </c>
      <c r="D234" s="53" t="s">
        <v>20</v>
      </c>
      <c r="E234" s="53" t="s">
        <v>58</v>
      </c>
      <c r="F234" s="71">
        <v>3.7459845905948225E-2</v>
      </c>
      <c r="G234" s="71">
        <v>4.3430838510719209E-2</v>
      </c>
      <c r="H234" s="71">
        <v>4.9591773396706035E-2</v>
      </c>
      <c r="I234" s="71">
        <v>5.3096006436467107E-2</v>
      </c>
      <c r="J234" s="63">
        <v>5.6383211351727636E-2</v>
      </c>
      <c r="K234" s="71" t="s">
        <v>21</v>
      </c>
      <c r="L234" s="71">
        <v>6.4638621107192106E-3</v>
      </c>
      <c r="M234" s="71">
        <v>1.1935482096706026E-2</v>
      </c>
      <c r="N234" s="71">
        <v>1.4406118836467105E-2</v>
      </c>
      <c r="O234" s="63">
        <v>1.6355712051727634E-2</v>
      </c>
      <c r="P234" s="55" t="s">
        <v>21</v>
      </c>
      <c r="Q234" s="53" t="s">
        <v>21</v>
      </c>
      <c r="R234" s="94" t="s">
        <v>21</v>
      </c>
      <c r="S234" s="73" t="s">
        <v>21</v>
      </c>
      <c r="T234" s="63" t="s">
        <v>21</v>
      </c>
      <c r="V234" s="114">
        <v>1.1360834900000001</v>
      </c>
      <c r="W234" s="72">
        <v>2.88322346</v>
      </c>
      <c r="X234" s="72">
        <v>4.4239999499999998</v>
      </c>
      <c r="Y234" s="72">
        <v>5.7435973899999997</v>
      </c>
      <c r="Z234" s="115">
        <v>7.3798841299999998</v>
      </c>
    </row>
    <row r="235" spans="2:26" x14ac:dyDescent="0.35">
      <c r="B235" s="55" t="s">
        <v>263</v>
      </c>
      <c r="C235" s="53" t="s">
        <v>234</v>
      </c>
      <c r="D235" s="53" t="s">
        <v>62</v>
      </c>
      <c r="E235" s="53" t="s">
        <v>128</v>
      </c>
      <c r="F235" s="71">
        <v>3.6653070300235215E-2</v>
      </c>
      <c r="G235" s="71">
        <v>4.193558122205053E-2</v>
      </c>
      <c r="H235" s="71">
        <v>4.7375097303977001E-2</v>
      </c>
      <c r="I235" s="71">
        <v>5.0527252880349746E-2</v>
      </c>
      <c r="J235" s="63">
        <v>5.3481474005333873E-2</v>
      </c>
      <c r="K235" s="71" t="s">
        <v>21</v>
      </c>
      <c r="L235" s="71">
        <v>5.0143103220505339E-3</v>
      </c>
      <c r="M235" s="71">
        <v>9.7992345039770133E-3</v>
      </c>
      <c r="N235" s="71">
        <v>1.1931251280349751E-2</v>
      </c>
      <c r="O235" s="63">
        <v>1.3546405205333878E-2</v>
      </c>
      <c r="P235" s="55" t="s">
        <v>555</v>
      </c>
      <c r="Q235" s="53" t="s">
        <v>556</v>
      </c>
      <c r="R235" s="94">
        <v>47649</v>
      </c>
      <c r="S235" s="73">
        <v>4.298536E-2</v>
      </c>
      <c r="T235" s="63">
        <v>4.389737303977001E-3</v>
      </c>
      <c r="V235" s="114">
        <v>1.13664148</v>
      </c>
      <c r="W235" s="72">
        <v>2.8909985799999998</v>
      </c>
      <c r="X235" s="72">
        <v>4.4500647099999995</v>
      </c>
      <c r="Y235" s="72">
        <v>5.8013448500000004</v>
      </c>
      <c r="Z235" s="115">
        <v>7.5006312300000006</v>
      </c>
    </row>
    <row r="236" spans="2:26" x14ac:dyDescent="0.35">
      <c r="B236" s="55" t="s">
        <v>265</v>
      </c>
      <c r="C236" s="53" t="s">
        <v>234</v>
      </c>
      <c r="D236" s="53" t="s">
        <v>31</v>
      </c>
      <c r="E236" s="53" t="s">
        <v>21</v>
      </c>
      <c r="F236" s="71">
        <v>3.6395640397801771E-2</v>
      </c>
      <c r="G236" s="71">
        <v>4.1634733794171791E-2</v>
      </c>
      <c r="H236" s="71">
        <v>4.7364724321632246E-2</v>
      </c>
      <c r="I236" s="71">
        <v>5.0662713255812272E-2</v>
      </c>
      <c r="J236" s="63">
        <v>5.3339880764940749E-2</v>
      </c>
      <c r="K236" s="71" t="s">
        <v>21</v>
      </c>
      <c r="L236" s="71">
        <v>4.7260758941717936E-3</v>
      </c>
      <c r="M236" s="71">
        <v>9.7895553216322453E-3</v>
      </c>
      <c r="N236" s="71">
        <v>1.2061510255812268E-2</v>
      </c>
      <c r="O236" s="63">
        <v>1.3413205664940749E-2</v>
      </c>
      <c r="P236" s="55" t="s">
        <v>21</v>
      </c>
      <c r="Q236" s="53" t="s">
        <v>21</v>
      </c>
      <c r="R236" s="94" t="s">
        <v>21</v>
      </c>
      <c r="S236" s="73" t="s">
        <v>21</v>
      </c>
      <c r="T236" s="63" t="s">
        <v>21</v>
      </c>
      <c r="V236" s="114">
        <v>1.1371383900000001</v>
      </c>
      <c r="W236" s="72">
        <v>2.8937416300000001</v>
      </c>
      <c r="X236" s="72">
        <v>4.4534198599999995</v>
      </c>
      <c r="Y236" s="72">
        <v>5.8024621700000001</v>
      </c>
      <c r="Z236" s="115">
        <v>7.503469710000001</v>
      </c>
    </row>
    <row r="237" spans="2:26" x14ac:dyDescent="0.35">
      <c r="B237" s="55" t="s">
        <v>366</v>
      </c>
      <c r="C237" s="53" t="s">
        <v>234</v>
      </c>
      <c r="D237" s="53" t="s">
        <v>20</v>
      </c>
      <c r="E237" s="53" t="s">
        <v>21</v>
      </c>
      <c r="F237" s="71">
        <v>3.6854028481200674E-2</v>
      </c>
      <c r="G237" s="71">
        <v>4.2562488050663934E-2</v>
      </c>
      <c r="H237" s="71">
        <v>4.8217526631784788E-2</v>
      </c>
      <c r="I237" s="71">
        <v>5.1621933747006465E-2</v>
      </c>
      <c r="J237" s="63">
        <v>5.5069941601973531E-2</v>
      </c>
      <c r="K237" s="71" t="s">
        <v>21</v>
      </c>
      <c r="L237" s="71">
        <v>5.6334317506639411E-3</v>
      </c>
      <c r="M237" s="71">
        <v>1.0624961831784794E-2</v>
      </c>
      <c r="N237" s="71">
        <v>1.2999695747006473E-2</v>
      </c>
      <c r="O237" s="63">
        <v>1.5094643001973525E-2</v>
      </c>
      <c r="P237" s="55" t="s">
        <v>392</v>
      </c>
      <c r="Q237" s="53" t="s">
        <v>393</v>
      </c>
      <c r="R237" s="94">
        <v>47710</v>
      </c>
      <c r="S237" s="73">
        <v>4.8029889999999999E-2</v>
      </c>
      <c r="T237" s="63">
        <v>1.8763663178478912E-4</v>
      </c>
      <c r="V237" s="114">
        <v>1.13726858</v>
      </c>
      <c r="W237" s="72">
        <v>2.8918908800000001</v>
      </c>
      <c r="X237" s="72">
        <v>4.44758561</v>
      </c>
      <c r="Y237" s="72">
        <v>5.78905914</v>
      </c>
      <c r="Z237" s="115">
        <v>7.4583611899999998</v>
      </c>
    </row>
    <row r="238" spans="2:26" x14ac:dyDescent="0.35">
      <c r="B238" s="55" t="s">
        <v>160</v>
      </c>
      <c r="C238" s="53" t="s">
        <v>234</v>
      </c>
      <c r="D238" s="53" t="s">
        <v>43</v>
      </c>
      <c r="E238" s="53" t="s">
        <v>21</v>
      </c>
      <c r="F238" s="71">
        <v>3.6073577488778472E-2</v>
      </c>
      <c r="G238" s="71">
        <v>4.1597285587592035E-2</v>
      </c>
      <c r="H238" s="71">
        <v>4.7106199613379203E-2</v>
      </c>
      <c r="I238" s="71">
        <v>5.0164961175876537E-2</v>
      </c>
      <c r="J238" s="63">
        <v>5.2826816304343376E-2</v>
      </c>
      <c r="K238" s="71" t="s">
        <v>21</v>
      </c>
      <c r="L238" s="71">
        <v>4.6898749875920343E-3</v>
      </c>
      <c r="M238" s="71">
        <v>9.5421956133792049E-3</v>
      </c>
      <c r="N238" s="71">
        <v>1.1585134775876547E-2</v>
      </c>
      <c r="O238" s="63">
        <v>1.2917356404343376E-2</v>
      </c>
      <c r="P238" s="55" t="s">
        <v>557</v>
      </c>
      <c r="Q238" s="53" t="s">
        <v>558</v>
      </c>
      <c r="R238" s="94">
        <v>47557</v>
      </c>
      <c r="S238" s="73">
        <v>4.3674589999999999E-2</v>
      </c>
      <c r="T238" s="63">
        <v>3.4316096133792037E-3</v>
      </c>
      <c r="V238" s="114">
        <v>1.13776422</v>
      </c>
      <c r="W238" s="72">
        <v>2.8950662499999997</v>
      </c>
      <c r="X238" s="72">
        <v>4.4573257900000005</v>
      </c>
      <c r="Y238" s="72">
        <v>5.8136438100000003</v>
      </c>
      <c r="Z238" s="115">
        <v>7.5287590200000007</v>
      </c>
    </row>
    <row r="239" spans="2:26" x14ac:dyDescent="0.35">
      <c r="B239" s="55" t="s">
        <v>364</v>
      </c>
      <c r="C239" s="53" t="s">
        <v>234</v>
      </c>
      <c r="D239" s="53" t="s">
        <v>20</v>
      </c>
      <c r="E239" s="53" t="s">
        <v>21</v>
      </c>
      <c r="F239" s="71">
        <v>3.6853363842041076E-2</v>
      </c>
      <c r="G239" s="71">
        <v>4.2123945617042031E-2</v>
      </c>
      <c r="H239" s="71">
        <v>4.8049502473443986E-2</v>
      </c>
      <c r="I239" s="71">
        <v>5.1322337567450652E-2</v>
      </c>
      <c r="J239" s="63">
        <v>5.4375872569120291E-2</v>
      </c>
      <c r="K239" s="71" t="s">
        <v>21</v>
      </c>
      <c r="L239" s="71">
        <v>5.2135634170420303E-3</v>
      </c>
      <c r="M239" s="71">
        <v>1.0464506073443985E-2</v>
      </c>
      <c r="N239" s="71">
        <v>1.2714033767450649E-2</v>
      </c>
      <c r="O239" s="63">
        <v>1.442919636912029E-2</v>
      </c>
      <c r="P239" s="55" t="s">
        <v>390</v>
      </c>
      <c r="Q239" s="53" t="s">
        <v>391</v>
      </c>
      <c r="R239" s="94">
        <v>47708</v>
      </c>
      <c r="S239" s="73">
        <v>4.4806660000000005E-2</v>
      </c>
      <c r="T239" s="63">
        <v>3.2428424734439812E-3</v>
      </c>
      <c r="V239" s="114">
        <v>1.13726997</v>
      </c>
      <c r="W239" s="72">
        <v>2.89379857</v>
      </c>
      <c r="X239" s="72">
        <v>4.45275131</v>
      </c>
      <c r="Y239" s="72">
        <v>5.7981543100000001</v>
      </c>
      <c r="Z239" s="115">
        <v>7.48390442</v>
      </c>
    </row>
    <row r="240" spans="2:26" x14ac:dyDescent="0.35">
      <c r="B240" s="55" t="s">
        <v>362</v>
      </c>
      <c r="C240" s="53" t="s">
        <v>234</v>
      </c>
      <c r="D240" s="53" t="s">
        <v>20</v>
      </c>
      <c r="E240" s="53" t="s">
        <v>21</v>
      </c>
      <c r="F240" s="71">
        <v>3.6737792460977657E-2</v>
      </c>
      <c r="G240" s="71">
        <v>4.2565844984848208E-2</v>
      </c>
      <c r="H240" s="71">
        <v>4.8058995138920091E-2</v>
      </c>
      <c r="I240" s="71">
        <v>5.0985057533667534E-2</v>
      </c>
      <c r="J240" s="63">
        <v>5.3692194704470043E-2</v>
      </c>
      <c r="K240" s="71" t="s">
        <v>21</v>
      </c>
      <c r="L240" s="71">
        <v>5.6361238848482076E-3</v>
      </c>
      <c r="M240" s="71">
        <v>1.0473080338920093E-2</v>
      </c>
      <c r="N240" s="71">
        <v>1.2391289033667537E-2</v>
      </c>
      <c r="O240" s="63">
        <v>1.3772080204470044E-2</v>
      </c>
      <c r="P240" s="55" t="s">
        <v>21</v>
      </c>
      <c r="Q240" s="53" t="s">
        <v>21</v>
      </c>
      <c r="R240" s="94" t="s">
        <v>21</v>
      </c>
      <c r="S240" s="73" t="s">
        <v>21</v>
      </c>
      <c r="T240" s="63" t="s">
        <v>21</v>
      </c>
      <c r="V240" s="114">
        <v>1.13748147</v>
      </c>
      <c r="W240" s="72">
        <v>2.8918518799999999</v>
      </c>
      <c r="X240" s="72">
        <v>4.4491125300000007</v>
      </c>
      <c r="Y240" s="72">
        <v>5.7983590999999999</v>
      </c>
      <c r="Z240" s="115">
        <v>7.4981384699999998</v>
      </c>
    </row>
    <row r="241" spans="2:26" x14ac:dyDescent="0.35">
      <c r="B241" s="55" t="s">
        <v>363</v>
      </c>
      <c r="C241" s="53" t="s">
        <v>234</v>
      </c>
      <c r="D241" s="53" t="s">
        <v>20</v>
      </c>
      <c r="E241" s="53" t="s">
        <v>266</v>
      </c>
      <c r="F241" s="71">
        <v>3.667755810398371E-2</v>
      </c>
      <c r="G241" s="71">
        <v>4.2379148548199581E-2</v>
      </c>
      <c r="H241" s="71">
        <v>4.8021254231440685E-2</v>
      </c>
      <c r="I241" s="71">
        <v>5.1418030142000366E-2</v>
      </c>
      <c r="J241" s="63">
        <v>5.4699600373339263E-2</v>
      </c>
      <c r="K241" s="71" t="s">
        <v>21</v>
      </c>
      <c r="L241" s="71">
        <v>5.4590016481995875E-3</v>
      </c>
      <c r="M241" s="71">
        <v>1.0438226031440689E-2</v>
      </c>
      <c r="N241" s="71">
        <v>1.2804672742000358E-2</v>
      </c>
      <c r="O241" s="63">
        <v>1.4739154073339261E-2</v>
      </c>
      <c r="P241" s="55" t="s">
        <v>21</v>
      </c>
      <c r="Q241" s="53" t="s">
        <v>21</v>
      </c>
      <c r="R241" s="94" t="s">
        <v>21</v>
      </c>
      <c r="S241" s="73" t="s">
        <v>21</v>
      </c>
      <c r="T241" s="63" t="s">
        <v>21</v>
      </c>
      <c r="V241" s="114">
        <v>1.1375719899999999</v>
      </c>
      <c r="W241" s="72">
        <v>2.8931482399999999</v>
      </c>
      <c r="X241" s="72">
        <v>4.45138093</v>
      </c>
      <c r="Y241" s="72">
        <v>5.7975146999999998</v>
      </c>
      <c r="Z241" s="115">
        <v>7.4763201599999993</v>
      </c>
    </row>
    <row r="242" spans="2:26" x14ac:dyDescent="0.35">
      <c r="B242" s="55" t="s">
        <v>375</v>
      </c>
      <c r="C242" s="53" t="s">
        <v>234</v>
      </c>
      <c r="D242" s="53" t="s">
        <v>20</v>
      </c>
      <c r="E242" s="53" t="s">
        <v>112</v>
      </c>
      <c r="F242" s="71">
        <v>3.666433735364856E-2</v>
      </c>
      <c r="G242" s="71">
        <v>4.1985704138085049E-2</v>
      </c>
      <c r="H242" s="71">
        <v>4.7983239618029305E-2</v>
      </c>
      <c r="I242" s="71">
        <v>5.1146193011699904E-2</v>
      </c>
      <c r="J242" s="63">
        <v>5.4088976367907521E-2</v>
      </c>
      <c r="K242" s="71" t="s">
        <v>21</v>
      </c>
      <c r="L242" s="71">
        <v>5.0810798380850394E-3</v>
      </c>
      <c r="M242" s="71">
        <v>1.0401551718029313E-2</v>
      </c>
      <c r="N242" s="71">
        <v>1.2546669911699896E-2</v>
      </c>
      <c r="O242" s="63">
        <v>1.4153332967907516E-2</v>
      </c>
      <c r="P242" s="55" t="s">
        <v>398</v>
      </c>
      <c r="Q242" s="53" t="s">
        <v>399</v>
      </c>
      <c r="R242" s="94">
        <v>47825</v>
      </c>
      <c r="S242" s="73">
        <v>4.592193E-2</v>
      </c>
      <c r="T242" s="63">
        <v>2.0613096180293056E-3</v>
      </c>
      <c r="V242" s="114">
        <v>1.13761011</v>
      </c>
      <c r="W242" s="72">
        <v>2.8956886599999998</v>
      </c>
      <c r="X242" s="72">
        <v>4.4545507500000001</v>
      </c>
      <c r="Y242" s="72">
        <v>5.8012522400000002</v>
      </c>
      <c r="Z242" s="115">
        <v>7.4953205999999994</v>
      </c>
    </row>
    <row r="243" spans="2:26" x14ac:dyDescent="0.35">
      <c r="B243" s="55" t="s">
        <v>355</v>
      </c>
      <c r="C243" s="53" t="s">
        <v>234</v>
      </c>
      <c r="D243" s="53" t="s">
        <v>20</v>
      </c>
      <c r="E243" s="53" t="s">
        <v>21</v>
      </c>
      <c r="F243" s="71">
        <v>3.6506741124856967E-2</v>
      </c>
      <c r="G243" s="71">
        <v>4.1879202583651937E-2</v>
      </c>
      <c r="H243" s="71">
        <v>4.7864806664369111E-2</v>
      </c>
      <c r="I243" s="71">
        <v>5.1651630195314852E-2</v>
      </c>
      <c r="J243" s="63">
        <v>5.5150897911402194E-2</v>
      </c>
      <c r="K243" s="71" t="s">
        <v>21</v>
      </c>
      <c r="L243" s="71">
        <v>4.9816513836519454E-3</v>
      </c>
      <c r="M243" s="71">
        <v>1.029018806436912E-2</v>
      </c>
      <c r="N243" s="71">
        <v>1.3030450295314848E-2</v>
      </c>
      <c r="O243" s="63">
        <v>1.5176455711402189E-2</v>
      </c>
      <c r="P243" s="55" t="s">
        <v>21</v>
      </c>
      <c r="Q243" s="53" t="s">
        <v>21</v>
      </c>
      <c r="R243" s="94" t="s">
        <v>21</v>
      </c>
      <c r="S243" s="73" t="s">
        <v>21</v>
      </c>
      <c r="T243" s="63" t="s">
        <v>21</v>
      </c>
      <c r="V243" s="114">
        <v>1.1378897100000001</v>
      </c>
      <c r="W243" s="72">
        <v>2.8969655400000001</v>
      </c>
      <c r="X243" s="72">
        <v>4.4577530400000001</v>
      </c>
      <c r="Y243" s="72">
        <v>5.7984217600000001</v>
      </c>
      <c r="Z243" s="115">
        <v>7.4643775999999997</v>
      </c>
    </row>
    <row r="244" spans="2:26" x14ac:dyDescent="0.35">
      <c r="B244" s="55" t="s">
        <v>358</v>
      </c>
      <c r="C244" s="53" t="s">
        <v>234</v>
      </c>
      <c r="D244" s="53" t="s">
        <v>20</v>
      </c>
      <c r="E244" s="53" t="s">
        <v>21</v>
      </c>
      <c r="F244" s="71">
        <v>3.672561519959109E-2</v>
      </c>
      <c r="G244" s="71">
        <v>4.2226613478050928E-2</v>
      </c>
      <c r="H244" s="71">
        <v>4.7875089575016593E-2</v>
      </c>
      <c r="I244" s="71">
        <v>5.1753593307195665E-2</v>
      </c>
      <c r="J244" s="63">
        <v>5.5314631686993236E-2</v>
      </c>
      <c r="K244" s="71" t="s">
        <v>21</v>
      </c>
      <c r="L244" s="71">
        <v>5.3119471780509282E-3</v>
      </c>
      <c r="M244" s="71">
        <v>1.0298010775016594E-2</v>
      </c>
      <c r="N244" s="71">
        <v>1.3124562607195661E-2</v>
      </c>
      <c r="O244" s="63">
        <v>1.5330949886993234E-2</v>
      </c>
      <c r="P244" s="55" t="s">
        <v>21</v>
      </c>
      <c r="Q244" s="53" t="s">
        <v>21</v>
      </c>
      <c r="R244" s="94" t="s">
        <v>21</v>
      </c>
      <c r="S244" s="73" t="s">
        <v>21</v>
      </c>
      <c r="T244" s="63" t="s">
        <v>21</v>
      </c>
      <c r="V244" s="114">
        <v>1.1374974600000001</v>
      </c>
      <c r="W244" s="72">
        <v>2.8943130099999999</v>
      </c>
      <c r="X244" s="72">
        <v>4.4538538599999997</v>
      </c>
      <c r="Y244" s="72">
        <v>5.7951757600000002</v>
      </c>
      <c r="Z244" s="115">
        <v>7.4570640499999996</v>
      </c>
    </row>
    <row r="245" spans="2:26" x14ac:dyDescent="0.35">
      <c r="B245" s="55" t="s">
        <v>370</v>
      </c>
      <c r="C245" s="53" t="s">
        <v>234</v>
      </c>
      <c r="D245" s="53" t="s">
        <v>31</v>
      </c>
      <c r="E245" s="53" t="s">
        <v>21</v>
      </c>
      <c r="F245" s="71">
        <v>3.629330392650381E-2</v>
      </c>
      <c r="G245" s="71">
        <v>4.1429915434140749E-2</v>
      </c>
      <c r="H245" s="71">
        <v>4.6792637496058255E-2</v>
      </c>
      <c r="I245" s="71">
        <v>4.9856336974726044E-2</v>
      </c>
      <c r="J245" s="63">
        <v>5.2700270913658941E-2</v>
      </c>
      <c r="K245" s="71" t="s">
        <v>21</v>
      </c>
      <c r="L245" s="71">
        <v>4.5296453341407469E-3</v>
      </c>
      <c r="M245" s="71">
        <v>9.2422260960582491E-3</v>
      </c>
      <c r="N245" s="71">
        <v>1.1289153274726032E-2</v>
      </c>
      <c r="O245" s="63">
        <v>1.2793897813658941E-2</v>
      </c>
      <c r="P245" s="55" t="s">
        <v>21</v>
      </c>
      <c r="Q245" s="53" t="s">
        <v>21</v>
      </c>
      <c r="R245" s="94" t="s">
        <v>21</v>
      </c>
      <c r="S245" s="73" t="s">
        <v>21</v>
      </c>
      <c r="T245" s="63" t="s">
        <v>21</v>
      </c>
      <c r="V245" s="114">
        <v>1.1373380100000001</v>
      </c>
      <c r="W245" s="72">
        <v>2.8953703000000002</v>
      </c>
      <c r="X245" s="72">
        <v>4.4611703699999996</v>
      </c>
      <c r="Y245" s="72">
        <v>5.82233132</v>
      </c>
      <c r="Z245" s="115">
        <v>7.5414056399999998</v>
      </c>
    </row>
    <row r="246" spans="2:26" x14ac:dyDescent="0.35">
      <c r="B246" s="55" t="s">
        <v>264</v>
      </c>
      <c r="C246" s="53" t="s">
        <v>234</v>
      </c>
      <c r="D246" s="53" t="s">
        <v>97</v>
      </c>
      <c r="E246" s="53" t="s">
        <v>291</v>
      </c>
      <c r="F246" s="71">
        <v>3.6131482268798164E-2</v>
      </c>
      <c r="G246" s="71">
        <v>4.1539042576325076E-2</v>
      </c>
      <c r="H246" s="71">
        <v>4.6694477922961566E-2</v>
      </c>
      <c r="I246" s="71">
        <v>4.9758694933095426E-2</v>
      </c>
      <c r="J246" s="63">
        <v>5.2314454544388996E-2</v>
      </c>
      <c r="K246" s="71" t="s">
        <v>21</v>
      </c>
      <c r="L246" s="71">
        <v>4.6330276763250832E-3</v>
      </c>
      <c r="M246" s="71">
        <v>9.1474111229615691E-3</v>
      </c>
      <c r="N246" s="71">
        <v>1.119462653309543E-2</v>
      </c>
      <c r="O246" s="63">
        <v>1.2421783944389E-2</v>
      </c>
      <c r="P246" s="55" t="s">
        <v>559</v>
      </c>
      <c r="Q246" s="53" t="s">
        <v>560</v>
      </c>
      <c r="R246" s="94">
        <v>47648</v>
      </c>
      <c r="S246" s="73">
        <v>4.3444879999999998E-2</v>
      </c>
      <c r="T246" s="63">
        <v>3.2495979229615682E-3</v>
      </c>
      <c r="V246" s="114">
        <v>1.1376688799999999</v>
      </c>
      <c r="W246" s="72">
        <v>2.89527095</v>
      </c>
      <c r="X246" s="72">
        <v>4.4618163700000002</v>
      </c>
      <c r="Y246" s="72">
        <v>5.8246408899999995</v>
      </c>
      <c r="Z246" s="115">
        <v>7.5530353499999991</v>
      </c>
    </row>
    <row r="247" spans="2:26" x14ac:dyDescent="0.35">
      <c r="B247" s="55" t="s">
        <v>371</v>
      </c>
      <c r="C247" s="53" t="s">
        <v>234</v>
      </c>
      <c r="D247" s="53" t="s">
        <v>20</v>
      </c>
      <c r="E247" s="53" t="s">
        <v>21</v>
      </c>
      <c r="F247" s="71">
        <v>3.6746670452612554E-2</v>
      </c>
      <c r="G247" s="71">
        <v>4.2025145282889254E-2</v>
      </c>
      <c r="H247" s="71">
        <v>4.7318151740133707E-2</v>
      </c>
      <c r="I247" s="71">
        <v>5.0217236141167826E-2</v>
      </c>
      <c r="J247" s="63">
        <v>5.3103530545098289E-2</v>
      </c>
      <c r="K247" s="71" t="s">
        <v>21</v>
      </c>
      <c r="L247" s="71">
        <v>5.1197852828892615E-3</v>
      </c>
      <c r="M247" s="71">
        <v>9.7657884401337082E-3</v>
      </c>
      <c r="N247" s="71">
        <v>1.1655732341167818E-2</v>
      </c>
      <c r="O247" s="63">
        <v>1.3200417645098288E-2</v>
      </c>
      <c r="P247" s="55" t="s">
        <v>21</v>
      </c>
      <c r="Q247" s="53" t="s">
        <v>21</v>
      </c>
      <c r="R247" s="94" t="s">
        <v>21</v>
      </c>
      <c r="S247" s="73" t="s">
        <v>21</v>
      </c>
      <c r="T247" s="63" t="s">
        <v>21</v>
      </c>
      <c r="V247" s="114">
        <v>1.1374520100000001</v>
      </c>
      <c r="W247" s="72">
        <v>2.8950221900000002</v>
      </c>
      <c r="X247" s="72">
        <v>4.4606937499999999</v>
      </c>
      <c r="Y247" s="72">
        <v>5.8232261899999997</v>
      </c>
      <c r="Z247" s="115">
        <v>7.5439094900000008</v>
      </c>
    </row>
    <row r="248" spans="2:26" x14ac:dyDescent="0.35">
      <c r="B248" s="55" t="s">
        <v>148</v>
      </c>
      <c r="C248" s="53" t="s">
        <v>234</v>
      </c>
      <c r="D248" s="53" t="s">
        <v>20</v>
      </c>
      <c r="E248" s="53" t="s">
        <v>21</v>
      </c>
      <c r="F248" s="71">
        <v>3.6365862902437596E-2</v>
      </c>
      <c r="G248" s="71">
        <v>4.1484986095569734E-2</v>
      </c>
      <c r="H248" s="71">
        <v>4.7255167681424001E-2</v>
      </c>
      <c r="I248" s="71">
        <v>5.0914417567779369E-2</v>
      </c>
      <c r="J248" s="63">
        <v>5.4231124837837652E-2</v>
      </c>
      <c r="K248" s="71" t="s">
        <v>21</v>
      </c>
      <c r="L248" s="71">
        <v>4.6022297955697301E-3</v>
      </c>
      <c r="M248" s="71">
        <v>9.706254081423997E-3</v>
      </c>
      <c r="N248" s="71">
        <v>1.2324452867779367E-2</v>
      </c>
      <c r="O248" s="63">
        <v>1.4291384037837654E-2</v>
      </c>
      <c r="P248" s="55" t="s">
        <v>561</v>
      </c>
      <c r="Q248" s="53" t="s">
        <v>562</v>
      </c>
      <c r="R248" s="94">
        <v>47515</v>
      </c>
      <c r="S248" s="73">
        <v>4.5880379999999998E-2</v>
      </c>
      <c r="T248" s="63">
        <v>1.3747876814240029E-3</v>
      </c>
      <c r="V248" s="114">
        <v>1.13817506</v>
      </c>
      <c r="W248" s="72">
        <v>2.8998641700000003</v>
      </c>
      <c r="X248" s="72">
        <v>4.4670475000000005</v>
      </c>
      <c r="Y248" s="72">
        <v>5.8189356800000001</v>
      </c>
      <c r="Z248" s="115">
        <v>7.5076557399999997</v>
      </c>
    </row>
    <row r="249" spans="2:26" x14ac:dyDescent="0.35">
      <c r="B249" s="55" t="s">
        <v>369</v>
      </c>
      <c r="C249" s="53" t="s">
        <v>234</v>
      </c>
      <c r="D249" s="53" t="s">
        <v>20</v>
      </c>
      <c r="E249" s="53" t="s">
        <v>258</v>
      </c>
      <c r="F249" s="71">
        <v>3.6348587139764556E-2</v>
      </c>
      <c r="G249" s="71">
        <v>4.1740936503998273E-2</v>
      </c>
      <c r="H249" s="71">
        <v>4.7178956200685865E-2</v>
      </c>
      <c r="I249" s="71">
        <v>5.0747246669281619E-2</v>
      </c>
      <c r="J249" s="63">
        <v>5.3433332794367745E-2</v>
      </c>
      <c r="K249" s="71" t="s">
        <v>21</v>
      </c>
      <c r="L249" s="71">
        <v>4.847003303998277E-3</v>
      </c>
      <c r="M249" s="71">
        <v>9.6327234006858622E-3</v>
      </c>
      <c r="N249" s="71">
        <v>1.2162907969281614E-2</v>
      </c>
      <c r="O249" s="63">
        <v>1.3521909194367746E-2</v>
      </c>
      <c r="P249" s="55" t="s">
        <v>21</v>
      </c>
      <c r="Q249" s="53" t="s">
        <v>21</v>
      </c>
      <c r="R249" s="94" t="s">
        <v>21</v>
      </c>
      <c r="S249" s="73" t="s">
        <v>21</v>
      </c>
      <c r="T249" s="63" t="s">
        <v>21</v>
      </c>
      <c r="V249" s="114">
        <v>1.1382197300000001</v>
      </c>
      <c r="W249" s="72">
        <v>2.8982686800000002</v>
      </c>
      <c r="X249" s="72">
        <v>4.4653156100000002</v>
      </c>
      <c r="Y249" s="72">
        <v>5.8209882899999998</v>
      </c>
      <c r="Z249" s="115">
        <v>7.53159197</v>
      </c>
    </row>
    <row r="250" spans="2:26" x14ac:dyDescent="0.35">
      <c r="B250" s="55" t="s">
        <v>368</v>
      </c>
      <c r="C250" s="53" t="s">
        <v>234</v>
      </c>
      <c r="D250" s="53" t="s">
        <v>20</v>
      </c>
      <c r="E250" s="53" t="s">
        <v>294</v>
      </c>
      <c r="F250" s="71">
        <v>3.6391613218721003E-2</v>
      </c>
      <c r="G250" s="71">
        <v>4.1692836437176098E-2</v>
      </c>
      <c r="H250" s="71">
        <v>4.7075106149636947E-2</v>
      </c>
      <c r="I250" s="71">
        <v>5.0528785874400066E-2</v>
      </c>
      <c r="J250" s="63">
        <v>5.3634669617592556E-2</v>
      </c>
      <c r="K250" s="71" t="s">
        <v>21</v>
      </c>
      <c r="L250" s="71">
        <v>4.8004974371760999E-3</v>
      </c>
      <c r="M250" s="71">
        <v>9.5328236496369512E-3</v>
      </c>
      <c r="N250" s="71">
        <v>1.1954184874400071E-2</v>
      </c>
      <c r="O250" s="63">
        <v>1.3719150717592563E-2</v>
      </c>
      <c r="P250" s="55" t="s">
        <v>21</v>
      </c>
      <c r="Q250" s="53" t="s">
        <v>21</v>
      </c>
      <c r="R250" s="94" t="s">
        <v>21</v>
      </c>
      <c r="S250" s="73" t="s">
        <v>21</v>
      </c>
      <c r="T250" s="63" t="s">
        <v>21</v>
      </c>
      <c r="V250" s="114">
        <v>1.1381398300000001</v>
      </c>
      <c r="W250" s="72">
        <v>2.8984964</v>
      </c>
      <c r="X250" s="72">
        <v>4.4675946099999999</v>
      </c>
      <c r="Y250" s="72">
        <v>5.8250798999999995</v>
      </c>
      <c r="Z250" s="115">
        <v>7.5230719500000003</v>
      </c>
    </row>
    <row r="251" spans="2:26" x14ac:dyDescent="0.35">
      <c r="B251" s="55" t="s">
        <v>373</v>
      </c>
      <c r="C251" s="53" t="s">
        <v>234</v>
      </c>
      <c r="D251" s="53" t="s">
        <v>20</v>
      </c>
      <c r="E251" s="53" t="s">
        <v>21</v>
      </c>
      <c r="F251" s="71">
        <v>3.6525224669676323E-2</v>
      </c>
      <c r="G251" s="71">
        <v>4.1719830349933908E-2</v>
      </c>
      <c r="H251" s="71">
        <v>4.6788356234076012E-2</v>
      </c>
      <c r="I251" s="71">
        <v>4.9643176542389811E-2</v>
      </c>
      <c r="J251" s="63">
        <v>5.2175817571047868E-2</v>
      </c>
      <c r="K251" s="71" t="s">
        <v>21</v>
      </c>
      <c r="L251" s="71">
        <v>4.8278865499339074E-3</v>
      </c>
      <c r="M251" s="71">
        <v>9.259211834076006E-3</v>
      </c>
      <c r="N251" s="71">
        <v>1.1105121642389811E-2</v>
      </c>
      <c r="O251" s="63">
        <v>1.2305236971047866E-2</v>
      </c>
      <c r="P251" s="55" t="s">
        <v>21</v>
      </c>
      <c r="Q251" s="53" t="s">
        <v>21</v>
      </c>
      <c r="R251" s="94" t="s">
        <v>21</v>
      </c>
      <c r="S251" s="73" t="s">
        <v>21</v>
      </c>
      <c r="T251" s="63" t="s">
        <v>21</v>
      </c>
      <c r="V251" s="114">
        <v>1.13785892</v>
      </c>
      <c r="W251" s="72">
        <v>2.8975174999999997</v>
      </c>
      <c r="X251" s="72">
        <v>4.4687574699999999</v>
      </c>
      <c r="Y251" s="72">
        <v>5.8407679799999999</v>
      </c>
      <c r="Z251" s="115">
        <v>7.585059750000001</v>
      </c>
    </row>
    <row r="252" spans="2:26" x14ac:dyDescent="0.35">
      <c r="B252" s="55" t="s">
        <v>268</v>
      </c>
      <c r="C252" s="53" t="s">
        <v>234</v>
      </c>
      <c r="D252" s="53" t="s">
        <v>20</v>
      </c>
      <c r="E252" s="53" t="s">
        <v>318</v>
      </c>
      <c r="F252" s="71">
        <v>3.6858428566713966E-2</v>
      </c>
      <c r="G252" s="71">
        <v>4.1858775467859412E-2</v>
      </c>
      <c r="H252" s="71">
        <v>4.6788362329333068E-2</v>
      </c>
      <c r="I252" s="71">
        <v>4.9624060709429325E-2</v>
      </c>
      <c r="J252" s="63">
        <v>5.2153566572626264E-2</v>
      </c>
      <c r="K252" s="71" t="s">
        <v>21</v>
      </c>
      <c r="L252" s="71">
        <v>4.9584102678594125E-3</v>
      </c>
      <c r="M252" s="71">
        <v>9.2570214293330733E-3</v>
      </c>
      <c r="N252" s="71">
        <v>1.1085124009429313E-2</v>
      </c>
      <c r="O252" s="63">
        <v>1.2281864172626271E-2</v>
      </c>
      <c r="P252" s="55" t="s">
        <v>563</v>
      </c>
      <c r="Q252" s="53" t="s">
        <v>564</v>
      </c>
      <c r="R252" s="94" t="s">
        <v>32</v>
      </c>
      <c r="S252" s="73">
        <v>4.3292029999999995E-2</v>
      </c>
      <c r="T252" s="63">
        <v>3.4963323293330725E-3</v>
      </c>
      <c r="V252" s="114">
        <v>1.13725601</v>
      </c>
      <c r="W252" s="72">
        <v>2.8957927800000003</v>
      </c>
      <c r="X252" s="72">
        <v>4.4675238300000002</v>
      </c>
      <c r="Y252" s="72">
        <v>5.8392982299999998</v>
      </c>
      <c r="Z252" s="115">
        <v>7.5845957699999991</v>
      </c>
    </row>
    <row r="253" spans="2:26" x14ac:dyDescent="0.35">
      <c r="B253" s="55" t="s">
        <v>374</v>
      </c>
      <c r="C253" s="53" t="s">
        <v>234</v>
      </c>
      <c r="D253" s="53" t="s">
        <v>20</v>
      </c>
      <c r="E253" s="53" t="s">
        <v>266</v>
      </c>
      <c r="F253" s="71">
        <v>3.6364644972832497E-2</v>
      </c>
      <c r="G253" s="71">
        <v>4.1691961903938882E-2</v>
      </c>
      <c r="H253" s="71">
        <v>4.6672511408001119E-2</v>
      </c>
      <c r="I253" s="71">
        <v>4.947802952429127E-2</v>
      </c>
      <c r="J253" s="63">
        <v>5.2153581153008367E-2</v>
      </c>
      <c r="K253" s="71" t="s">
        <v>21</v>
      </c>
      <c r="L253" s="71">
        <v>4.7997637039388806E-3</v>
      </c>
      <c r="M253" s="71">
        <v>9.1473035080011245E-3</v>
      </c>
      <c r="N253" s="71">
        <v>1.0946225324291271E-2</v>
      </c>
      <c r="O253" s="63">
        <v>1.2287560753008365E-2</v>
      </c>
      <c r="P253" s="55" t="s">
        <v>396</v>
      </c>
      <c r="Q253" s="53" t="s">
        <v>397</v>
      </c>
      <c r="R253" s="94">
        <v>47515</v>
      </c>
      <c r="S253" s="73">
        <v>4.563681E-2</v>
      </c>
      <c r="T253" s="63">
        <v>1.035701408001119E-3</v>
      </c>
      <c r="V253" s="114">
        <v>1.1381932799999999</v>
      </c>
      <c r="W253" s="72">
        <v>2.8983199500000003</v>
      </c>
      <c r="X253" s="72">
        <v>4.4707608500000005</v>
      </c>
      <c r="Y253" s="72">
        <v>5.8446167400000002</v>
      </c>
      <c r="Z253" s="115">
        <v>7.5813305700000004</v>
      </c>
    </row>
    <row r="254" spans="2:26" x14ac:dyDescent="0.35">
      <c r="B254" s="79" t="s">
        <v>162</v>
      </c>
      <c r="C254" s="136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7"/>
      <c r="P254" s="79"/>
      <c r="Q254" s="78"/>
      <c r="R254" s="95"/>
      <c r="S254" s="78"/>
      <c r="T254" s="77"/>
      <c r="V254" s="120"/>
      <c r="W254" s="109"/>
      <c r="X254" s="109"/>
      <c r="Y254" s="109"/>
      <c r="Z254" s="121"/>
    </row>
    <row r="255" spans="2:26" x14ac:dyDescent="0.35">
      <c r="B255" s="56" t="s">
        <v>164</v>
      </c>
      <c r="C255" s="53" t="s">
        <v>234</v>
      </c>
      <c r="D255" s="66" t="s">
        <v>20</v>
      </c>
      <c r="E255" s="66" t="s">
        <v>292</v>
      </c>
      <c r="F255" s="80">
        <v>4.6763280097771823E-2</v>
      </c>
      <c r="G255" s="80">
        <v>6.735239519374836E-2</v>
      </c>
      <c r="H255" s="80">
        <v>8.7737693616088019E-2</v>
      </c>
      <c r="I255" s="80">
        <v>9.8159155217489205E-2</v>
      </c>
      <c r="J255" s="62">
        <v>0.10245556020225541</v>
      </c>
      <c r="K255" s="80">
        <v>8.3283395977718187E-3</v>
      </c>
      <c r="L255" s="80">
        <v>2.8795770693748366E-2</v>
      </c>
      <c r="M255" s="80">
        <v>4.7075362616088016E-2</v>
      </c>
      <c r="N255" s="80">
        <v>5.5745845417489198E-2</v>
      </c>
      <c r="O255" s="62">
        <v>5.874791090225541E-2</v>
      </c>
      <c r="P255" s="56" t="s">
        <v>21</v>
      </c>
      <c r="Q255" s="66" t="s">
        <v>21</v>
      </c>
      <c r="R255" s="100" t="s">
        <v>21</v>
      </c>
      <c r="S255" s="75" t="s">
        <v>21</v>
      </c>
      <c r="T255" s="62" t="s">
        <v>21</v>
      </c>
      <c r="V255" s="118">
        <v>1.11476267</v>
      </c>
      <c r="W255" s="61">
        <v>2.7034601600000001</v>
      </c>
      <c r="X255" s="61">
        <v>3.8648674600000001</v>
      </c>
      <c r="Y255" s="61">
        <v>4.6358165500000004</v>
      </c>
      <c r="Z255" s="119">
        <v>5.4111401400000005</v>
      </c>
    </row>
    <row r="256" spans="2:26" x14ac:dyDescent="0.35">
      <c r="B256" s="55" t="s">
        <v>167</v>
      </c>
      <c r="C256" s="53" t="s">
        <v>234</v>
      </c>
      <c r="D256" s="53" t="s">
        <v>97</v>
      </c>
      <c r="E256" s="53" t="s">
        <v>236</v>
      </c>
      <c r="F256" s="71">
        <v>4.1049458682993201E-2</v>
      </c>
      <c r="G256" s="71">
        <v>5.715418040070043E-2</v>
      </c>
      <c r="H256" s="71">
        <v>7.2373051417881668E-2</v>
      </c>
      <c r="I256" s="71">
        <v>7.8059187233432456E-2</v>
      </c>
      <c r="J256" s="63">
        <v>8.3004963177741337E-2</v>
      </c>
      <c r="K256" s="71">
        <v>3.0216631829931969E-3</v>
      </c>
      <c r="L256" s="71">
        <v>1.9392069800700434E-2</v>
      </c>
      <c r="M256" s="71">
        <v>3.3149059517881656E-2</v>
      </c>
      <c r="N256" s="71">
        <v>3.7621967233432453E-2</v>
      </c>
      <c r="O256" s="63">
        <v>4.1170072177741331E-2</v>
      </c>
      <c r="P256" s="55" t="s">
        <v>21</v>
      </c>
      <c r="Q256" s="53" t="s">
        <v>21</v>
      </c>
      <c r="R256" s="94" t="s">
        <v>21</v>
      </c>
      <c r="S256" s="73" t="s">
        <v>21</v>
      </c>
      <c r="T256" s="63" t="s">
        <v>21</v>
      </c>
      <c r="V256" s="114">
        <v>1.12696755</v>
      </c>
      <c r="W256" s="72">
        <v>2.7799167300000001</v>
      </c>
      <c r="X256" s="72">
        <v>4.0756364000000005</v>
      </c>
      <c r="Y256" s="72">
        <v>5.0583386600000004</v>
      </c>
      <c r="Z256" s="115">
        <v>6.1296268899999999</v>
      </c>
    </row>
    <row r="257" spans="2:26" x14ac:dyDescent="0.35">
      <c r="B257" s="55" t="s">
        <v>235</v>
      </c>
      <c r="C257" s="53" t="s">
        <v>234</v>
      </c>
      <c r="D257" s="53" t="s">
        <v>43</v>
      </c>
      <c r="E257" s="53" t="s">
        <v>565</v>
      </c>
      <c r="F257" s="71">
        <v>4.0320712828384439E-2</v>
      </c>
      <c r="G257" s="71">
        <v>5.2953724965183822E-2</v>
      </c>
      <c r="H257" s="71">
        <v>6.7609964857345495E-2</v>
      </c>
      <c r="I257" s="71">
        <v>7.5239370296220506E-2</v>
      </c>
      <c r="J257" s="63">
        <v>8.0408674388201845E-2</v>
      </c>
      <c r="K257" s="71">
        <v>2.3087621283844279E-3</v>
      </c>
      <c r="L257" s="71">
        <v>1.5458957265183823E-2</v>
      </c>
      <c r="M257" s="71">
        <v>2.876074065734549E-2</v>
      </c>
      <c r="N257" s="71">
        <v>3.5024313396220502E-2</v>
      </c>
      <c r="O257" s="63">
        <v>3.8787460288201833E-2</v>
      </c>
      <c r="P257" s="55" t="s">
        <v>21</v>
      </c>
      <c r="Q257" s="53" t="s">
        <v>21</v>
      </c>
      <c r="R257" s="94" t="s">
        <v>21</v>
      </c>
      <c r="S257" s="73" t="s">
        <v>21</v>
      </c>
      <c r="T257" s="63" t="s">
        <v>21</v>
      </c>
      <c r="V257" s="114">
        <v>1.12898498</v>
      </c>
      <c r="W257" s="72">
        <v>2.8132763500000002</v>
      </c>
      <c r="X257" s="72">
        <v>4.1564347399999999</v>
      </c>
      <c r="Y257" s="72">
        <v>5.1711256400000005</v>
      </c>
      <c r="Z257" s="115">
        <v>6.2746372499999996</v>
      </c>
    </row>
    <row r="258" spans="2:26" x14ac:dyDescent="0.35">
      <c r="B258" s="55" t="s">
        <v>163</v>
      </c>
      <c r="C258" s="53" t="s">
        <v>234</v>
      </c>
      <c r="D258" s="53" t="s">
        <v>97</v>
      </c>
      <c r="E258" s="53" t="s">
        <v>116</v>
      </c>
      <c r="F258" s="71">
        <v>3.9070412152945724E-2</v>
      </c>
      <c r="G258" s="71">
        <v>5.0395782292193436E-2</v>
      </c>
      <c r="H258" s="71">
        <v>6.1512829578818366E-2</v>
      </c>
      <c r="I258" s="71">
        <v>6.7907184602028534E-2</v>
      </c>
      <c r="J258" s="63">
        <v>7.3040139229262849E-2</v>
      </c>
      <c r="K258" s="71">
        <v>1.1107658529457259E-3</v>
      </c>
      <c r="L258" s="71">
        <v>1.304869479219343E-2</v>
      </c>
      <c r="M258" s="71">
        <v>2.3116894078818381E-2</v>
      </c>
      <c r="N258" s="71">
        <v>2.8265122802028534E-2</v>
      </c>
      <c r="O258" s="63">
        <v>3.1983449229262849E-2</v>
      </c>
      <c r="P258" s="55" t="s">
        <v>566</v>
      </c>
      <c r="Q258" s="53" t="s">
        <v>567</v>
      </c>
      <c r="R258" s="94">
        <v>47542</v>
      </c>
      <c r="S258" s="73">
        <v>4.9909780000000001E-2</v>
      </c>
      <c r="T258" s="63">
        <v>1.1603049578818365E-2</v>
      </c>
      <c r="V258" s="114">
        <v>1.1320796</v>
      </c>
      <c r="W258" s="72">
        <v>2.8273955399999999</v>
      </c>
      <c r="X258" s="72">
        <v>4.2343780500000001</v>
      </c>
      <c r="Y258" s="72">
        <v>5.3451822399999998</v>
      </c>
      <c r="Z258" s="115">
        <v>6.5932813100000001</v>
      </c>
    </row>
    <row r="259" spans="2:26" x14ac:dyDescent="0.35">
      <c r="B259" s="55" t="s">
        <v>174</v>
      </c>
      <c r="C259" s="53" t="s">
        <v>234</v>
      </c>
      <c r="D259" s="53" t="s">
        <v>43</v>
      </c>
      <c r="E259" s="53" t="s">
        <v>568</v>
      </c>
      <c r="F259" s="71">
        <v>3.9915201928530181E-2</v>
      </c>
      <c r="G259" s="71">
        <v>4.9773587721849241E-2</v>
      </c>
      <c r="H259" s="71">
        <v>6.0503109753795636E-2</v>
      </c>
      <c r="I259" s="71">
        <v>6.6683673289234163E-2</v>
      </c>
      <c r="J259" s="63">
        <v>7.1243216199503551E-2</v>
      </c>
      <c r="K259" s="71">
        <v>1.9237944285301744E-3</v>
      </c>
      <c r="L259" s="71">
        <v>1.2468881821849237E-2</v>
      </c>
      <c r="M259" s="71">
        <v>2.2180644053795641E-2</v>
      </c>
      <c r="N259" s="71">
        <v>2.7130438989234177E-2</v>
      </c>
      <c r="O259" s="63">
        <v>3.0312466099503551E-2</v>
      </c>
      <c r="P259" s="55" t="s">
        <v>569</v>
      </c>
      <c r="Q259" s="53" t="s">
        <v>570</v>
      </c>
      <c r="R259" s="94">
        <v>47535</v>
      </c>
      <c r="S259" s="73">
        <v>4.6763760000000001E-2</v>
      </c>
      <c r="T259" s="63">
        <v>1.3739349753795635E-2</v>
      </c>
      <c r="V259" s="114">
        <v>1.1300133999999999</v>
      </c>
      <c r="W259" s="72">
        <v>2.8332865599999999</v>
      </c>
      <c r="X259" s="72">
        <v>4.24979628</v>
      </c>
      <c r="Y259" s="72">
        <v>5.3747734099999995</v>
      </c>
      <c r="Z259" s="115">
        <v>6.6603007500000002</v>
      </c>
    </row>
    <row r="260" spans="2:26" x14ac:dyDescent="0.35">
      <c r="B260" s="55" t="s">
        <v>172</v>
      </c>
      <c r="C260" s="53" t="s">
        <v>234</v>
      </c>
      <c r="D260" s="53" t="s">
        <v>31</v>
      </c>
      <c r="E260" s="53" t="s">
        <v>571</v>
      </c>
      <c r="F260" s="71">
        <v>3.8565904181660435E-2</v>
      </c>
      <c r="G260" s="71">
        <v>4.7966454827629325E-2</v>
      </c>
      <c r="H260" s="71">
        <v>5.9331869101323334E-2</v>
      </c>
      <c r="I260" s="71">
        <v>6.6925313900620204E-2</v>
      </c>
      <c r="J260" s="63">
        <v>7.3083738090214137E-2</v>
      </c>
      <c r="K260" s="71">
        <v>6.3563168166043838E-4</v>
      </c>
      <c r="L260" s="71">
        <v>1.0757560627629328E-2</v>
      </c>
      <c r="M260" s="71">
        <v>2.1090828301323333E-2</v>
      </c>
      <c r="N260" s="71">
        <v>2.7355682500620194E-2</v>
      </c>
      <c r="O260" s="63">
        <v>3.2025173190214147E-2</v>
      </c>
      <c r="P260" s="55" t="s">
        <v>572</v>
      </c>
      <c r="Q260" s="53" t="s">
        <v>573</v>
      </c>
      <c r="R260" s="94">
        <v>47664</v>
      </c>
      <c r="S260" s="73">
        <v>4.9706919999999995E-2</v>
      </c>
      <c r="T260" s="63">
        <v>9.6249491013233393E-3</v>
      </c>
      <c r="V260" s="114">
        <v>1.13298769</v>
      </c>
      <c r="W260" s="72">
        <v>2.8491592999999997</v>
      </c>
      <c r="X260" s="72">
        <v>4.2794098400000005</v>
      </c>
      <c r="Y260" s="72">
        <v>5.4002090300000001</v>
      </c>
      <c r="Z260" s="115">
        <v>6.64030202</v>
      </c>
    </row>
    <row r="261" spans="2:26" x14ac:dyDescent="0.35">
      <c r="B261" s="55" t="s">
        <v>175</v>
      </c>
      <c r="C261" s="53" t="s">
        <v>234</v>
      </c>
      <c r="D261" s="53" t="s">
        <v>43</v>
      </c>
      <c r="E261" s="53" t="s">
        <v>141</v>
      </c>
      <c r="F261" s="71">
        <v>4.3006446697589219E-2</v>
      </c>
      <c r="G261" s="71">
        <v>5.0620805403840355E-2</v>
      </c>
      <c r="H261" s="71">
        <v>5.9093400701365463E-2</v>
      </c>
      <c r="I261" s="71">
        <v>6.5030611162392726E-2</v>
      </c>
      <c r="J261" s="63">
        <v>7.0923101842601782E-2</v>
      </c>
      <c r="K261" s="71">
        <v>4.7936289975892155E-3</v>
      </c>
      <c r="L261" s="71">
        <v>1.3248607003840354E-2</v>
      </c>
      <c r="M261" s="71">
        <v>2.0853347001365454E-2</v>
      </c>
      <c r="N261" s="71">
        <v>2.5580554562392735E-2</v>
      </c>
      <c r="O261" s="63">
        <v>2.9994455342601777E-2</v>
      </c>
      <c r="P261" s="55" t="s">
        <v>21</v>
      </c>
      <c r="Q261" s="53" t="s">
        <v>21</v>
      </c>
      <c r="R261" s="94" t="s">
        <v>21</v>
      </c>
      <c r="S261" s="73" t="s">
        <v>21</v>
      </c>
      <c r="T261" s="63" t="s">
        <v>21</v>
      </c>
      <c r="V261" s="114">
        <v>1.1226858500000001</v>
      </c>
      <c r="W261" s="72">
        <v>2.8153774499999997</v>
      </c>
      <c r="X261" s="72">
        <v>4.2461667199999997</v>
      </c>
      <c r="Y261" s="72">
        <v>5.3957899300000003</v>
      </c>
      <c r="Z261" s="115">
        <v>6.6925367400000004</v>
      </c>
    </row>
    <row r="262" spans="2:26" x14ac:dyDescent="0.35">
      <c r="B262" s="55" t="s">
        <v>129</v>
      </c>
      <c r="C262" s="53" t="s">
        <v>234</v>
      </c>
      <c r="D262" s="53" t="s">
        <v>62</v>
      </c>
      <c r="E262" s="53" t="s">
        <v>574</v>
      </c>
      <c r="F262" s="71">
        <v>4.0110389611502623E-2</v>
      </c>
      <c r="G262" s="71">
        <v>4.9391551372609165E-2</v>
      </c>
      <c r="H262" s="71">
        <v>5.8571313437963665E-2</v>
      </c>
      <c r="I262" s="71">
        <v>6.3919596045466848E-2</v>
      </c>
      <c r="J262" s="63">
        <v>6.8127438325588055E-2</v>
      </c>
      <c r="K262" s="71">
        <v>2.1089528115026228E-3</v>
      </c>
      <c r="L262" s="71">
        <v>1.2107548572609168E-2</v>
      </c>
      <c r="M262" s="71">
        <v>2.0380277237963672E-2</v>
      </c>
      <c r="N262" s="71">
        <v>2.4558950845466845E-2</v>
      </c>
      <c r="O262" s="63">
        <v>2.7402988725588065E-2</v>
      </c>
      <c r="P262" s="55" t="s">
        <v>21</v>
      </c>
      <c r="Q262" s="53" t="s">
        <v>21</v>
      </c>
      <c r="R262" s="94" t="s">
        <v>21</v>
      </c>
      <c r="S262" s="73" t="s">
        <v>21</v>
      </c>
      <c r="T262" s="63" t="s">
        <v>21</v>
      </c>
      <c r="V262" s="114">
        <v>1.1295195900000001</v>
      </c>
      <c r="W262" s="72">
        <v>2.8328888999999999</v>
      </c>
      <c r="X262" s="72">
        <v>4.2692974799999996</v>
      </c>
      <c r="Y262" s="72">
        <v>5.4321813099999998</v>
      </c>
      <c r="Z262" s="115">
        <v>6.7870057299999997</v>
      </c>
    </row>
    <row r="263" spans="2:26" x14ac:dyDescent="0.35">
      <c r="B263" s="55" t="s">
        <v>400</v>
      </c>
      <c r="C263" s="53" t="s">
        <v>234</v>
      </c>
      <c r="D263" s="53" t="s">
        <v>20</v>
      </c>
      <c r="E263" s="53" t="s">
        <v>288</v>
      </c>
      <c r="F263" s="71">
        <v>3.8838737721260688E-2</v>
      </c>
      <c r="G263" s="71">
        <v>4.8080261362861934E-2</v>
      </c>
      <c r="H263" s="71">
        <v>5.7213484807196777E-2</v>
      </c>
      <c r="I263" s="71">
        <v>6.3281758040211661E-2</v>
      </c>
      <c r="J263" s="63">
        <v>6.6765064051912598E-2</v>
      </c>
      <c r="K263" s="71">
        <v>8.9736272126069751E-4</v>
      </c>
      <c r="L263" s="71">
        <v>1.0881479962861929E-2</v>
      </c>
      <c r="M263" s="71">
        <v>1.9140692807196776E-2</v>
      </c>
      <c r="N263" s="71">
        <v>2.3998935840211677E-2</v>
      </c>
      <c r="O263" s="63">
        <v>2.6171599551912582E-2</v>
      </c>
      <c r="P263" s="55" t="s">
        <v>403</v>
      </c>
      <c r="Q263" s="53" t="s">
        <v>404</v>
      </c>
      <c r="R263" s="94">
        <v>47771</v>
      </c>
      <c r="S263" s="73">
        <v>4.9721359999999999E-2</v>
      </c>
      <c r="T263" s="63">
        <v>7.4921248071967775E-3</v>
      </c>
      <c r="V263" s="114">
        <v>1.1335380100000001</v>
      </c>
      <c r="W263" s="72">
        <v>2.85058262</v>
      </c>
      <c r="X263" s="72">
        <v>4.3088412299999996</v>
      </c>
      <c r="Y263" s="72">
        <v>5.4861822999999994</v>
      </c>
      <c r="Z263" s="115">
        <v>6.8762939599999999</v>
      </c>
    </row>
    <row r="264" spans="2:26" x14ac:dyDescent="0.35">
      <c r="B264" s="55" t="s">
        <v>165</v>
      </c>
      <c r="C264" s="53" t="s">
        <v>234</v>
      </c>
      <c r="D264" s="53" t="s">
        <v>47</v>
      </c>
      <c r="E264" s="53" t="s">
        <v>48</v>
      </c>
      <c r="F264" s="71">
        <v>3.8735348904430408E-2</v>
      </c>
      <c r="G264" s="71">
        <v>4.6338655857453698E-2</v>
      </c>
      <c r="H264" s="71">
        <v>5.5094442170038407E-2</v>
      </c>
      <c r="I264" s="71">
        <v>6.1329004341246551E-2</v>
      </c>
      <c r="J264" s="63">
        <v>6.6526242128948754E-2</v>
      </c>
      <c r="K264" s="71">
        <v>8.0262500443040955E-4</v>
      </c>
      <c r="L264" s="71">
        <v>9.2149016574537002E-3</v>
      </c>
      <c r="M264" s="71">
        <v>1.7125708370038406E-2</v>
      </c>
      <c r="N264" s="71">
        <v>2.214436444124656E-2</v>
      </c>
      <c r="O264" s="63">
        <v>2.5911116128948763E-2</v>
      </c>
      <c r="P264" s="55" t="s">
        <v>21</v>
      </c>
      <c r="Q264" s="53" t="s">
        <v>21</v>
      </c>
      <c r="R264" s="94" t="s">
        <v>21</v>
      </c>
      <c r="S264" s="73" t="s">
        <v>21</v>
      </c>
      <c r="T264" s="63" t="s">
        <v>21</v>
      </c>
      <c r="V264" s="114">
        <v>1.1326344500000001</v>
      </c>
      <c r="W264" s="72">
        <v>2.85794785</v>
      </c>
      <c r="X264" s="72">
        <v>4.33303379</v>
      </c>
      <c r="Y264" s="72">
        <v>5.5306052000000001</v>
      </c>
      <c r="Z264" s="115">
        <v>6.9140396099999997</v>
      </c>
    </row>
    <row r="265" spans="2:26" x14ac:dyDescent="0.35">
      <c r="B265" s="55" t="s">
        <v>166</v>
      </c>
      <c r="C265" s="53" t="s">
        <v>234</v>
      </c>
      <c r="D265" s="53" t="s">
        <v>43</v>
      </c>
      <c r="E265" s="53" t="s">
        <v>575</v>
      </c>
      <c r="F265" s="71">
        <v>3.8054377363205022E-2</v>
      </c>
      <c r="G265" s="71">
        <v>4.6041321616116827E-2</v>
      </c>
      <c r="H265" s="71">
        <v>5.4498569930867422E-2</v>
      </c>
      <c r="I265" s="71">
        <v>5.8516243929725598E-2</v>
      </c>
      <c r="J265" s="63">
        <v>6.1454479552215863E-2</v>
      </c>
      <c r="K265" s="71">
        <v>1.3243206320502198E-4</v>
      </c>
      <c r="L265" s="71">
        <v>8.9245607161168288E-3</v>
      </c>
      <c r="M265" s="71">
        <v>1.6558809430867415E-2</v>
      </c>
      <c r="N265" s="71">
        <v>1.9509478429725603E-2</v>
      </c>
      <c r="O265" s="63">
        <v>2.1145224552215843E-2</v>
      </c>
      <c r="P265" s="55" t="s">
        <v>21</v>
      </c>
      <c r="Q265" s="53" t="s">
        <v>21</v>
      </c>
      <c r="R265" s="94" t="s">
        <v>21</v>
      </c>
      <c r="S265" s="73" t="s">
        <v>21</v>
      </c>
      <c r="T265" s="63" t="s">
        <v>21</v>
      </c>
      <c r="V265" s="114">
        <v>1.1340633100000002</v>
      </c>
      <c r="W265" s="72">
        <v>2.8621325799999999</v>
      </c>
      <c r="X265" s="72">
        <v>4.3441709500000005</v>
      </c>
      <c r="Y265" s="72">
        <v>5.5775608200000004</v>
      </c>
      <c r="Z265" s="115">
        <v>7.0820044299999996</v>
      </c>
    </row>
    <row r="266" spans="2:26" x14ac:dyDescent="0.35">
      <c r="B266" s="55" t="s">
        <v>401</v>
      </c>
      <c r="C266" s="53" t="s">
        <v>234</v>
      </c>
      <c r="D266" s="53" t="s">
        <v>53</v>
      </c>
      <c r="E266" s="53" t="s">
        <v>293</v>
      </c>
      <c r="F266" s="71">
        <v>3.7234594208509116E-2</v>
      </c>
      <c r="G266" s="71">
        <v>4.5341271569602458E-2</v>
      </c>
      <c r="H266" s="71">
        <v>5.4208679001396212E-2</v>
      </c>
      <c r="I266" s="71">
        <v>5.9353715859835399E-2</v>
      </c>
      <c r="J266" s="63">
        <v>6.5006923906451922E-2</v>
      </c>
      <c r="K266" s="71" t="s">
        <v>21</v>
      </c>
      <c r="L266" s="71">
        <v>8.2682019696024584E-3</v>
      </c>
      <c r="M266" s="71">
        <v>1.629463490139621E-2</v>
      </c>
      <c r="N266" s="71">
        <v>2.0303626359835389E-2</v>
      </c>
      <c r="O266" s="63">
        <v>2.4491181406451946E-2</v>
      </c>
      <c r="P266" s="55" t="s">
        <v>21</v>
      </c>
      <c r="Q266" s="53" t="s">
        <v>21</v>
      </c>
      <c r="R266" s="94" t="s">
        <v>21</v>
      </c>
      <c r="S266" s="73" t="s">
        <v>21</v>
      </c>
      <c r="T266" s="63" t="s">
        <v>21</v>
      </c>
      <c r="V266" s="114">
        <v>1.1354910899999999</v>
      </c>
      <c r="W266" s="72">
        <v>2.8689194800000002</v>
      </c>
      <c r="X266" s="72">
        <v>4.3544193199999999</v>
      </c>
      <c r="Y266" s="72">
        <v>5.5783885700000004</v>
      </c>
      <c r="Z266" s="115">
        <v>7.0010405999999996</v>
      </c>
    </row>
    <row r="267" spans="2:26" x14ac:dyDescent="0.35">
      <c r="B267" s="55" t="s">
        <v>170</v>
      </c>
      <c r="C267" s="53" t="s">
        <v>234</v>
      </c>
      <c r="D267" s="53" t="s">
        <v>20</v>
      </c>
      <c r="E267" s="53" t="s">
        <v>402</v>
      </c>
      <c r="F267" s="71">
        <v>4.2691726843859933E-2</v>
      </c>
      <c r="G267" s="71">
        <v>5.3429407000301445E-2</v>
      </c>
      <c r="H267" s="71">
        <v>6.517284624703977E-2</v>
      </c>
      <c r="I267" s="71">
        <v>7.0817550299087623E-2</v>
      </c>
      <c r="J267" s="63">
        <v>7.5847617491117431E-2</v>
      </c>
      <c r="K267" s="71">
        <v>4.5670593438599328E-3</v>
      </c>
      <c r="L267" s="71">
        <v>1.5934407900301449E-2</v>
      </c>
      <c r="M267" s="71">
        <v>2.6548961547039781E-2</v>
      </c>
      <c r="N267" s="71">
        <v>3.1001585299087635E-2</v>
      </c>
      <c r="O267" s="63">
        <v>3.4618019991117438E-2</v>
      </c>
      <c r="P267" s="55" t="s">
        <v>468</v>
      </c>
      <c r="Q267" s="53" t="s">
        <v>469</v>
      </c>
      <c r="R267" s="94">
        <v>47505</v>
      </c>
      <c r="S267" s="73">
        <v>5.5480260000000003E-2</v>
      </c>
      <c r="T267" s="63">
        <v>9.6925862470397667E-3</v>
      </c>
      <c r="V267" s="114">
        <v>1.12436837</v>
      </c>
      <c r="W267" s="72">
        <v>2.8022332800000003</v>
      </c>
      <c r="X267" s="72">
        <v>4.1801492599999994</v>
      </c>
      <c r="Y267" s="72">
        <v>5.2506876099999999</v>
      </c>
      <c r="Z267" s="115">
        <v>6.4616041200000005</v>
      </c>
    </row>
    <row r="268" spans="2:26" x14ac:dyDescent="0.35">
      <c r="B268" s="55" t="s">
        <v>168</v>
      </c>
      <c r="C268" s="53" t="s">
        <v>234</v>
      </c>
      <c r="D268" s="53" t="s">
        <v>169</v>
      </c>
      <c r="E268" s="53" t="s">
        <v>576</v>
      </c>
      <c r="F268" s="71">
        <v>4.0765797280684142E-2</v>
      </c>
      <c r="G268" s="71">
        <v>4.7471578377376304E-2</v>
      </c>
      <c r="H268" s="71">
        <v>5.3910515287912963E-2</v>
      </c>
      <c r="I268" s="71">
        <v>5.7094209005983582E-2</v>
      </c>
      <c r="J268" s="63">
        <v>5.9833726948625952E-2</v>
      </c>
      <c r="K268" s="71">
        <v>2.7223772806841432E-3</v>
      </c>
      <c r="L268" s="71">
        <v>1.0299229677376301E-2</v>
      </c>
      <c r="M268" s="71">
        <v>1.602372708791297E-2</v>
      </c>
      <c r="N268" s="71">
        <v>1.8192123005983579E-2</v>
      </c>
      <c r="O268" s="63">
        <v>1.9630137148625958E-2</v>
      </c>
      <c r="P268" s="55" t="s">
        <v>21</v>
      </c>
      <c r="Q268" s="53" t="s">
        <v>21</v>
      </c>
      <c r="R268" s="94" t="s">
        <v>21</v>
      </c>
      <c r="S268" s="73" t="s">
        <v>21</v>
      </c>
      <c r="T268" s="63" t="s">
        <v>21</v>
      </c>
      <c r="V268" s="114">
        <v>1.1296199899999999</v>
      </c>
      <c r="W268" s="72">
        <v>2.8478042800000001</v>
      </c>
      <c r="X268" s="72">
        <v>4.3394292700000001</v>
      </c>
      <c r="Y268" s="72">
        <v>5.6034190400000004</v>
      </c>
      <c r="Z268" s="115">
        <v>7.1617320499999995</v>
      </c>
    </row>
    <row r="269" spans="2:26" x14ac:dyDescent="0.35">
      <c r="B269" s="55" t="s">
        <v>117</v>
      </c>
      <c r="C269" s="53" t="s">
        <v>234</v>
      </c>
      <c r="D269" s="53" t="s">
        <v>31</v>
      </c>
      <c r="E269" s="53" t="s">
        <v>123</v>
      </c>
      <c r="F269" s="71">
        <v>3.7167127473110753E-2</v>
      </c>
      <c r="G269" s="71">
        <v>4.568067016490656E-2</v>
      </c>
      <c r="H269" s="71">
        <v>5.1136063834519609E-2</v>
      </c>
      <c r="I269" s="71">
        <v>5.5088213989946379E-2</v>
      </c>
      <c r="J269" s="63">
        <v>5.8065224155237953E-2</v>
      </c>
      <c r="K269" s="71" t="s">
        <v>21</v>
      </c>
      <c r="L269" s="71">
        <v>8.5865817649065524E-3</v>
      </c>
      <c r="M269" s="71">
        <v>1.3379009634519608E-2</v>
      </c>
      <c r="N269" s="71">
        <v>1.6272754789946366E-2</v>
      </c>
      <c r="O269" s="63">
        <v>1.7940369655237959E-2</v>
      </c>
      <c r="P269" s="55" t="s">
        <v>21</v>
      </c>
      <c r="Q269" s="53" t="s">
        <v>21</v>
      </c>
      <c r="R269" s="94" t="s">
        <v>21</v>
      </c>
      <c r="S269" s="73" t="s">
        <v>21</v>
      </c>
      <c r="T269" s="63" t="s">
        <v>21</v>
      </c>
      <c r="V269" s="114">
        <v>1.1356807</v>
      </c>
      <c r="W269" s="72">
        <v>2.8667247900000001</v>
      </c>
      <c r="X269" s="72">
        <v>4.3838548900000003</v>
      </c>
      <c r="Y269" s="72">
        <v>5.6694667999999995</v>
      </c>
      <c r="Z269" s="115">
        <v>7.2537368899999999</v>
      </c>
    </row>
    <row r="270" spans="2:26" x14ac:dyDescent="0.35">
      <c r="B270" s="55" t="s">
        <v>139</v>
      </c>
      <c r="C270" s="53" t="s">
        <v>234</v>
      </c>
      <c r="D270" s="53" t="s">
        <v>140</v>
      </c>
      <c r="E270" s="53" t="s">
        <v>161</v>
      </c>
      <c r="F270" s="71">
        <v>3.8249125308594381E-2</v>
      </c>
      <c r="G270" s="71">
        <v>4.3921727237393723E-2</v>
      </c>
      <c r="H270" s="71">
        <v>5.0131868812833102E-2</v>
      </c>
      <c r="I270" s="71">
        <v>5.4516206153718647E-2</v>
      </c>
      <c r="J270" s="63">
        <v>5.9038616528511965E-2</v>
      </c>
      <c r="K270" s="71">
        <v>3.3809880859438264E-4</v>
      </c>
      <c r="L270" s="71">
        <v>6.9144287373937201E-3</v>
      </c>
      <c r="M270" s="71">
        <v>1.2428328712833104E-2</v>
      </c>
      <c r="N270" s="71">
        <v>1.5733685253718648E-2</v>
      </c>
      <c r="O270" s="63">
        <v>1.8862218928511969E-2</v>
      </c>
      <c r="P270" s="55" t="s">
        <v>21</v>
      </c>
      <c r="Q270" s="53" t="s">
        <v>21</v>
      </c>
      <c r="R270" s="94" t="s">
        <v>21</v>
      </c>
      <c r="S270" s="73" t="s">
        <v>21</v>
      </c>
      <c r="T270" s="63" t="s">
        <v>21</v>
      </c>
      <c r="V270" s="114">
        <v>1.13355144</v>
      </c>
      <c r="W270" s="72">
        <v>2.8733273600000002</v>
      </c>
      <c r="X270" s="72">
        <v>4.4017352900000004</v>
      </c>
      <c r="Y270" s="72">
        <v>5.6962113800000003</v>
      </c>
      <c r="Z270" s="115">
        <v>7.2595711699999992</v>
      </c>
    </row>
    <row r="271" spans="2:26" x14ac:dyDescent="0.35">
      <c r="B271" s="57" t="s">
        <v>171</v>
      </c>
      <c r="C271" s="67" t="s">
        <v>234</v>
      </c>
      <c r="D271" s="67" t="s">
        <v>69</v>
      </c>
      <c r="E271" s="67" t="s">
        <v>110</v>
      </c>
      <c r="F271" s="76">
        <v>3.6734006955502746E-2</v>
      </c>
      <c r="G271" s="76">
        <v>4.2706807658023524E-2</v>
      </c>
      <c r="H271" s="76">
        <v>4.9146568085251342E-2</v>
      </c>
      <c r="I271" s="76">
        <v>5.2657528900378066E-2</v>
      </c>
      <c r="J271" s="64">
        <v>5.6729384308449156E-2</v>
      </c>
      <c r="K271" s="76" t="s">
        <v>21</v>
      </c>
      <c r="L271" s="76">
        <v>5.750617858023525E-3</v>
      </c>
      <c r="M271" s="76">
        <v>1.1488750285251342E-2</v>
      </c>
      <c r="N271" s="76">
        <v>1.3965557200378056E-2</v>
      </c>
      <c r="O271" s="64">
        <v>1.6662900408449158E-2</v>
      </c>
      <c r="P271" s="57" t="s">
        <v>21</v>
      </c>
      <c r="Q271" s="67" t="s">
        <v>21</v>
      </c>
      <c r="R271" s="96" t="s">
        <v>21</v>
      </c>
      <c r="S271" s="74" t="s">
        <v>21</v>
      </c>
      <c r="T271" s="64" t="s">
        <v>21</v>
      </c>
      <c r="V271" s="116">
        <v>1.13651111</v>
      </c>
      <c r="W271" s="108">
        <v>2.8859753500000003</v>
      </c>
      <c r="X271" s="108">
        <v>4.4259066300000001</v>
      </c>
      <c r="Y271" s="108">
        <v>5.7451486799999998</v>
      </c>
      <c r="Z271" s="117">
        <v>7.3638945900000001</v>
      </c>
    </row>
    <row r="272" spans="2:26" x14ac:dyDescent="0.35">
      <c r="P272" s="128"/>
      <c r="Q272" s="128"/>
      <c r="R272" s="44"/>
      <c r="S272" s="128"/>
      <c r="T272" s="128"/>
      <c r="V272" s="72"/>
      <c r="W272" s="72"/>
      <c r="X272" s="72"/>
      <c r="Y272" s="72"/>
      <c r="Z272" s="72"/>
    </row>
    <row r="273" spans="2:26" ht="15.5" x14ac:dyDescent="0.35">
      <c r="B273" s="122" t="s">
        <v>179</v>
      </c>
      <c r="R273" s="94"/>
      <c r="S273" s="71"/>
      <c r="T273" s="71"/>
      <c r="V273" s="72"/>
      <c r="W273" s="72"/>
      <c r="X273" s="72"/>
      <c r="Y273" s="72"/>
      <c r="Z273" s="72"/>
    </row>
    <row r="274" spans="2:26" x14ac:dyDescent="0.35">
      <c r="B274" s="85" t="s">
        <v>5</v>
      </c>
      <c r="C274" s="84" t="s">
        <v>6</v>
      </c>
      <c r="D274" s="84" t="s">
        <v>7</v>
      </c>
      <c r="E274" s="84" t="s">
        <v>8</v>
      </c>
      <c r="F274" s="83" t="s">
        <v>9</v>
      </c>
      <c r="G274" s="82" t="s">
        <v>10</v>
      </c>
      <c r="H274" s="82" t="s">
        <v>11</v>
      </c>
      <c r="I274" s="82" t="s">
        <v>12</v>
      </c>
      <c r="J274" s="81" t="s">
        <v>13</v>
      </c>
      <c r="K274" s="83" t="s">
        <v>9</v>
      </c>
      <c r="L274" s="82" t="s">
        <v>10</v>
      </c>
      <c r="M274" s="82" t="s">
        <v>11</v>
      </c>
      <c r="N274" s="82" t="s">
        <v>12</v>
      </c>
      <c r="O274" s="81" t="s">
        <v>13</v>
      </c>
      <c r="P274" s="70" t="s">
        <v>14</v>
      </c>
      <c r="Q274" s="58" t="s">
        <v>15</v>
      </c>
      <c r="R274" s="58" t="s">
        <v>16</v>
      </c>
      <c r="S274" s="58" t="s">
        <v>218</v>
      </c>
      <c r="T274" s="58" t="s">
        <v>18</v>
      </c>
      <c r="V274" s="106" t="s">
        <v>9</v>
      </c>
      <c r="W274" s="106" t="s">
        <v>10</v>
      </c>
      <c r="X274" s="106" t="s">
        <v>11</v>
      </c>
      <c r="Y274" s="106" t="s">
        <v>12</v>
      </c>
      <c r="Z274" s="111" t="s">
        <v>13</v>
      </c>
    </row>
    <row r="275" spans="2:26" x14ac:dyDescent="0.35">
      <c r="B275" s="56" t="s">
        <v>180</v>
      </c>
      <c r="C275" s="53" t="s">
        <v>234</v>
      </c>
      <c r="D275" s="66" t="s">
        <v>47</v>
      </c>
      <c r="E275" s="66" t="s">
        <v>577</v>
      </c>
      <c r="F275" s="80"/>
      <c r="G275" s="80"/>
      <c r="H275" s="80"/>
      <c r="I275" s="80"/>
      <c r="J275" s="62"/>
      <c r="K275" s="80"/>
      <c r="L275" s="80"/>
      <c r="M275" s="80"/>
      <c r="N275" s="80"/>
      <c r="O275" s="62"/>
      <c r="P275" s="56" t="s">
        <v>578</v>
      </c>
      <c r="Q275" s="66" t="s">
        <v>579</v>
      </c>
      <c r="R275" s="100" t="s">
        <v>32</v>
      </c>
      <c r="S275" s="75"/>
      <c r="T275" s="63"/>
      <c r="V275" s="72">
        <v>1.1371769199999999</v>
      </c>
      <c r="W275" s="72">
        <v>2.89113563</v>
      </c>
      <c r="X275" s="72">
        <v>4.44339</v>
      </c>
      <c r="Y275" s="72">
        <v>5.7795436499999999</v>
      </c>
      <c r="Z275" s="115">
        <v>7.4401842900000004</v>
      </c>
    </row>
    <row r="276" spans="2:26" x14ac:dyDescent="0.35">
      <c r="B276" s="55" t="s">
        <v>271</v>
      </c>
      <c r="C276" s="53" t="s">
        <v>234</v>
      </c>
      <c r="D276" s="53" t="s">
        <v>20</v>
      </c>
      <c r="E276" s="53" t="s">
        <v>580</v>
      </c>
      <c r="F276" s="71" t="s">
        <v>21</v>
      </c>
      <c r="G276" s="71">
        <v>4.4370249039710388E-2</v>
      </c>
      <c r="H276" s="71">
        <v>4.8790166386483924E-2</v>
      </c>
      <c r="I276" s="71">
        <v>5.2132305606340926E-2</v>
      </c>
      <c r="J276" s="63">
        <v>5.4491403025359986E-2</v>
      </c>
      <c r="K276" s="71" t="s">
        <v>21</v>
      </c>
      <c r="L276" s="71">
        <v>7.3967242397103864E-3</v>
      </c>
      <c r="M276" s="71">
        <v>1.1187157086483924E-2</v>
      </c>
      <c r="N276" s="71">
        <v>1.3528063306340932E-2</v>
      </c>
      <c r="O276" s="63">
        <v>1.4579565625359989E-2</v>
      </c>
      <c r="P276" s="55" t="s">
        <v>581</v>
      </c>
      <c r="Q276" s="53" t="s">
        <v>582</v>
      </c>
      <c r="R276" s="94" t="s">
        <v>32</v>
      </c>
      <c r="S276" s="73">
        <v>3.9947980000000001E-2</v>
      </c>
      <c r="T276" s="63">
        <v>8.8421863864839231E-3</v>
      </c>
      <c r="V276" s="72">
        <v>1.1356549900000001</v>
      </c>
      <c r="W276" s="72">
        <v>2.8809348200000002</v>
      </c>
      <c r="X276" s="72">
        <v>4.4320552399999995</v>
      </c>
      <c r="Y276" s="72">
        <v>5.7814899300000002</v>
      </c>
      <c r="Z276" s="115">
        <v>7.4990320099999996</v>
      </c>
    </row>
    <row r="277" spans="2:26" x14ac:dyDescent="0.35">
      <c r="B277" s="55" t="s">
        <v>182</v>
      </c>
      <c r="C277" s="53" t="s">
        <v>234</v>
      </c>
      <c r="D277" s="53" t="s">
        <v>69</v>
      </c>
      <c r="E277" s="53" t="s">
        <v>272</v>
      </c>
      <c r="F277" s="71" t="s">
        <v>21</v>
      </c>
      <c r="G277" s="71">
        <v>4.2346522627561452E-2</v>
      </c>
      <c r="H277" s="71">
        <v>4.7024295120766862E-2</v>
      </c>
      <c r="I277" s="71">
        <v>5.0484189731356668E-2</v>
      </c>
      <c r="J277" s="63">
        <v>5.341851049340747E-2</v>
      </c>
      <c r="K277" s="71" t="s">
        <v>21</v>
      </c>
      <c r="L277" s="71">
        <v>5.4763224275614563E-3</v>
      </c>
      <c r="M277" s="71">
        <v>9.5161831207668628E-3</v>
      </c>
      <c r="N277" s="71">
        <v>1.1964560231356676E-2</v>
      </c>
      <c r="O277" s="63">
        <v>1.3558127393407466E-2</v>
      </c>
      <c r="P277" s="55" t="s">
        <v>583</v>
      </c>
      <c r="Q277" s="53" t="s">
        <v>584</v>
      </c>
      <c r="R277" s="94" t="s">
        <v>32</v>
      </c>
      <c r="S277" s="73">
        <v>3.9260299999999998E-2</v>
      </c>
      <c r="T277" s="63">
        <v>7.7639951207668645E-3</v>
      </c>
      <c r="V277" s="72">
        <v>1.1383122699999999</v>
      </c>
      <c r="W277" s="72">
        <v>2.9015961100000003</v>
      </c>
      <c r="X277" s="72">
        <v>4.4786595800000004</v>
      </c>
      <c r="Y277" s="72">
        <v>5.85712454</v>
      </c>
      <c r="Z277" s="115">
        <v>7.6109551799999995</v>
      </c>
    </row>
    <row r="278" spans="2:26" x14ac:dyDescent="0.35">
      <c r="B278" s="55" t="s">
        <v>183</v>
      </c>
      <c r="C278" s="53" t="s">
        <v>234</v>
      </c>
      <c r="D278" s="53" t="s">
        <v>184</v>
      </c>
      <c r="E278" s="53" t="s">
        <v>323</v>
      </c>
      <c r="F278" s="71" t="s">
        <v>21</v>
      </c>
      <c r="G278" s="71">
        <v>4.3392479811866128E-2</v>
      </c>
      <c r="H278" s="71">
        <v>4.8737545517534293E-2</v>
      </c>
      <c r="I278" s="71">
        <v>5.3409389013027588E-2</v>
      </c>
      <c r="J278" s="63">
        <v>5.7799779145370829E-2</v>
      </c>
      <c r="K278" s="71" t="s">
        <v>21</v>
      </c>
      <c r="L278" s="71">
        <v>6.4794374118661334E-3</v>
      </c>
      <c r="M278" s="71">
        <v>1.1158395317534292E-2</v>
      </c>
      <c r="N278" s="71">
        <v>1.4774340413027592E-2</v>
      </c>
      <c r="O278" s="63">
        <v>1.7791304745370828E-2</v>
      </c>
      <c r="P278" s="55" t="s">
        <v>585</v>
      </c>
      <c r="Q278" s="53" t="s">
        <v>586</v>
      </c>
      <c r="R278" s="94" t="s">
        <v>32</v>
      </c>
      <c r="S278" s="73">
        <v>4.6177659999999995E-2</v>
      </c>
      <c r="T278" s="63">
        <v>2.559885517534298E-3</v>
      </c>
      <c r="V278" s="72">
        <v>1.13826983</v>
      </c>
      <c r="W278" s="72">
        <v>2.8952116600000002</v>
      </c>
      <c r="X278" s="72">
        <v>4.4537879299999998</v>
      </c>
      <c r="Y278" s="72">
        <v>5.7924312899999997</v>
      </c>
      <c r="Z278" s="115">
        <v>7.4424611200000008</v>
      </c>
    </row>
    <row r="279" spans="2:26" x14ac:dyDescent="0.35">
      <c r="B279" s="55" t="s">
        <v>185</v>
      </c>
      <c r="C279" s="53" t="s">
        <v>234</v>
      </c>
      <c r="D279" s="53" t="s">
        <v>53</v>
      </c>
      <c r="E279" s="53" t="s">
        <v>181</v>
      </c>
      <c r="F279" s="71" t="s">
        <v>21</v>
      </c>
      <c r="G279" s="71">
        <v>4.2360220488783906E-2</v>
      </c>
      <c r="H279" s="71">
        <v>4.7026181319992207E-2</v>
      </c>
      <c r="I279" s="71">
        <v>5.0701123526392292E-2</v>
      </c>
      <c r="J279" s="63">
        <v>5.3749264516901533E-2</v>
      </c>
      <c r="K279" s="71" t="s">
        <v>21</v>
      </c>
      <c r="L279" s="71">
        <v>5.488555388783913E-3</v>
      </c>
      <c r="M279" s="71">
        <v>9.5174231199922077E-3</v>
      </c>
      <c r="N279" s="71">
        <v>1.217284952639229E-2</v>
      </c>
      <c r="O279" s="63">
        <v>1.3879033916901536E-2</v>
      </c>
      <c r="P279" s="55" t="s">
        <v>587</v>
      </c>
      <c r="Q279" s="53" t="s">
        <v>588</v>
      </c>
      <c r="R279" s="94" t="s">
        <v>32</v>
      </c>
      <c r="S279" s="73">
        <v>4.0219889999999994E-2</v>
      </c>
      <c r="T279" s="63">
        <v>6.8062913199922123E-3</v>
      </c>
      <c r="V279" s="72">
        <v>1.1386931200000001</v>
      </c>
      <c r="W279" s="72">
        <v>2.9021787100000003</v>
      </c>
      <c r="X279" s="72">
        <v>4.4791521899999998</v>
      </c>
      <c r="Y279" s="72">
        <v>5.8548038800000004</v>
      </c>
      <c r="Z279" s="115">
        <v>7.6001849899999998</v>
      </c>
    </row>
    <row r="280" spans="2:26" x14ac:dyDescent="0.35">
      <c r="B280" s="55" t="s">
        <v>186</v>
      </c>
      <c r="C280" s="53" t="s">
        <v>234</v>
      </c>
      <c r="D280" s="53" t="s">
        <v>31</v>
      </c>
      <c r="E280" s="53" t="s">
        <v>589</v>
      </c>
      <c r="F280" s="71" t="s">
        <v>21</v>
      </c>
      <c r="G280" s="71">
        <v>4.3252294518173938E-2</v>
      </c>
      <c r="H280" s="71">
        <v>4.853533711155894E-2</v>
      </c>
      <c r="I280" s="71">
        <v>5.2531457391638829E-2</v>
      </c>
      <c r="J280" s="63">
        <v>5.6061359935642943E-2</v>
      </c>
      <c r="K280" s="71" t="s">
        <v>21</v>
      </c>
      <c r="L280" s="71">
        <v>6.3449777181739412E-3</v>
      </c>
      <c r="M280" s="71">
        <v>1.0964657311558944E-2</v>
      </c>
      <c r="N280" s="71">
        <v>1.3932781991638832E-2</v>
      </c>
      <c r="O280" s="63">
        <v>1.6115823635642946E-2</v>
      </c>
      <c r="P280" s="55" t="s">
        <v>590</v>
      </c>
      <c r="Q280" s="53" t="s">
        <v>591</v>
      </c>
      <c r="R280" s="94" t="s">
        <v>32</v>
      </c>
      <c r="S280" s="73">
        <v>4.1593989999999997E-2</v>
      </c>
      <c r="T280" s="63">
        <v>6.9413471115589431E-3</v>
      </c>
      <c r="V280" s="72">
        <v>1.1377592000000001</v>
      </c>
      <c r="W280" s="72">
        <v>2.8951696499999997</v>
      </c>
      <c r="X280" s="72">
        <v>4.4560301099999995</v>
      </c>
      <c r="Y280" s="72">
        <v>5.8061307200000005</v>
      </c>
      <c r="Z280" s="115">
        <v>7.4969219100000002</v>
      </c>
    </row>
    <row r="281" spans="2:26" x14ac:dyDescent="0.35">
      <c r="B281" s="57" t="s">
        <v>187</v>
      </c>
      <c r="C281" s="67" t="s">
        <v>234</v>
      </c>
      <c r="D281" s="67" t="s">
        <v>140</v>
      </c>
      <c r="E281" s="67" t="s">
        <v>592</v>
      </c>
      <c r="F281" s="76" t="s">
        <v>21</v>
      </c>
      <c r="G281" s="76">
        <v>4.229293371425414E-2</v>
      </c>
      <c r="H281" s="76">
        <v>4.6753228717274352E-2</v>
      </c>
      <c r="I281" s="76">
        <v>5.0853301052311728E-2</v>
      </c>
      <c r="J281" s="64">
        <v>5.3961111482734074E-2</v>
      </c>
      <c r="K281" s="76" t="s">
        <v>21</v>
      </c>
      <c r="L281" s="76">
        <v>5.4232698142541438E-3</v>
      </c>
      <c r="M281" s="76">
        <v>9.2547542172743517E-3</v>
      </c>
      <c r="N281" s="76">
        <v>1.231812345231173E-2</v>
      </c>
      <c r="O281" s="64">
        <v>1.4084994482734075E-2</v>
      </c>
      <c r="P281" s="57" t="s">
        <v>593</v>
      </c>
      <c r="Q281" s="67" t="s">
        <v>594</v>
      </c>
      <c r="R281" s="96" t="s">
        <v>32</v>
      </c>
      <c r="S281" s="74">
        <v>3.8895989999999998E-2</v>
      </c>
      <c r="T281" s="64">
        <v>7.8572387172743535E-3</v>
      </c>
      <c r="V281" s="108">
        <v>1.13887856</v>
      </c>
      <c r="W281" s="108">
        <v>2.9029110500000002</v>
      </c>
      <c r="X281" s="108">
        <v>4.4826450499999995</v>
      </c>
      <c r="Y281" s="108">
        <v>5.8568772600000001</v>
      </c>
      <c r="Z281" s="117">
        <v>7.5959619500000004</v>
      </c>
    </row>
    <row r="282" spans="2:26" x14ac:dyDescent="0.35">
      <c r="V282" s="72"/>
      <c r="W282" s="72"/>
      <c r="X282" s="72"/>
      <c r="Y282" s="72"/>
      <c r="Z282" s="72"/>
    </row>
    <row r="283" spans="2:26" ht="15.5" x14ac:dyDescent="0.35">
      <c r="B283" s="122" t="s">
        <v>188</v>
      </c>
      <c r="R283" s="94"/>
      <c r="S283" s="71"/>
      <c r="T283" s="71"/>
      <c r="V283" s="72"/>
      <c r="W283" s="72"/>
      <c r="X283" s="72"/>
      <c r="Y283" s="72"/>
      <c r="Z283" s="72"/>
    </row>
    <row r="284" spans="2:26" x14ac:dyDescent="0.35">
      <c r="B284" s="85" t="s">
        <v>5</v>
      </c>
      <c r="C284" s="84" t="s">
        <v>6</v>
      </c>
      <c r="D284" s="84" t="s">
        <v>7</v>
      </c>
      <c r="E284" s="84" t="s">
        <v>8</v>
      </c>
      <c r="F284" s="83" t="s">
        <v>9</v>
      </c>
      <c r="G284" s="82" t="s">
        <v>10</v>
      </c>
      <c r="H284" s="82" t="s">
        <v>11</v>
      </c>
      <c r="I284" s="82" t="s">
        <v>12</v>
      </c>
      <c r="J284" s="81" t="s">
        <v>13</v>
      </c>
      <c r="K284" s="83" t="s">
        <v>9</v>
      </c>
      <c r="L284" s="82" t="s">
        <v>10</v>
      </c>
      <c r="M284" s="82" t="s">
        <v>11</v>
      </c>
      <c r="N284" s="82" t="s">
        <v>12</v>
      </c>
      <c r="O284" s="81" t="s">
        <v>13</v>
      </c>
      <c r="P284" s="70" t="s">
        <v>14</v>
      </c>
      <c r="Q284" s="58" t="s">
        <v>15</v>
      </c>
      <c r="R284" s="58" t="s">
        <v>16</v>
      </c>
      <c r="S284" s="58" t="s">
        <v>218</v>
      </c>
      <c r="T284" s="58" t="s">
        <v>18</v>
      </c>
      <c r="V284" s="106" t="s">
        <v>9</v>
      </c>
      <c r="W284" s="106" t="s">
        <v>10</v>
      </c>
      <c r="X284" s="106" t="s">
        <v>11</v>
      </c>
      <c r="Y284" s="106" t="s">
        <v>12</v>
      </c>
      <c r="Z284" s="111" t="s">
        <v>13</v>
      </c>
    </row>
    <row r="285" spans="2:26" x14ac:dyDescent="0.35">
      <c r="B285" s="57" t="s">
        <v>298</v>
      </c>
      <c r="C285" s="67"/>
      <c r="D285" s="69"/>
      <c r="E285" s="69"/>
      <c r="F285" s="103" t="s">
        <v>21</v>
      </c>
      <c r="G285" s="103"/>
      <c r="H285" s="103">
        <v>5.8481498851624521E-2</v>
      </c>
      <c r="I285" s="103" t="s">
        <v>21</v>
      </c>
      <c r="J285" s="104" t="s">
        <v>21</v>
      </c>
      <c r="K285" s="103" t="s">
        <v>21</v>
      </c>
      <c r="L285" s="103"/>
      <c r="M285" s="103">
        <v>2.0510812751624526E-2</v>
      </c>
      <c r="N285" s="103" t="s">
        <v>21</v>
      </c>
      <c r="O285" s="104" t="s">
        <v>21</v>
      </c>
      <c r="P285" s="56"/>
      <c r="Q285" s="69"/>
      <c r="R285" s="105"/>
      <c r="S285" s="75"/>
      <c r="T285" s="62"/>
      <c r="V285" s="72">
        <v>1.1190218700000001</v>
      </c>
      <c r="W285" s="72">
        <v>2.8102633699999999</v>
      </c>
      <c r="X285" s="72">
        <v>4.2875331900000004</v>
      </c>
      <c r="Y285" s="72">
        <v>5.5564851399999995</v>
      </c>
      <c r="Z285" s="115">
        <v>7.1472782700000002</v>
      </c>
    </row>
    <row r="286" spans="2:26" x14ac:dyDescent="0.35">
      <c r="B286" s="55" t="s">
        <v>189</v>
      </c>
      <c r="C286" s="53" t="s">
        <v>234</v>
      </c>
      <c r="D286" s="66" t="s">
        <v>190</v>
      </c>
      <c r="E286" s="66" t="s">
        <v>273</v>
      </c>
      <c r="F286" s="80" t="s">
        <v>21</v>
      </c>
      <c r="G286" s="80">
        <v>4.1683863732881341E-2</v>
      </c>
      <c r="H286" s="80">
        <v>4.7499972794941704E-2</v>
      </c>
      <c r="I286" s="80" t="s">
        <v>21</v>
      </c>
      <c r="J286" s="62" t="s">
        <v>21</v>
      </c>
      <c r="K286" s="80" t="s">
        <v>21</v>
      </c>
      <c r="L286" s="80">
        <v>4.8178801328813484E-3</v>
      </c>
      <c r="M286" s="80">
        <v>9.9848460949417076E-3</v>
      </c>
      <c r="N286" s="80" t="s">
        <v>21</v>
      </c>
      <c r="O286" s="62" t="s">
        <v>21</v>
      </c>
      <c r="P286" s="56" t="s">
        <v>21</v>
      </c>
      <c r="Q286" s="66" t="s">
        <v>21</v>
      </c>
      <c r="R286" s="100" t="s">
        <v>21</v>
      </c>
      <c r="S286" s="75" t="s">
        <v>21</v>
      </c>
      <c r="T286" s="63" t="s">
        <v>21</v>
      </c>
      <c r="V286" s="72">
        <v>1.1385739500000001</v>
      </c>
      <c r="W286" s="72">
        <v>2.9031912699999998</v>
      </c>
      <c r="X286" s="72">
        <v>4.4803373400000002</v>
      </c>
      <c r="Y286" s="72">
        <v>5.8530916800000004</v>
      </c>
      <c r="Z286" s="115">
        <v>7.5938095600000004</v>
      </c>
    </row>
    <row r="287" spans="2:26" x14ac:dyDescent="0.35">
      <c r="B287" s="55" t="s">
        <v>191</v>
      </c>
      <c r="C287" s="53" t="s">
        <v>234</v>
      </c>
      <c r="D287" s="53" t="s">
        <v>192</v>
      </c>
      <c r="E287" s="53" t="s">
        <v>595</v>
      </c>
      <c r="F287" s="71" t="s">
        <v>21</v>
      </c>
      <c r="G287" s="71">
        <v>4.4979264941810933E-2</v>
      </c>
      <c r="H287" s="71">
        <v>5.1809088582734364E-2</v>
      </c>
      <c r="I287" s="71" t="s">
        <v>21</v>
      </c>
      <c r="J287" s="63" t="s">
        <v>21</v>
      </c>
      <c r="K287" s="71" t="s">
        <v>21</v>
      </c>
      <c r="L287" s="71">
        <v>7.9890898418109296E-3</v>
      </c>
      <c r="M287" s="71">
        <v>1.4123856082734365E-2</v>
      </c>
      <c r="N287" s="71" t="s">
        <v>21</v>
      </c>
      <c r="O287" s="63" t="s">
        <v>21</v>
      </c>
      <c r="P287" s="55" t="s">
        <v>596</v>
      </c>
      <c r="Q287" s="53" t="s">
        <v>597</v>
      </c>
      <c r="R287" s="94" t="s">
        <v>32</v>
      </c>
      <c r="S287" s="73">
        <v>4.7870759999999998E-2</v>
      </c>
      <c r="T287" s="63">
        <v>3.9383285827343656E-3</v>
      </c>
      <c r="V287" s="72">
        <v>1.13402088</v>
      </c>
      <c r="W287" s="72">
        <v>2.8794456199999998</v>
      </c>
      <c r="X287" s="72">
        <v>4.4183047799999997</v>
      </c>
      <c r="Y287" s="72">
        <v>5.7397035899999995</v>
      </c>
      <c r="Z287" s="115">
        <v>7.3811847799999999</v>
      </c>
    </row>
    <row r="288" spans="2:26" x14ac:dyDescent="0.35">
      <c r="B288" s="55" t="s">
        <v>194</v>
      </c>
      <c r="C288" s="53" t="s">
        <v>234</v>
      </c>
      <c r="D288" s="53" t="s">
        <v>195</v>
      </c>
      <c r="E288" s="53" t="s">
        <v>294</v>
      </c>
      <c r="F288" s="71" t="s">
        <v>21</v>
      </c>
      <c r="G288" s="71">
        <v>4.1741777456855936E-2</v>
      </c>
      <c r="H288" s="71">
        <v>4.7544432471521958E-2</v>
      </c>
      <c r="I288" s="71" t="s">
        <v>21</v>
      </c>
      <c r="J288" s="63" t="s">
        <v>21</v>
      </c>
      <c r="K288" s="71" t="s">
        <v>21</v>
      </c>
      <c r="L288" s="71">
        <v>4.8746237568559302E-3</v>
      </c>
      <c r="M288" s="71">
        <v>1.002817437152196E-2</v>
      </c>
      <c r="N288" s="71" t="s">
        <v>21</v>
      </c>
      <c r="O288" s="63" t="s">
        <v>21</v>
      </c>
      <c r="P288" s="55" t="s">
        <v>598</v>
      </c>
      <c r="Q288" s="53" t="s">
        <v>599</v>
      </c>
      <c r="R288" s="94" t="s">
        <v>32</v>
      </c>
      <c r="S288" s="73">
        <v>4.5901630000000006E-2</v>
      </c>
      <c r="T288" s="63">
        <v>1.6428024715219522E-3</v>
      </c>
      <c r="V288" s="72">
        <v>1.13823381</v>
      </c>
      <c r="W288" s="72">
        <v>2.9023768599999999</v>
      </c>
      <c r="X288" s="72">
        <v>4.4792550599999998</v>
      </c>
      <c r="Y288" s="72">
        <v>5.8529639400000004</v>
      </c>
      <c r="Z288" s="115">
        <v>7.581342789999999</v>
      </c>
    </row>
    <row r="289" spans="2:26" x14ac:dyDescent="0.35">
      <c r="B289" s="55" t="s">
        <v>196</v>
      </c>
      <c r="C289" s="53" t="s">
        <v>234</v>
      </c>
      <c r="D289" s="53" t="s">
        <v>197</v>
      </c>
      <c r="E289" s="53" t="s">
        <v>600</v>
      </c>
      <c r="F289" s="71" t="s">
        <v>21</v>
      </c>
      <c r="G289" s="71">
        <v>4.8575315401682258E-2</v>
      </c>
      <c r="H289" s="71">
        <v>5.9310125281992573E-2</v>
      </c>
      <c r="I289" s="71" t="s">
        <v>21</v>
      </c>
      <c r="J289" s="63" t="s">
        <v>21</v>
      </c>
      <c r="K289" s="71" t="s">
        <v>21</v>
      </c>
      <c r="L289" s="71">
        <v>1.1426107501682261E-2</v>
      </c>
      <c r="M289" s="71">
        <v>2.1264309681992579E-2</v>
      </c>
      <c r="N289" s="71" t="s">
        <v>21</v>
      </c>
      <c r="O289" s="63" t="s">
        <v>21</v>
      </c>
      <c r="P289" s="55" t="s">
        <v>601</v>
      </c>
      <c r="Q289" s="53" t="s">
        <v>602</v>
      </c>
      <c r="R289" s="94" t="s">
        <v>32</v>
      </c>
      <c r="S289" s="73">
        <v>5.8399929999999996E-2</v>
      </c>
      <c r="T289" s="63">
        <v>9.1019528199257765E-4</v>
      </c>
      <c r="V289" s="72">
        <v>1.1340887500000001</v>
      </c>
      <c r="W289" s="72">
        <v>2.8632220300000002</v>
      </c>
      <c r="X289" s="72">
        <v>4.3366071800000006</v>
      </c>
      <c r="Y289" s="72">
        <v>5.5390188799999995</v>
      </c>
      <c r="Z289" s="115">
        <v>6.9174121699999995</v>
      </c>
    </row>
    <row r="290" spans="2:26" x14ac:dyDescent="0.35">
      <c r="B290" s="55" t="s">
        <v>198</v>
      </c>
      <c r="C290" s="53" t="s">
        <v>234</v>
      </c>
      <c r="D290" s="53" t="s">
        <v>199</v>
      </c>
      <c r="E290" s="53" t="s">
        <v>55</v>
      </c>
      <c r="F290" s="71" t="s">
        <v>21</v>
      </c>
      <c r="G290" s="71">
        <v>4.8384960154367884E-2</v>
      </c>
      <c r="H290" s="71">
        <v>5.6517194719038884E-2</v>
      </c>
      <c r="I290" s="71" t="s">
        <v>21</v>
      </c>
      <c r="J290" s="63" t="s">
        <v>21</v>
      </c>
      <c r="K290" s="71" t="s">
        <v>21</v>
      </c>
      <c r="L290" s="71">
        <v>1.1264302154367882E-2</v>
      </c>
      <c r="M290" s="71">
        <v>1.8628485819038882E-2</v>
      </c>
      <c r="N290" s="71" t="s">
        <v>21</v>
      </c>
      <c r="O290" s="63" t="s">
        <v>21</v>
      </c>
      <c r="P290" s="55" t="s">
        <v>603</v>
      </c>
      <c r="Q290" s="53" t="s">
        <v>604</v>
      </c>
      <c r="R290" s="94">
        <v>47586</v>
      </c>
      <c r="S290" s="73">
        <v>5.1769080000000002E-2</v>
      </c>
      <c r="T290" s="63">
        <v>4.7481147190388817E-3</v>
      </c>
      <c r="V290" s="72">
        <v>1.1319532800000001</v>
      </c>
      <c r="W290" s="72">
        <v>2.85944669</v>
      </c>
      <c r="X290" s="72">
        <v>4.3568055600000006</v>
      </c>
      <c r="Y290" s="72">
        <v>5.6053558400000005</v>
      </c>
      <c r="Z290" s="115">
        <v>7.0895970200000002</v>
      </c>
    </row>
    <row r="291" spans="2:26" x14ac:dyDescent="0.35">
      <c r="B291" s="55" t="s">
        <v>200</v>
      </c>
      <c r="C291" s="53" t="s">
        <v>234</v>
      </c>
      <c r="D291" s="53" t="s">
        <v>201</v>
      </c>
      <c r="E291" s="53" t="s">
        <v>295</v>
      </c>
      <c r="F291" s="71" t="s">
        <v>21</v>
      </c>
      <c r="G291" s="71">
        <v>5.0309719335886717E-2</v>
      </c>
      <c r="H291" s="71">
        <v>5.9794646300869378E-2</v>
      </c>
      <c r="I291" s="71" t="s">
        <v>21</v>
      </c>
      <c r="J291" s="63" t="s">
        <v>21</v>
      </c>
      <c r="K291" s="71" t="s">
        <v>21</v>
      </c>
      <c r="L291" s="71">
        <v>1.3106423235886705E-2</v>
      </c>
      <c r="M291" s="71">
        <v>2.1741703700869381E-2</v>
      </c>
      <c r="N291" s="71" t="s">
        <v>21</v>
      </c>
      <c r="O291" s="63" t="s">
        <v>21</v>
      </c>
      <c r="P291" s="55" t="s">
        <v>605</v>
      </c>
      <c r="Q291" s="53" t="s">
        <v>606</v>
      </c>
      <c r="R291" s="94" t="s">
        <v>32</v>
      </c>
      <c r="S291" s="73">
        <v>5.1957779999999995E-2</v>
      </c>
      <c r="T291" s="63">
        <v>7.8368663008693829E-3</v>
      </c>
      <c r="V291" s="72">
        <v>1.1309891999999999</v>
      </c>
      <c r="W291" s="72">
        <v>2.8487794200000001</v>
      </c>
      <c r="X291" s="72">
        <v>4.3183863200000001</v>
      </c>
      <c r="Y291" s="72">
        <v>5.5205211400000005</v>
      </c>
      <c r="Z291" s="115">
        <v>6.910286039999999</v>
      </c>
    </row>
    <row r="292" spans="2:26" x14ac:dyDescent="0.35">
      <c r="B292" s="55" t="s">
        <v>202</v>
      </c>
      <c r="C292" s="53" t="s">
        <v>234</v>
      </c>
      <c r="D292" s="53" t="s">
        <v>203</v>
      </c>
      <c r="E292" s="53" t="s">
        <v>181</v>
      </c>
      <c r="F292" s="71" t="s">
        <v>21</v>
      </c>
      <c r="G292" s="71">
        <v>4.6268474602191037E-2</v>
      </c>
      <c r="H292" s="71">
        <v>5.3555928673479213E-2</v>
      </c>
      <c r="I292" s="71" t="s">
        <v>21</v>
      </c>
      <c r="J292" s="63" t="s">
        <v>21</v>
      </c>
      <c r="K292" s="71" t="s">
        <v>21</v>
      </c>
      <c r="L292" s="71">
        <v>9.2254032021910331E-3</v>
      </c>
      <c r="M292" s="71">
        <v>1.5791722873479214E-2</v>
      </c>
      <c r="N292" s="71" t="s">
        <v>21</v>
      </c>
      <c r="O292" s="63" t="s">
        <v>21</v>
      </c>
      <c r="P292" s="55" t="s">
        <v>607</v>
      </c>
      <c r="Q292" s="53" t="s">
        <v>608</v>
      </c>
      <c r="R292" s="94" t="s">
        <v>32</v>
      </c>
      <c r="S292" s="73">
        <v>3.1003799999999998E-3</v>
      </c>
      <c r="T292" s="63">
        <v>5.0455548673479213E-2</v>
      </c>
      <c r="V292" s="72">
        <v>1.1335829500000001</v>
      </c>
      <c r="W292" s="72">
        <v>2.87156353</v>
      </c>
      <c r="X292" s="72">
        <v>4.3927896400000002</v>
      </c>
      <c r="Y292" s="72">
        <v>5.6813836499999999</v>
      </c>
      <c r="Z292" s="115">
        <v>7.2579314000000004</v>
      </c>
    </row>
    <row r="293" spans="2:26" x14ac:dyDescent="0.35">
      <c r="B293" s="55" t="s">
        <v>204</v>
      </c>
      <c r="C293" s="53" t="s">
        <v>234</v>
      </c>
      <c r="D293" s="53" t="s">
        <v>205</v>
      </c>
      <c r="E293" s="53" t="s">
        <v>609</v>
      </c>
      <c r="F293" s="71" t="s">
        <v>21</v>
      </c>
      <c r="G293" s="71">
        <v>5.6895266069939075E-2</v>
      </c>
      <c r="H293" s="71">
        <v>6.8647656314265601E-2</v>
      </c>
      <c r="I293" s="71" t="s">
        <v>21</v>
      </c>
      <c r="J293" s="63" t="s">
        <v>21</v>
      </c>
      <c r="K293" s="71" t="s">
        <v>21</v>
      </c>
      <c r="L293" s="71">
        <v>1.9351659969939067E-2</v>
      </c>
      <c r="M293" s="71">
        <v>3.0060421614265587E-2</v>
      </c>
      <c r="N293" s="71" t="s">
        <v>21</v>
      </c>
      <c r="O293" s="63" t="s">
        <v>21</v>
      </c>
      <c r="P293" s="55" t="s">
        <v>21</v>
      </c>
      <c r="Q293" s="53" t="s">
        <v>21</v>
      </c>
      <c r="R293" s="94" t="s">
        <v>21</v>
      </c>
      <c r="S293" s="73" t="s">
        <v>21</v>
      </c>
      <c r="T293" s="63" t="s">
        <v>21</v>
      </c>
      <c r="V293" s="72">
        <v>1.12510284</v>
      </c>
      <c r="W293" s="72">
        <v>2.8048280500000002</v>
      </c>
      <c r="X293" s="72">
        <v>4.2002948999999994</v>
      </c>
      <c r="Y293" s="72">
        <v>5.2969310800000002</v>
      </c>
      <c r="Z293" s="115">
        <v>6.5130797500000002</v>
      </c>
    </row>
    <row r="294" spans="2:26" x14ac:dyDescent="0.35">
      <c r="B294" s="55" t="s">
        <v>206</v>
      </c>
      <c r="C294" s="53" t="s">
        <v>234</v>
      </c>
      <c r="D294" s="53" t="s">
        <v>207</v>
      </c>
      <c r="E294" s="53" t="s">
        <v>193</v>
      </c>
      <c r="F294" s="71" t="s">
        <v>21</v>
      </c>
      <c r="G294" s="71">
        <v>4.497256948742593E-2</v>
      </c>
      <c r="H294" s="71">
        <v>5.1310761993943042E-2</v>
      </c>
      <c r="I294" s="71" t="s">
        <v>21</v>
      </c>
      <c r="J294" s="63" t="s">
        <v>21</v>
      </c>
      <c r="K294" s="71" t="s">
        <v>21</v>
      </c>
      <c r="L294" s="71">
        <v>7.9865231874259382E-3</v>
      </c>
      <c r="M294" s="71">
        <v>1.3648537193943046E-2</v>
      </c>
      <c r="N294" s="71" t="s">
        <v>21</v>
      </c>
      <c r="O294" s="63" t="s">
        <v>21</v>
      </c>
      <c r="P294" s="55" t="s">
        <v>610</v>
      </c>
      <c r="Q294" s="53" t="s">
        <v>611</v>
      </c>
      <c r="R294" s="94" t="s">
        <v>32</v>
      </c>
      <c r="S294" s="73">
        <v>4.4206570000000001E-2</v>
      </c>
      <c r="T294" s="63">
        <v>7.1041919939430417E-3</v>
      </c>
      <c r="V294" s="72">
        <v>1.1347067500000001</v>
      </c>
      <c r="W294" s="72">
        <v>2.88040611</v>
      </c>
      <c r="X294" s="72">
        <v>4.4230239600000001</v>
      </c>
      <c r="Y294" s="72">
        <v>5.7466310900000002</v>
      </c>
      <c r="Z294" s="115">
        <v>7.3938904799999996</v>
      </c>
    </row>
    <row r="295" spans="2:26" x14ac:dyDescent="0.35">
      <c r="B295" s="55" t="s">
        <v>208</v>
      </c>
      <c r="C295" s="53" t="s">
        <v>234</v>
      </c>
      <c r="D295" s="53" t="s">
        <v>209</v>
      </c>
      <c r="E295" s="53" t="s">
        <v>181</v>
      </c>
      <c r="F295" s="71" t="s">
        <v>21</v>
      </c>
      <c r="G295" s="71">
        <v>4.9465190831992384E-2</v>
      </c>
      <c r="H295" s="71">
        <v>5.8324985071055505E-2</v>
      </c>
      <c r="I295" s="71" t="s">
        <v>21</v>
      </c>
      <c r="J295" s="63" t="s">
        <v>21</v>
      </c>
      <c r="K295" s="71" t="s">
        <v>21</v>
      </c>
      <c r="L295" s="71">
        <v>1.2293391731992388E-2</v>
      </c>
      <c r="M295" s="71">
        <v>2.0343725671055506E-2</v>
      </c>
      <c r="N295" s="71" t="s">
        <v>21</v>
      </c>
      <c r="O295" s="63" t="s">
        <v>21</v>
      </c>
      <c r="P295" s="55" t="s">
        <v>21</v>
      </c>
      <c r="Q295" s="53" t="s">
        <v>21</v>
      </c>
      <c r="R295" s="94" t="s">
        <v>21</v>
      </c>
      <c r="S295" s="73" t="s">
        <v>21</v>
      </c>
      <c r="T295" s="63" t="s">
        <v>21</v>
      </c>
      <c r="V295" s="72">
        <v>1.1309959600000001</v>
      </c>
      <c r="W295" s="72">
        <v>2.8519874999999999</v>
      </c>
      <c r="X295" s="72">
        <v>4.3335201300000001</v>
      </c>
      <c r="Y295" s="72">
        <v>5.5574554000000003</v>
      </c>
      <c r="Z295" s="115">
        <v>6.9929484400000002</v>
      </c>
    </row>
    <row r="296" spans="2:26" x14ac:dyDescent="0.35">
      <c r="B296" s="55" t="s">
        <v>405</v>
      </c>
      <c r="C296" s="53" t="s">
        <v>234</v>
      </c>
      <c r="D296" s="53" t="s">
        <v>405</v>
      </c>
      <c r="E296" s="53" t="s">
        <v>612</v>
      </c>
      <c r="F296" s="71" t="s">
        <v>21</v>
      </c>
      <c r="G296" s="71">
        <v>7.7140990621226507E-2</v>
      </c>
      <c r="H296" s="71">
        <v>8.8236788997364035E-2</v>
      </c>
      <c r="I296" s="71" t="s">
        <v>21</v>
      </c>
      <c r="J296" s="63" t="s">
        <v>21</v>
      </c>
      <c r="K296" s="71" t="s">
        <v>21</v>
      </c>
      <c r="L296" s="71">
        <v>3.8234359321226506E-2</v>
      </c>
      <c r="M296" s="71">
        <v>4.8153946397364034E-2</v>
      </c>
      <c r="N296" s="71" t="s">
        <v>21</v>
      </c>
      <c r="O296" s="63" t="s">
        <v>21</v>
      </c>
      <c r="P296" s="55" t="s">
        <v>613</v>
      </c>
      <c r="Q296" s="53" t="s">
        <v>614</v>
      </c>
      <c r="R296" s="94" t="s">
        <v>32</v>
      </c>
      <c r="S296" s="73">
        <v>7.4424740000000003E-2</v>
      </c>
      <c r="T296" s="63">
        <v>1.3812048997364032E-2</v>
      </c>
      <c r="V296" s="72">
        <v>1.09007751</v>
      </c>
      <c r="W296" s="72">
        <v>2.6522070100000001</v>
      </c>
      <c r="X296" s="72">
        <v>3.88664649</v>
      </c>
      <c r="Y296" s="72">
        <v>4.8289369600000001</v>
      </c>
      <c r="Z296" s="115">
        <v>5.8454528899999998</v>
      </c>
    </row>
    <row r="297" spans="2:26" x14ac:dyDescent="0.35">
      <c r="B297" s="55" t="s">
        <v>210</v>
      </c>
      <c r="C297" s="53" t="s">
        <v>234</v>
      </c>
      <c r="D297" s="53" t="s">
        <v>210</v>
      </c>
      <c r="E297" s="53" t="s">
        <v>615</v>
      </c>
      <c r="F297" s="71" t="s">
        <v>21</v>
      </c>
      <c r="G297" s="71">
        <v>4.6491016825153518E-2</v>
      </c>
      <c r="H297" s="71">
        <v>5.3114904775762695E-2</v>
      </c>
      <c r="I297" s="71" t="s">
        <v>21</v>
      </c>
      <c r="J297" s="63" t="s">
        <v>21</v>
      </c>
      <c r="K297" s="71" t="s">
        <v>21</v>
      </c>
      <c r="L297" s="71">
        <v>9.4487284251535218E-3</v>
      </c>
      <c r="M297" s="71">
        <v>1.5379445675762693E-2</v>
      </c>
      <c r="N297" s="71" t="s">
        <v>21</v>
      </c>
      <c r="O297" s="63" t="s">
        <v>21</v>
      </c>
      <c r="P297" s="55" t="s">
        <v>616</v>
      </c>
      <c r="Q297" s="53" t="s">
        <v>617</v>
      </c>
      <c r="R297" s="94" t="s">
        <v>32</v>
      </c>
      <c r="S297" s="73">
        <v>4.8560720000000002E-2</v>
      </c>
      <c r="T297" s="63">
        <v>4.554184775762693E-3</v>
      </c>
      <c r="V297" s="72">
        <v>1.1337972599999999</v>
      </c>
      <c r="W297" s="72">
        <v>2.87176651</v>
      </c>
      <c r="X297" s="72">
        <v>4.3974318800000001</v>
      </c>
      <c r="Y297" s="72">
        <v>5.7028792799999994</v>
      </c>
      <c r="Z297" s="115">
        <v>7.3234123900000005</v>
      </c>
    </row>
    <row r="298" spans="2:26" x14ac:dyDescent="0.35">
      <c r="B298" s="55" t="s">
        <v>211</v>
      </c>
      <c r="C298" s="53" t="s">
        <v>234</v>
      </c>
      <c r="D298" s="53" t="s">
        <v>211</v>
      </c>
      <c r="E298" s="53" t="s">
        <v>618</v>
      </c>
      <c r="F298" s="71" t="s">
        <v>21</v>
      </c>
      <c r="G298" s="71">
        <v>5.3905570894635026E-2</v>
      </c>
      <c r="H298" s="71">
        <v>6.3635669171561229E-2</v>
      </c>
      <c r="I298" s="71" t="s">
        <v>21</v>
      </c>
      <c r="J298" s="63" t="s">
        <v>21</v>
      </c>
      <c r="K298" s="71" t="s">
        <v>21</v>
      </c>
      <c r="L298" s="71">
        <v>1.6408724194635023E-2</v>
      </c>
      <c r="M298" s="71">
        <v>2.5226456571561237E-2</v>
      </c>
      <c r="N298" s="71" t="s">
        <v>21</v>
      </c>
      <c r="O298" s="63" t="s">
        <v>21</v>
      </c>
      <c r="P298" s="55" t="s">
        <v>619</v>
      </c>
      <c r="Q298" s="53" t="s">
        <v>620</v>
      </c>
      <c r="R298" s="94" t="s">
        <v>32</v>
      </c>
      <c r="S298" s="73">
        <v>7.2751419999999997E-2</v>
      </c>
      <c r="T298" s="63">
        <v>-9.1157508284387678E-3</v>
      </c>
      <c r="V298" s="72">
        <v>1.12461345</v>
      </c>
      <c r="W298" s="72">
        <v>2.8099521900000002</v>
      </c>
      <c r="X298" s="72">
        <v>4.2279878000000002</v>
      </c>
      <c r="Y298" s="72">
        <v>5.3797311600000004</v>
      </c>
      <c r="Z298" s="115">
        <v>6.7299877300000004</v>
      </c>
    </row>
    <row r="299" spans="2:26" x14ac:dyDescent="0.35">
      <c r="B299" s="55" t="s">
        <v>212</v>
      </c>
      <c r="C299" s="53" t="s">
        <v>234</v>
      </c>
      <c r="D299" s="53" t="s">
        <v>212</v>
      </c>
      <c r="E299" s="53" t="s">
        <v>574</v>
      </c>
      <c r="F299" s="71" t="s">
        <v>21</v>
      </c>
      <c r="G299" s="71">
        <v>6.5633138109128741E-2</v>
      </c>
      <c r="H299" s="71">
        <v>7.864465332259149E-2</v>
      </c>
      <c r="I299" s="71" t="s">
        <v>21</v>
      </c>
      <c r="J299" s="63" t="s">
        <v>21</v>
      </c>
      <c r="K299" s="71" t="s">
        <v>21</v>
      </c>
      <c r="L299" s="71">
        <v>2.7539217009128751E-2</v>
      </c>
      <c r="M299" s="71">
        <v>3.9345411022591495E-2</v>
      </c>
      <c r="N299" s="71" t="s">
        <v>21</v>
      </c>
      <c r="O299" s="63" t="s">
        <v>21</v>
      </c>
      <c r="P299" s="55" t="s">
        <v>621</v>
      </c>
      <c r="Q299" s="53" t="s">
        <v>622</v>
      </c>
      <c r="R299" s="94" t="s">
        <v>32</v>
      </c>
      <c r="S299" s="73">
        <v>6.6532080000000007E-2</v>
      </c>
      <c r="T299" s="63">
        <v>1.2112573322591483E-2</v>
      </c>
      <c r="V299" s="72">
        <v>1.11318567</v>
      </c>
      <c r="W299" s="72">
        <v>2.7453808799999999</v>
      </c>
      <c r="X299" s="72">
        <v>4.0592491800000001</v>
      </c>
      <c r="Y299" s="72">
        <v>5.079701</v>
      </c>
      <c r="Z299" s="115">
        <v>6.21110557</v>
      </c>
    </row>
    <row r="300" spans="2:26" x14ac:dyDescent="0.35">
      <c r="B300" s="55" t="s">
        <v>213</v>
      </c>
      <c r="C300" s="53" t="s">
        <v>234</v>
      </c>
      <c r="D300" s="53" t="s">
        <v>213</v>
      </c>
      <c r="E300" s="53" t="s">
        <v>623</v>
      </c>
      <c r="F300" s="71" t="s">
        <v>21</v>
      </c>
      <c r="G300" s="71">
        <v>6.581911484816845E-2</v>
      </c>
      <c r="H300" s="71">
        <v>7.7584607186797966E-2</v>
      </c>
      <c r="I300" s="71" t="s">
        <v>21</v>
      </c>
      <c r="J300" s="63" t="s">
        <v>21</v>
      </c>
      <c r="K300" s="71" t="s">
        <v>21</v>
      </c>
      <c r="L300" s="71">
        <v>2.7703423448168455E-2</v>
      </c>
      <c r="M300" s="71">
        <v>3.835245438679797E-2</v>
      </c>
      <c r="N300" s="71" t="s">
        <v>21</v>
      </c>
      <c r="O300" s="63" t="s">
        <v>21</v>
      </c>
      <c r="P300" s="55" t="s">
        <v>624</v>
      </c>
      <c r="Q300" s="53" t="s">
        <v>625</v>
      </c>
      <c r="R300" s="94" t="s">
        <v>32</v>
      </c>
      <c r="S300" s="73">
        <v>6.3110059999999996E-2</v>
      </c>
      <c r="T300" s="63">
        <v>1.447454718679797E-2</v>
      </c>
      <c r="V300" s="72">
        <v>1.1132366899999999</v>
      </c>
      <c r="W300" s="72">
        <v>2.7413612000000001</v>
      </c>
      <c r="X300" s="72">
        <v>4.06048644</v>
      </c>
      <c r="Y300" s="72">
        <v>5.0843625900000005</v>
      </c>
      <c r="Z300" s="115">
        <v>6.2077302300000001</v>
      </c>
    </row>
    <row r="301" spans="2:26" x14ac:dyDescent="0.35">
      <c r="B301" s="55" t="s">
        <v>274</v>
      </c>
      <c r="C301" s="53" t="s">
        <v>234</v>
      </c>
      <c r="D301" s="53" t="s">
        <v>274</v>
      </c>
      <c r="E301" s="53" t="s">
        <v>288</v>
      </c>
      <c r="F301" s="71" t="s">
        <v>21</v>
      </c>
      <c r="G301" s="71">
        <v>4.4359222106604257E-2</v>
      </c>
      <c r="H301" s="71">
        <v>5.2246945941234309E-2</v>
      </c>
      <c r="I301" s="71" t="s">
        <v>21</v>
      </c>
      <c r="J301" s="63" t="s">
        <v>21</v>
      </c>
      <c r="K301" s="71" t="s">
        <v>21</v>
      </c>
      <c r="L301" s="71">
        <v>7.4011170066042567E-3</v>
      </c>
      <c r="M301" s="71">
        <v>1.4550790341234306E-2</v>
      </c>
      <c r="N301" s="71" t="s">
        <v>21</v>
      </c>
      <c r="O301" s="63" t="s">
        <v>21</v>
      </c>
      <c r="P301" s="55" t="s">
        <v>21</v>
      </c>
      <c r="Q301" s="53" t="s">
        <v>21</v>
      </c>
      <c r="R301" s="94" t="s">
        <v>21</v>
      </c>
      <c r="S301" s="73" t="s">
        <v>21</v>
      </c>
      <c r="T301" s="63" t="s">
        <v>21</v>
      </c>
      <c r="V301" s="72">
        <v>1.1362284599999999</v>
      </c>
      <c r="W301" s="72">
        <v>2.88638182</v>
      </c>
      <c r="X301" s="72">
        <v>4.42302397</v>
      </c>
      <c r="Y301" s="72">
        <v>5.7191130299999999</v>
      </c>
      <c r="Z301" s="115">
        <v>7.3183893700000002</v>
      </c>
    </row>
    <row r="302" spans="2:26" x14ac:dyDescent="0.35">
      <c r="B302" s="55" t="s">
        <v>275</v>
      </c>
      <c r="C302" s="53" t="s">
        <v>234</v>
      </c>
      <c r="D302" s="53" t="s">
        <v>275</v>
      </c>
      <c r="E302" s="53" t="s">
        <v>276</v>
      </c>
      <c r="F302" s="71" t="s">
        <v>21</v>
      </c>
      <c r="G302" s="71">
        <v>4.8514321600533004E-2</v>
      </c>
      <c r="H302" s="71">
        <v>5.658639623373158E-2</v>
      </c>
      <c r="I302" s="71" t="s">
        <v>21</v>
      </c>
      <c r="J302" s="63" t="s">
        <v>21</v>
      </c>
      <c r="K302" s="71" t="s">
        <v>21</v>
      </c>
      <c r="L302" s="71">
        <v>1.1379397900533005E-2</v>
      </c>
      <c r="M302" s="71">
        <v>1.8688546233731586E-2</v>
      </c>
      <c r="N302" s="71" t="s">
        <v>21</v>
      </c>
      <c r="O302" s="63" t="s">
        <v>21</v>
      </c>
      <c r="P302" s="55" t="s">
        <v>626</v>
      </c>
      <c r="Q302" s="53" t="s">
        <v>627</v>
      </c>
      <c r="R302" s="94" t="s">
        <v>32</v>
      </c>
      <c r="S302" s="73">
        <v>5.2613479999999997E-2</v>
      </c>
      <c r="T302" s="63">
        <v>3.9729162337315826E-3</v>
      </c>
      <c r="V302" s="72">
        <v>1.1341913299999999</v>
      </c>
      <c r="W302" s="72">
        <v>2.8632321700000003</v>
      </c>
      <c r="X302" s="72">
        <v>4.3590540400000002</v>
      </c>
      <c r="Y302" s="72">
        <v>5.6119315500000004</v>
      </c>
      <c r="Z302" s="115">
        <v>7.1305388999999995</v>
      </c>
    </row>
    <row r="303" spans="2:26" x14ac:dyDescent="0.35">
      <c r="B303" s="138" t="s">
        <v>279</v>
      </c>
      <c r="C303" s="139" t="s">
        <v>234</v>
      </c>
      <c r="D303" s="139" t="s">
        <v>279</v>
      </c>
      <c r="E303" s="139" t="s">
        <v>280</v>
      </c>
      <c r="F303" s="141" t="s">
        <v>21</v>
      </c>
      <c r="G303" s="141">
        <v>4.4496835735281744E-2</v>
      </c>
      <c r="H303" s="141">
        <v>5.1171826245067303E-2</v>
      </c>
      <c r="I303" s="141" t="s">
        <v>21</v>
      </c>
      <c r="J303" s="142" t="s">
        <v>21</v>
      </c>
      <c r="K303" s="141" t="s">
        <v>21</v>
      </c>
      <c r="L303" s="141">
        <v>7.5300316352817451E-3</v>
      </c>
      <c r="M303" s="141">
        <v>1.3516770845067298E-2</v>
      </c>
      <c r="N303" s="141" t="s">
        <v>21</v>
      </c>
      <c r="O303" s="142" t="s">
        <v>21</v>
      </c>
      <c r="P303" s="138" t="s">
        <v>628</v>
      </c>
      <c r="Q303" s="139" t="s">
        <v>629</v>
      </c>
      <c r="R303" s="143" t="s">
        <v>32</v>
      </c>
      <c r="S303" s="140">
        <v>4.2536439999999995E-2</v>
      </c>
      <c r="T303" s="142">
        <v>8.6353862450673086E-3</v>
      </c>
      <c r="V303" s="145">
        <v>1.1363498300000001</v>
      </c>
      <c r="W303" s="145">
        <v>2.8853175100000001</v>
      </c>
      <c r="X303" s="145">
        <v>4.4289964799999995</v>
      </c>
      <c r="Y303" s="145">
        <v>5.7545128100000005</v>
      </c>
      <c r="Z303" s="146">
        <v>7.4053634500000003</v>
      </c>
    </row>
    <row r="304" spans="2:26" x14ac:dyDescent="0.35">
      <c r="B304" s="138" t="s">
        <v>281</v>
      </c>
      <c r="C304" s="139" t="s">
        <v>234</v>
      </c>
      <c r="D304" s="139" t="s">
        <v>281</v>
      </c>
      <c r="E304" s="139" t="s">
        <v>48</v>
      </c>
      <c r="F304" s="141" t="s">
        <v>21</v>
      </c>
      <c r="G304" s="141">
        <v>5.179049438740322E-2</v>
      </c>
      <c r="H304" s="141">
        <v>6.1217446041493179E-2</v>
      </c>
      <c r="I304" s="141" t="s">
        <v>21</v>
      </c>
      <c r="J304" s="142" t="s">
        <v>21</v>
      </c>
      <c r="K304" s="141" t="s">
        <v>21</v>
      </c>
      <c r="L304" s="141">
        <v>1.4510034387403222E-2</v>
      </c>
      <c r="M304" s="141">
        <v>2.3074767741493179E-2</v>
      </c>
      <c r="N304" s="141" t="s">
        <v>21</v>
      </c>
      <c r="O304" s="142" t="s">
        <v>21</v>
      </c>
      <c r="P304" s="138" t="s">
        <v>630</v>
      </c>
      <c r="Q304" s="139" t="s">
        <v>631</v>
      </c>
      <c r="R304" s="143" t="s">
        <v>32</v>
      </c>
      <c r="S304" s="140">
        <v>5.6029619999999995E-2</v>
      </c>
      <c r="T304" s="142">
        <v>5.1878260414931834E-3</v>
      </c>
      <c r="V304" s="145">
        <v>1.1300549599999998</v>
      </c>
      <c r="W304" s="145">
        <v>2.83796158</v>
      </c>
      <c r="X304" s="145">
        <v>4.2935534200000003</v>
      </c>
      <c r="Y304" s="145">
        <v>5.4917830199999997</v>
      </c>
      <c r="Z304" s="146">
        <v>6.8800454200000001</v>
      </c>
    </row>
    <row r="305" spans="2:26" x14ac:dyDescent="0.35">
      <c r="B305" s="147" t="s">
        <v>277</v>
      </c>
      <c r="C305" s="148" t="s">
        <v>234</v>
      </c>
      <c r="D305" s="148" t="s">
        <v>278</v>
      </c>
      <c r="E305" s="148" t="s">
        <v>123</v>
      </c>
      <c r="F305" s="150" t="s">
        <v>21</v>
      </c>
      <c r="G305" s="150">
        <v>4.8882271480845438E-2</v>
      </c>
      <c r="H305" s="150">
        <v>5.61994767566589E-2</v>
      </c>
      <c r="I305" s="150" t="s">
        <v>21</v>
      </c>
      <c r="J305" s="151" t="s">
        <v>21</v>
      </c>
      <c r="K305" s="150" t="s">
        <v>21</v>
      </c>
      <c r="L305" s="150">
        <v>1.1701301180845433E-2</v>
      </c>
      <c r="M305" s="150">
        <v>1.8266412956658904E-2</v>
      </c>
      <c r="N305" s="150" t="s">
        <v>21</v>
      </c>
      <c r="O305" s="151" t="s">
        <v>21</v>
      </c>
      <c r="P305" s="147" t="s">
        <v>632</v>
      </c>
      <c r="Q305" s="148" t="s">
        <v>633</v>
      </c>
      <c r="R305" s="152" t="s">
        <v>32</v>
      </c>
      <c r="S305" s="149">
        <v>4.9109380000000001E-2</v>
      </c>
      <c r="T305" s="151">
        <v>7.0900967566588993E-3</v>
      </c>
      <c r="V305" s="154">
        <v>1.12962732</v>
      </c>
      <c r="W305" s="154">
        <v>2.84440085</v>
      </c>
      <c r="X305" s="154">
        <v>4.3239234099999999</v>
      </c>
      <c r="Y305" s="154">
        <v>5.5622107499999993</v>
      </c>
      <c r="Z305" s="155">
        <v>7.0324919700000006</v>
      </c>
    </row>
    <row r="306" spans="2:26" x14ac:dyDescent="0.35">
      <c r="B306" s="55" t="s">
        <v>214</v>
      </c>
      <c r="C306" s="53" t="s">
        <v>234</v>
      </c>
      <c r="D306" s="53" t="s">
        <v>201</v>
      </c>
      <c r="E306" s="53" t="s">
        <v>295</v>
      </c>
      <c r="F306" s="71" t="s">
        <v>21</v>
      </c>
      <c r="G306" s="71">
        <v>4.9636563699780527E-2</v>
      </c>
      <c r="H306" s="71">
        <v>6.0034930795209725E-2</v>
      </c>
      <c r="I306" s="71" t="s">
        <v>21</v>
      </c>
      <c r="J306" s="63" t="s">
        <v>21</v>
      </c>
      <c r="K306" s="71" t="s">
        <v>21</v>
      </c>
      <c r="L306" s="71">
        <v>1.2425246199780523E-2</v>
      </c>
      <c r="M306" s="71">
        <v>2.1926518895209718E-2</v>
      </c>
      <c r="N306" s="71" t="s">
        <v>21</v>
      </c>
      <c r="O306" s="63" t="s">
        <v>21</v>
      </c>
      <c r="P306" s="55" t="s">
        <v>634</v>
      </c>
      <c r="Q306" s="53" t="s">
        <v>635</v>
      </c>
      <c r="R306" s="94" t="s">
        <v>32</v>
      </c>
      <c r="S306" s="73">
        <v>5.3320280000000005E-2</v>
      </c>
      <c r="T306" s="63">
        <v>6.7146507952097201E-3</v>
      </c>
      <c r="V306" s="72">
        <v>1.13247893</v>
      </c>
      <c r="W306" s="72">
        <v>2.8511308999999998</v>
      </c>
      <c r="X306" s="72">
        <v>4.3132656000000003</v>
      </c>
      <c r="Y306" s="72">
        <v>5.5026177199999999</v>
      </c>
      <c r="Z306" s="115">
        <v>6.8774128399999999</v>
      </c>
    </row>
    <row r="307" spans="2:26" x14ac:dyDescent="0.35">
      <c r="B307" s="55" t="s">
        <v>215</v>
      </c>
      <c r="C307" s="53" t="s">
        <v>234</v>
      </c>
      <c r="D307" s="53" t="s">
        <v>199</v>
      </c>
      <c r="E307" s="53" t="s">
        <v>636</v>
      </c>
      <c r="F307" s="71" t="s">
        <v>21</v>
      </c>
      <c r="G307" s="71">
        <v>6.8991231667289862E-2</v>
      </c>
      <c r="H307" s="71">
        <v>7.9412223248399957E-2</v>
      </c>
      <c r="I307" s="71" t="s">
        <v>21</v>
      </c>
      <c r="J307" s="63" t="s">
        <v>21</v>
      </c>
      <c r="K307" s="71" t="s">
        <v>21</v>
      </c>
      <c r="L307" s="71">
        <v>3.066217196728984E-2</v>
      </c>
      <c r="M307" s="71">
        <v>4.0027530448399955E-2</v>
      </c>
      <c r="N307" s="71" t="s">
        <v>21</v>
      </c>
      <c r="O307" s="63" t="s">
        <v>21</v>
      </c>
      <c r="P307" s="55" t="s">
        <v>21</v>
      </c>
      <c r="Q307" s="53" t="s">
        <v>21</v>
      </c>
      <c r="R307" s="94" t="s">
        <v>21</v>
      </c>
      <c r="S307" s="73" t="s">
        <v>21</v>
      </c>
      <c r="T307" s="63" t="s">
        <v>21</v>
      </c>
      <c r="V307" s="72">
        <v>1.1029047300000001</v>
      </c>
      <c r="W307" s="72">
        <v>2.7077829900000001</v>
      </c>
      <c r="X307" s="72">
        <v>4.0113183500000007</v>
      </c>
      <c r="Y307" s="72">
        <v>5.0151341399999998</v>
      </c>
      <c r="Z307" s="115">
        <v>6.1145119999999995</v>
      </c>
    </row>
    <row r="308" spans="2:26" x14ac:dyDescent="0.35">
      <c r="B308" s="55" t="s">
        <v>282</v>
      </c>
      <c r="C308" s="53" t="s">
        <v>234</v>
      </c>
      <c r="D308" s="53" t="s">
        <v>201</v>
      </c>
      <c r="E308" s="53" t="s">
        <v>133</v>
      </c>
      <c r="F308" s="71" t="s">
        <v>21</v>
      </c>
      <c r="G308" s="71"/>
      <c r="H308" s="71">
        <v>4.8326495194629678E-2</v>
      </c>
      <c r="I308" s="71" t="s">
        <v>21</v>
      </c>
      <c r="J308" s="63" t="s">
        <v>21</v>
      </c>
      <c r="K308" s="71" t="s">
        <v>21</v>
      </c>
      <c r="L308" s="71"/>
      <c r="M308" s="71">
        <v>1.0661029494629687E-2</v>
      </c>
      <c r="N308" s="71" t="s">
        <v>21</v>
      </c>
      <c r="O308" s="63" t="s">
        <v>21</v>
      </c>
      <c r="P308" s="55" t="s">
        <v>296</v>
      </c>
      <c r="Q308" s="53" t="s">
        <v>297</v>
      </c>
      <c r="R308" s="94">
        <v>47581</v>
      </c>
      <c r="S308" s="73">
        <v>5.0983559999999997E-2</v>
      </c>
      <c r="T308" s="63">
        <v>-2.6570648053703197E-3</v>
      </c>
      <c r="V308" s="72">
        <v>1.13402417</v>
      </c>
      <c r="W308" s="72">
        <v>2.87997419</v>
      </c>
      <c r="X308" s="72">
        <v>4.4204469399999997</v>
      </c>
      <c r="Y308" s="72">
        <v>5.7407943599999998</v>
      </c>
      <c r="Z308" s="115">
        <v>7.3602073299999997</v>
      </c>
    </row>
    <row r="309" spans="2:26" x14ac:dyDescent="0.35">
      <c r="B309" s="55" t="s">
        <v>283</v>
      </c>
      <c r="C309" s="53" t="s">
        <v>234</v>
      </c>
      <c r="D309" s="53" t="s">
        <v>197</v>
      </c>
      <c r="E309" s="53" t="s">
        <v>637</v>
      </c>
      <c r="F309" s="71" t="s">
        <v>21</v>
      </c>
      <c r="G309" s="71"/>
      <c r="H309" s="71">
        <v>7.8121968436617117E-2</v>
      </c>
      <c r="I309" s="71" t="s">
        <v>21</v>
      </c>
      <c r="J309" s="63" t="s">
        <v>21</v>
      </c>
      <c r="K309" s="71" t="s">
        <v>21</v>
      </c>
      <c r="L309" s="71"/>
      <c r="M309" s="71">
        <v>3.8797795736617118E-2</v>
      </c>
      <c r="N309" s="71" t="s">
        <v>21</v>
      </c>
      <c r="O309" s="63" t="s">
        <v>21</v>
      </c>
      <c r="P309" s="55" t="s">
        <v>21</v>
      </c>
      <c r="Q309" s="53" t="s">
        <v>21</v>
      </c>
      <c r="R309" s="94" t="s">
        <v>21</v>
      </c>
      <c r="S309" s="73" t="s">
        <v>21</v>
      </c>
      <c r="T309" s="63" t="s">
        <v>21</v>
      </c>
      <c r="V309" s="72">
        <v>1.1030491899999999</v>
      </c>
      <c r="W309" s="72">
        <v>2.6972822700000001</v>
      </c>
      <c r="X309" s="72">
        <v>4.0015180099999998</v>
      </c>
      <c r="Y309" s="72">
        <v>5.0516878100000007</v>
      </c>
      <c r="Z309" s="115">
        <v>6.2709497200000008</v>
      </c>
    </row>
    <row r="310" spans="2:26" x14ac:dyDescent="0.35">
      <c r="B310" s="55" t="s">
        <v>284</v>
      </c>
      <c r="C310" s="53" t="s">
        <v>234</v>
      </c>
      <c r="D310" s="53" t="s">
        <v>197</v>
      </c>
      <c r="E310" s="53" t="s">
        <v>638</v>
      </c>
      <c r="F310" s="71" t="s">
        <v>21</v>
      </c>
      <c r="G310" s="71"/>
      <c r="H310" s="71">
        <v>8.2746596078685078E-2</v>
      </c>
      <c r="I310" s="71" t="s">
        <v>21</v>
      </c>
      <c r="J310" s="63" t="s">
        <v>21</v>
      </c>
      <c r="K310" s="71" t="s">
        <v>21</v>
      </c>
      <c r="L310" s="71"/>
      <c r="M310" s="71">
        <v>4.3534275578685083E-2</v>
      </c>
      <c r="N310" s="71" t="s">
        <v>21</v>
      </c>
      <c r="O310" s="63" t="s">
        <v>21</v>
      </c>
      <c r="P310" s="55" t="s">
        <v>21</v>
      </c>
      <c r="Q310" s="53" t="s">
        <v>21</v>
      </c>
      <c r="R310" s="94" t="s">
        <v>21</v>
      </c>
      <c r="S310" s="73" t="s">
        <v>21</v>
      </c>
      <c r="T310" s="63" t="s">
        <v>21</v>
      </c>
      <c r="V310" s="72">
        <v>1.10608518</v>
      </c>
      <c r="W310" s="72">
        <v>2.7249001700000002</v>
      </c>
      <c r="X310" s="72">
        <v>4.0429485999999999</v>
      </c>
      <c r="Y310" s="72">
        <v>5.07133448</v>
      </c>
      <c r="Z310" s="115">
        <v>6.1833972700000004</v>
      </c>
    </row>
    <row r="311" spans="2:26" x14ac:dyDescent="0.35">
      <c r="B311" s="57" t="s">
        <v>285</v>
      </c>
      <c r="C311" s="53" t="s">
        <v>234</v>
      </c>
      <c r="D311" s="67" t="s">
        <v>197</v>
      </c>
      <c r="E311" s="67" t="s">
        <v>270</v>
      </c>
      <c r="F311" s="76" t="s">
        <v>21</v>
      </c>
      <c r="G311" s="76"/>
      <c r="H311" s="76">
        <v>8.595342831366555E-2</v>
      </c>
      <c r="I311" s="76" t="s">
        <v>21</v>
      </c>
      <c r="J311" s="64" t="s">
        <v>21</v>
      </c>
      <c r="K311" s="76" t="s">
        <v>21</v>
      </c>
      <c r="L311" s="76"/>
      <c r="M311" s="76">
        <v>4.5634555813665552E-2</v>
      </c>
      <c r="N311" s="76" t="s">
        <v>21</v>
      </c>
      <c r="O311" s="64" t="s">
        <v>21</v>
      </c>
      <c r="P311" s="57" t="s">
        <v>639</v>
      </c>
      <c r="Q311" s="67" t="s">
        <v>640</v>
      </c>
      <c r="R311" s="96">
        <v>47560</v>
      </c>
      <c r="S311" s="74">
        <v>7.990572E-2</v>
      </c>
      <c r="T311" s="64">
        <v>6.0477083136655507E-3</v>
      </c>
      <c r="V311" s="108">
        <v>1.09750218</v>
      </c>
      <c r="W311" s="108">
        <v>2.64635832</v>
      </c>
      <c r="X311" s="108">
        <v>3.8609730400000002</v>
      </c>
      <c r="Y311" s="108">
        <v>4.7947236699999998</v>
      </c>
      <c r="Z311" s="117">
        <v>5.7623122999999996</v>
      </c>
    </row>
    <row r="312" spans="2:26" x14ac:dyDescent="0.35"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V312" s="66"/>
      <c r="W312" s="66"/>
      <c r="X312" s="66"/>
      <c r="Y312" s="66"/>
      <c r="Z312" s="66"/>
    </row>
    <row r="313" spans="2:26" ht="15.5" x14ac:dyDescent="0.35">
      <c r="B313" s="122" t="s">
        <v>286</v>
      </c>
    </row>
    <row r="314" spans="2:26" x14ac:dyDescent="0.35">
      <c r="B314" s="85" t="s">
        <v>5</v>
      </c>
      <c r="C314" s="84" t="s">
        <v>6</v>
      </c>
      <c r="D314" s="84" t="s">
        <v>7</v>
      </c>
      <c r="E314" s="84" t="s">
        <v>8</v>
      </c>
      <c r="F314" s="83" t="s">
        <v>9</v>
      </c>
      <c r="G314" s="82" t="s">
        <v>10</v>
      </c>
      <c r="H314" s="82" t="s">
        <v>11</v>
      </c>
      <c r="I314" s="82" t="s">
        <v>12</v>
      </c>
      <c r="J314" s="81" t="s">
        <v>13</v>
      </c>
      <c r="K314" s="83" t="s">
        <v>9</v>
      </c>
      <c r="L314" s="82" t="s">
        <v>10</v>
      </c>
      <c r="M314" s="82" t="s">
        <v>11</v>
      </c>
      <c r="N314" s="82" t="s">
        <v>12</v>
      </c>
      <c r="O314" s="81" t="s">
        <v>13</v>
      </c>
      <c r="P314" s="83" t="s">
        <v>14</v>
      </c>
      <c r="Q314" s="82" t="s">
        <v>15</v>
      </c>
      <c r="R314" s="82" t="s">
        <v>16</v>
      </c>
      <c r="S314" s="82" t="s">
        <v>218</v>
      </c>
      <c r="T314" s="81" t="s">
        <v>18</v>
      </c>
      <c r="V314" s="106" t="s">
        <v>9</v>
      </c>
      <c r="W314" s="106" t="s">
        <v>10</v>
      </c>
      <c r="X314" s="106" t="s">
        <v>11</v>
      </c>
      <c r="Y314" s="106" t="s">
        <v>12</v>
      </c>
      <c r="Z314" s="111" t="s">
        <v>13</v>
      </c>
    </row>
    <row r="315" spans="2:26" x14ac:dyDescent="0.35">
      <c r="B315" s="55" t="s">
        <v>641</v>
      </c>
      <c r="C315" s="53" t="s">
        <v>234</v>
      </c>
      <c r="D315" s="53" t="s">
        <v>642</v>
      </c>
      <c r="E315" s="53" t="s">
        <v>643</v>
      </c>
      <c r="F315" s="71">
        <v>3.8574795223508415E-2</v>
      </c>
      <c r="G315" s="71">
        <v>4.5269799521222238E-2</v>
      </c>
      <c r="H315" s="71">
        <v>5.2703965515205814E-2</v>
      </c>
      <c r="I315" s="71">
        <v>5.58693581899532E-2</v>
      </c>
      <c r="J315" s="63">
        <v>5.8651879966441792E-2</v>
      </c>
      <c r="K315" s="71">
        <v>6.7454332350841764E-4</v>
      </c>
      <c r="L315" s="71">
        <v>8.2247014212222368E-3</v>
      </c>
      <c r="M315" s="71">
        <v>1.4896839915205812E-2</v>
      </c>
      <c r="N315" s="71">
        <v>1.7047033589953204E-2</v>
      </c>
      <c r="O315" s="63">
        <v>1.8527595566441794E-2</v>
      </c>
      <c r="P315" s="55" t="s">
        <v>644</v>
      </c>
      <c r="Q315" s="53" t="s">
        <v>645</v>
      </c>
      <c r="R315" s="94">
        <v>47545</v>
      </c>
      <c r="S315" s="73">
        <v>4.3045140000000003E-2</v>
      </c>
      <c r="T315" s="63">
        <v>9.6588255152058114E-3</v>
      </c>
      <c r="V315" s="72">
        <v>1.1338600599999999</v>
      </c>
      <c r="W315" s="72">
        <v>2.8687120900000003</v>
      </c>
      <c r="X315" s="72">
        <v>4.3750157700000001</v>
      </c>
      <c r="Y315" s="72">
        <v>5.6536745100000001</v>
      </c>
      <c r="Z315" s="115">
        <v>7.2366262099999998</v>
      </c>
    </row>
    <row r="316" spans="2:26" x14ac:dyDescent="0.35">
      <c r="B316" s="55" t="s">
        <v>646</v>
      </c>
      <c r="C316" s="53" t="e">
        <v>#N/A</v>
      </c>
      <c r="D316" s="53" t="s">
        <v>647</v>
      </c>
      <c r="E316" s="53" t="s">
        <v>266</v>
      </c>
      <c r="F316" s="71">
        <v>3.9324819989670134E-2</v>
      </c>
      <c r="G316" s="71">
        <v>4.5671880600370376E-2</v>
      </c>
      <c r="H316" s="71">
        <v>5.2676579342049633E-2</v>
      </c>
      <c r="I316" s="71">
        <v>5.5691389779032485E-2</v>
      </c>
      <c r="J316" s="63">
        <v>5.8513869210166464E-2</v>
      </c>
      <c r="K316" s="71">
        <v>1.3996667896701313E-3</v>
      </c>
      <c r="L316" s="71">
        <v>8.6098841003703734E-3</v>
      </c>
      <c r="M316" s="71">
        <v>1.4871904042049631E-2</v>
      </c>
      <c r="N316" s="71">
        <v>1.687769217903248E-2</v>
      </c>
      <c r="O316" s="63">
        <v>1.8394379710166463E-2</v>
      </c>
      <c r="P316" s="55" t="s">
        <v>21</v>
      </c>
      <c r="Q316" s="53" t="s">
        <v>21</v>
      </c>
      <c r="R316" s="94" t="s">
        <v>21</v>
      </c>
      <c r="S316" s="73" t="s">
        <v>21</v>
      </c>
      <c r="T316" s="63" t="s">
        <v>21</v>
      </c>
      <c r="V316" s="72">
        <v>1.1323901399999998</v>
      </c>
      <c r="W316" s="72">
        <v>2.8634249500000002</v>
      </c>
      <c r="X316" s="72">
        <v>4.36929283</v>
      </c>
      <c r="Y316" s="72">
        <v>5.65168435</v>
      </c>
      <c r="Z316" s="115">
        <v>7.2394998599999996</v>
      </c>
    </row>
    <row r="317" spans="2:26" x14ac:dyDescent="0.35">
      <c r="B317" s="55" t="s">
        <v>289</v>
      </c>
      <c r="C317" s="53" t="s">
        <v>234</v>
      </c>
      <c r="D317" s="53" t="s">
        <v>287</v>
      </c>
      <c r="E317" s="53" t="s">
        <v>181</v>
      </c>
      <c r="F317" s="71">
        <v>3.7360982556662467E-2</v>
      </c>
      <c r="G317" s="71">
        <v>4.355953181452922E-2</v>
      </c>
      <c r="H317" s="71">
        <v>4.9949813121184669E-2</v>
      </c>
      <c r="I317" s="71">
        <v>5.3510128847153504E-2</v>
      </c>
      <c r="J317" s="63">
        <v>5.6619623044771493E-2</v>
      </c>
      <c r="K317" s="71" t="s">
        <v>21</v>
      </c>
      <c r="L317" s="71">
        <v>6.5870239145292189E-3</v>
      </c>
      <c r="M317" s="71">
        <v>1.2276698321184661E-2</v>
      </c>
      <c r="N317" s="71">
        <v>1.480226864715351E-2</v>
      </c>
      <c r="O317" s="63">
        <v>1.6586024644771484E-2</v>
      </c>
      <c r="P317" s="55" t="s">
        <v>648</v>
      </c>
      <c r="Q317" s="53" t="s">
        <v>649</v>
      </c>
      <c r="R317" s="94" t="s">
        <v>32</v>
      </c>
      <c r="S317" s="73">
        <v>4.3990649999999999E-2</v>
      </c>
      <c r="T317" s="63">
        <v>5.9591631211846699E-3</v>
      </c>
      <c r="V317" s="72">
        <v>1.1362668500000002</v>
      </c>
      <c r="W317" s="72">
        <v>2.8842410900000002</v>
      </c>
      <c r="X317" s="72">
        <v>4.4219863200000002</v>
      </c>
      <c r="Y317" s="72">
        <v>5.7336842199999998</v>
      </c>
      <c r="Z317" s="115">
        <v>7.3615973599999993</v>
      </c>
    </row>
    <row r="318" spans="2:26" x14ac:dyDescent="0.35">
      <c r="B318" s="55" t="s">
        <v>650</v>
      </c>
      <c r="C318" s="53" t="s">
        <v>234</v>
      </c>
      <c r="D318" s="53" t="s">
        <v>642</v>
      </c>
      <c r="E318" s="53" t="s">
        <v>651</v>
      </c>
      <c r="F318" s="71">
        <v>3.9106067115922384E-2</v>
      </c>
      <c r="G318" s="71">
        <v>4.6999073544921451E-2</v>
      </c>
      <c r="H318" s="71">
        <v>5.4215416824950333E-2</v>
      </c>
      <c r="I318" s="71">
        <v>5.8197943083318243E-2</v>
      </c>
      <c r="J318" s="63">
        <v>6.2272581020289347E-2</v>
      </c>
      <c r="K318" s="71">
        <v>1.1788677159223857E-3</v>
      </c>
      <c r="L318" s="71">
        <v>9.8673507449214479E-3</v>
      </c>
      <c r="M318" s="71">
        <v>1.6324856124950327E-2</v>
      </c>
      <c r="N318" s="71">
        <v>1.9242632383318241E-2</v>
      </c>
      <c r="O318" s="63">
        <v>2.1941354620289344E-2</v>
      </c>
      <c r="P318" s="55" t="s">
        <v>652</v>
      </c>
      <c r="Q318" s="53" t="s">
        <v>653</v>
      </c>
      <c r="R318" s="94">
        <v>47651</v>
      </c>
      <c r="S318" s="73">
        <v>4.4901450000000002E-2</v>
      </c>
      <c r="T318" s="63">
        <v>9.3139668249503302E-3</v>
      </c>
      <c r="V318" s="72">
        <v>1.1328799899999999</v>
      </c>
      <c r="W318" s="72">
        <v>2.8570433900000003</v>
      </c>
      <c r="X318" s="72">
        <v>4.3456295599999999</v>
      </c>
      <c r="Y318" s="72">
        <v>5.5934127</v>
      </c>
      <c r="Z318" s="115">
        <v>7.0908766100000005</v>
      </c>
    </row>
    <row r="319" spans="2:26" x14ac:dyDescent="0.35">
      <c r="B319" s="55" t="s">
        <v>654</v>
      </c>
      <c r="C319" s="53" t="s">
        <v>234</v>
      </c>
      <c r="D319" s="53" t="s">
        <v>642</v>
      </c>
      <c r="E319" s="53" t="s">
        <v>643</v>
      </c>
      <c r="F319" s="71">
        <v>3.9849880025643207E-2</v>
      </c>
      <c r="G319" s="71">
        <v>4.7455765339812779E-2</v>
      </c>
      <c r="H319" s="71">
        <v>5.494594757713181E-2</v>
      </c>
      <c r="I319" s="71">
        <v>5.8240509371397388E-2</v>
      </c>
      <c r="J319" s="63">
        <v>6.1669196374488387E-2</v>
      </c>
      <c r="K319" s="71">
        <v>1.9010438256432038E-3</v>
      </c>
      <c r="L319" s="71">
        <v>1.030540063981278E-2</v>
      </c>
      <c r="M319" s="71">
        <v>1.701723017713181E-2</v>
      </c>
      <c r="N319" s="71">
        <v>1.92853878713974E-2</v>
      </c>
      <c r="O319" s="63">
        <v>2.1372399974488393E-2</v>
      </c>
      <c r="P319" s="55" t="s">
        <v>655</v>
      </c>
      <c r="Q319" s="53" t="s">
        <v>656</v>
      </c>
      <c r="R319" s="94">
        <v>47599</v>
      </c>
      <c r="S319" s="73">
        <v>4.4426019999999997E-2</v>
      </c>
      <c r="T319" s="63">
        <v>1.0519927577131813E-2</v>
      </c>
      <c r="V319" s="72">
        <v>1.1313270199999998</v>
      </c>
      <c r="W319" s="72">
        <v>2.8507101800000001</v>
      </c>
      <c r="X319" s="72">
        <v>4.3315109300000003</v>
      </c>
      <c r="Y319" s="72">
        <v>5.5781333799999997</v>
      </c>
      <c r="Z319" s="115">
        <v>7.0936636900000005</v>
      </c>
    </row>
    <row r="320" spans="2:26" x14ac:dyDescent="0.35">
      <c r="B320" s="57" t="s">
        <v>657</v>
      </c>
      <c r="C320" s="67" t="s">
        <v>234</v>
      </c>
      <c r="D320" s="67" t="s">
        <v>642</v>
      </c>
      <c r="E320" s="67" t="s">
        <v>658</v>
      </c>
      <c r="F320" s="76">
        <v>4.006515199741946E-2</v>
      </c>
      <c r="G320" s="76">
        <v>4.8292091916994455E-2</v>
      </c>
      <c r="H320" s="76">
        <v>5.5426079594427684E-2</v>
      </c>
      <c r="I320" s="76">
        <v>5.8924830390427931E-2</v>
      </c>
      <c r="J320" s="64">
        <v>6.2227805948141562E-2</v>
      </c>
      <c r="K320" s="76">
        <v>2.1108835974194612E-3</v>
      </c>
      <c r="L320" s="76">
        <v>1.1101729716994458E-2</v>
      </c>
      <c r="M320" s="76">
        <v>1.7471335494427677E-2</v>
      </c>
      <c r="N320" s="76">
        <v>1.9927910990427934E-2</v>
      </c>
      <c r="O320" s="64">
        <v>2.1899555948141542E-2</v>
      </c>
      <c r="P320" s="57" t="s">
        <v>659</v>
      </c>
      <c r="Q320" s="67" t="s">
        <v>660</v>
      </c>
      <c r="R320" s="96">
        <v>47490</v>
      </c>
      <c r="S320" s="74">
        <v>4.4538180000000004E-2</v>
      </c>
      <c r="T320" s="64">
        <v>1.088789959442768E-2</v>
      </c>
      <c r="V320" s="108">
        <v>1.13073702</v>
      </c>
      <c r="W320" s="108">
        <v>2.8444926599999998</v>
      </c>
      <c r="X320" s="108">
        <v>4.3187061</v>
      </c>
      <c r="Y320" s="108">
        <v>5.5566670199999999</v>
      </c>
      <c r="Z320" s="117">
        <v>7.0587906800000004</v>
      </c>
    </row>
  </sheetData>
  <mergeCells count="6">
    <mergeCell ref="V14:Z14"/>
    <mergeCell ref="F3:J3"/>
    <mergeCell ref="K3:O3"/>
    <mergeCell ref="F4:J4"/>
    <mergeCell ref="K4:O4"/>
    <mergeCell ref="V5:Z5"/>
  </mergeCells>
  <conditionalFormatting sqref="F26">
    <cfRule type="colorScale" priority="41">
      <colorScale>
        <cfvo type="min"/>
        <cfvo type="max"/>
        <color rgb="FFFFEF9C"/>
        <color rgb="FF63BE7B"/>
      </colorScale>
    </cfRule>
  </conditionalFormatting>
  <conditionalFormatting sqref="F7:J12">
    <cfRule type="colorScale" priority="45">
      <colorScale>
        <cfvo type="min"/>
        <cfvo type="max"/>
        <color rgb="FFFFEF9C"/>
        <color rgb="FF63BE7B"/>
      </colorScale>
    </cfRule>
  </conditionalFormatting>
  <conditionalFormatting sqref="F16:J21">
    <cfRule type="colorScale" priority="26">
      <colorScale>
        <cfvo type="min"/>
        <cfvo type="max"/>
        <color rgb="FFFFEF9C"/>
        <color rgb="FF63BE7B"/>
      </colorScale>
    </cfRule>
  </conditionalFormatting>
  <conditionalFormatting sqref="F26:J105">
    <cfRule type="colorScale" priority="62">
      <colorScale>
        <cfvo type="min"/>
        <cfvo type="max"/>
        <color rgb="FFFFEF9C"/>
        <color rgb="FF63BE7B"/>
      </colorScale>
    </cfRule>
  </conditionalFormatting>
  <conditionalFormatting sqref="F40:J48">
    <cfRule type="cellIs" dxfId="19" priority="43" operator="lessThan">
      <formula>0</formula>
    </cfRule>
  </conditionalFormatting>
  <conditionalFormatting sqref="F46:J46">
    <cfRule type="colorScale" priority="42">
      <colorScale>
        <cfvo type="min"/>
        <cfvo type="max"/>
        <color rgb="FFFFEF9C"/>
        <color rgb="FF63BE7B"/>
      </colorScale>
    </cfRule>
  </conditionalFormatting>
  <conditionalFormatting sqref="F50:J55 F57:J60 F62:J66 F68:J70 F72:J73 F75:J93 F110:J129 F131:J133 F138:J253 F255:J271 F315:J320">
    <cfRule type="cellIs" dxfId="18" priority="46" operator="lessThan">
      <formula>0</formula>
    </cfRule>
  </conditionalFormatting>
  <conditionalFormatting sqref="F57:J60 F47:J48 F27:J34 G26:J26 F36:J38 F40:J45 F50:J55 F75:J93 F62:J66 F68:J70 F95:J105 F72:J73">
    <cfRule type="colorScale" priority="48">
      <colorScale>
        <cfvo type="min"/>
        <cfvo type="max"/>
        <color rgb="FFFFEF9C"/>
        <color rgb="FF63BE7B"/>
      </colorScale>
    </cfRule>
  </conditionalFormatting>
  <conditionalFormatting sqref="F57:J60 F50:J55 F26:J34 F36:J38 F40:J48 F75:J93 F62:J66 F68:J70 F95:J105 F72:J73">
    <cfRule type="colorScale" priority="49">
      <colorScale>
        <cfvo type="min"/>
        <cfvo type="max"/>
        <color rgb="FFFFEF9C"/>
        <color rgb="FF63BE7B"/>
      </colorScale>
    </cfRule>
  </conditionalFormatting>
  <conditionalFormatting sqref="F110:J129">
    <cfRule type="colorScale" priority="47">
      <colorScale>
        <cfvo type="min"/>
        <cfvo type="max"/>
        <color rgb="FFFFEF9C"/>
        <color rgb="FF63BE7B"/>
      </colorScale>
    </cfRule>
  </conditionalFormatting>
  <conditionalFormatting sqref="F131:J133 F110:J129">
    <cfRule type="colorScale" priority="51">
      <colorScale>
        <cfvo type="min"/>
        <cfvo type="max"/>
        <color rgb="FFFFEF9C"/>
        <color rgb="FF63BE7B"/>
      </colorScale>
    </cfRule>
  </conditionalFormatting>
  <conditionalFormatting sqref="F131:J133">
    <cfRule type="colorScale" priority="50">
      <colorScale>
        <cfvo type="min"/>
        <cfvo type="max"/>
        <color rgb="FFFFEF9C"/>
        <color rgb="FF63BE7B"/>
      </colorScale>
    </cfRule>
  </conditionalFormatting>
  <conditionalFormatting sqref="F138:J253">
    <cfRule type="colorScale" priority="59">
      <colorScale>
        <cfvo type="min"/>
        <cfvo type="max"/>
        <color rgb="FFFFEF9C"/>
        <color rgb="FF63BE7B"/>
      </colorScale>
    </cfRule>
  </conditionalFormatting>
  <conditionalFormatting sqref="F255:J271">
    <cfRule type="colorScale" priority="63">
      <colorScale>
        <cfvo type="min"/>
        <cfvo type="max"/>
        <color rgb="FFFFEF9C"/>
        <color rgb="FF63BE7B"/>
      </colorScale>
    </cfRule>
  </conditionalFormatting>
  <conditionalFormatting sqref="F275:J281">
    <cfRule type="cellIs" dxfId="17" priority="39" operator="lessThan">
      <formula>0</formula>
    </cfRule>
    <cfRule type="colorScale" priority="40">
      <colorScale>
        <cfvo type="min"/>
        <cfvo type="max"/>
        <color rgb="FFFFEF9C"/>
        <color rgb="FF63BE7B"/>
      </colorScale>
    </cfRule>
  </conditionalFormatting>
  <conditionalFormatting sqref="F285:J294">
    <cfRule type="colorScale" priority="52">
      <colorScale>
        <cfvo type="min"/>
        <cfvo type="max"/>
        <color rgb="FFFFEF9C"/>
        <color rgb="FF63BE7B"/>
      </colorScale>
    </cfRule>
  </conditionalFormatting>
  <conditionalFormatting sqref="F285:J311">
    <cfRule type="cellIs" dxfId="16" priority="22" operator="lessThan">
      <formula>0</formula>
    </cfRule>
  </conditionalFormatting>
  <conditionalFormatting sqref="F295:J298">
    <cfRule type="colorScale" priority="54">
      <colorScale>
        <cfvo type="min"/>
        <cfvo type="max"/>
        <color rgb="FFFFEF9C"/>
        <color rgb="FF63BE7B"/>
      </colorScale>
    </cfRule>
  </conditionalFormatting>
  <conditionalFormatting sqref="F299:J305">
    <cfRule type="colorScale" priority="34">
      <colorScale>
        <cfvo type="min"/>
        <cfvo type="max"/>
        <color rgb="FFFFEF9C"/>
        <color rgb="FF63BE7B"/>
      </colorScale>
    </cfRule>
  </conditionalFormatting>
  <conditionalFormatting sqref="F306:J306">
    <cfRule type="colorScale" priority="23">
      <colorScale>
        <cfvo type="min"/>
        <cfvo type="max"/>
        <color rgb="FFFFEF9C"/>
        <color rgb="FF63BE7B"/>
      </colorScale>
    </cfRule>
  </conditionalFormatting>
  <conditionalFormatting sqref="F307:J310">
    <cfRule type="colorScale" priority="31">
      <colorScale>
        <cfvo type="min"/>
        <cfvo type="max"/>
        <color rgb="FFFFEF9C"/>
        <color rgb="FF63BE7B"/>
      </colorScale>
    </cfRule>
  </conditionalFormatting>
  <conditionalFormatting sqref="F311:J311">
    <cfRule type="colorScale" priority="28">
      <colorScale>
        <cfvo type="min"/>
        <cfvo type="max"/>
        <color rgb="FFFFEF9C"/>
        <color rgb="FF63BE7B"/>
      </colorScale>
    </cfRule>
  </conditionalFormatting>
  <conditionalFormatting sqref="F315:J320">
    <cfRule type="colorScale" priority="56">
      <colorScale>
        <cfvo type="min"/>
        <cfvo type="max"/>
        <color rgb="FFFFEF9C"/>
        <color rgb="FF63BE7B"/>
      </colorScale>
    </cfRule>
  </conditionalFormatting>
  <conditionalFormatting sqref="G285:H311">
    <cfRule type="colorScale" priority="55">
      <colorScale>
        <cfvo type="min"/>
        <cfvo type="max"/>
        <color rgb="FFFFEF9C"/>
        <color rgb="FF63BE7B"/>
      </colorScale>
    </cfRule>
  </conditionalFormatting>
  <conditionalFormatting sqref="G315:H320">
    <cfRule type="colorScale" priority="58">
      <colorScale>
        <cfvo type="min"/>
        <cfvo type="max"/>
        <color rgb="FFFFEF9C"/>
        <color rgb="FF63BE7B"/>
      </colorScale>
    </cfRule>
  </conditionalFormatting>
  <conditionalFormatting sqref="G26:J26 F27:J34 F36:J38 F95:J107">
    <cfRule type="cellIs" dxfId="15" priority="44" operator="lessThan">
      <formula>0</formula>
    </cfRule>
  </conditionalFormatting>
  <conditionalFormatting sqref="K7:O12">
    <cfRule type="colorScale" priority="38">
      <colorScale>
        <cfvo type="min"/>
        <cfvo type="max"/>
        <color theme="0"/>
        <color theme="8" tint="0.39997558519241921"/>
      </colorScale>
    </cfRule>
  </conditionalFormatting>
  <conditionalFormatting sqref="K16:O21">
    <cfRule type="colorScale" priority="25">
      <colorScale>
        <cfvo type="min"/>
        <cfvo type="max"/>
        <color theme="0"/>
        <color theme="8" tint="0.39997558519241921"/>
      </colorScale>
    </cfRule>
  </conditionalFormatting>
  <conditionalFormatting sqref="K26:O105">
    <cfRule type="colorScale" priority="61">
      <colorScale>
        <cfvo type="min"/>
        <cfvo type="max"/>
        <color theme="0"/>
        <color theme="8" tint="0.39997558519241921"/>
      </colorScale>
    </cfRule>
  </conditionalFormatting>
  <conditionalFormatting sqref="K110:O133">
    <cfRule type="colorScale" priority="37">
      <colorScale>
        <cfvo type="min"/>
        <cfvo type="max"/>
        <color theme="0"/>
        <color theme="8" tint="0.39997558519241921"/>
      </colorScale>
    </cfRule>
  </conditionalFormatting>
  <conditionalFormatting sqref="K138:O253">
    <cfRule type="colorScale" priority="60">
      <colorScale>
        <cfvo type="min"/>
        <cfvo type="max"/>
        <color theme="0"/>
        <color theme="8" tint="0.39997558519241921"/>
      </colorScale>
    </cfRule>
  </conditionalFormatting>
  <conditionalFormatting sqref="K255:O271">
    <cfRule type="colorScale" priority="64">
      <colorScale>
        <cfvo type="min"/>
        <cfvo type="max"/>
        <color theme="0"/>
        <color theme="8" tint="0.39997558519241921"/>
      </colorScale>
    </cfRule>
  </conditionalFormatting>
  <conditionalFormatting sqref="K275:O281">
    <cfRule type="colorScale" priority="36">
      <colorScale>
        <cfvo type="min"/>
        <cfvo type="max"/>
        <color theme="0"/>
        <color theme="8" tint="0.39997558519241921"/>
      </colorScale>
    </cfRule>
  </conditionalFormatting>
  <conditionalFormatting sqref="K285:O298">
    <cfRule type="colorScale" priority="53">
      <colorScale>
        <cfvo type="min"/>
        <cfvo type="max"/>
        <color theme="0"/>
        <color theme="8" tint="0.39997558519241921"/>
      </colorScale>
    </cfRule>
  </conditionalFormatting>
  <conditionalFormatting sqref="K299:O305">
    <cfRule type="colorScale" priority="35">
      <colorScale>
        <cfvo type="min"/>
        <cfvo type="max"/>
        <color theme="0"/>
        <color theme="8" tint="0.39997558519241921"/>
      </colorScale>
    </cfRule>
  </conditionalFormatting>
  <conditionalFormatting sqref="K306:O306">
    <cfRule type="colorScale" priority="24">
      <colorScale>
        <cfvo type="min"/>
        <cfvo type="max"/>
        <color theme="0"/>
        <color theme="8" tint="0.39997558519241921"/>
      </colorScale>
    </cfRule>
  </conditionalFormatting>
  <conditionalFormatting sqref="K307:O310">
    <cfRule type="colorScale" priority="32">
      <colorScale>
        <cfvo type="min"/>
        <cfvo type="max"/>
        <color theme="0"/>
        <color theme="8" tint="0.39997558519241921"/>
      </colorScale>
    </cfRule>
  </conditionalFormatting>
  <conditionalFormatting sqref="K311:O311">
    <cfRule type="colorScale" priority="29">
      <colorScale>
        <cfvo type="min"/>
        <cfvo type="max"/>
        <color theme="0"/>
        <color theme="8" tint="0.39997558519241921"/>
      </colorScale>
    </cfRule>
  </conditionalFormatting>
  <conditionalFormatting sqref="K315:O320">
    <cfRule type="colorScale" priority="57">
      <colorScale>
        <cfvo type="min"/>
        <cfvo type="max"/>
        <color theme="0"/>
        <color theme="8" tint="0.39997558519241921"/>
      </colorScale>
    </cfRule>
  </conditionalFormatting>
  <conditionalFormatting sqref="T26:T105">
    <cfRule type="colorScale" priority="19">
      <colorScale>
        <cfvo type="min"/>
        <cfvo type="num" val="0"/>
        <cfvo type="max"/>
        <color theme="5" tint="0.39997558519241921"/>
        <color theme="0"/>
        <color rgb="FF06D053"/>
      </colorScale>
    </cfRule>
  </conditionalFormatting>
  <conditionalFormatting sqref="T10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0:T133">
    <cfRule type="colorScale" priority="4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1:T12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1:T13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4:T13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8:T271">
    <cfRule type="colorScale" priority="2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39:T25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5:T27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5:T281">
    <cfRule type="colorScale" priority="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6:T311">
    <cfRule type="colorScale" priority="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315:T320">
    <cfRule type="colorScale" priority="1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1502-6AA6-416D-83B7-498FCFF435A9}">
  <sheetPr codeName="Sheet01"/>
  <dimension ref="B3:Z320"/>
  <sheetViews>
    <sheetView showGridLines="0" zoomScale="85" zoomScaleNormal="85" workbookViewId="0">
      <selection sqref="A1:XFD1048576"/>
    </sheetView>
  </sheetViews>
  <sheetFormatPr defaultColWidth="9.1796875" defaultRowHeight="14.5" x14ac:dyDescent="0.35"/>
  <cols>
    <col min="1" max="1" width="9.1796875" style="53"/>
    <col min="2" max="2" width="88.08984375" style="53" bestFit="1" customWidth="1"/>
    <col min="3" max="3" width="15" style="53" bestFit="1" customWidth="1"/>
    <col min="4" max="4" width="21.36328125" style="53" bestFit="1" customWidth="1"/>
    <col min="5" max="5" width="18.08984375" style="53" bestFit="1" customWidth="1"/>
    <col min="6" max="15" width="6.1796875" style="53" bestFit="1" customWidth="1"/>
    <col min="16" max="16" width="15.08984375" style="53" bestFit="1" customWidth="1"/>
    <col min="17" max="17" width="22.7265625" style="53" bestFit="1" customWidth="1"/>
    <col min="18" max="18" width="13.1796875" style="53" bestFit="1" customWidth="1"/>
    <col min="19" max="19" width="9.08984375" style="53" bestFit="1" customWidth="1"/>
    <col min="20" max="20" width="19.08984375" style="53" bestFit="1" customWidth="1"/>
    <col min="21" max="21" width="9.1796875" style="53"/>
    <col min="22" max="26" width="4.7265625" style="53" bestFit="1" customWidth="1"/>
    <col min="27" max="16384" width="9.1796875" style="53"/>
  </cols>
  <sheetData>
    <row r="3" spans="2:26" x14ac:dyDescent="0.35">
      <c r="F3" s="159" t="s">
        <v>222</v>
      </c>
      <c r="G3" s="160"/>
      <c r="H3" s="160"/>
      <c r="I3" s="160"/>
      <c r="J3" s="161"/>
      <c r="K3" s="159" t="s">
        <v>0</v>
      </c>
      <c r="L3" s="160"/>
      <c r="M3" s="160"/>
      <c r="N3" s="160"/>
      <c r="O3" s="161"/>
    </row>
    <row r="4" spans="2:26" x14ac:dyDescent="0.35">
      <c r="F4" s="156" t="s">
        <v>1</v>
      </c>
      <c r="G4" s="157"/>
      <c r="H4" s="157"/>
      <c r="I4" s="157"/>
      <c r="J4" s="158"/>
      <c r="K4" s="156" t="s">
        <v>2</v>
      </c>
      <c r="L4" s="157"/>
      <c r="M4" s="157"/>
      <c r="N4" s="157"/>
      <c r="O4" s="158"/>
    </row>
    <row r="5" spans="2:26" ht="15.5" x14ac:dyDescent="0.35">
      <c r="B5" s="122" t="s">
        <v>224</v>
      </c>
      <c r="C5" s="123"/>
      <c r="D5" s="123"/>
      <c r="E5" s="123"/>
      <c r="F5" s="126"/>
      <c r="G5" s="126"/>
      <c r="H5" s="126"/>
      <c r="I5" s="126"/>
      <c r="J5" s="126"/>
      <c r="K5" s="126"/>
      <c r="L5" s="126"/>
      <c r="M5" s="126"/>
      <c r="N5" s="126"/>
      <c r="O5" s="126"/>
      <c r="Q5" s="126"/>
      <c r="R5" s="126"/>
      <c r="S5" s="126"/>
      <c r="T5" s="126"/>
      <c r="V5" s="156" t="s">
        <v>4</v>
      </c>
      <c r="W5" s="157"/>
      <c r="X5" s="157"/>
      <c r="Y5" s="157"/>
      <c r="Z5" s="158"/>
    </row>
    <row r="6" spans="2:26" x14ac:dyDescent="0.35">
      <c r="B6" s="85" t="s">
        <v>5</v>
      </c>
      <c r="C6" s="84" t="s">
        <v>6</v>
      </c>
      <c r="D6" s="84" t="s">
        <v>7</v>
      </c>
      <c r="E6" s="84" t="s">
        <v>8</v>
      </c>
      <c r="F6" s="83" t="s">
        <v>9</v>
      </c>
      <c r="G6" s="82" t="s">
        <v>10</v>
      </c>
      <c r="H6" s="82" t="s">
        <v>11</v>
      </c>
      <c r="I6" s="82" t="s">
        <v>12</v>
      </c>
      <c r="J6" s="81" t="s">
        <v>13</v>
      </c>
      <c r="K6" s="83" t="s">
        <v>9</v>
      </c>
      <c r="L6" s="82" t="s">
        <v>10</v>
      </c>
      <c r="M6" s="82" t="s">
        <v>11</v>
      </c>
      <c r="N6" s="82" t="s">
        <v>12</v>
      </c>
      <c r="O6" s="81" t="s">
        <v>13</v>
      </c>
      <c r="P6" s="70" t="s">
        <v>14</v>
      </c>
      <c r="Q6" s="58" t="s">
        <v>15</v>
      </c>
      <c r="R6" s="58" t="s">
        <v>16</v>
      </c>
      <c r="S6" s="58" t="s">
        <v>17</v>
      </c>
      <c r="T6" s="58" t="s">
        <v>18</v>
      </c>
      <c r="V6" s="110" t="s">
        <v>9</v>
      </c>
      <c r="W6" s="106" t="s">
        <v>10</v>
      </c>
      <c r="X6" s="106" t="s">
        <v>11</v>
      </c>
      <c r="Y6" s="106" t="s">
        <v>12</v>
      </c>
      <c r="Z6" s="111" t="s">
        <v>13</v>
      </c>
    </row>
    <row r="7" spans="2:26" x14ac:dyDescent="0.35">
      <c r="B7" s="56" t="s">
        <v>19</v>
      </c>
      <c r="C7" s="124"/>
      <c r="D7" s="11" t="s">
        <v>20</v>
      </c>
      <c r="E7" s="124"/>
      <c r="F7" s="75"/>
      <c r="G7" s="80">
        <v>3.424489608899816E-2</v>
      </c>
      <c r="H7" s="80">
        <v>3.895428491018809E-2</v>
      </c>
      <c r="I7" s="80">
        <v>4.2674501221198792E-2</v>
      </c>
      <c r="J7" s="62">
        <v>4.6904874457599957E-2</v>
      </c>
      <c r="K7" s="75"/>
      <c r="L7" s="80">
        <v>5.8916176889981615E-3</v>
      </c>
      <c r="M7" s="80">
        <v>9.9453497101880985E-3</v>
      </c>
      <c r="N7" s="80">
        <v>1.28089914211988E-2</v>
      </c>
      <c r="O7" s="62">
        <v>1.5692805257599963E-2</v>
      </c>
      <c r="P7" s="15"/>
      <c r="Q7" s="133"/>
      <c r="R7" s="133"/>
      <c r="S7" s="133"/>
      <c r="T7" s="16"/>
      <c r="V7" s="17">
        <v>1.14537234</v>
      </c>
      <c r="W7" s="18">
        <v>2.9309107700000001</v>
      </c>
      <c r="X7" s="18">
        <v>4.5363765699999998</v>
      </c>
      <c r="Y7" s="18">
        <v>5.93938612</v>
      </c>
      <c r="Z7" s="19">
        <v>7.7094838699999997</v>
      </c>
    </row>
    <row r="8" spans="2:26" x14ac:dyDescent="0.35">
      <c r="B8" s="55" t="s">
        <v>22</v>
      </c>
      <c r="C8" s="123"/>
      <c r="D8" s="20" t="s">
        <v>23</v>
      </c>
      <c r="E8" s="123"/>
      <c r="F8" s="73">
        <v>2.6485333893802924E-2</v>
      </c>
      <c r="G8" s="71">
        <v>3.5078539281531741E-2</v>
      </c>
      <c r="H8" s="71">
        <v>4.0129744349967238E-2</v>
      </c>
      <c r="I8" s="71">
        <v>4.3830755895334271E-2</v>
      </c>
      <c r="J8" s="63">
        <v>4.8059408791847134E-2</v>
      </c>
      <c r="K8" s="73" t="s">
        <v>21</v>
      </c>
      <c r="L8" s="71">
        <v>6.7093051815317458E-3</v>
      </c>
      <c r="M8" s="71">
        <v>1.1093287349967243E-2</v>
      </c>
      <c r="N8" s="71">
        <v>1.393957939533428E-2</v>
      </c>
      <c r="O8" s="63">
        <v>1.6825376991847132E-2</v>
      </c>
      <c r="P8" s="24"/>
      <c r="Q8" s="25"/>
      <c r="R8" s="25"/>
      <c r="S8" s="25"/>
      <c r="T8" s="26"/>
      <c r="V8" s="27">
        <v>1.14995293</v>
      </c>
      <c r="W8" s="28">
        <v>2.9350245699999999</v>
      </c>
      <c r="X8" s="28">
        <v>4.5322431199999995</v>
      </c>
      <c r="Y8" s="28">
        <v>5.92442841</v>
      </c>
      <c r="Z8" s="29">
        <v>7.6763244800000008</v>
      </c>
    </row>
    <row r="9" spans="2:26" x14ac:dyDescent="0.35">
      <c r="B9" s="56" t="s">
        <v>24</v>
      </c>
      <c r="C9" s="124"/>
      <c r="D9" s="11" t="s">
        <v>20</v>
      </c>
      <c r="E9" s="124"/>
      <c r="F9" s="75">
        <v>5.1894522488011345E-2</v>
      </c>
      <c r="G9" s="80">
        <v>6.2232140448525375E-2</v>
      </c>
      <c r="H9" s="80">
        <v>6.963024538853127E-2</v>
      </c>
      <c r="I9" s="80"/>
      <c r="J9" s="62"/>
      <c r="K9" s="75">
        <v>2.3651646188011355E-2</v>
      </c>
      <c r="L9" s="80">
        <v>3.2565666248525381E-2</v>
      </c>
      <c r="M9" s="80">
        <v>3.9052500288531272E-2</v>
      </c>
      <c r="N9" s="80"/>
      <c r="O9" s="62"/>
      <c r="P9" s="15"/>
      <c r="Q9" s="133"/>
      <c r="R9" s="133"/>
      <c r="S9" s="133"/>
      <c r="T9" s="16"/>
      <c r="V9" s="17">
        <v>1.1070371000000001</v>
      </c>
      <c r="W9" s="18">
        <v>2.7138506600000003</v>
      </c>
      <c r="X9" s="18">
        <v>4.0348591000000003</v>
      </c>
      <c r="Y9" s="18">
        <v>5.1106176200000002</v>
      </c>
      <c r="Z9" s="19">
        <v>6.3756841499999997</v>
      </c>
    </row>
    <row r="10" spans="2:26" x14ac:dyDescent="0.35">
      <c r="B10" s="57" t="s">
        <v>25</v>
      </c>
      <c r="C10" s="125"/>
      <c r="D10" s="20" t="s">
        <v>23</v>
      </c>
      <c r="E10" s="125"/>
      <c r="F10" s="74">
        <v>4.277501417878922E-2</v>
      </c>
      <c r="G10" s="76">
        <v>3.830985955131723E-2</v>
      </c>
      <c r="H10" s="76">
        <v>7.1578967354240838E-2</v>
      </c>
      <c r="I10" s="76">
        <v>7.6502041803651111E-2</v>
      </c>
      <c r="J10" s="64">
        <v>8.2152305097140513E-2</v>
      </c>
      <c r="K10" s="74">
        <v>1.487690837878923E-2</v>
      </c>
      <c r="L10" s="76">
        <v>9.8281966513172267E-3</v>
      </c>
      <c r="M10" s="76">
        <v>4.0659108354240844E-2</v>
      </c>
      <c r="N10" s="76">
        <v>4.4608913003651121E-2</v>
      </c>
      <c r="O10" s="64">
        <v>4.8913828597140517E-2</v>
      </c>
      <c r="P10" s="33"/>
      <c r="Q10" s="134"/>
      <c r="R10" s="134"/>
      <c r="S10" s="134"/>
      <c r="T10" s="34"/>
      <c r="V10" s="27">
        <v>1.1382647399999999</v>
      </c>
      <c r="W10" s="28">
        <v>2.8955978</v>
      </c>
      <c r="X10" s="28">
        <v>4.1609666399999998</v>
      </c>
      <c r="Y10" s="28">
        <v>5.0925446700000006</v>
      </c>
      <c r="Z10" s="29">
        <v>6.0928467200000007</v>
      </c>
    </row>
    <row r="11" spans="2:26" x14ac:dyDescent="0.35">
      <c r="B11" s="55" t="s">
        <v>26</v>
      </c>
      <c r="C11" s="123"/>
      <c r="D11" s="11" t="s">
        <v>23</v>
      </c>
      <c r="E11" s="123"/>
      <c r="F11" s="73">
        <v>2.6884536944637577E-2</v>
      </c>
      <c r="G11" s="71">
        <v>3.542347500821847E-2</v>
      </c>
      <c r="H11" s="71">
        <v>4.0833604092884862E-2</v>
      </c>
      <c r="I11" s="71"/>
      <c r="J11" s="63"/>
      <c r="K11" s="73" t="s">
        <v>21</v>
      </c>
      <c r="L11" s="71">
        <v>7.0472721082184709E-3</v>
      </c>
      <c r="M11" s="71">
        <v>1.1776222392884865E-2</v>
      </c>
      <c r="N11" s="71"/>
      <c r="O11" s="63"/>
      <c r="P11" s="24"/>
      <c r="Q11" s="25"/>
      <c r="R11" s="25"/>
      <c r="S11" s="25"/>
      <c r="T11" s="26"/>
      <c r="V11" s="17">
        <v>1.13832146</v>
      </c>
      <c r="W11" s="18">
        <v>2.8958785699999998</v>
      </c>
      <c r="X11" s="18">
        <v>4.48167647</v>
      </c>
      <c r="Y11" s="18">
        <v>5.8367488500000002</v>
      </c>
      <c r="Z11" s="19">
        <v>7.4919338</v>
      </c>
    </row>
    <row r="12" spans="2:26" x14ac:dyDescent="0.35">
      <c r="B12" s="57" t="s">
        <v>27</v>
      </c>
      <c r="C12" s="125"/>
      <c r="D12" s="35" t="s">
        <v>23</v>
      </c>
      <c r="E12" s="125"/>
      <c r="F12" s="74"/>
      <c r="G12" s="76">
        <v>3.9157294280386112E-2</v>
      </c>
      <c r="H12" s="76">
        <v>4.6678279601407004E-2</v>
      </c>
      <c r="I12" s="76"/>
      <c r="J12" s="64">
        <v>6.2030249069294725E-2</v>
      </c>
      <c r="K12" s="74"/>
      <c r="L12" s="76">
        <v>1.0698153580386123E-2</v>
      </c>
      <c r="M12" s="76">
        <v>1.7468068401407012E-2</v>
      </c>
      <c r="N12" s="76"/>
      <c r="O12" s="64">
        <v>3.0317369069294726E-2</v>
      </c>
      <c r="P12" s="33"/>
      <c r="Q12" s="134"/>
      <c r="R12" s="134"/>
      <c r="S12" s="134"/>
      <c r="T12" s="34"/>
      <c r="V12" s="36">
        <v>1.1334424900000002</v>
      </c>
      <c r="W12" s="37">
        <v>2.8717915199999999</v>
      </c>
      <c r="X12" s="37">
        <v>4.4276207100000002</v>
      </c>
      <c r="Y12" s="37">
        <v>5.7299585100000003</v>
      </c>
      <c r="Z12" s="38">
        <v>7.2727125099999999</v>
      </c>
    </row>
    <row r="13" spans="2:26" x14ac:dyDescent="0.35">
      <c r="C13" s="123"/>
      <c r="D13" s="123"/>
      <c r="E13" s="123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V13" s="40"/>
      <c r="W13" s="40"/>
      <c r="X13" s="40"/>
      <c r="Y13" s="40"/>
      <c r="Z13" s="40"/>
    </row>
    <row r="14" spans="2:26" ht="15.5" x14ac:dyDescent="0.35">
      <c r="B14" s="122" t="s">
        <v>225</v>
      </c>
      <c r="C14" s="123"/>
      <c r="D14" s="123"/>
      <c r="E14" s="123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Q14" s="126"/>
      <c r="R14" s="126"/>
      <c r="S14" s="126"/>
      <c r="T14" s="126"/>
      <c r="V14" s="156" t="s">
        <v>4</v>
      </c>
      <c r="W14" s="157"/>
      <c r="X14" s="157"/>
      <c r="Y14" s="157"/>
      <c r="Z14" s="158"/>
    </row>
    <row r="15" spans="2:26" x14ac:dyDescent="0.35">
      <c r="B15" s="85" t="s">
        <v>5</v>
      </c>
      <c r="C15" s="84" t="s">
        <v>6</v>
      </c>
      <c r="D15" s="84" t="s">
        <v>7</v>
      </c>
      <c r="E15" s="84" t="s">
        <v>8</v>
      </c>
      <c r="F15" s="83" t="s">
        <v>9</v>
      </c>
      <c r="G15" s="82" t="s">
        <v>10</v>
      </c>
      <c r="H15" s="82" t="s">
        <v>11</v>
      </c>
      <c r="I15" s="82" t="s">
        <v>12</v>
      </c>
      <c r="J15" s="81" t="s">
        <v>13</v>
      </c>
      <c r="K15" s="83" t="s">
        <v>9</v>
      </c>
      <c r="L15" s="82" t="s">
        <v>10</v>
      </c>
      <c r="M15" s="82" t="s">
        <v>11</v>
      </c>
      <c r="N15" s="82" t="s">
        <v>12</v>
      </c>
      <c r="O15" s="81" t="s">
        <v>13</v>
      </c>
      <c r="P15" s="70" t="s">
        <v>14</v>
      </c>
      <c r="Q15" s="58" t="s">
        <v>15</v>
      </c>
      <c r="R15" s="58" t="s">
        <v>16</v>
      </c>
      <c r="S15" s="58" t="s">
        <v>17</v>
      </c>
      <c r="T15" s="58" t="s">
        <v>18</v>
      </c>
      <c r="V15" s="110" t="s">
        <v>9</v>
      </c>
      <c r="W15" s="106" t="s">
        <v>10</v>
      </c>
      <c r="X15" s="106" t="s">
        <v>11</v>
      </c>
      <c r="Y15" s="106" t="s">
        <v>12</v>
      </c>
      <c r="Z15" s="111" t="s">
        <v>13</v>
      </c>
    </row>
    <row r="16" spans="2:26" x14ac:dyDescent="0.35">
      <c r="B16" s="56" t="s">
        <v>19</v>
      </c>
      <c r="C16" s="124"/>
      <c r="D16" s="11" t="s">
        <v>20</v>
      </c>
      <c r="E16" s="124"/>
      <c r="F16" s="75"/>
      <c r="G16" s="80">
        <v>3.7232987012807445E-2</v>
      </c>
      <c r="H16" s="80">
        <v>4.2833538844632424E-2</v>
      </c>
      <c r="I16" s="80">
        <v>4.7230569331573616E-2</v>
      </c>
      <c r="J16" s="62">
        <v>5.1933880262405259E-2</v>
      </c>
      <c r="K16" s="75"/>
      <c r="L16" s="80">
        <v>8.8450034128074451E-3</v>
      </c>
      <c r="M16" s="80">
        <v>1.3770747144632427E-2</v>
      </c>
      <c r="N16" s="80">
        <v>1.7288807131573616E-2</v>
      </c>
      <c r="O16" s="62">
        <v>2.0622667362405263E-2</v>
      </c>
      <c r="P16" s="15"/>
      <c r="Q16" s="133"/>
      <c r="R16" s="133"/>
      <c r="S16" s="133"/>
      <c r="T16" s="16"/>
      <c r="V16" s="17">
        <v>1.14537234</v>
      </c>
      <c r="W16" s="18">
        <v>2.9309107700000001</v>
      </c>
      <c r="X16" s="18">
        <v>4.5363765699999998</v>
      </c>
      <c r="Y16" s="18">
        <v>5.93938612</v>
      </c>
      <c r="Z16" s="19">
        <v>7.7094838699999997</v>
      </c>
    </row>
    <row r="17" spans="2:26" x14ac:dyDescent="0.35">
      <c r="B17" s="55" t="s">
        <v>22</v>
      </c>
      <c r="C17" s="123"/>
      <c r="D17" s="20" t="s">
        <v>23</v>
      </c>
      <c r="E17" s="123"/>
      <c r="F17" s="73">
        <v>2.7569652243623028E-2</v>
      </c>
      <c r="G17" s="71">
        <v>3.8209098555610319E-2</v>
      </c>
      <c r="H17" s="71">
        <v>4.4285677463154288E-2</v>
      </c>
      <c r="I17" s="71">
        <v>4.863906096412416E-2</v>
      </c>
      <c r="J17" s="63">
        <v>5.3315987500878174E-2</v>
      </c>
      <c r="K17" s="73">
        <v>2.2103594362303091E-4</v>
      </c>
      <c r="L17" s="71">
        <v>9.8012298556103203E-3</v>
      </c>
      <c r="M17" s="71">
        <v>1.5186182663154288E-2</v>
      </c>
      <c r="N17" s="71">
        <v>1.8661681764124166E-2</v>
      </c>
      <c r="O17" s="63">
        <v>2.1972387100878177E-2</v>
      </c>
      <c r="P17" s="24"/>
      <c r="Q17" s="25"/>
      <c r="R17" s="25"/>
      <c r="S17" s="25"/>
      <c r="T17" s="26"/>
      <c r="V17" s="27">
        <v>1.14995293</v>
      </c>
      <c r="W17" s="28">
        <v>2.9350245699999999</v>
      </c>
      <c r="X17" s="28">
        <v>4.5322431199999995</v>
      </c>
      <c r="Y17" s="28">
        <v>5.92442841</v>
      </c>
      <c r="Z17" s="29">
        <v>7.6763244800000008</v>
      </c>
    </row>
    <row r="18" spans="2:26" x14ac:dyDescent="0.35">
      <c r="B18" s="56" t="s">
        <v>24</v>
      </c>
      <c r="C18" s="124"/>
      <c r="D18" s="11" t="s">
        <v>20</v>
      </c>
      <c r="E18" s="124"/>
      <c r="F18" s="75">
        <v>5.8806889902238042E-2</v>
      </c>
      <c r="G18" s="80">
        <v>7.0823164010304029E-2</v>
      </c>
      <c r="H18" s="80">
        <v>7.8955764103877127E-2</v>
      </c>
      <c r="I18" s="80"/>
      <c r="J18" s="62"/>
      <c r="K18" s="75">
        <v>3.0284522002238041E-2</v>
      </c>
      <c r="L18" s="80">
        <v>4.0768313910304027E-2</v>
      </c>
      <c r="M18" s="80">
        <v>4.7899389703877124E-2</v>
      </c>
      <c r="N18" s="80"/>
      <c r="O18" s="62"/>
      <c r="P18" s="15"/>
      <c r="Q18" s="133"/>
      <c r="R18" s="133"/>
      <c r="S18" s="133"/>
      <c r="T18" s="16"/>
      <c r="V18" s="17">
        <v>1.1070371000000001</v>
      </c>
      <c r="W18" s="18">
        <v>2.7138506600000003</v>
      </c>
      <c r="X18" s="18">
        <v>4.0348591000000003</v>
      </c>
      <c r="Y18" s="18">
        <v>5.1106176200000002</v>
      </c>
      <c r="Z18" s="19">
        <v>6.3756841499999997</v>
      </c>
    </row>
    <row r="19" spans="2:26" x14ac:dyDescent="0.35">
      <c r="B19" s="57" t="s">
        <v>25</v>
      </c>
      <c r="C19" s="125"/>
      <c r="D19" s="20" t="s">
        <v>23</v>
      </c>
      <c r="E19" s="125"/>
      <c r="F19" s="74">
        <v>4.941126300887512E-2</v>
      </c>
      <c r="G19" s="76">
        <v>4.2108447103500639E-2</v>
      </c>
      <c r="H19" s="76">
        <v>8.5327620485047787E-2</v>
      </c>
      <c r="I19" s="76">
        <v>9.0171971720565403E-2</v>
      </c>
      <c r="J19" s="64">
        <v>9.5074800061498502E-2</v>
      </c>
      <c r="K19" s="74">
        <v>2.1260235408875127E-2</v>
      </c>
      <c r="L19" s="76">
        <v>1.3548494703500641E-2</v>
      </c>
      <c r="M19" s="76">
        <v>5.3510240085047782E-2</v>
      </c>
      <c r="N19" s="76">
        <v>5.7312089920565419E-2</v>
      </c>
      <c r="O19" s="64">
        <v>6.0837753061498495E-2</v>
      </c>
      <c r="P19" s="33"/>
      <c r="Q19" s="134"/>
      <c r="R19" s="134"/>
      <c r="S19" s="134"/>
      <c r="T19" s="34"/>
      <c r="V19" s="27">
        <v>1.1382647399999999</v>
      </c>
      <c r="W19" s="28">
        <v>2.8955978</v>
      </c>
      <c r="X19" s="28">
        <v>4.1609666399999998</v>
      </c>
      <c r="Y19" s="28">
        <v>5.0925446700000006</v>
      </c>
      <c r="Z19" s="29">
        <v>6.0928467200000007</v>
      </c>
    </row>
    <row r="20" spans="2:26" x14ac:dyDescent="0.35">
      <c r="B20" s="55" t="s">
        <v>26</v>
      </c>
      <c r="C20" s="123"/>
      <c r="D20" s="11" t="s">
        <v>23</v>
      </c>
      <c r="E20" s="123"/>
      <c r="F20" s="73">
        <v>2.8141930442421317E-2</v>
      </c>
      <c r="G20" s="71">
        <v>3.8693013155574614E-2</v>
      </c>
      <c r="H20" s="71">
        <v>4.5206046938193876E-2</v>
      </c>
      <c r="I20" s="71"/>
      <c r="J20" s="63"/>
      <c r="K20" s="73">
        <v>7.7927334242132267E-4</v>
      </c>
      <c r="L20" s="71">
        <v>1.0274811355574613E-2</v>
      </c>
      <c r="M20" s="71">
        <v>1.6078253338193883E-2</v>
      </c>
      <c r="N20" s="71"/>
      <c r="O20" s="63"/>
      <c r="P20" s="24"/>
      <c r="Q20" s="25"/>
      <c r="R20" s="25"/>
      <c r="S20" s="25"/>
      <c r="T20" s="26"/>
      <c r="V20" s="17">
        <v>1.13832146</v>
      </c>
      <c r="W20" s="18">
        <v>2.8958785699999998</v>
      </c>
      <c r="X20" s="18">
        <v>4.48167647</v>
      </c>
      <c r="Y20" s="18">
        <v>5.8367488500000002</v>
      </c>
      <c r="Z20" s="19">
        <v>7.4919338</v>
      </c>
    </row>
    <row r="21" spans="2:26" x14ac:dyDescent="0.35">
      <c r="B21" s="57" t="s">
        <v>27</v>
      </c>
      <c r="C21" s="125"/>
      <c r="D21" s="35" t="s">
        <v>23</v>
      </c>
      <c r="E21" s="125"/>
      <c r="F21" s="74"/>
      <c r="G21" s="76">
        <v>4.150506100063326E-2</v>
      </c>
      <c r="H21" s="76">
        <v>4.9729747346793828E-2</v>
      </c>
      <c r="I21" s="76"/>
      <c r="J21" s="64">
        <v>6.6379511356730467E-2</v>
      </c>
      <c r="K21" s="74"/>
      <c r="L21" s="76">
        <v>1.3015334700633267E-2</v>
      </c>
      <c r="M21" s="76">
        <v>2.0464555046793828E-2</v>
      </c>
      <c r="N21" s="76"/>
      <c r="O21" s="64">
        <v>3.4531717856730475E-2</v>
      </c>
      <c r="P21" s="33"/>
      <c r="Q21" s="134"/>
      <c r="R21" s="134"/>
      <c r="S21" s="134"/>
      <c r="T21" s="34"/>
      <c r="V21" s="36">
        <v>1.1334424900000002</v>
      </c>
      <c r="W21" s="37">
        <v>2.8717915199999999</v>
      </c>
      <c r="X21" s="37">
        <v>4.4276207100000002</v>
      </c>
      <c r="Y21" s="37">
        <v>5.7299585100000003</v>
      </c>
      <c r="Z21" s="38">
        <v>7.2727125099999999</v>
      </c>
    </row>
    <row r="22" spans="2:26" x14ac:dyDescent="0.35">
      <c r="C22" s="123"/>
      <c r="D22" s="123"/>
      <c r="E22" s="123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V22" s="40"/>
      <c r="W22" s="40"/>
      <c r="X22" s="40"/>
      <c r="Y22" s="40"/>
      <c r="Z22" s="40"/>
    </row>
    <row r="23" spans="2:26" ht="15.5" x14ac:dyDescent="0.35">
      <c r="B23" s="122" t="s">
        <v>28</v>
      </c>
      <c r="C23" s="123"/>
      <c r="D23" s="123"/>
      <c r="E23" s="123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V23" s="40"/>
      <c r="W23" s="40"/>
      <c r="X23" s="40"/>
      <c r="Y23" s="40"/>
      <c r="Z23" s="40"/>
    </row>
    <row r="24" spans="2:26" x14ac:dyDescent="0.35">
      <c r="B24" s="85" t="s">
        <v>5</v>
      </c>
      <c r="C24" s="84" t="s">
        <v>6</v>
      </c>
      <c r="D24" s="84" t="s">
        <v>7</v>
      </c>
      <c r="E24" s="84" t="s">
        <v>8</v>
      </c>
      <c r="F24" s="83" t="s">
        <v>9</v>
      </c>
      <c r="G24" s="82" t="s">
        <v>10</v>
      </c>
      <c r="H24" s="82" t="s">
        <v>11</v>
      </c>
      <c r="I24" s="82" t="s">
        <v>12</v>
      </c>
      <c r="J24" s="81" t="s">
        <v>13</v>
      </c>
      <c r="K24" s="83" t="s">
        <v>9</v>
      </c>
      <c r="L24" s="82" t="s">
        <v>10</v>
      </c>
      <c r="M24" s="82" t="s">
        <v>11</v>
      </c>
      <c r="N24" s="82" t="s">
        <v>12</v>
      </c>
      <c r="O24" s="81" t="s">
        <v>13</v>
      </c>
      <c r="P24" s="70" t="s">
        <v>14</v>
      </c>
      <c r="Q24" s="58" t="s">
        <v>15</v>
      </c>
      <c r="R24" s="58" t="s">
        <v>16</v>
      </c>
      <c r="S24" s="58" t="s">
        <v>17</v>
      </c>
      <c r="T24" s="58" t="s">
        <v>18</v>
      </c>
      <c r="V24" s="110" t="s">
        <v>9</v>
      </c>
      <c r="W24" s="106" t="s">
        <v>10</v>
      </c>
      <c r="X24" s="106" t="s">
        <v>11</v>
      </c>
      <c r="Y24" s="106" t="s">
        <v>12</v>
      </c>
      <c r="Z24" s="111" t="s">
        <v>13</v>
      </c>
    </row>
    <row r="25" spans="2:26" x14ac:dyDescent="0.35">
      <c r="B25" s="79" t="s">
        <v>410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7"/>
      <c r="P25" s="79"/>
      <c r="Q25" s="78"/>
      <c r="R25" s="78"/>
      <c r="S25" s="78"/>
      <c r="T25" s="77"/>
      <c r="V25" s="112"/>
      <c r="W25" s="107"/>
      <c r="X25" s="107"/>
      <c r="Y25" s="107"/>
      <c r="Z25" s="113"/>
    </row>
    <row r="26" spans="2:26" x14ac:dyDescent="0.35">
      <c r="B26" s="56" t="s">
        <v>29</v>
      </c>
      <c r="C26" s="53" t="s">
        <v>30</v>
      </c>
      <c r="D26" s="53" t="s">
        <v>31</v>
      </c>
      <c r="E26" s="53" t="s">
        <v>411</v>
      </c>
      <c r="F26" s="75">
        <v>2.4927689764436586E-2</v>
      </c>
      <c r="G26" s="71">
        <v>3.2025672549337525E-2</v>
      </c>
      <c r="H26" s="71">
        <v>3.6992511944976915E-2</v>
      </c>
      <c r="I26" s="71">
        <v>3.9761772106791361E-2</v>
      </c>
      <c r="J26" s="63">
        <v>4.2801940803488897E-2</v>
      </c>
      <c r="K26" s="73" t="s">
        <v>21</v>
      </c>
      <c r="L26" s="71">
        <v>3.7260230493375269E-3</v>
      </c>
      <c r="M26" s="71">
        <v>8.0578828449769119E-3</v>
      </c>
      <c r="N26" s="71">
        <v>9.993192706791363E-3</v>
      </c>
      <c r="O26" s="63">
        <v>1.1695379103488893E-2</v>
      </c>
      <c r="P26" s="55" t="s">
        <v>412</v>
      </c>
      <c r="Q26" s="53" t="s">
        <v>413</v>
      </c>
      <c r="R26" s="94" t="s">
        <v>32</v>
      </c>
      <c r="S26" s="71">
        <v>3.9236240000000006E-2</v>
      </c>
      <c r="T26" s="63">
        <v>-2.2437280550230906E-3</v>
      </c>
      <c r="V26" s="114">
        <v>1.1513241000000001</v>
      </c>
      <c r="W26" s="72">
        <v>2.95330979</v>
      </c>
      <c r="X26" s="72">
        <v>4.5875383200000002</v>
      </c>
      <c r="Y26" s="72">
        <v>6.0351199399999995</v>
      </c>
      <c r="Z26" s="115">
        <v>7.9019149999999998</v>
      </c>
    </row>
    <row r="27" spans="2:26" x14ac:dyDescent="0.35">
      <c r="B27" s="55" t="s">
        <v>29</v>
      </c>
      <c r="C27" s="53" t="s">
        <v>33</v>
      </c>
      <c r="D27" s="53" t="s">
        <v>31</v>
      </c>
      <c r="E27" s="53" t="s">
        <v>34</v>
      </c>
      <c r="F27" s="73">
        <v>2.5329660769502372E-2</v>
      </c>
      <c r="G27" s="71">
        <v>3.3963870902666192E-2</v>
      </c>
      <c r="H27" s="71">
        <v>4.0341242517930011E-2</v>
      </c>
      <c r="I27" s="71">
        <v>4.3946282201774975E-2</v>
      </c>
      <c r="J27" s="63">
        <v>4.7466992279527817E-2</v>
      </c>
      <c r="K27" s="73" t="s">
        <v>21</v>
      </c>
      <c r="L27" s="71">
        <v>5.5975858026661978E-3</v>
      </c>
      <c r="M27" s="71">
        <v>1.1285405017930013E-2</v>
      </c>
      <c r="N27" s="71">
        <v>1.4020653601774971E-2</v>
      </c>
      <c r="O27" s="63">
        <v>1.6210456879527817E-2</v>
      </c>
      <c r="P27" s="55" t="s">
        <v>21</v>
      </c>
      <c r="Q27" s="53" t="s">
        <v>21</v>
      </c>
      <c r="R27" s="94" t="s">
        <v>21</v>
      </c>
      <c r="S27" s="71" t="s">
        <v>21</v>
      </c>
      <c r="T27" s="63" t="s">
        <v>21</v>
      </c>
      <c r="V27" s="114">
        <v>1.15054915</v>
      </c>
      <c r="W27" s="72">
        <v>2.9393862400000002</v>
      </c>
      <c r="X27" s="72">
        <v>4.5343596899999996</v>
      </c>
      <c r="Y27" s="72">
        <v>5.9148073700000001</v>
      </c>
      <c r="Z27" s="115">
        <v>7.6486065399999994</v>
      </c>
    </row>
    <row r="28" spans="2:26" x14ac:dyDescent="0.35">
      <c r="B28" s="57" t="s">
        <v>29</v>
      </c>
      <c r="C28" s="67" t="s">
        <v>35</v>
      </c>
      <c r="D28" s="67" t="s">
        <v>31</v>
      </c>
      <c r="E28" s="67" t="s">
        <v>339</v>
      </c>
      <c r="F28" s="74">
        <v>2.6329377213735659E-2</v>
      </c>
      <c r="G28" s="76">
        <v>3.6679719060525792E-2</v>
      </c>
      <c r="H28" s="76">
        <v>4.4721215527797134E-2</v>
      </c>
      <c r="I28" s="76">
        <v>4.9350985531512022E-2</v>
      </c>
      <c r="J28" s="64">
        <v>5.3770924954070487E-2</v>
      </c>
      <c r="K28" s="74" t="s">
        <v>21</v>
      </c>
      <c r="L28" s="76">
        <v>8.2556924605257948E-3</v>
      </c>
      <c r="M28" s="76">
        <v>1.5559877327797133E-2</v>
      </c>
      <c r="N28" s="76">
        <v>1.9281364631512025E-2</v>
      </c>
      <c r="O28" s="64">
        <v>2.2346357754070484E-2</v>
      </c>
      <c r="P28" s="55" t="s">
        <v>21</v>
      </c>
      <c r="Q28" s="53" t="s">
        <v>21</v>
      </c>
      <c r="R28" s="94" t="s">
        <v>21</v>
      </c>
      <c r="S28" s="71" t="s">
        <v>21</v>
      </c>
      <c r="T28" s="63" t="s">
        <v>21</v>
      </c>
      <c r="V28" s="116">
        <v>1.1502403700000001</v>
      </c>
      <c r="W28" s="108">
        <v>2.93324637</v>
      </c>
      <c r="X28" s="108">
        <v>4.5113186399999998</v>
      </c>
      <c r="Y28" s="108">
        <v>5.86351011</v>
      </c>
      <c r="Z28" s="117">
        <v>7.5372822199999998</v>
      </c>
    </row>
    <row r="29" spans="2:26" x14ac:dyDescent="0.35">
      <c r="B29" s="55" t="s">
        <v>37</v>
      </c>
      <c r="C29" s="53" t="s">
        <v>30</v>
      </c>
      <c r="D29" s="53" t="s">
        <v>31</v>
      </c>
      <c r="E29" s="53" t="s">
        <v>339</v>
      </c>
      <c r="F29" s="73">
        <v>2.5370007649299961E-2</v>
      </c>
      <c r="G29" s="71">
        <v>3.2884920189789009E-2</v>
      </c>
      <c r="H29" s="71">
        <v>3.7513536070307017E-2</v>
      </c>
      <c r="I29" s="71">
        <v>4.0320850455305285E-2</v>
      </c>
      <c r="J29" s="63">
        <v>4.3320214428578287E-2</v>
      </c>
      <c r="K29" s="73" t="s">
        <v>21</v>
      </c>
      <c r="L29" s="71">
        <v>4.5569917897890118E-3</v>
      </c>
      <c r="M29" s="71">
        <v>8.5616383703070193E-3</v>
      </c>
      <c r="N29" s="71">
        <v>1.0532631855305291E-2</v>
      </c>
      <c r="O29" s="63">
        <v>1.2197529928578298E-2</v>
      </c>
      <c r="P29" s="56" t="s">
        <v>21</v>
      </c>
      <c r="Q29" s="66" t="s">
        <v>21</v>
      </c>
      <c r="R29" s="100" t="s">
        <v>21</v>
      </c>
      <c r="S29" s="80" t="s">
        <v>21</v>
      </c>
      <c r="T29" s="62" t="s">
        <v>21</v>
      </c>
      <c r="V29" s="114">
        <v>1.1504485499999999</v>
      </c>
      <c r="W29" s="72">
        <v>2.94617679</v>
      </c>
      <c r="X29" s="72">
        <v>4.57307182</v>
      </c>
      <c r="Y29" s="72">
        <v>6.0119829999999999</v>
      </c>
      <c r="Z29" s="115">
        <v>7.8641986999999993</v>
      </c>
    </row>
    <row r="30" spans="2:26" x14ac:dyDescent="0.35">
      <c r="B30" s="55" t="s">
        <v>37</v>
      </c>
      <c r="C30" s="53" t="s">
        <v>33</v>
      </c>
      <c r="D30" s="53" t="s">
        <v>31</v>
      </c>
      <c r="E30" s="53" t="s">
        <v>38</v>
      </c>
      <c r="F30" s="73">
        <v>2.5799159259133474E-2</v>
      </c>
      <c r="G30" s="71">
        <v>3.4133625410429649E-2</v>
      </c>
      <c r="H30" s="71">
        <v>4.0441552459608676E-2</v>
      </c>
      <c r="I30" s="71">
        <v>4.3949737223627043E-2</v>
      </c>
      <c r="J30" s="63">
        <v>4.7565108923869219E-2</v>
      </c>
      <c r="K30" s="73" t="s">
        <v>21</v>
      </c>
      <c r="L30" s="71">
        <v>5.7630336104296485E-3</v>
      </c>
      <c r="M30" s="71">
        <v>1.1382891259608669E-2</v>
      </c>
      <c r="N30" s="71">
        <v>1.4024621023627048E-2</v>
      </c>
      <c r="O30" s="63">
        <v>1.6304197323869209E-2</v>
      </c>
      <c r="P30" s="55" t="s">
        <v>21</v>
      </c>
      <c r="Q30" s="53" t="s">
        <v>21</v>
      </c>
      <c r="R30" s="94" t="s">
        <v>21</v>
      </c>
      <c r="S30" s="71" t="s">
        <v>21</v>
      </c>
      <c r="T30" s="63" t="s">
        <v>21</v>
      </c>
      <c r="V30" s="114">
        <v>1.14958614</v>
      </c>
      <c r="W30" s="72">
        <v>2.9365722399999998</v>
      </c>
      <c r="X30" s="72">
        <v>4.5302155400000004</v>
      </c>
      <c r="Y30" s="72">
        <v>5.9106100000000001</v>
      </c>
      <c r="Z30" s="115">
        <v>7.6427066799999999</v>
      </c>
    </row>
    <row r="31" spans="2:26" x14ac:dyDescent="0.35">
      <c r="B31" s="57" t="s">
        <v>37</v>
      </c>
      <c r="C31" s="67" t="s">
        <v>35</v>
      </c>
      <c r="D31" s="67" t="s">
        <v>31</v>
      </c>
      <c r="E31" s="67" t="s">
        <v>39</v>
      </c>
      <c r="F31" s="74">
        <v>2.6390081131398079E-2</v>
      </c>
      <c r="G31" s="76">
        <v>3.6914065187520814E-2</v>
      </c>
      <c r="H31" s="76">
        <v>4.4907501820205878E-2</v>
      </c>
      <c r="I31" s="76">
        <v>4.9445495814929213E-2</v>
      </c>
      <c r="J31" s="64">
        <v>5.3956211911771759E-2</v>
      </c>
      <c r="K31" s="74" t="s">
        <v>21</v>
      </c>
      <c r="L31" s="76">
        <v>8.48776498752081E-3</v>
      </c>
      <c r="M31" s="76">
        <v>1.5742952220205886E-2</v>
      </c>
      <c r="N31" s="76">
        <v>1.9375262214929218E-2</v>
      </c>
      <c r="O31" s="64">
        <v>2.2526324211771767E-2</v>
      </c>
      <c r="P31" s="57" t="s">
        <v>21</v>
      </c>
      <c r="Q31" s="67" t="s">
        <v>21</v>
      </c>
      <c r="R31" s="96" t="s">
        <v>21</v>
      </c>
      <c r="S31" s="76" t="s">
        <v>21</v>
      </c>
      <c r="T31" s="64" t="s">
        <v>21</v>
      </c>
      <c r="V31" s="116">
        <v>1.1500603</v>
      </c>
      <c r="W31" s="108">
        <v>2.9317609</v>
      </c>
      <c r="X31" s="108">
        <v>4.5078739800000003</v>
      </c>
      <c r="Y31" s="108">
        <v>5.8587801699999993</v>
      </c>
      <c r="Z31" s="117">
        <v>7.5292679800000002</v>
      </c>
    </row>
    <row r="32" spans="2:26" x14ac:dyDescent="0.35">
      <c r="B32" s="55" t="s">
        <v>40</v>
      </c>
      <c r="C32" s="53" t="s">
        <v>30</v>
      </c>
      <c r="D32" s="53" t="s">
        <v>31</v>
      </c>
      <c r="E32" s="53" t="s">
        <v>21</v>
      </c>
      <c r="F32" s="73">
        <v>2.582035005747018E-2</v>
      </c>
      <c r="G32" s="71">
        <v>3.3071993103024597E-2</v>
      </c>
      <c r="H32" s="71">
        <v>3.8026962009717662E-2</v>
      </c>
      <c r="I32" s="71">
        <v>4.1213116006126725E-2</v>
      </c>
      <c r="J32" s="63">
        <v>4.4702816929116124E-2</v>
      </c>
      <c r="K32" s="73" t="s">
        <v>21</v>
      </c>
      <c r="L32" s="71">
        <v>4.7378213030245947E-3</v>
      </c>
      <c r="M32" s="71">
        <v>9.0572506097176646E-3</v>
      </c>
      <c r="N32" s="71">
        <v>1.1392949906126722E-2</v>
      </c>
      <c r="O32" s="63">
        <v>1.353778662911612E-2</v>
      </c>
      <c r="P32" s="55" t="s">
        <v>21</v>
      </c>
      <c r="Q32" s="53" t="s">
        <v>21</v>
      </c>
      <c r="R32" s="94" t="s">
        <v>21</v>
      </c>
      <c r="S32" s="71" t="s">
        <v>21</v>
      </c>
      <c r="T32" s="63" t="s">
        <v>21</v>
      </c>
      <c r="V32" s="114">
        <v>1.1495571899999999</v>
      </c>
      <c r="W32" s="72">
        <v>2.94338173</v>
      </c>
      <c r="X32" s="72">
        <v>4.5645634999999993</v>
      </c>
      <c r="Y32" s="72">
        <v>5.9894766000000006</v>
      </c>
      <c r="Z32" s="115">
        <v>7.8029184200000001</v>
      </c>
    </row>
    <row r="33" spans="2:26" x14ac:dyDescent="0.35">
      <c r="B33" s="55" t="s">
        <v>40</v>
      </c>
      <c r="C33" s="53" t="s">
        <v>33</v>
      </c>
      <c r="D33" s="53" t="s">
        <v>31</v>
      </c>
      <c r="E33" s="53" t="s">
        <v>41</v>
      </c>
      <c r="F33" s="73">
        <v>2.611845519538172E-2</v>
      </c>
      <c r="G33" s="71">
        <v>3.4881852892691169E-2</v>
      </c>
      <c r="H33" s="71">
        <v>4.167567526391034E-2</v>
      </c>
      <c r="I33" s="71">
        <v>4.5724386855852284E-2</v>
      </c>
      <c r="J33" s="63">
        <v>4.9732864532810617E-2</v>
      </c>
      <c r="K33" s="73" t="s">
        <v>21</v>
      </c>
      <c r="L33" s="71">
        <v>6.4826970926911646E-3</v>
      </c>
      <c r="M33" s="71">
        <v>1.256635806391034E-2</v>
      </c>
      <c r="N33" s="71">
        <v>1.5721604055852285E-2</v>
      </c>
      <c r="O33" s="63">
        <v>1.838656873281062E-2</v>
      </c>
      <c r="P33" s="55" t="s">
        <v>414</v>
      </c>
      <c r="Q33" s="53" t="s">
        <v>415</v>
      </c>
      <c r="R33" s="94">
        <v>47729</v>
      </c>
      <c r="S33" s="71">
        <v>3.7571720000000003E-2</v>
      </c>
      <c r="T33" s="63">
        <v>4.1039552639103374E-3</v>
      </c>
      <c r="V33" s="114">
        <v>1.1489824100000001</v>
      </c>
      <c r="W33" s="72">
        <v>2.9306975400000002</v>
      </c>
      <c r="X33" s="72">
        <v>4.5100646800000002</v>
      </c>
      <c r="Y33" s="72">
        <v>5.86316639</v>
      </c>
      <c r="Z33" s="115">
        <v>7.5363203099999998</v>
      </c>
    </row>
    <row r="34" spans="2:26" x14ac:dyDescent="0.35">
      <c r="B34" s="57" t="s">
        <v>40</v>
      </c>
      <c r="C34" s="67" t="s">
        <v>35</v>
      </c>
      <c r="D34" s="67" t="s">
        <v>31</v>
      </c>
      <c r="E34" s="67" t="s">
        <v>21</v>
      </c>
      <c r="F34" s="74">
        <v>2.6719347931397859E-2</v>
      </c>
      <c r="G34" s="76">
        <v>3.7769354516250526E-2</v>
      </c>
      <c r="H34" s="76">
        <v>4.6467083546224155E-2</v>
      </c>
      <c r="I34" s="76">
        <v>5.182538520881097E-2</v>
      </c>
      <c r="J34" s="64">
        <v>5.6857426214270243E-2</v>
      </c>
      <c r="K34" s="74" t="s">
        <v>21</v>
      </c>
      <c r="L34" s="76">
        <v>9.313536616250534E-3</v>
      </c>
      <c r="M34" s="76">
        <v>1.7239603546224152E-2</v>
      </c>
      <c r="N34" s="76">
        <v>2.1652176808810972E-2</v>
      </c>
      <c r="O34" s="64">
        <v>2.5307691014270241E-2</v>
      </c>
      <c r="P34" s="55" t="s">
        <v>21</v>
      </c>
      <c r="Q34" s="53" t="s">
        <v>21</v>
      </c>
      <c r="R34" s="94" t="s">
        <v>21</v>
      </c>
      <c r="S34" s="71" t="s">
        <v>21</v>
      </c>
      <c r="T34" s="63" t="s">
        <v>21</v>
      </c>
      <c r="V34" s="116">
        <v>1.1495927799999999</v>
      </c>
      <c r="W34" s="108">
        <v>2.9267830200000002</v>
      </c>
      <c r="X34" s="108">
        <v>4.4890374599999996</v>
      </c>
      <c r="Y34" s="108">
        <v>5.8123028999999997</v>
      </c>
      <c r="Z34" s="117">
        <v>7.4229555300000003</v>
      </c>
    </row>
    <row r="35" spans="2:26" x14ac:dyDescent="0.35">
      <c r="B35" s="79" t="s">
        <v>416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7"/>
      <c r="P35" s="79"/>
      <c r="Q35" s="78"/>
      <c r="R35" s="95"/>
      <c r="S35" s="78"/>
      <c r="T35" s="77"/>
      <c r="V35" s="112"/>
      <c r="W35" s="107"/>
      <c r="X35" s="107"/>
      <c r="Y35" s="107"/>
      <c r="Z35" s="113"/>
    </row>
    <row r="36" spans="2:26" x14ac:dyDescent="0.35">
      <c r="B36" s="55" t="s">
        <v>42</v>
      </c>
      <c r="C36" s="53" t="s">
        <v>30</v>
      </c>
      <c r="D36" s="53" t="s">
        <v>43</v>
      </c>
      <c r="E36" s="53" t="s">
        <v>417</v>
      </c>
      <c r="F36" s="73">
        <v>2.550077111161024E-2</v>
      </c>
      <c r="G36" s="71">
        <v>3.2935075385734286E-2</v>
      </c>
      <c r="H36" s="71">
        <v>3.8232461355085068E-2</v>
      </c>
      <c r="I36" s="71">
        <v>4.1362667404205883E-2</v>
      </c>
      <c r="J36" s="63">
        <v>4.461466212938317E-2</v>
      </c>
      <c r="K36" s="73" t="s">
        <v>21</v>
      </c>
      <c r="L36" s="71">
        <v>4.6049644857342857E-3</v>
      </c>
      <c r="M36" s="71">
        <v>9.2551759550850762E-3</v>
      </c>
      <c r="N36" s="71">
        <v>1.1537436404205879E-2</v>
      </c>
      <c r="O36" s="63">
        <v>1.3454030529383185E-2</v>
      </c>
      <c r="P36" s="55" t="s">
        <v>418</v>
      </c>
      <c r="Q36" s="53" t="s">
        <v>419</v>
      </c>
      <c r="R36" s="94" t="s">
        <v>32</v>
      </c>
      <c r="S36" s="71">
        <v>3.7110579999999997E-2</v>
      </c>
      <c r="T36" s="63">
        <v>1.1218813550850706E-3</v>
      </c>
      <c r="V36" s="114">
        <v>1.1502003699999999</v>
      </c>
      <c r="W36" s="72">
        <v>2.94541495</v>
      </c>
      <c r="X36" s="72">
        <v>4.5646892000000001</v>
      </c>
      <c r="Y36" s="72">
        <v>5.9866855900000004</v>
      </c>
      <c r="Z36" s="115">
        <v>7.8012924600000009</v>
      </c>
    </row>
    <row r="37" spans="2:26" x14ac:dyDescent="0.35">
      <c r="B37" s="55" t="s">
        <v>42</v>
      </c>
      <c r="C37" s="53" t="s">
        <v>33</v>
      </c>
      <c r="D37" s="53" t="s">
        <v>43</v>
      </c>
      <c r="E37" s="53" t="s">
        <v>420</v>
      </c>
      <c r="F37" s="73">
        <v>2.542988799227508E-2</v>
      </c>
      <c r="G37" s="71">
        <v>3.5100184191230142E-2</v>
      </c>
      <c r="H37" s="71">
        <v>4.1979928367429906E-2</v>
      </c>
      <c r="I37" s="71">
        <v>4.6256989436094145E-2</v>
      </c>
      <c r="J37" s="63">
        <v>5.0226430436417231E-2</v>
      </c>
      <c r="K37" s="73" t="s">
        <v>21</v>
      </c>
      <c r="L37" s="71">
        <v>6.6954854912301513E-3</v>
      </c>
      <c r="M37" s="71">
        <v>1.28602231674299E-2</v>
      </c>
      <c r="N37" s="71">
        <v>1.6232170036094146E-2</v>
      </c>
      <c r="O37" s="63">
        <v>1.8862720836417223E-2</v>
      </c>
      <c r="P37" s="55" t="s">
        <v>421</v>
      </c>
      <c r="Q37" s="53" t="s">
        <v>422</v>
      </c>
      <c r="R37" s="94" t="s">
        <v>32</v>
      </c>
      <c r="S37" s="71">
        <v>4.0414159999999998E-2</v>
      </c>
      <c r="T37" s="63">
        <v>1.565768367429908E-3</v>
      </c>
      <c r="V37" s="114">
        <v>1.1502920999999999</v>
      </c>
      <c r="W37" s="72">
        <v>2.9315873799999999</v>
      </c>
      <c r="X37" s="72">
        <v>4.5071380000000003</v>
      </c>
      <c r="Y37" s="72">
        <v>5.8520275900000005</v>
      </c>
      <c r="Z37" s="115">
        <v>7.5108456399999994</v>
      </c>
    </row>
    <row r="38" spans="2:26" x14ac:dyDescent="0.35">
      <c r="B38" s="55" t="s">
        <v>42</v>
      </c>
      <c r="C38" s="53" t="s">
        <v>35</v>
      </c>
      <c r="D38" s="53" t="s">
        <v>43</v>
      </c>
      <c r="E38" s="53" t="s">
        <v>423</v>
      </c>
      <c r="F38" s="73">
        <v>2.7064517960222009E-2</v>
      </c>
      <c r="G38" s="71">
        <v>3.8632791572141334E-2</v>
      </c>
      <c r="H38" s="71">
        <v>4.7832903129278292E-2</v>
      </c>
      <c r="I38" s="71">
        <v>5.336153857610651E-2</v>
      </c>
      <c r="J38" s="63">
        <v>5.8907331494120405E-2</v>
      </c>
      <c r="K38" s="73" t="s">
        <v>21</v>
      </c>
      <c r="L38" s="71">
        <v>1.0145515072141328E-2</v>
      </c>
      <c r="M38" s="71">
        <v>1.8547019629278294E-2</v>
      </c>
      <c r="N38" s="71">
        <v>2.3117431176106512E-2</v>
      </c>
      <c r="O38" s="63">
        <v>2.7264175994120406E-2</v>
      </c>
      <c r="P38" s="55" t="s">
        <v>21</v>
      </c>
      <c r="Q38" s="53" t="s">
        <v>21</v>
      </c>
      <c r="R38" s="94" t="s">
        <v>21</v>
      </c>
      <c r="S38" s="71" t="s">
        <v>21</v>
      </c>
      <c r="T38" s="63" t="s">
        <v>21</v>
      </c>
      <c r="V38" s="114">
        <v>1.1491136799999999</v>
      </c>
      <c r="W38" s="72">
        <v>2.9217605199999999</v>
      </c>
      <c r="X38" s="72">
        <v>4.4717953000000001</v>
      </c>
      <c r="Y38" s="72">
        <v>5.7769751299999994</v>
      </c>
      <c r="Z38" s="115">
        <v>7.34781291</v>
      </c>
    </row>
    <row r="39" spans="2:26" x14ac:dyDescent="0.35">
      <c r="B39" s="79" t="s">
        <v>45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7"/>
      <c r="P39" s="79"/>
      <c r="Q39" s="78"/>
      <c r="R39" s="95"/>
      <c r="S39" s="78"/>
      <c r="T39" s="77"/>
      <c r="V39" s="112"/>
      <c r="W39" s="107"/>
      <c r="X39" s="107"/>
      <c r="Y39" s="107"/>
      <c r="Z39" s="113"/>
    </row>
    <row r="40" spans="2:26" x14ac:dyDescent="0.35">
      <c r="B40" s="56" t="s">
        <v>46</v>
      </c>
      <c r="C40" s="66" t="s">
        <v>30</v>
      </c>
      <c r="D40" s="66" t="s">
        <v>47</v>
      </c>
      <c r="E40" s="66" t="s">
        <v>424</v>
      </c>
      <c r="F40" s="75">
        <v>2.4833744231278328E-2</v>
      </c>
      <c r="G40" s="80">
        <v>3.2626261417441328E-2</v>
      </c>
      <c r="H40" s="80">
        <v>3.7822409397849005E-2</v>
      </c>
      <c r="I40" s="80">
        <v>4.1302674447644933E-2</v>
      </c>
      <c r="J40" s="62">
        <v>4.4981241041675092E-2</v>
      </c>
      <c r="K40" s="75" t="s">
        <v>21</v>
      </c>
      <c r="L40" s="80">
        <v>4.3059389174413291E-3</v>
      </c>
      <c r="M40" s="80">
        <v>8.8592619978490016E-3</v>
      </c>
      <c r="N40" s="80">
        <v>1.1479345447644927E-2</v>
      </c>
      <c r="O40" s="62">
        <v>1.3809187541675092E-2</v>
      </c>
      <c r="P40" s="55" t="s">
        <v>425</v>
      </c>
      <c r="Q40" s="53" t="s">
        <v>426</v>
      </c>
      <c r="R40" s="94" t="s">
        <v>32</v>
      </c>
      <c r="S40" s="71">
        <v>3.6849960000000001E-2</v>
      </c>
      <c r="T40" s="63">
        <v>9.7244939784900397E-4</v>
      </c>
      <c r="V40" s="118">
        <v>1.1515314699999999</v>
      </c>
      <c r="W40" s="61">
        <v>2.94978696</v>
      </c>
      <c r="X40" s="61">
        <v>4.5739226899999998</v>
      </c>
      <c r="Y40" s="61">
        <v>5.9974927899999999</v>
      </c>
      <c r="Z40" s="119">
        <v>7.8021394900000001</v>
      </c>
    </row>
    <row r="41" spans="2:26" x14ac:dyDescent="0.35">
      <c r="B41" s="55" t="s">
        <v>46</v>
      </c>
      <c r="C41" s="53" t="s">
        <v>33</v>
      </c>
      <c r="D41" s="53" t="s">
        <v>47</v>
      </c>
      <c r="E41" s="53" t="s">
        <v>427</v>
      </c>
      <c r="F41" s="73">
        <v>2.5595000248242815E-2</v>
      </c>
      <c r="G41" s="71">
        <v>3.4663858146186631E-2</v>
      </c>
      <c r="H41" s="71">
        <v>4.1622729831471306E-2</v>
      </c>
      <c r="I41" s="71">
        <v>4.5671017722277267E-2</v>
      </c>
      <c r="J41" s="63">
        <v>4.9401503521076889E-2</v>
      </c>
      <c r="K41" s="73" t="s">
        <v>21</v>
      </c>
      <c r="L41" s="71">
        <v>6.2720305461866268E-3</v>
      </c>
      <c r="M41" s="71">
        <v>1.2515256931471304E-2</v>
      </c>
      <c r="N41" s="71">
        <v>1.5670842922277266E-2</v>
      </c>
      <c r="O41" s="63">
        <v>1.8070613921076884E-2</v>
      </c>
      <c r="P41" s="55" t="s">
        <v>21</v>
      </c>
      <c r="Q41" s="53" t="s">
        <v>21</v>
      </c>
      <c r="R41" s="94" t="s">
        <v>21</v>
      </c>
      <c r="S41" s="71" t="s">
        <v>21</v>
      </c>
      <c r="T41" s="63" t="s">
        <v>21</v>
      </c>
      <c r="V41" s="114">
        <v>1.15003009</v>
      </c>
      <c r="W41" s="72">
        <v>2.9339568499999999</v>
      </c>
      <c r="X41" s="72">
        <v>4.5142164600000001</v>
      </c>
      <c r="Y41" s="72">
        <v>5.8678438399999999</v>
      </c>
      <c r="Z41" s="115">
        <v>7.5483996400000004</v>
      </c>
    </row>
    <row r="42" spans="2:26" x14ac:dyDescent="0.35">
      <c r="B42" s="57" t="s">
        <v>46</v>
      </c>
      <c r="C42" s="67" t="s">
        <v>35</v>
      </c>
      <c r="D42" s="67" t="s">
        <v>47</v>
      </c>
      <c r="E42" s="67" t="s">
        <v>21</v>
      </c>
      <c r="F42" s="74">
        <v>2.6819766169390573E-2</v>
      </c>
      <c r="G42" s="76">
        <v>3.7941912900857147E-2</v>
      </c>
      <c r="H42" s="76">
        <v>4.6965104079209646E-2</v>
      </c>
      <c r="I42" s="76">
        <v>5.2502255594623175E-2</v>
      </c>
      <c r="J42" s="64">
        <v>5.7178517609331618E-2</v>
      </c>
      <c r="K42" s="74" t="s">
        <v>21</v>
      </c>
      <c r="L42" s="76">
        <v>9.474652800857148E-3</v>
      </c>
      <c r="M42" s="76">
        <v>1.7712866179209651E-2</v>
      </c>
      <c r="N42" s="76">
        <v>2.229516959462317E-2</v>
      </c>
      <c r="O42" s="64">
        <v>2.5613381309331627E-2</v>
      </c>
      <c r="P42" s="55" t="s">
        <v>21</v>
      </c>
      <c r="Q42" s="53" t="s">
        <v>21</v>
      </c>
      <c r="R42" s="94" t="s">
        <v>21</v>
      </c>
      <c r="S42" s="71" t="s">
        <v>21</v>
      </c>
      <c r="T42" s="63" t="s">
        <v>21</v>
      </c>
      <c r="V42" s="116">
        <v>1.1495362599999999</v>
      </c>
      <c r="W42" s="108">
        <v>2.9258735699999998</v>
      </c>
      <c r="X42" s="108">
        <v>4.4839587400000003</v>
      </c>
      <c r="Y42" s="108">
        <v>5.79932918</v>
      </c>
      <c r="Z42" s="117">
        <v>7.4020331499999994</v>
      </c>
    </row>
    <row r="43" spans="2:26" x14ac:dyDescent="0.35">
      <c r="B43" s="55" t="s">
        <v>49</v>
      </c>
      <c r="C43" s="53" t="s">
        <v>30</v>
      </c>
      <c r="D43" s="53" t="s">
        <v>47</v>
      </c>
      <c r="E43" s="53" t="s">
        <v>356</v>
      </c>
      <c r="F43" s="73">
        <v>2.4628694264989492E-2</v>
      </c>
      <c r="G43" s="71">
        <v>3.198790671321463E-2</v>
      </c>
      <c r="H43" s="71">
        <v>3.7097429120677233E-2</v>
      </c>
      <c r="I43" s="71">
        <v>4.0009949110696989E-2</v>
      </c>
      <c r="J43" s="63">
        <v>4.3821080785605419E-2</v>
      </c>
      <c r="K43" s="73" t="s">
        <v>21</v>
      </c>
      <c r="L43" s="71">
        <v>3.6887982132146361E-3</v>
      </c>
      <c r="M43" s="71">
        <v>8.15895712067723E-3</v>
      </c>
      <c r="N43" s="71">
        <v>1.0232905410696991E-2</v>
      </c>
      <c r="O43" s="63">
        <v>1.2683227185605422E-2</v>
      </c>
      <c r="P43" s="56" t="s">
        <v>428</v>
      </c>
      <c r="Q43" s="66" t="s">
        <v>429</v>
      </c>
      <c r="R43" s="100" t="s">
        <v>32</v>
      </c>
      <c r="S43" s="80">
        <v>3.4962189999999997E-2</v>
      </c>
      <c r="T43" s="62">
        <v>2.1352391206772361E-3</v>
      </c>
      <c r="V43" s="114">
        <v>1.1519305</v>
      </c>
      <c r="W43" s="72">
        <v>2.95464109</v>
      </c>
      <c r="X43" s="72">
        <v>4.5877998800000004</v>
      </c>
      <c r="Y43" s="72">
        <v>6.0314017400000006</v>
      </c>
      <c r="Z43" s="115">
        <v>7.8715096799999991</v>
      </c>
    </row>
    <row r="44" spans="2:26" x14ac:dyDescent="0.35">
      <c r="B44" s="55" t="s">
        <v>49</v>
      </c>
      <c r="C44" s="53" t="s">
        <v>33</v>
      </c>
      <c r="D44" s="53" t="s">
        <v>47</v>
      </c>
      <c r="E44" s="53" t="s">
        <v>276</v>
      </c>
      <c r="F44" s="73">
        <v>2.5114239919557E-2</v>
      </c>
      <c r="G44" s="71">
        <v>3.4178750828178901E-2</v>
      </c>
      <c r="H44" s="71">
        <v>4.0746972216640392E-2</v>
      </c>
      <c r="I44" s="71">
        <v>4.4533358824277267E-2</v>
      </c>
      <c r="J44" s="63">
        <v>4.8574557706865383E-2</v>
      </c>
      <c r="K44" s="73" t="s">
        <v>21</v>
      </c>
      <c r="L44" s="71">
        <v>5.8073847281789014E-3</v>
      </c>
      <c r="M44" s="71">
        <v>1.1677177816640391E-2</v>
      </c>
      <c r="N44" s="71">
        <v>1.4584801224277265E-2</v>
      </c>
      <c r="O44" s="63">
        <v>1.7276353806865388E-2</v>
      </c>
      <c r="P44" s="55" t="s">
        <v>430</v>
      </c>
      <c r="Q44" s="53" t="s">
        <v>431</v>
      </c>
      <c r="R44" s="94" t="s">
        <v>32</v>
      </c>
      <c r="S44" s="71">
        <v>3.9901289999999999E-2</v>
      </c>
      <c r="T44" s="63">
        <v>8.456822166403935E-4</v>
      </c>
      <c r="V44" s="114">
        <v>1.15092317</v>
      </c>
      <c r="W44" s="72">
        <v>2.9386416499999997</v>
      </c>
      <c r="X44" s="72">
        <v>4.5288393300000003</v>
      </c>
      <c r="Y44" s="72">
        <v>5.90005326</v>
      </c>
      <c r="Z44" s="115">
        <v>7.6048099599999999</v>
      </c>
    </row>
    <row r="45" spans="2:26" x14ac:dyDescent="0.35">
      <c r="B45" s="57" t="s">
        <v>49</v>
      </c>
      <c r="C45" s="67" t="s">
        <v>35</v>
      </c>
      <c r="D45" s="67" t="s">
        <v>47</v>
      </c>
      <c r="E45" s="67" t="s">
        <v>21</v>
      </c>
      <c r="F45" s="74">
        <v>2.6465463555900019E-2</v>
      </c>
      <c r="G45" s="76">
        <v>3.6979349319158597E-2</v>
      </c>
      <c r="H45" s="76">
        <v>4.5404630691489346E-2</v>
      </c>
      <c r="I45" s="76">
        <v>5.0770126981841468E-2</v>
      </c>
      <c r="J45" s="64">
        <v>5.5716919235131251E-2</v>
      </c>
      <c r="K45" s="74" t="s">
        <v>21</v>
      </c>
      <c r="L45" s="76">
        <v>8.5440762191585987E-3</v>
      </c>
      <c r="M45" s="76">
        <v>1.6215494391489352E-2</v>
      </c>
      <c r="N45" s="76">
        <v>2.0639435981841467E-2</v>
      </c>
      <c r="O45" s="64">
        <v>2.421335413513126E-2</v>
      </c>
      <c r="P45" s="57" t="s">
        <v>21</v>
      </c>
      <c r="Q45" s="67" t="s">
        <v>21</v>
      </c>
      <c r="R45" s="96" t="s">
        <v>21</v>
      </c>
      <c r="S45" s="76" t="s">
        <v>21</v>
      </c>
      <c r="T45" s="64" t="s">
        <v>21</v>
      </c>
      <c r="V45" s="116">
        <v>1.1500636399999999</v>
      </c>
      <c r="W45" s="108">
        <v>2.9314820299999997</v>
      </c>
      <c r="X45" s="108">
        <v>4.5035989899999995</v>
      </c>
      <c r="Y45" s="108">
        <v>5.8396017100000002</v>
      </c>
      <c r="Z45" s="117">
        <v>7.4730059500000001</v>
      </c>
    </row>
    <row r="46" spans="2:26" x14ac:dyDescent="0.35">
      <c r="B46" s="56" t="s">
        <v>50</v>
      </c>
      <c r="C46" s="66" t="s">
        <v>30</v>
      </c>
      <c r="D46" s="66" t="s">
        <v>47</v>
      </c>
      <c r="E46" s="66" t="s">
        <v>181</v>
      </c>
      <c r="F46" s="75">
        <v>2.4439633667249602E-2</v>
      </c>
      <c r="G46" s="80">
        <v>3.2049105430613754E-2</v>
      </c>
      <c r="H46" s="80">
        <v>3.7405639923578766E-2</v>
      </c>
      <c r="I46" s="80">
        <v>4.0603120040000891E-2</v>
      </c>
      <c r="J46" s="62">
        <v>4.4227246734907383E-2</v>
      </c>
      <c r="K46" s="75" t="s">
        <v>21</v>
      </c>
      <c r="L46" s="80">
        <v>3.7484890306137518E-3</v>
      </c>
      <c r="M46" s="80">
        <v>8.4572553235787717E-3</v>
      </c>
      <c r="N46" s="80">
        <v>1.0806044140000888E-2</v>
      </c>
      <c r="O46" s="62">
        <v>1.3079715734907378E-2</v>
      </c>
      <c r="P46" s="55" t="s">
        <v>432</v>
      </c>
      <c r="Q46" s="53" t="s">
        <v>433</v>
      </c>
      <c r="R46" s="94" t="s">
        <v>32</v>
      </c>
      <c r="S46" s="71">
        <v>3.4595440000000005E-2</v>
      </c>
      <c r="T46" s="63">
        <v>2.8101999235787614E-3</v>
      </c>
      <c r="V46" s="118">
        <v>1.15229508</v>
      </c>
      <c r="W46" s="61">
        <v>2.95488865</v>
      </c>
      <c r="X46" s="61">
        <v>4.5846093400000001</v>
      </c>
      <c r="Y46" s="61">
        <v>6.0187725900000002</v>
      </c>
      <c r="Z46" s="119">
        <v>7.8451140399999995</v>
      </c>
    </row>
    <row r="47" spans="2:26" x14ac:dyDescent="0.35">
      <c r="B47" s="55" t="s">
        <v>50</v>
      </c>
      <c r="C47" s="53" t="s">
        <v>33</v>
      </c>
      <c r="D47" s="53" t="s">
        <v>47</v>
      </c>
      <c r="E47" s="53" t="s">
        <v>133</v>
      </c>
      <c r="F47" s="73">
        <v>2.5360235721374913E-2</v>
      </c>
      <c r="G47" s="71">
        <v>3.4394006352380789E-2</v>
      </c>
      <c r="H47" s="71">
        <v>4.1161574880363073E-2</v>
      </c>
      <c r="I47" s="71">
        <v>4.5317944022879635E-2</v>
      </c>
      <c r="J47" s="63">
        <v>4.9043881328409991E-2</v>
      </c>
      <c r="K47" s="73" t="s">
        <v>21</v>
      </c>
      <c r="L47" s="71">
        <v>6.0121405523807913E-3</v>
      </c>
      <c r="M47" s="71">
        <v>1.2073083380363069E-2</v>
      </c>
      <c r="N47" s="71">
        <v>1.5333386822879632E-2</v>
      </c>
      <c r="O47" s="63">
        <v>1.7728049328409989E-2</v>
      </c>
      <c r="P47" s="55" t="s">
        <v>434</v>
      </c>
      <c r="Q47" s="53" t="s">
        <v>435</v>
      </c>
      <c r="R47" s="94" t="s">
        <v>32</v>
      </c>
      <c r="S47" s="71">
        <v>3.5365540000000001E-2</v>
      </c>
      <c r="T47" s="63">
        <v>5.7960348803630726E-3</v>
      </c>
      <c r="V47" s="114">
        <v>1.15049172</v>
      </c>
      <c r="W47" s="72">
        <v>2.93651084</v>
      </c>
      <c r="X47" s="72">
        <v>4.5220573999999996</v>
      </c>
      <c r="Y47" s="72">
        <v>5.88148246</v>
      </c>
      <c r="Z47" s="115">
        <v>7.5711903299999994</v>
      </c>
    </row>
    <row r="48" spans="2:26" x14ac:dyDescent="0.35">
      <c r="B48" s="57" t="s">
        <v>50</v>
      </c>
      <c r="C48" s="67" t="s">
        <v>35</v>
      </c>
      <c r="D48" s="67" t="s">
        <v>47</v>
      </c>
      <c r="E48" s="67" t="s">
        <v>21</v>
      </c>
      <c r="F48" s="74">
        <v>2.6799608082370342E-2</v>
      </c>
      <c r="G48" s="76">
        <v>3.7760732376598889E-2</v>
      </c>
      <c r="H48" s="76">
        <v>4.6669532873367663E-2</v>
      </c>
      <c r="I48" s="76">
        <v>5.2023360846775515E-2</v>
      </c>
      <c r="J48" s="64">
        <v>5.6965433985615731E-2</v>
      </c>
      <c r="K48" s="74" t="s">
        <v>21</v>
      </c>
      <c r="L48" s="76">
        <v>9.2999171765988983E-3</v>
      </c>
      <c r="M48" s="76">
        <v>1.7429727273367668E-2</v>
      </c>
      <c r="N48" s="76">
        <v>2.1838064346775522E-2</v>
      </c>
      <c r="O48" s="64">
        <v>2.5408589185615744E-2</v>
      </c>
      <c r="P48" s="55" t="s">
        <v>21</v>
      </c>
      <c r="Q48" s="53" t="s">
        <v>21</v>
      </c>
      <c r="R48" s="94" t="s">
        <v>21</v>
      </c>
      <c r="S48" s="71" t="s">
        <v>21</v>
      </c>
      <c r="T48" s="63" t="s">
        <v>21</v>
      </c>
      <c r="V48" s="116">
        <v>1.1495610300000001</v>
      </c>
      <c r="W48" s="108">
        <v>2.9267934799999997</v>
      </c>
      <c r="X48" s="108">
        <v>4.4875301300000006</v>
      </c>
      <c r="Y48" s="108">
        <v>5.8083767699999997</v>
      </c>
      <c r="Z48" s="117">
        <v>7.4165671500000006</v>
      </c>
    </row>
    <row r="49" spans="2:26" x14ac:dyDescent="0.35">
      <c r="B49" s="79" t="s">
        <v>51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7"/>
      <c r="P49" s="79"/>
      <c r="Q49" s="78"/>
      <c r="R49" s="95"/>
      <c r="S49" s="78"/>
      <c r="T49" s="77"/>
      <c r="V49" s="112"/>
      <c r="W49" s="107"/>
      <c r="X49" s="107"/>
      <c r="Y49" s="107"/>
      <c r="Z49" s="113"/>
    </row>
    <row r="50" spans="2:26" x14ac:dyDescent="0.35">
      <c r="B50" s="56" t="s">
        <v>52</v>
      </c>
      <c r="C50" s="66" t="s">
        <v>30</v>
      </c>
      <c r="D50" s="66" t="s">
        <v>53</v>
      </c>
      <c r="E50" s="66" t="s">
        <v>57</v>
      </c>
      <c r="F50" s="75">
        <v>2.5611482416650677E-2</v>
      </c>
      <c r="G50" s="80">
        <v>3.2841406869581612E-2</v>
      </c>
      <c r="H50" s="80">
        <v>3.7616030349323183E-2</v>
      </c>
      <c r="I50" s="80">
        <v>4.0518851837351537E-2</v>
      </c>
      <c r="J50" s="62">
        <v>4.3809442251945843E-2</v>
      </c>
      <c r="K50" s="75" t="s">
        <v>21</v>
      </c>
      <c r="L50" s="80">
        <v>4.514300169581615E-3</v>
      </c>
      <c r="M50" s="80">
        <v>8.6600489493231826E-3</v>
      </c>
      <c r="N50" s="80">
        <v>1.072325573735154E-2</v>
      </c>
      <c r="O50" s="62">
        <v>1.2671373551945843E-2</v>
      </c>
      <c r="P50" s="55" t="s">
        <v>436</v>
      </c>
      <c r="Q50" s="53" t="s">
        <v>437</v>
      </c>
      <c r="R50" s="94" t="s">
        <v>32</v>
      </c>
      <c r="S50" s="71">
        <v>3.3505449999999999E-2</v>
      </c>
      <c r="T50" s="63">
        <v>4.1105803493231841E-3</v>
      </c>
      <c r="V50" s="118">
        <v>1.1499849100000001</v>
      </c>
      <c r="W50" s="61">
        <v>2.9456398699999999</v>
      </c>
      <c r="X50" s="61">
        <v>4.5716195199999996</v>
      </c>
      <c r="Y50" s="61">
        <v>6.0074128499999997</v>
      </c>
      <c r="Z50" s="119">
        <v>7.8464866300000002</v>
      </c>
    </row>
    <row r="51" spans="2:26" x14ac:dyDescent="0.35">
      <c r="B51" s="55" t="s">
        <v>52</v>
      </c>
      <c r="C51" s="53" t="s">
        <v>33</v>
      </c>
      <c r="D51" s="53" t="s">
        <v>53</v>
      </c>
      <c r="E51" s="53" t="s">
        <v>58</v>
      </c>
      <c r="F51" s="73">
        <v>2.60533551015526E-2</v>
      </c>
      <c r="G51" s="71">
        <v>3.4396372934593855E-2</v>
      </c>
      <c r="H51" s="71">
        <v>4.095750752668198E-2</v>
      </c>
      <c r="I51" s="71">
        <v>4.4643524561111474E-2</v>
      </c>
      <c r="J51" s="63">
        <v>4.836058212733884E-2</v>
      </c>
      <c r="K51" s="73" t="s">
        <v>21</v>
      </c>
      <c r="L51" s="71">
        <v>6.0144128345938526E-3</v>
      </c>
      <c r="M51" s="71">
        <v>1.1876927526681975E-2</v>
      </c>
      <c r="N51" s="71">
        <v>1.4687890361111471E-2</v>
      </c>
      <c r="O51" s="63">
        <v>1.7068699727338838E-2</v>
      </c>
      <c r="P51" s="55" t="s">
        <v>438</v>
      </c>
      <c r="Q51" s="53" t="s">
        <v>439</v>
      </c>
      <c r="R51" s="94" t="s">
        <v>32</v>
      </c>
      <c r="S51" s="71">
        <v>3.6036550000000001E-2</v>
      </c>
      <c r="T51" s="63">
        <v>4.9209575266819794E-3</v>
      </c>
      <c r="V51" s="114">
        <v>1.14912261</v>
      </c>
      <c r="W51" s="72">
        <v>2.93407353</v>
      </c>
      <c r="X51" s="72">
        <v>4.5218961799999997</v>
      </c>
      <c r="Y51" s="72">
        <v>5.8915120700000001</v>
      </c>
      <c r="Z51" s="115">
        <v>7.6017243100000007</v>
      </c>
    </row>
    <row r="52" spans="2:26" x14ac:dyDescent="0.35">
      <c r="B52" s="57" t="s">
        <v>52</v>
      </c>
      <c r="C52" s="67" t="s">
        <v>35</v>
      </c>
      <c r="D52" s="67" t="s">
        <v>53</v>
      </c>
      <c r="E52" s="67" t="s">
        <v>351</v>
      </c>
      <c r="F52" s="74">
        <v>2.6801006996606806E-2</v>
      </c>
      <c r="G52" s="76">
        <v>3.7783631957061192E-2</v>
      </c>
      <c r="H52" s="76">
        <v>4.6476575481290291E-2</v>
      </c>
      <c r="I52" s="76">
        <v>5.1832838703343043E-2</v>
      </c>
      <c r="J52" s="64">
        <v>5.6512371519467725E-2</v>
      </c>
      <c r="K52" s="74" t="s">
        <v>21</v>
      </c>
      <c r="L52" s="76">
        <v>9.3225752570611862E-3</v>
      </c>
      <c r="M52" s="76">
        <v>1.7245084081290288E-2</v>
      </c>
      <c r="N52" s="76">
        <v>2.1656184203343032E-2</v>
      </c>
      <c r="O52" s="64">
        <v>2.4975701919467727E-2</v>
      </c>
      <c r="P52" s="55" t="s">
        <v>21</v>
      </c>
      <c r="Q52" s="53" t="s">
        <v>21</v>
      </c>
      <c r="R52" s="94" t="s">
        <v>21</v>
      </c>
      <c r="S52" s="71" t="s">
        <v>21</v>
      </c>
      <c r="T52" s="63" t="s">
        <v>21</v>
      </c>
      <c r="V52" s="116">
        <v>1.1495502100000001</v>
      </c>
      <c r="W52" s="108">
        <v>2.9266607200000001</v>
      </c>
      <c r="X52" s="108">
        <v>4.4888986900000001</v>
      </c>
      <c r="Y52" s="108">
        <v>5.8121494500000006</v>
      </c>
      <c r="Z52" s="117">
        <v>7.4288722400000005</v>
      </c>
    </row>
    <row r="53" spans="2:26" x14ac:dyDescent="0.35">
      <c r="B53" s="55" t="s">
        <v>56</v>
      </c>
      <c r="C53" s="53" t="s">
        <v>30</v>
      </c>
      <c r="D53" s="53" t="s">
        <v>53</v>
      </c>
      <c r="E53" s="53" t="s">
        <v>440</v>
      </c>
      <c r="F53" s="73">
        <v>2.5223784304050624E-2</v>
      </c>
      <c r="G53" s="71">
        <v>3.2783969425661363E-2</v>
      </c>
      <c r="H53" s="71">
        <v>3.7616787042368156E-2</v>
      </c>
      <c r="I53" s="71">
        <v>4.0714302177465703E-2</v>
      </c>
      <c r="J53" s="63">
        <v>4.3814133897710161E-2</v>
      </c>
      <c r="K53" s="73" t="s">
        <v>21</v>
      </c>
      <c r="L53" s="71">
        <v>4.4588373256613644E-3</v>
      </c>
      <c r="M53" s="71">
        <v>8.660955742368158E-3</v>
      </c>
      <c r="N53" s="71">
        <v>1.0912036177465709E-2</v>
      </c>
      <c r="O53" s="63">
        <v>1.2677987897710163E-2</v>
      </c>
      <c r="P53" s="56" t="s">
        <v>441</v>
      </c>
      <c r="Q53" s="66" t="s">
        <v>442</v>
      </c>
      <c r="R53" s="100" t="s">
        <v>32</v>
      </c>
      <c r="S53" s="80">
        <v>4.2312219999999998E-2</v>
      </c>
      <c r="T53" s="62">
        <v>-4.6954329576318413E-3</v>
      </c>
      <c r="V53" s="114">
        <v>1.1507501200000001</v>
      </c>
      <c r="W53" s="72">
        <v>2.9473715599999997</v>
      </c>
      <c r="X53" s="72">
        <v>4.5733889599999999</v>
      </c>
      <c r="Y53" s="72">
        <v>6.0062272500000002</v>
      </c>
      <c r="Z53" s="115">
        <v>7.8434533900000005</v>
      </c>
    </row>
    <row r="54" spans="2:26" x14ac:dyDescent="0.35">
      <c r="B54" s="55" t="s">
        <v>56</v>
      </c>
      <c r="C54" s="53" t="s">
        <v>33</v>
      </c>
      <c r="D54" s="53" t="s">
        <v>53</v>
      </c>
      <c r="E54" s="53" t="s">
        <v>443</v>
      </c>
      <c r="F54" s="73">
        <v>2.6010803609472399E-2</v>
      </c>
      <c r="G54" s="71">
        <v>3.4342867053859839E-2</v>
      </c>
      <c r="H54" s="71">
        <v>4.0754184830376891E-2</v>
      </c>
      <c r="I54" s="71">
        <v>4.4301600351099597E-2</v>
      </c>
      <c r="J54" s="63">
        <v>4.7920702434853947E-2</v>
      </c>
      <c r="K54" s="73" t="s">
        <v>21</v>
      </c>
      <c r="L54" s="71">
        <v>5.9624376538598449E-3</v>
      </c>
      <c r="M54" s="71">
        <v>1.1681450730376885E-2</v>
      </c>
      <c r="N54" s="71">
        <v>1.4360273051099597E-2</v>
      </c>
      <c r="O54" s="63">
        <v>1.6645170034853943E-2</v>
      </c>
      <c r="P54" s="55" t="s">
        <v>444</v>
      </c>
      <c r="Q54" s="53" t="s">
        <v>445</v>
      </c>
      <c r="R54" s="94" t="s">
        <v>32</v>
      </c>
      <c r="S54" s="71">
        <v>3.6414290000000002E-2</v>
      </c>
      <c r="T54" s="63">
        <v>4.3398948303768892E-3</v>
      </c>
      <c r="V54" s="114">
        <v>1.14921472</v>
      </c>
      <c r="W54" s="72">
        <v>2.9345842000000002</v>
      </c>
      <c r="X54" s="72">
        <v>4.5246260999999999</v>
      </c>
      <c r="Y54" s="72">
        <v>5.8995305400000007</v>
      </c>
      <c r="Z54" s="115">
        <v>7.6219129999999993</v>
      </c>
    </row>
    <row r="55" spans="2:26" x14ac:dyDescent="0.35">
      <c r="B55" s="55" t="s">
        <v>56</v>
      </c>
      <c r="C55" s="53" t="s">
        <v>35</v>
      </c>
      <c r="D55" s="53" t="s">
        <v>53</v>
      </c>
      <c r="E55" s="53" t="s">
        <v>54</v>
      </c>
      <c r="F55" s="73">
        <v>2.6456348149252171E-2</v>
      </c>
      <c r="G55" s="71">
        <v>3.6984807043816979E-2</v>
      </c>
      <c r="H55" s="71">
        <v>4.5208156354693899E-2</v>
      </c>
      <c r="I55" s="71">
        <v>5.0298881022471029E-2</v>
      </c>
      <c r="J55" s="63">
        <v>5.5071518816787096E-2</v>
      </c>
      <c r="K55" s="73" t="s">
        <v>21</v>
      </c>
      <c r="L55" s="71">
        <v>8.5511975438169793E-3</v>
      </c>
      <c r="M55" s="71">
        <v>1.6028140154693893E-2</v>
      </c>
      <c r="N55" s="71">
        <v>2.0189535622471031E-2</v>
      </c>
      <c r="O55" s="63">
        <v>2.35951049167871E-2</v>
      </c>
      <c r="P55" s="57" t="s">
        <v>446</v>
      </c>
      <c r="Q55" s="67" t="s">
        <v>447</v>
      </c>
      <c r="R55" s="96" t="s">
        <v>32</v>
      </c>
      <c r="S55" s="76">
        <v>4.1389809999999999E-2</v>
      </c>
      <c r="T55" s="64">
        <v>3.8183463546938995E-3</v>
      </c>
      <c r="V55" s="114">
        <v>1.1500461799999999</v>
      </c>
      <c r="W55" s="72">
        <v>2.9314157199999999</v>
      </c>
      <c r="X55" s="72">
        <v>4.5050761399999999</v>
      </c>
      <c r="Y55" s="72">
        <v>5.8464455600000003</v>
      </c>
      <c r="Z55" s="115">
        <v>7.4933328599999998</v>
      </c>
    </row>
    <row r="56" spans="2:26" x14ac:dyDescent="0.35">
      <c r="B56" s="79" t="s">
        <v>59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7"/>
      <c r="P56" s="79"/>
      <c r="Q56" s="78"/>
      <c r="R56" s="95"/>
      <c r="S56" s="78"/>
      <c r="T56" s="77"/>
      <c r="V56" s="112"/>
      <c r="W56" s="107"/>
      <c r="X56" s="107"/>
      <c r="Y56" s="107"/>
      <c r="Z56" s="113"/>
    </row>
    <row r="57" spans="2:26" x14ac:dyDescent="0.35">
      <c r="B57" s="56" t="s">
        <v>60</v>
      </c>
      <c r="C57" s="66" t="s">
        <v>61</v>
      </c>
      <c r="D57" s="66" t="s">
        <v>62</v>
      </c>
      <c r="E57" s="66" t="s">
        <v>181</v>
      </c>
      <c r="F57" s="75">
        <v>2.5974015750906219E-2</v>
      </c>
      <c r="G57" s="80">
        <v>3.3096474294688177E-2</v>
      </c>
      <c r="H57" s="80">
        <v>3.802516126333761E-2</v>
      </c>
      <c r="I57" s="80">
        <v>4.0772114530613114E-2</v>
      </c>
      <c r="J57" s="62">
        <v>4.4018819960922766E-2</v>
      </c>
      <c r="K57" s="75" t="s">
        <v>21</v>
      </c>
      <c r="L57" s="80">
        <v>4.7622548946881799E-3</v>
      </c>
      <c r="M57" s="80">
        <v>9.0560054633376103E-3</v>
      </c>
      <c r="N57" s="80">
        <v>1.0968544230613116E-2</v>
      </c>
      <c r="O57" s="62">
        <v>1.2874447160922769E-2</v>
      </c>
      <c r="P57" s="55" t="s">
        <v>448</v>
      </c>
      <c r="Q57" s="53" t="s">
        <v>449</v>
      </c>
      <c r="R57" s="94" t="s">
        <v>32</v>
      </c>
      <c r="S57" s="71">
        <v>0</v>
      </c>
      <c r="T57" s="63">
        <v>3.802516126333761E-2</v>
      </c>
      <c r="V57" s="118">
        <v>1.1492376800000002</v>
      </c>
      <c r="W57" s="61">
        <v>2.9426497499999997</v>
      </c>
      <c r="X57" s="61">
        <v>4.5638136899999999</v>
      </c>
      <c r="Y57" s="61">
        <v>5.9951001799999997</v>
      </c>
      <c r="Z57" s="119">
        <v>7.82850834</v>
      </c>
    </row>
    <row r="58" spans="2:26" x14ac:dyDescent="0.35">
      <c r="B58" s="57" t="s">
        <v>60</v>
      </c>
      <c r="C58" s="67" t="s">
        <v>63</v>
      </c>
      <c r="D58" s="67" t="s">
        <v>62</v>
      </c>
      <c r="E58" s="67" t="s">
        <v>21</v>
      </c>
      <c r="F58" s="74">
        <v>2.7894360833900039E-2</v>
      </c>
      <c r="G58" s="76">
        <v>3.6647556028747877E-2</v>
      </c>
      <c r="H58" s="76">
        <v>4.3016782629934643E-2</v>
      </c>
      <c r="I58" s="76">
        <v>4.6808358287907324E-2</v>
      </c>
      <c r="J58" s="64">
        <v>5.0147169059705898E-2</v>
      </c>
      <c r="K58" s="74">
        <v>5.1015623390004202E-4</v>
      </c>
      <c r="L58" s="76">
        <v>8.232814228747878E-3</v>
      </c>
      <c r="M58" s="76">
        <v>1.3924608229934642E-2</v>
      </c>
      <c r="N58" s="76">
        <v>1.6842270687907331E-2</v>
      </c>
      <c r="O58" s="64">
        <v>1.8856900559705903E-2</v>
      </c>
      <c r="P58" s="55" t="s">
        <v>21</v>
      </c>
      <c r="Q58" s="53" t="s">
        <v>21</v>
      </c>
      <c r="R58" s="94" t="s">
        <v>21</v>
      </c>
      <c r="S58" s="71" t="s">
        <v>21</v>
      </c>
      <c r="T58" s="63" t="s">
        <v>21</v>
      </c>
      <c r="V58" s="116">
        <v>1.14746177</v>
      </c>
      <c r="W58" s="108">
        <v>2.9285056800000002</v>
      </c>
      <c r="X58" s="108">
        <v>4.5205478100000001</v>
      </c>
      <c r="Y58" s="108">
        <v>5.9036787100000003</v>
      </c>
      <c r="Z58" s="117">
        <v>7.6537517700000004</v>
      </c>
    </row>
    <row r="59" spans="2:26" x14ac:dyDescent="0.35">
      <c r="B59" s="56" t="s">
        <v>64</v>
      </c>
      <c r="C59" s="66" t="s">
        <v>65</v>
      </c>
      <c r="D59" s="66" t="s">
        <v>62</v>
      </c>
      <c r="E59" s="66" t="s">
        <v>181</v>
      </c>
      <c r="F59" s="75">
        <v>2.5290567474978251E-2</v>
      </c>
      <c r="G59" s="80">
        <v>3.3502746699987672E-2</v>
      </c>
      <c r="H59" s="80">
        <v>3.9622580782196611E-2</v>
      </c>
      <c r="I59" s="80">
        <v>4.2908817713597773E-2</v>
      </c>
      <c r="J59" s="62">
        <v>4.6132526193310854E-2</v>
      </c>
      <c r="K59" s="75" t="s">
        <v>21</v>
      </c>
      <c r="L59" s="80">
        <v>5.1519757999876747E-3</v>
      </c>
      <c r="M59" s="80">
        <v>1.0593776682196623E-2</v>
      </c>
      <c r="N59" s="80">
        <v>1.3024949913597773E-2</v>
      </c>
      <c r="O59" s="62">
        <v>1.4923345393310857E-2</v>
      </c>
      <c r="P59" s="56" t="s">
        <v>21</v>
      </c>
      <c r="Q59" s="66" t="s">
        <v>21</v>
      </c>
      <c r="R59" s="100" t="s">
        <v>21</v>
      </c>
      <c r="S59" s="80" t="s">
        <v>21</v>
      </c>
      <c r="T59" s="62" t="s">
        <v>21</v>
      </c>
      <c r="V59" s="118">
        <v>1.1506406</v>
      </c>
      <c r="W59" s="61">
        <v>2.9425329100000002</v>
      </c>
      <c r="X59" s="61">
        <v>4.5459948499999996</v>
      </c>
      <c r="Y59" s="61">
        <v>5.9426134899999994</v>
      </c>
      <c r="Z59" s="119">
        <v>7.7132268700000006</v>
      </c>
    </row>
    <row r="60" spans="2:26" x14ac:dyDescent="0.35">
      <c r="B60" s="57" t="s">
        <v>64</v>
      </c>
      <c r="C60" s="67" t="s">
        <v>66</v>
      </c>
      <c r="D60" s="67" t="s">
        <v>62</v>
      </c>
      <c r="E60" s="67" t="s">
        <v>21</v>
      </c>
      <c r="F60" s="74">
        <v>2.6530435996114782E-2</v>
      </c>
      <c r="G60" s="76">
        <v>3.6362243227749128E-2</v>
      </c>
      <c r="H60" s="76">
        <v>4.4227410688791241E-2</v>
      </c>
      <c r="I60" s="76">
        <v>4.7926885516979059E-2</v>
      </c>
      <c r="J60" s="64">
        <v>5.2173069746261992E-2</v>
      </c>
      <c r="K60" s="74" t="s">
        <v>21</v>
      </c>
      <c r="L60" s="76">
        <v>7.9510426277491289E-3</v>
      </c>
      <c r="M60" s="76">
        <v>1.5086781188791249E-2</v>
      </c>
      <c r="N60" s="76">
        <v>1.7916670116979064E-2</v>
      </c>
      <c r="O60" s="64">
        <v>2.0808778046261998E-2</v>
      </c>
      <c r="P60" s="57" t="s">
        <v>21</v>
      </c>
      <c r="Q60" s="67" t="s">
        <v>21</v>
      </c>
      <c r="R60" s="96" t="s">
        <v>21</v>
      </c>
      <c r="S60" s="76" t="s">
        <v>21</v>
      </c>
      <c r="T60" s="64" t="s">
        <v>21</v>
      </c>
      <c r="V60" s="116">
        <v>1.14989824</v>
      </c>
      <c r="W60" s="108">
        <v>2.9341724</v>
      </c>
      <c r="X60" s="108">
        <v>4.5167523100000002</v>
      </c>
      <c r="Y60" s="108">
        <v>5.8849099599999999</v>
      </c>
      <c r="Z60" s="117">
        <v>7.5938346299999999</v>
      </c>
    </row>
    <row r="61" spans="2:26" x14ac:dyDescent="0.35">
      <c r="B61" s="79" t="s">
        <v>228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7"/>
      <c r="P61" s="79"/>
      <c r="Q61" s="78"/>
      <c r="R61" s="95"/>
      <c r="S61" s="78"/>
      <c r="T61" s="77"/>
      <c r="V61" s="112"/>
      <c r="W61" s="107"/>
      <c r="X61" s="107"/>
      <c r="Y61" s="107"/>
      <c r="Z61" s="113"/>
    </row>
    <row r="62" spans="2:26" x14ac:dyDescent="0.35">
      <c r="B62" s="56" t="s">
        <v>229</v>
      </c>
      <c r="C62" s="66" t="s">
        <v>61</v>
      </c>
      <c r="D62" s="66" t="s">
        <v>97</v>
      </c>
      <c r="E62" s="66" t="s">
        <v>21</v>
      </c>
      <c r="F62" s="75">
        <v>2.4313406618136524E-2</v>
      </c>
      <c r="G62" s="80">
        <v>3.121190750047647E-2</v>
      </c>
      <c r="H62" s="80">
        <v>3.5549572994495328E-2</v>
      </c>
      <c r="I62" s="80">
        <v>3.7908625546302463E-2</v>
      </c>
      <c r="J62" s="62">
        <v>4.0289349522129266E-2</v>
      </c>
      <c r="K62" s="75" t="s">
        <v>21</v>
      </c>
      <c r="L62" s="80">
        <v>2.9367645004764681E-3</v>
      </c>
      <c r="M62" s="80">
        <v>6.6598064944953222E-3</v>
      </c>
      <c r="N62" s="80">
        <v>8.1976208463024683E-3</v>
      </c>
      <c r="O62" s="62">
        <v>9.2458410221292597E-3</v>
      </c>
      <c r="P62" s="55" t="s">
        <v>21</v>
      </c>
      <c r="Q62" s="53" t="s">
        <v>21</v>
      </c>
      <c r="R62" s="94" t="s">
        <v>21</v>
      </c>
      <c r="S62" s="71" t="s">
        <v>21</v>
      </c>
      <c r="T62" s="63" t="s">
        <v>21</v>
      </c>
      <c r="V62" s="118">
        <v>1.15256505</v>
      </c>
      <c r="W62" s="61">
        <v>2.9608307300000001</v>
      </c>
      <c r="X62" s="61">
        <v>4.6121004499999998</v>
      </c>
      <c r="Y62" s="61">
        <v>6.0900290200000002</v>
      </c>
      <c r="Z62" s="119">
        <v>8.0293619399999994</v>
      </c>
    </row>
    <row r="63" spans="2:26" x14ac:dyDescent="0.35">
      <c r="B63" s="57" t="s">
        <v>229</v>
      </c>
      <c r="C63" s="67" t="s">
        <v>63</v>
      </c>
      <c r="D63" s="67" t="s">
        <v>97</v>
      </c>
      <c r="E63" s="67" t="s">
        <v>21</v>
      </c>
      <c r="F63" s="74">
        <v>2.5741806567258715E-2</v>
      </c>
      <c r="G63" s="76">
        <v>3.4120596150147321E-2</v>
      </c>
      <c r="H63" s="76">
        <v>3.986720072213952E-2</v>
      </c>
      <c r="I63" s="76">
        <v>4.322424293622619E-2</v>
      </c>
      <c r="J63" s="64">
        <v>4.6229993102194181E-2</v>
      </c>
      <c r="K63" s="74" t="s">
        <v>21</v>
      </c>
      <c r="L63" s="76">
        <v>5.7789065501473195E-3</v>
      </c>
      <c r="M63" s="76">
        <v>1.0876911322139526E-2</v>
      </c>
      <c r="N63" s="76">
        <v>1.3383219336226205E-2</v>
      </c>
      <c r="O63" s="64">
        <v>1.5063445902194179E-2</v>
      </c>
      <c r="P63" s="55" t="s">
        <v>21</v>
      </c>
      <c r="Q63" s="53" t="s">
        <v>21</v>
      </c>
      <c r="R63" s="94" t="s">
        <v>21</v>
      </c>
      <c r="S63" s="71" t="s">
        <v>21</v>
      </c>
      <c r="T63" s="63" t="s">
        <v>21</v>
      </c>
      <c r="V63" s="114">
        <v>1.1510472700000001</v>
      </c>
      <c r="W63" s="108">
        <v>2.9470819100000001</v>
      </c>
      <c r="X63" s="108">
        <v>4.56775251</v>
      </c>
      <c r="Y63" s="108">
        <v>5.9945677399999999</v>
      </c>
      <c r="Z63" s="115">
        <v>7.8295106200000006</v>
      </c>
    </row>
    <row r="64" spans="2:26" x14ac:dyDescent="0.35">
      <c r="B64" s="56" t="s">
        <v>230</v>
      </c>
      <c r="C64" s="66" t="s">
        <v>65</v>
      </c>
      <c r="D64" s="66" t="s">
        <v>97</v>
      </c>
      <c r="E64" s="66" t="s">
        <v>21</v>
      </c>
      <c r="F64" s="75">
        <v>2.514762180693584E-2</v>
      </c>
      <c r="G64" s="80">
        <v>3.3500869103199202E-2</v>
      </c>
      <c r="H64" s="80">
        <v>3.9672204672505748E-2</v>
      </c>
      <c r="I64" s="80">
        <v>4.2908763280451429E-2</v>
      </c>
      <c r="J64" s="62">
        <v>4.6510518568926448E-2</v>
      </c>
      <c r="K64" s="75" t="s">
        <v>21</v>
      </c>
      <c r="L64" s="80">
        <v>5.151020803199206E-3</v>
      </c>
      <c r="M64" s="80">
        <v>1.0642200872505749E-2</v>
      </c>
      <c r="N64" s="80">
        <v>1.3025637180451433E-2</v>
      </c>
      <c r="O64" s="62">
        <v>1.5287288668926449E-2</v>
      </c>
      <c r="P64" s="56" t="s">
        <v>21</v>
      </c>
      <c r="Q64" s="66" t="s">
        <v>21</v>
      </c>
      <c r="R64" s="100" t="s">
        <v>21</v>
      </c>
      <c r="S64" s="80" t="s">
        <v>21</v>
      </c>
      <c r="T64" s="62" t="s">
        <v>21</v>
      </c>
      <c r="V64" s="118">
        <v>1.15090574</v>
      </c>
      <c r="W64" s="61">
        <v>2.9430086000000002</v>
      </c>
      <c r="X64" s="61">
        <v>4.5459081399999999</v>
      </c>
      <c r="Y64" s="61">
        <v>5.9423413600000003</v>
      </c>
      <c r="Z64" s="119">
        <v>7.7040356500000007</v>
      </c>
    </row>
    <row r="65" spans="2:26" x14ac:dyDescent="0.35">
      <c r="B65" s="57" t="s">
        <v>230</v>
      </c>
      <c r="C65" s="67" t="s">
        <v>66</v>
      </c>
      <c r="D65" s="67" t="s">
        <v>97</v>
      </c>
      <c r="E65" s="67" t="s">
        <v>21</v>
      </c>
      <c r="F65" s="74">
        <v>2.6523894462383742E-2</v>
      </c>
      <c r="G65" s="76">
        <v>3.7164499627286164E-2</v>
      </c>
      <c r="H65" s="76">
        <v>4.5498007870229173E-2</v>
      </c>
      <c r="I65" s="76">
        <v>5.0215696807734786E-2</v>
      </c>
      <c r="J65" s="64">
        <v>5.4456062637954585E-2</v>
      </c>
      <c r="K65" s="74" t="s">
        <v>21</v>
      </c>
      <c r="L65" s="76">
        <v>8.7262768272861665E-3</v>
      </c>
      <c r="M65" s="76">
        <v>1.6307540970229181E-2</v>
      </c>
      <c r="N65" s="76">
        <v>2.0110969607734785E-2</v>
      </c>
      <c r="O65" s="64">
        <v>2.3005639337954582E-2</v>
      </c>
      <c r="P65" s="57" t="s">
        <v>21</v>
      </c>
      <c r="Q65" s="67" t="s">
        <v>21</v>
      </c>
      <c r="R65" s="96" t="s">
        <v>21</v>
      </c>
      <c r="S65" s="76" t="s">
        <v>21</v>
      </c>
      <c r="T65" s="64" t="s">
        <v>21</v>
      </c>
      <c r="V65" s="116">
        <v>1.14992446</v>
      </c>
      <c r="W65" s="72">
        <v>2.9303200600000001</v>
      </c>
      <c r="X65" s="72">
        <v>4.5013450599999993</v>
      </c>
      <c r="Y65" s="72">
        <v>5.8431118599999996</v>
      </c>
      <c r="Z65" s="115">
        <v>7.5019567199999999</v>
      </c>
    </row>
    <row r="66" spans="2:26" x14ac:dyDescent="0.35">
      <c r="B66" s="57" t="s">
        <v>308</v>
      </c>
      <c r="C66" s="67" t="s">
        <v>61</v>
      </c>
      <c r="D66" s="67" t="s">
        <v>97</v>
      </c>
      <c r="E66" s="67" t="s">
        <v>21</v>
      </c>
      <c r="F66" s="74">
        <v>2.4020919597157291E-2</v>
      </c>
      <c r="G66" s="76">
        <v>3.0974554909094575E-2</v>
      </c>
      <c r="H66" s="76">
        <v>3.5290387939362622E-2</v>
      </c>
      <c r="I66" s="76">
        <v>3.7754358687394463E-2</v>
      </c>
      <c r="J66" s="64">
        <v>4.0427643198707897E-2</v>
      </c>
      <c r="K66" s="74" t="s">
        <v>21</v>
      </c>
      <c r="L66" s="76">
        <v>2.7071994090945807E-3</v>
      </c>
      <c r="M66" s="76">
        <v>6.4087789393626193E-3</v>
      </c>
      <c r="N66" s="76">
        <v>8.0481779873944649E-3</v>
      </c>
      <c r="O66" s="64">
        <v>9.3809534987078936E-3</v>
      </c>
      <c r="P66" s="57" t="s">
        <v>21</v>
      </c>
      <c r="Q66" s="67" t="s">
        <v>21</v>
      </c>
      <c r="R66" s="96" t="s">
        <v>21</v>
      </c>
      <c r="S66" s="76" t="s">
        <v>21</v>
      </c>
      <c r="T66" s="64" t="s">
        <v>21</v>
      </c>
      <c r="V66" s="118">
        <v>1.15313321</v>
      </c>
      <c r="W66" s="61">
        <v>2.96339006</v>
      </c>
      <c r="X66" s="61">
        <v>4.6178980100000002</v>
      </c>
      <c r="Y66" s="61">
        <v>6.0985833600000001</v>
      </c>
      <c r="Z66" s="119">
        <v>8.0348055699999996</v>
      </c>
    </row>
    <row r="67" spans="2:26" x14ac:dyDescent="0.35">
      <c r="B67" s="79" t="s">
        <v>303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7"/>
      <c r="P67" s="79"/>
      <c r="Q67" s="78"/>
      <c r="R67" s="95"/>
      <c r="S67" s="78"/>
      <c r="T67" s="77"/>
      <c r="V67" s="112"/>
      <c r="W67" s="107"/>
      <c r="X67" s="107"/>
      <c r="Y67" s="107"/>
      <c r="Z67" s="113"/>
    </row>
    <row r="68" spans="2:26" x14ac:dyDescent="0.35">
      <c r="B68" s="56" t="s">
        <v>305</v>
      </c>
      <c r="C68" s="66" t="s">
        <v>30</v>
      </c>
      <c r="D68" s="66" t="s">
        <v>306</v>
      </c>
      <c r="E68" s="66" t="s">
        <v>21</v>
      </c>
      <c r="F68" s="75">
        <v>2.4395241809533459E-2</v>
      </c>
      <c r="G68" s="80">
        <v>3.1634516382209613E-2</v>
      </c>
      <c r="H68" s="80">
        <v>3.617017283226294E-2</v>
      </c>
      <c r="I68" s="80">
        <v>3.9156173609082308E-2</v>
      </c>
      <c r="J68" s="62">
        <v>4.2381345290902046E-2</v>
      </c>
      <c r="K68" s="75" t="s">
        <v>21</v>
      </c>
      <c r="L68" s="80">
        <v>3.3465320822096156E-3</v>
      </c>
      <c r="M68" s="80">
        <v>7.2616188322629366E-3</v>
      </c>
      <c r="N68" s="80">
        <v>9.4065660090823077E-3</v>
      </c>
      <c r="O68" s="62">
        <v>1.1285941190902045E-2</v>
      </c>
      <c r="P68" s="55" t="s">
        <v>21</v>
      </c>
      <c r="Q68" s="53" t="s">
        <v>21</v>
      </c>
      <c r="R68" s="94" t="s">
        <v>21</v>
      </c>
      <c r="S68" s="71" t="s">
        <v>21</v>
      </c>
      <c r="T68" s="63" t="s">
        <v>21</v>
      </c>
      <c r="V68" s="118">
        <v>1.15239571</v>
      </c>
      <c r="W68" s="61">
        <v>2.9577712599999999</v>
      </c>
      <c r="X68" s="61">
        <v>4.6014935100000001</v>
      </c>
      <c r="Y68" s="61">
        <v>6.0597925899999998</v>
      </c>
      <c r="Z68" s="119">
        <v>7.9392044999999998</v>
      </c>
    </row>
    <row r="69" spans="2:26" x14ac:dyDescent="0.35">
      <c r="B69" s="55" t="s">
        <v>305</v>
      </c>
      <c r="C69" s="67" t="s">
        <v>35</v>
      </c>
      <c r="D69" s="53" t="s">
        <v>306</v>
      </c>
      <c r="E69" s="53" t="s">
        <v>21</v>
      </c>
      <c r="F69" s="73">
        <v>2.6752768396396669E-2</v>
      </c>
      <c r="G69" s="71">
        <v>3.7662600481320134E-2</v>
      </c>
      <c r="H69" s="71">
        <v>4.6282765568556608E-2</v>
      </c>
      <c r="I69" s="71">
        <v>5.1363632039400635E-2</v>
      </c>
      <c r="J69" s="63">
        <v>5.5247592949145184E-2</v>
      </c>
      <c r="K69" s="73" t="s">
        <v>21</v>
      </c>
      <c r="L69" s="71">
        <v>9.2051513813201369E-3</v>
      </c>
      <c r="M69" s="71">
        <v>1.7058819168556609E-2</v>
      </c>
      <c r="N69" s="71">
        <v>2.1207545939400631E-2</v>
      </c>
      <c r="O69" s="63">
        <v>2.3765210449145188E-2</v>
      </c>
      <c r="P69" s="55" t="s">
        <v>21</v>
      </c>
      <c r="Q69" s="53" t="s">
        <v>21</v>
      </c>
      <c r="R69" s="94" t="s">
        <v>21</v>
      </c>
      <c r="S69" s="71" t="s">
        <v>21</v>
      </c>
      <c r="T69" s="63" t="s">
        <v>21</v>
      </c>
      <c r="V69" s="114">
        <v>1.1496294</v>
      </c>
      <c r="W69" s="72">
        <v>2.9273904499999999</v>
      </c>
      <c r="X69" s="72">
        <v>4.4913771100000002</v>
      </c>
      <c r="Y69" s="72">
        <v>5.8198599599999996</v>
      </c>
      <c r="Z69" s="115">
        <v>7.4606135700000005</v>
      </c>
    </row>
    <row r="70" spans="2:26" x14ac:dyDescent="0.35">
      <c r="B70" s="57" t="s">
        <v>305</v>
      </c>
      <c r="C70" s="53" t="s">
        <v>33</v>
      </c>
      <c r="D70" s="67" t="s">
        <v>306</v>
      </c>
      <c r="E70" s="54" t="s">
        <v>21</v>
      </c>
      <c r="F70" s="74">
        <v>2.5209082776333984E-2</v>
      </c>
      <c r="G70" s="76">
        <v>3.4267325765554066E-2</v>
      </c>
      <c r="H70" s="76">
        <v>4.0749926453217934E-2</v>
      </c>
      <c r="I70" s="76">
        <v>4.4488358396633627E-2</v>
      </c>
      <c r="J70" s="64">
        <v>4.8203354169623958E-2</v>
      </c>
      <c r="K70" s="74" t="s">
        <v>21</v>
      </c>
      <c r="L70" s="76">
        <v>5.8919565655540657E-3</v>
      </c>
      <c r="M70" s="76">
        <v>1.1679401753217928E-2</v>
      </c>
      <c r="N70" s="76">
        <v>1.454108899663363E-2</v>
      </c>
      <c r="O70" s="64">
        <v>1.6919758569623952E-2</v>
      </c>
      <c r="P70" s="55" t="s">
        <v>21</v>
      </c>
      <c r="Q70" s="53" t="s">
        <v>21</v>
      </c>
      <c r="R70" s="94" t="s">
        <v>21</v>
      </c>
      <c r="S70" s="71" t="s">
        <v>21</v>
      </c>
      <c r="T70" s="63" t="s">
        <v>21</v>
      </c>
      <c r="V70" s="114">
        <v>1.1507521200000002</v>
      </c>
      <c r="W70" s="108">
        <v>2.9377737599999998</v>
      </c>
      <c r="X70" s="108">
        <v>4.5277884099999994</v>
      </c>
      <c r="Y70" s="108">
        <v>5.8997560599999996</v>
      </c>
      <c r="Z70" s="115">
        <v>7.61370624</v>
      </c>
    </row>
    <row r="71" spans="2:26" x14ac:dyDescent="0.35">
      <c r="B71" s="79" t="s">
        <v>304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7"/>
      <c r="P71" s="79"/>
      <c r="Q71" s="78"/>
      <c r="R71" s="95"/>
      <c r="S71" s="78"/>
      <c r="T71" s="77"/>
      <c r="V71" s="112"/>
      <c r="W71" s="107"/>
      <c r="X71" s="107"/>
      <c r="Y71" s="107"/>
      <c r="Z71" s="113"/>
    </row>
    <row r="72" spans="2:26" x14ac:dyDescent="0.35">
      <c r="B72" s="56" t="s">
        <v>307</v>
      </c>
      <c r="C72" s="66" t="s">
        <v>30</v>
      </c>
      <c r="D72" s="66" t="s">
        <v>131</v>
      </c>
      <c r="E72" s="66" t="s">
        <v>21</v>
      </c>
      <c r="F72" s="75">
        <v>2.4508161849087617E-2</v>
      </c>
      <c r="G72" s="80">
        <v>3.1674864325270433E-2</v>
      </c>
      <c r="H72" s="80">
        <v>3.6272662862957328E-2</v>
      </c>
      <c r="I72" s="80">
        <v>3.9009939506847349E-2</v>
      </c>
      <c r="J72" s="62">
        <v>4.1797191425391442E-2</v>
      </c>
      <c r="K72" s="75" t="s">
        <v>21</v>
      </c>
      <c r="L72" s="80">
        <v>3.3857334252704345E-3</v>
      </c>
      <c r="M72" s="80">
        <v>7.3609239629573286E-3</v>
      </c>
      <c r="N72" s="80">
        <v>9.2653408068473515E-3</v>
      </c>
      <c r="O72" s="62">
        <v>1.0717863725391437E-2</v>
      </c>
      <c r="P72" s="56" t="s">
        <v>21</v>
      </c>
      <c r="Q72" s="66" t="s">
        <v>21</v>
      </c>
      <c r="R72" s="100" t="s">
        <v>21</v>
      </c>
      <c r="S72" s="80" t="s">
        <v>21</v>
      </c>
      <c r="T72" s="62" t="s">
        <v>21</v>
      </c>
      <c r="V72" s="118">
        <v>1.1521692100000001</v>
      </c>
      <c r="W72" s="61">
        <v>2.9571035700000001</v>
      </c>
      <c r="X72" s="61">
        <v>4.59966805</v>
      </c>
      <c r="Y72" s="61">
        <v>6.0598488599999998</v>
      </c>
      <c r="Z72" s="119">
        <v>7.95510275</v>
      </c>
    </row>
    <row r="73" spans="2:26" x14ac:dyDescent="0.35">
      <c r="B73" s="57" t="s">
        <v>307</v>
      </c>
      <c r="C73" s="67" t="s">
        <v>35</v>
      </c>
      <c r="D73" s="67" t="s">
        <v>131</v>
      </c>
      <c r="E73" s="67" t="s">
        <v>21</v>
      </c>
      <c r="F73" s="74">
        <v>2.6769469103429141E-2</v>
      </c>
      <c r="G73" s="76">
        <v>3.7669092660287527E-2</v>
      </c>
      <c r="H73" s="76">
        <v>4.62869894735458E-2</v>
      </c>
      <c r="I73" s="76">
        <v>5.1366901081921885E-2</v>
      </c>
      <c r="J73" s="64">
        <v>5.5604874875639608E-2</v>
      </c>
      <c r="K73" s="74" t="s">
        <v>21</v>
      </c>
      <c r="L73" s="76">
        <v>9.2093149602875297E-3</v>
      </c>
      <c r="M73" s="76">
        <v>1.7061273673545801E-2</v>
      </c>
      <c r="N73" s="76">
        <v>2.1209312081921887E-2</v>
      </c>
      <c r="O73" s="64">
        <v>2.4105614975639622E-2</v>
      </c>
      <c r="P73" s="57" t="s">
        <v>21</v>
      </c>
      <c r="Q73" s="67" t="s">
        <v>21</v>
      </c>
      <c r="R73" s="96" t="s">
        <v>21</v>
      </c>
      <c r="S73" s="76" t="s">
        <v>21</v>
      </c>
      <c r="T73" s="64" t="s">
        <v>21</v>
      </c>
      <c r="V73" s="116">
        <v>1.1496394999999999</v>
      </c>
      <c r="W73" s="72">
        <v>2.9273867400000002</v>
      </c>
      <c r="X73" s="72">
        <v>4.4913623299999994</v>
      </c>
      <c r="Y73" s="72">
        <v>5.8198353100000002</v>
      </c>
      <c r="Z73" s="115">
        <v>7.4544012199999994</v>
      </c>
    </row>
    <row r="74" spans="2:26" x14ac:dyDescent="0.35">
      <c r="B74" s="79" t="s">
        <v>67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7"/>
      <c r="P74" s="79"/>
      <c r="Q74" s="78"/>
      <c r="R74" s="95"/>
      <c r="S74" s="78"/>
      <c r="T74" s="77"/>
      <c r="V74" s="112"/>
      <c r="W74" s="107"/>
      <c r="X74" s="107"/>
      <c r="Y74" s="107"/>
      <c r="Z74" s="113"/>
    </row>
    <row r="75" spans="2:26" x14ac:dyDescent="0.35">
      <c r="B75" s="56" t="s">
        <v>68</v>
      </c>
      <c r="C75" s="66" t="s">
        <v>61</v>
      </c>
      <c r="D75" s="66" t="s">
        <v>69</v>
      </c>
      <c r="E75" s="66" t="s">
        <v>21</v>
      </c>
      <c r="F75" s="75">
        <v>2.7238361864072146E-2</v>
      </c>
      <c r="G75" s="80">
        <v>3.4720163609481332E-2</v>
      </c>
      <c r="H75" s="80">
        <v>4.0195822057742414E-2</v>
      </c>
      <c r="I75" s="80">
        <v>4.3182972442483127E-2</v>
      </c>
      <c r="J75" s="62">
        <v>4.6411835283370458E-2</v>
      </c>
      <c r="K75" s="75" t="s">
        <v>21</v>
      </c>
      <c r="L75" s="80">
        <v>6.3271323094813365E-3</v>
      </c>
      <c r="M75" s="80">
        <v>1.1145518357742421E-2</v>
      </c>
      <c r="N75" s="80">
        <v>1.3286900242483126E-2</v>
      </c>
      <c r="O75" s="62">
        <v>1.5187738783370467E-2</v>
      </c>
      <c r="P75" s="56" t="s">
        <v>21</v>
      </c>
      <c r="Q75" s="66" t="s">
        <v>21</v>
      </c>
      <c r="R75" s="100" t="s">
        <v>21</v>
      </c>
      <c r="S75" s="80" t="s">
        <v>21</v>
      </c>
      <c r="T75" s="62" t="s">
        <v>21</v>
      </c>
      <c r="V75" s="118">
        <v>1.14676909</v>
      </c>
      <c r="W75" s="61">
        <v>2.9278238999999999</v>
      </c>
      <c r="X75" s="61">
        <v>4.5231117799999998</v>
      </c>
      <c r="Y75" s="61">
        <v>5.9159555699999995</v>
      </c>
      <c r="Z75" s="119">
        <v>7.6816488500000002</v>
      </c>
    </row>
    <row r="76" spans="2:26" x14ac:dyDescent="0.35">
      <c r="B76" s="57" t="s">
        <v>68</v>
      </c>
      <c r="C76" s="67" t="s">
        <v>63</v>
      </c>
      <c r="D76" s="67" t="s">
        <v>69</v>
      </c>
      <c r="E76" s="67" t="s">
        <v>81</v>
      </c>
      <c r="F76" s="74">
        <v>2.8850643258959648E-2</v>
      </c>
      <c r="G76" s="76">
        <v>3.7645147486186997E-2</v>
      </c>
      <c r="H76" s="76">
        <v>4.3727865309930766E-2</v>
      </c>
      <c r="I76" s="76">
        <v>4.705719338817748E-2</v>
      </c>
      <c r="J76" s="64">
        <v>5.0302595695400139E-2</v>
      </c>
      <c r="K76" s="74">
        <v>1.4177407589596441E-3</v>
      </c>
      <c r="L76" s="76">
        <v>9.1912816861870004E-3</v>
      </c>
      <c r="M76" s="76">
        <v>1.4604807809930773E-2</v>
      </c>
      <c r="N76" s="76">
        <v>1.7077192888177488E-2</v>
      </c>
      <c r="O76" s="64">
        <v>1.9000731195400137E-2</v>
      </c>
      <c r="P76" s="57" t="s">
        <v>21</v>
      </c>
      <c r="Q76" s="67" t="s">
        <v>21</v>
      </c>
      <c r="R76" s="96" t="s">
        <v>21</v>
      </c>
      <c r="S76" s="76" t="s">
        <v>21</v>
      </c>
      <c r="T76" s="64" t="s">
        <v>21</v>
      </c>
      <c r="V76" s="116">
        <v>1.14573748</v>
      </c>
      <c r="W76" s="108">
        <v>2.92053539</v>
      </c>
      <c r="X76" s="108">
        <v>4.5054752799999997</v>
      </c>
      <c r="Y76" s="108">
        <v>5.8853711999999998</v>
      </c>
      <c r="Z76" s="117">
        <v>7.6338012499999994</v>
      </c>
    </row>
    <row r="77" spans="2:26" x14ac:dyDescent="0.35">
      <c r="B77" s="56" t="s">
        <v>70</v>
      </c>
      <c r="C77" s="66" t="s">
        <v>65</v>
      </c>
      <c r="D77" s="66" t="s">
        <v>69</v>
      </c>
      <c r="E77" s="66" t="s">
        <v>231</v>
      </c>
      <c r="F77" s="75">
        <v>2.7514123726560563E-2</v>
      </c>
      <c r="G77" s="80">
        <v>3.5611125359824532E-2</v>
      </c>
      <c r="H77" s="80">
        <v>4.1379614196466019E-2</v>
      </c>
      <c r="I77" s="80">
        <v>4.486818203865843E-2</v>
      </c>
      <c r="J77" s="62">
        <v>4.840227420850339E-2</v>
      </c>
      <c r="K77" s="75">
        <v>1.1496902656056227E-4</v>
      </c>
      <c r="L77" s="80">
        <v>7.1863825598245355E-3</v>
      </c>
      <c r="M77" s="80">
        <v>1.2283389196466024E-2</v>
      </c>
      <c r="N77" s="80">
        <v>1.4902282338658427E-2</v>
      </c>
      <c r="O77" s="62">
        <v>1.7105310608503389E-2</v>
      </c>
      <c r="P77" s="55" t="s">
        <v>450</v>
      </c>
      <c r="Q77" s="53" t="s">
        <v>451</v>
      </c>
      <c r="R77" s="94">
        <v>47371</v>
      </c>
      <c r="S77" s="71">
        <v>3.7831570000000002E-2</v>
      </c>
      <c r="T77" s="63">
        <v>3.5480441964660173E-3</v>
      </c>
      <c r="V77" s="118">
        <v>1.1460150800000002</v>
      </c>
      <c r="W77" s="61">
        <v>2.9207696099999998</v>
      </c>
      <c r="X77" s="61">
        <v>4.5019793200000002</v>
      </c>
      <c r="Y77" s="61">
        <v>5.8689459800000003</v>
      </c>
      <c r="Z77" s="119">
        <v>7.5799037700000005</v>
      </c>
    </row>
    <row r="78" spans="2:26" x14ac:dyDescent="0.35">
      <c r="B78" s="55" t="s">
        <v>70</v>
      </c>
      <c r="C78" s="53" t="s">
        <v>66</v>
      </c>
      <c r="D78" s="53" t="s">
        <v>69</v>
      </c>
      <c r="E78" s="53" t="s">
        <v>81</v>
      </c>
      <c r="F78" s="73">
        <v>2.8991501505149061E-2</v>
      </c>
      <c r="G78" s="71">
        <v>3.913734966363281E-2</v>
      </c>
      <c r="H78" s="71">
        <v>4.7174294620027354E-2</v>
      </c>
      <c r="I78" s="71">
        <v>5.2163159197303181E-2</v>
      </c>
      <c r="J78" s="63">
        <v>5.6225043987642082E-2</v>
      </c>
      <c r="K78" s="73">
        <v>1.5506909051490672E-3</v>
      </c>
      <c r="L78" s="71">
        <v>1.0630776563632805E-2</v>
      </c>
      <c r="M78" s="71">
        <v>1.7914142820027346E-2</v>
      </c>
      <c r="N78" s="71">
        <v>2.197030079730318E-2</v>
      </c>
      <c r="O78" s="63">
        <v>2.4697193787642083E-2</v>
      </c>
      <c r="P78" s="55" t="s">
        <v>21</v>
      </c>
      <c r="Q78" s="53" t="s">
        <v>21</v>
      </c>
      <c r="R78" s="94" t="s">
        <v>21</v>
      </c>
      <c r="S78" s="71" t="s">
        <v>21</v>
      </c>
      <c r="T78" s="63" t="s">
        <v>21</v>
      </c>
      <c r="V78" s="116">
        <v>1.1454890400000002</v>
      </c>
      <c r="W78" s="108">
        <v>2.9129311099999997</v>
      </c>
      <c r="X78" s="108">
        <v>4.4678784300000007</v>
      </c>
      <c r="Y78" s="108">
        <v>5.7877762600000002</v>
      </c>
      <c r="Z78" s="117">
        <v>7.4111844600000003</v>
      </c>
    </row>
    <row r="79" spans="2:26" x14ac:dyDescent="0.35">
      <c r="B79" s="56" t="s">
        <v>71</v>
      </c>
      <c r="C79" s="66" t="s">
        <v>61</v>
      </c>
      <c r="D79" s="66" t="s">
        <v>69</v>
      </c>
      <c r="E79" s="66" t="s">
        <v>21</v>
      </c>
      <c r="F79" s="75">
        <v>2.5218636050193834E-2</v>
      </c>
      <c r="G79" s="80">
        <v>3.2194195035786223E-2</v>
      </c>
      <c r="H79" s="80">
        <v>3.6527825804463877E-2</v>
      </c>
      <c r="I79" s="80">
        <v>3.9114169447639589E-2</v>
      </c>
      <c r="J79" s="62">
        <v>4.1807553554424087E-2</v>
      </c>
      <c r="K79" s="75" t="s">
        <v>21</v>
      </c>
      <c r="L79" s="80">
        <v>3.8902382357862233E-3</v>
      </c>
      <c r="M79" s="80">
        <v>7.6091300044638793E-3</v>
      </c>
      <c r="N79" s="80">
        <v>9.3666054476395956E-3</v>
      </c>
      <c r="O79" s="62">
        <v>1.0726846454424085E-2</v>
      </c>
      <c r="P79" s="56" t="s">
        <v>21</v>
      </c>
      <c r="Q79" s="66" t="s">
        <v>21</v>
      </c>
      <c r="R79" s="100" t="s">
        <v>21</v>
      </c>
      <c r="S79" s="80" t="s">
        <v>21</v>
      </c>
      <c r="T79" s="62" t="s">
        <v>21</v>
      </c>
      <c r="V79" s="118">
        <v>1.15072427</v>
      </c>
      <c r="W79" s="61">
        <v>2.9511374999999997</v>
      </c>
      <c r="X79" s="61">
        <v>4.5899242200000003</v>
      </c>
      <c r="Y79" s="61">
        <v>6.0484344700000001</v>
      </c>
      <c r="Z79" s="119">
        <v>7.9440100299999994</v>
      </c>
    </row>
    <row r="80" spans="2:26" x14ac:dyDescent="0.35">
      <c r="B80" s="57" t="s">
        <v>71</v>
      </c>
      <c r="C80" s="67" t="s">
        <v>63</v>
      </c>
      <c r="D80" s="67" t="s">
        <v>69</v>
      </c>
      <c r="E80" s="67" t="s">
        <v>21</v>
      </c>
      <c r="F80" s="74">
        <v>2.6663826703704593E-2</v>
      </c>
      <c r="G80" s="76">
        <v>3.4426478787198282E-2</v>
      </c>
      <c r="H80" s="76">
        <v>3.9475316634964168E-2</v>
      </c>
      <c r="I80" s="76">
        <v>4.2614822298365822E-2</v>
      </c>
      <c r="J80" s="64">
        <v>4.5467588706546207E-2</v>
      </c>
      <c r="K80" s="74" t="s">
        <v>21</v>
      </c>
      <c r="L80" s="76">
        <v>6.0775043871982883E-3</v>
      </c>
      <c r="M80" s="76">
        <v>1.0497839234964172E-2</v>
      </c>
      <c r="N80" s="76">
        <v>1.2793387298365821E-2</v>
      </c>
      <c r="O80" s="64">
        <v>1.4321085906546209E-2</v>
      </c>
      <c r="P80" s="57" t="s">
        <v>21</v>
      </c>
      <c r="Q80" s="67" t="s">
        <v>21</v>
      </c>
      <c r="R80" s="96" t="s">
        <v>21</v>
      </c>
      <c r="S80" s="76" t="s">
        <v>21</v>
      </c>
      <c r="T80" s="64" t="s">
        <v>21</v>
      </c>
      <c r="V80" s="116">
        <v>1.14965147</v>
      </c>
      <c r="W80" s="108">
        <v>2.9433794400000002</v>
      </c>
      <c r="X80" s="108">
        <v>4.5674996300000004</v>
      </c>
      <c r="Y80" s="108">
        <v>6.00205082</v>
      </c>
      <c r="Z80" s="117">
        <v>7.8545487499999993</v>
      </c>
    </row>
    <row r="81" spans="2:26" x14ac:dyDescent="0.35">
      <c r="B81" s="55" t="s">
        <v>72</v>
      </c>
      <c r="C81" s="53" t="s">
        <v>65</v>
      </c>
      <c r="D81" s="53" t="s">
        <v>69</v>
      </c>
      <c r="E81" s="53" t="s">
        <v>34</v>
      </c>
      <c r="F81" s="73">
        <v>2.5165219058086656E-2</v>
      </c>
      <c r="G81" s="71">
        <v>3.3083629268651077E-2</v>
      </c>
      <c r="H81" s="71">
        <v>3.89529706117374E-2</v>
      </c>
      <c r="I81" s="71">
        <v>4.2159683823889058E-2</v>
      </c>
      <c r="J81" s="63">
        <v>4.5800331440563773E-2</v>
      </c>
      <c r="K81" s="73" t="s">
        <v>21</v>
      </c>
      <c r="L81" s="71">
        <v>4.7476411686510761E-3</v>
      </c>
      <c r="M81" s="71">
        <v>9.9493050117374048E-3</v>
      </c>
      <c r="N81" s="71">
        <v>1.2305046823889054E-2</v>
      </c>
      <c r="O81" s="63">
        <v>1.4600858540563777E-2</v>
      </c>
      <c r="P81" s="55" t="s">
        <v>21</v>
      </c>
      <c r="Q81" s="53" t="s">
        <v>21</v>
      </c>
      <c r="R81" s="94" t="s">
        <v>21</v>
      </c>
      <c r="S81" s="71" t="s">
        <v>21</v>
      </c>
      <c r="T81" s="63" t="s">
        <v>21</v>
      </c>
      <c r="V81" s="118">
        <v>1.1508811299999999</v>
      </c>
      <c r="W81" s="61">
        <v>2.9456688899999999</v>
      </c>
      <c r="X81" s="61">
        <v>4.5570099599999994</v>
      </c>
      <c r="Y81" s="61">
        <v>5.9656816799999994</v>
      </c>
      <c r="Z81" s="119">
        <v>7.7476017999999991</v>
      </c>
    </row>
    <row r="82" spans="2:26" x14ac:dyDescent="0.35">
      <c r="B82" s="57" t="s">
        <v>72</v>
      </c>
      <c r="C82" s="67" t="s">
        <v>66</v>
      </c>
      <c r="D82" s="67" t="s">
        <v>69</v>
      </c>
      <c r="E82" s="67" t="s">
        <v>36</v>
      </c>
      <c r="F82" s="74">
        <v>2.6360493016104769E-2</v>
      </c>
      <c r="G82" s="76">
        <v>3.6735223394560534E-2</v>
      </c>
      <c r="H82" s="76">
        <v>4.4619997561609809E-2</v>
      </c>
      <c r="I82" s="76">
        <v>4.9205591906013126E-2</v>
      </c>
      <c r="J82" s="64">
        <v>5.3134170773354215E-2</v>
      </c>
      <c r="K82" s="74" t="s">
        <v>21</v>
      </c>
      <c r="L82" s="76">
        <v>8.3121263945605383E-3</v>
      </c>
      <c r="M82" s="76">
        <v>1.5464584361609818E-2</v>
      </c>
      <c r="N82" s="76">
        <v>1.9143524806013126E-2</v>
      </c>
      <c r="O82" s="64">
        <v>2.1736642573354208E-2</v>
      </c>
      <c r="P82" s="57" t="s">
        <v>21</v>
      </c>
      <c r="Q82" s="67" t="s">
        <v>21</v>
      </c>
      <c r="R82" s="96" t="s">
        <v>21</v>
      </c>
      <c r="S82" s="76" t="s">
        <v>21</v>
      </c>
      <c r="T82" s="64" t="s">
        <v>21</v>
      </c>
      <c r="V82" s="116">
        <v>1.1501481099999999</v>
      </c>
      <c r="W82" s="108">
        <v>2.9327993699999997</v>
      </c>
      <c r="X82" s="108">
        <v>4.5115601200000004</v>
      </c>
      <c r="Y82" s="108">
        <v>5.8655199399999995</v>
      </c>
      <c r="Z82" s="117">
        <v>7.5511871900000003</v>
      </c>
    </row>
    <row r="83" spans="2:26" x14ac:dyDescent="0.35">
      <c r="B83" s="57" t="s">
        <v>74</v>
      </c>
      <c r="C83" s="67" t="s">
        <v>61</v>
      </c>
      <c r="D83" s="67" t="s">
        <v>69</v>
      </c>
      <c r="E83" s="67" t="s">
        <v>314</v>
      </c>
      <c r="F83" s="74">
        <v>2.6060641137749519E-2</v>
      </c>
      <c r="G83" s="76">
        <v>3.3745136672358692E-2</v>
      </c>
      <c r="H83" s="76">
        <v>3.90585106404681E-2</v>
      </c>
      <c r="I83" s="76">
        <v>4.2266545819646235E-2</v>
      </c>
      <c r="J83" s="64">
        <v>4.557813469906416E-2</v>
      </c>
      <c r="K83" s="74" t="s">
        <v>21</v>
      </c>
      <c r="L83" s="76">
        <v>5.3880343723586993E-3</v>
      </c>
      <c r="M83" s="76">
        <v>1.0052096440468098E-2</v>
      </c>
      <c r="N83" s="76">
        <v>1.2407478319646234E-2</v>
      </c>
      <c r="O83" s="64">
        <v>1.4385424299064153E-2</v>
      </c>
      <c r="P83" s="57" t="s">
        <v>21</v>
      </c>
      <c r="Q83" s="67" t="s">
        <v>21</v>
      </c>
      <c r="R83" s="96" t="s">
        <v>21</v>
      </c>
      <c r="S83" s="76" t="s">
        <v>21</v>
      </c>
      <c r="T83" s="64" t="s">
        <v>21</v>
      </c>
      <c r="V83" s="118">
        <v>1.14907582</v>
      </c>
      <c r="W83" s="61">
        <v>2.9381760799999999</v>
      </c>
      <c r="X83" s="61">
        <v>4.54712592</v>
      </c>
      <c r="Y83" s="61">
        <v>5.9548143700000002</v>
      </c>
      <c r="Z83" s="119">
        <v>7.7426749200000007</v>
      </c>
    </row>
    <row r="84" spans="2:26" x14ac:dyDescent="0.35">
      <c r="B84" s="55" t="s">
        <v>76</v>
      </c>
      <c r="C84" s="53" t="s">
        <v>65</v>
      </c>
      <c r="D84" s="53" t="s">
        <v>69</v>
      </c>
      <c r="E84" s="53" t="s">
        <v>34</v>
      </c>
      <c r="F84" s="73">
        <v>2.6262926505336709E-2</v>
      </c>
      <c r="G84" s="71">
        <v>3.4432131351515856E-2</v>
      </c>
      <c r="H84" s="71">
        <v>4.1004784524363333E-2</v>
      </c>
      <c r="I84" s="71">
        <v>4.4498976750005387E-2</v>
      </c>
      <c r="J84" s="63">
        <v>4.802820580922771E-2</v>
      </c>
      <c r="K84" s="73" t="s">
        <v>21</v>
      </c>
      <c r="L84" s="71">
        <v>6.0509010515158584E-3</v>
      </c>
      <c r="M84" s="71">
        <v>1.1923694424363331E-2</v>
      </c>
      <c r="N84" s="71">
        <v>1.4550757550005386E-2</v>
      </c>
      <c r="O84" s="63">
        <v>1.6749813509227711E-2</v>
      </c>
      <c r="P84" s="55" t="s">
        <v>21</v>
      </c>
      <c r="Q84" s="53" t="s">
        <v>21</v>
      </c>
      <c r="R84" s="94" t="s">
        <v>21</v>
      </c>
      <c r="S84" s="71" t="s">
        <v>21</v>
      </c>
      <c r="T84" s="63" t="s">
        <v>21</v>
      </c>
      <c r="V84" s="118">
        <v>1.14866877</v>
      </c>
      <c r="W84" s="61">
        <v>2.9330249900000003</v>
      </c>
      <c r="X84" s="61">
        <v>4.5202949500000003</v>
      </c>
      <c r="Y84" s="61">
        <v>5.89187774</v>
      </c>
      <c r="Z84" s="119">
        <v>7.6111103599999996</v>
      </c>
    </row>
    <row r="85" spans="2:26" x14ac:dyDescent="0.35">
      <c r="B85" s="57" t="s">
        <v>76</v>
      </c>
      <c r="C85" s="67" t="s">
        <v>66</v>
      </c>
      <c r="D85" s="67" t="s">
        <v>69</v>
      </c>
      <c r="E85" s="67" t="s">
        <v>21</v>
      </c>
      <c r="F85" s="74">
        <v>2.73420217631467E-2</v>
      </c>
      <c r="G85" s="76">
        <v>3.8000582116289344E-2</v>
      </c>
      <c r="H85" s="76">
        <v>4.6850198057787444E-2</v>
      </c>
      <c r="I85" s="76">
        <v>5.1654194553742046E-2</v>
      </c>
      <c r="J85" s="64">
        <v>5.5451896955866838E-2</v>
      </c>
      <c r="K85" s="74" t="s">
        <v>21</v>
      </c>
      <c r="L85" s="76">
        <v>9.5400701162893474E-3</v>
      </c>
      <c r="M85" s="76">
        <v>1.7609154657787448E-2</v>
      </c>
      <c r="N85" s="76">
        <v>2.1490566253742051E-2</v>
      </c>
      <c r="O85" s="64">
        <v>2.3964339155866834E-2</v>
      </c>
      <c r="P85" s="57" t="s">
        <v>21</v>
      </c>
      <c r="Q85" s="67" t="s">
        <v>21</v>
      </c>
      <c r="R85" s="96" t="s">
        <v>21</v>
      </c>
      <c r="S85" s="76" t="s">
        <v>21</v>
      </c>
      <c r="T85" s="64" t="s">
        <v>21</v>
      </c>
      <c r="V85" s="116">
        <v>1.14855705</v>
      </c>
      <c r="W85" s="108">
        <v>2.9238145900000001</v>
      </c>
      <c r="X85" s="108">
        <v>4.4827006099999993</v>
      </c>
      <c r="Y85" s="108">
        <v>5.8072409199999999</v>
      </c>
      <c r="Z85" s="117">
        <v>7.4443061500000001</v>
      </c>
    </row>
    <row r="86" spans="2:26" x14ac:dyDescent="0.35">
      <c r="B86" s="55" t="s">
        <v>77</v>
      </c>
      <c r="C86" s="53" t="s">
        <v>61</v>
      </c>
      <c r="D86" s="53" t="s">
        <v>69</v>
      </c>
      <c r="E86" s="53" t="s">
        <v>21</v>
      </c>
      <c r="F86" s="73">
        <v>2.5340120271001534E-2</v>
      </c>
      <c r="G86" s="71">
        <v>3.2503677497344736E-2</v>
      </c>
      <c r="H86" s="71">
        <v>3.6996373210638568E-2</v>
      </c>
      <c r="I86" s="71">
        <v>3.9816679560865521E-2</v>
      </c>
      <c r="J86" s="63">
        <v>4.2518794668520557E-2</v>
      </c>
      <c r="K86" s="73" t="s">
        <v>21</v>
      </c>
      <c r="L86" s="71">
        <v>4.1881176973447322E-3</v>
      </c>
      <c r="M86" s="71">
        <v>8.0614541106385669E-3</v>
      </c>
      <c r="N86" s="71">
        <v>1.0045196760865516E-2</v>
      </c>
      <c r="O86" s="63">
        <v>1.1419522768520556E-2</v>
      </c>
      <c r="P86" s="55" t="s">
        <v>21</v>
      </c>
      <c r="Q86" s="53" t="s">
        <v>21</v>
      </c>
      <c r="R86" s="94" t="s">
        <v>21</v>
      </c>
      <c r="S86" s="71" t="s">
        <v>21</v>
      </c>
      <c r="T86" s="63" t="s">
        <v>21</v>
      </c>
      <c r="V86" s="118">
        <v>1.1505151</v>
      </c>
      <c r="W86" s="61">
        <v>2.9487689000000001</v>
      </c>
      <c r="X86" s="61">
        <v>4.5819655799999994</v>
      </c>
      <c r="Y86" s="61">
        <v>6.0292810900000005</v>
      </c>
      <c r="Z86" s="119">
        <v>7.9033218099999996</v>
      </c>
    </row>
    <row r="87" spans="2:26" x14ac:dyDescent="0.35">
      <c r="B87" s="57" t="s">
        <v>77</v>
      </c>
      <c r="C87" s="67" t="s">
        <v>63</v>
      </c>
      <c r="D87" s="67" t="s">
        <v>69</v>
      </c>
      <c r="E87" s="67" t="s">
        <v>21</v>
      </c>
      <c r="F87" s="74">
        <v>2.7160783103012155E-2</v>
      </c>
      <c r="G87" s="76">
        <v>3.497573313442686E-2</v>
      </c>
      <c r="H87" s="76">
        <v>4.0555727369584356E-2</v>
      </c>
      <c r="I87" s="76">
        <v>4.3410984355740444E-2</v>
      </c>
      <c r="J87" s="64">
        <v>4.5992704104323663E-2</v>
      </c>
      <c r="K87" s="74" t="s">
        <v>21</v>
      </c>
      <c r="L87" s="76">
        <v>6.6089784344268605E-3</v>
      </c>
      <c r="M87" s="76">
        <v>1.154372666958435E-2</v>
      </c>
      <c r="N87" s="76">
        <v>1.3563322755740443E-2</v>
      </c>
      <c r="O87" s="64">
        <v>1.4830828104323669E-2</v>
      </c>
      <c r="P87" s="57" t="s">
        <v>21</v>
      </c>
      <c r="Q87" s="67" t="s">
        <v>21</v>
      </c>
      <c r="R87" s="96" t="s">
        <v>21</v>
      </c>
      <c r="S87" s="76" t="s">
        <v>21</v>
      </c>
      <c r="T87" s="64" t="s">
        <v>21</v>
      </c>
      <c r="V87" s="116">
        <v>1.1489422300000001</v>
      </c>
      <c r="W87" s="108">
        <v>2.9391910700000001</v>
      </c>
      <c r="X87" s="108">
        <v>4.55323455</v>
      </c>
      <c r="Y87" s="108">
        <v>5.9772161700000002</v>
      </c>
      <c r="Z87" s="117">
        <v>7.8175020399999999</v>
      </c>
    </row>
    <row r="88" spans="2:26" x14ac:dyDescent="0.35">
      <c r="B88" s="55" t="s">
        <v>78</v>
      </c>
      <c r="C88" s="53" t="s">
        <v>65</v>
      </c>
      <c r="D88" s="53" t="s">
        <v>69</v>
      </c>
      <c r="E88" s="53" t="s">
        <v>79</v>
      </c>
      <c r="F88" s="73">
        <v>2.5433475194395667E-2</v>
      </c>
      <c r="G88" s="71">
        <v>3.3742427636908767E-2</v>
      </c>
      <c r="H88" s="71">
        <v>4.0028599134848353E-2</v>
      </c>
      <c r="I88" s="71">
        <v>4.3450411963397079E-2</v>
      </c>
      <c r="J88" s="63">
        <v>4.7106422702273013E-2</v>
      </c>
      <c r="K88" s="73" t="s">
        <v>21</v>
      </c>
      <c r="L88" s="71">
        <v>5.3857982369087667E-3</v>
      </c>
      <c r="M88" s="71">
        <v>1.0986111034848348E-2</v>
      </c>
      <c r="N88" s="71">
        <v>1.3546234763397072E-2</v>
      </c>
      <c r="O88" s="63">
        <v>1.5862752702273008E-2</v>
      </c>
      <c r="P88" s="55" t="s">
        <v>21</v>
      </c>
      <c r="Q88" s="53" t="s">
        <v>21</v>
      </c>
      <c r="R88" s="94" t="s">
        <v>21</v>
      </c>
      <c r="S88" s="71" t="s">
        <v>21</v>
      </c>
      <c r="T88" s="63" t="s">
        <v>21</v>
      </c>
      <c r="V88" s="118">
        <v>1.1503065800000001</v>
      </c>
      <c r="W88" s="61">
        <v>2.9403721099999998</v>
      </c>
      <c r="X88" s="61">
        <v>4.5390673599999998</v>
      </c>
      <c r="Y88" s="61">
        <v>5.9271402899999996</v>
      </c>
      <c r="Z88" s="119">
        <v>7.6720001900000003</v>
      </c>
    </row>
    <row r="89" spans="2:26" x14ac:dyDescent="0.35">
      <c r="B89" s="57" t="s">
        <v>78</v>
      </c>
      <c r="C89" s="67" t="s">
        <v>66</v>
      </c>
      <c r="D89" s="67" t="s">
        <v>69</v>
      </c>
      <c r="E89" s="67" t="s">
        <v>133</v>
      </c>
      <c r="F89" s="74">
        <v>2.6847721811353083E-2</v>
      </c>
      <c r="G89" s="76">
        <v>3.7756631652392646E-2</v>
      </c>
      <c r="H89" s="76">
        <v>4.6667129850257651E-2</v>
      </c>
      <c r="I89" s="76">
        <v>5.1467983479445138E-2</v>
      </c>
      <c r="J89" s="64">
        <v>5.5618018324641492E-2</v>
      </c>
      <c r="K89" s="74" t="s">
        <v>21</v>
      </c>
      <c r="L89" s="76">
        <v>9.2971519523926457E-3</v>
      </c>
      <c r="M89" s="76">
        <v>1.7428314750257645E-2</v>
      </c>
      <c r="N89" s="76">
        <v>2.1308394479445138E-2</v>
      </c>
      <c r="O89" s="64">
        <v>2.4119664924641494E-2</v>
      </c>
      <c r="P89" s="57" t="s">
        <v>21</v>
      </c>
      <c r="Q89" s="67" t="s">
        <v>21</v>
      </c>
      <c r="R89" s="96" t="s">
        <v>21</v>
      </c>
      <c r="S89" s="76" t="s">
        <v>21</v>
      </c>
      <c r="T89" s="64" t="s">
        <v>21</v>
      </c>
      <c r="V89" s="116">
        <v>1.14947011</v>
      </c>
      <c r="W89" s="108">
        <v>2.9266468199999998</v>
      </c>
      <c r="X89" s="108">
        <v>4.4874007300000001</v>
      </c>
      <c r="Y89" s="108">
        <v>5.8140698500000001</v>
      </c>
      <c r="Z89" s="117">
        <v>7.4486211299999994</v>
      </c>
    </row>
    <row r="90" spans="2:26" x14ac:dyDescent="0.35">
      <c r="B90" s="55" t="s">
        <v>80</v>
      </c>
      <c r="C90" s="53" t="s">
        <v>61</v>
      </c>
      <c r="D90" s="53" t="s">
        <v>69</v>
      </c>
      <c r="E90" s="53" t="s">
        <v>21</v>
      </c>
      <c r="F90" s="73">
        <v>2.4881740394909018E-2</v>
      </c>
      <c r="G90" s="71">
        <v>3.2159600747156021E-2</v>
      </c>
      <c r="H90" s="71">
        <v>3.7402541408278006E-2</v>
      </c>
      <c r="I90" s="71">
        <v>4.0161551063911241E-2</v>
      </c>
      <c r="J90" s="63">
        <v>4.3255132589883033E-2</v>
      </c>
      <c r="K90" s="73" t="s">
        <v>21</v>
      </c>
      <c r="L90" s="71">
        <v>3.8566839471560238E-3</v>
      </c>
      <c r="M90" s="71">
        <v>8.4550108082780163E-3</v>
      </c>
      <c r="N90" s="71">
        <v>1.0380477563911243E-2</v>
      </c>
      <c r="O90" s="63">
        <v>1.2136595789883029E-2</v>
      </c>
      <c r="P90" s="55" t="s">
        <v>21</v>
      </c>
      <c r="Q90" s="53" t="s">
        <v>21</v>
      </c>
      <c r="R90" s="94" t="s">
        <v>21</v>
      </c>
      <c r="S90" s="71" t="s">
        <v>21</v>
      </c>
      <c r="T90" s="63" t="s">
        <v>21</v>
      </c>
      <c r="V90" s="118">
        <v>1.1513923400000001</v>
      </c>
      <c r="W90" s="61">
        <v>2.9525523099999997</v>
      </c>
      <c r="X90" s="61">
        <v>4.5821237799999999</v>
      </c>
      <c r="Y90" s="61">
        <v>6.0228433999999993</v>
      </c>
      <c r="Z90" s="119">
        <v>7.8764985100000002</v>
      </c>
    </row>
    <row r="91" spans="2:26" x14ac:dyDescent="0.35">
      <c r="B91" s="55" t="s">
        <v>80</v>
      </c>
      <c r="C91" s="53" t="s">
        <v>63</v>
      </c>
      <c r="D91" s="53" t="s">
        <v>69</v>
      </c>
      <c r="E91" s="53" t="s">
        <v>36</v>
      </c>
      <c r="F91" s="73">
        <v>2.7017492946263703E-2</v>
      </c>
      <c r="G91" s="71">
        <v>3.5106540477070382E-2</v>
      </c>
      <c r="H91" s="71">
        <v>4.0613798635985569E-2</v>
      </c>
      <c r="I91" s="71">
        <v>4.4058759589536547E-2</v>
      </c>
      <c r="J91" s="63">
        <v>4.7445075317993662E-2</v>
      </c>
      <c r="K91" s="73" t="s">
        <v>21</v>
      </c>
      <c r="L91" s="71">
        <v>6.7357980770703851E-3</v>
      </c>
      <c r="M91" s="71">
        <v>1.1599838435985563E-2</v>
      </c>
      <c r="N91" s="71">
        <v>1.4189068489536553E-2</v>
      </c>
      <c r="O91" s="63">
        <v>1.6240179617993664E-2</v>
      </c>
      <c r="P91" s="55" t="s">
        <v>21</v>
      </c>
      <c r="Q91" s="53" t="s">
        <v>21</v>
      </c>
      <c r="R91" s="94" t="s">
        <v>21</v>
      </c>
      <c r="S91" s="71" t="s">
        <v>21</v>
      </c>
      <c r="T91" s="63" t="s">
        <v>21</v>
      </c>
      <c r="V91" s="116">
        <v>1.1491545699999999</v>
      </c>
      <c r="W91" s="108">
        <v>2.9389053399999998</v>
      </c>
      <c r="X91" s="108">
        <v>4.5531898699999998</v>
      </c>
      <c r="Y91" s="108">
        <v>5.9699951499999999</v>
      </c>
      <c r="Z91" s="117">
        <v>7.7797570999999994</v>
      </c>
    </row>
    <row r="92" spans="2:26" x14ac:dyDescent="0.35">
      <c r="B92" s="56" t="s">
        <v>82</v>
      </c>
      <c r="C92" s="66" t="s">
        <v>65</v>
      </c>
      <c r="D92" s="66" t="s">
        <v>69</v>
      </c>
      <c r="E92" s="66" t="s">
        <v>34</v>
      </c>
      <c r="F92" s="75">
        <v>2.5857288402992878E-2</v>
      </c>
      <c r="G92" s="80">
        <v>3.4378248403425155E-2</v>
      </c>
      <c r="H92" s="80">
        <v>4.1056852135256158E-2</v>
      </c>
      <c r="I92" s="80">
        <v>4.4548270669360297E-2</v>
      </c>
      <c r="J92" s="62">
        <v>4.812420394313565E-2</v>
      </c>
      <c r="K92" s="75" t="s">
        <v>21</v>
      </c>
      <c r="L92" s="80">
        <v>5.9981098034251612E-3</v>
      </c>
      <c r="M92" s="80">
        <v>1.1973205435256156E-2</v>
      </c>
      <c r="N92" s="80">
        <v>1.4597913069360299E-2</v>
      </c>
      <c r="O92" s="62">
        <v>1.6842333943135661E-2</v>
      </c>
      <c r="P92" s="56" t="s">
        <v>21</v>
      </c>
      <c r="Q92" s="66" t="s">
        <v>21</v>
      </c>
      <c r="R92" s="100" t="s">
        <v>21</v>
      </c>
      <c r="S92" s="80" t="s">
        <v>21</v>
      </c>
      <c r="T92" s="62" t="s">
        <v>21</v>
      </c>
      <c r="V92" s="114">
        <v>1.1494863399999999</v>
      </c>
      <c r="W92" s="72">
        <v>2.9348248799999999</v>
      </c>
      <c r="X92" s="72">
        <v>4.5215887700000001</v>
      </c>
      <c r="Y92" s="72">
        <v>5.8921945000000004</v>
      </c>
      <c r="Z92" s="115">
        <v>7.6087407999999996</v>
      </c>
    </row>
    <row r="93" spans="2:26" x14ac:dyDescent="0.35">
      <c r="B93" s="57" t="s">
        <v>82</v>
      </c>
      <c r="C93" s="67" t="s">
        <v>66</v>
      </c>
      <c r="D93" s="67" t="s">
        <v>69</v>
      </c>
      <c r="E93" s="67" t="s">
        <v>21</v>
      </c>
      <c r="F93" s="74">
        <v>2.6905770044469025E-2</v>
      </c>
      <c r="G93" s="76">
        <v>3.8080041723813948E-2</v>
      </c>
      <c r="H93" s="76">
        <v>4.6956888548802582E-2</v>
      </c>
      <c r="I93" s="76">
        <v>5.184930015219312E-2</v>
      </c>
      <c r="J93" s="64">
        <v>5.5999977076839104E-2</v>
      </c>
      <c r="K93" s="74" t="s">
        <v>21</v>
      </c>
      <c r="L93" s="76">
        <v>9.6121335238139576E-3</v>
      </c>
      <c r="M93" s="76">
        <v>1.7708052248802585E-2</v>
      </c>
      <c r="N93" s="76">
        <v>2.1674308152193122E-2</v>
      </c>
      <c r="O93" s="64">
        <v>2.4486816176839107E-2</v>
      </c>
      <c r="P93" s="57" t="s">
        <v>21</v>
      </c>
      <c r="Q93" s="67" t="s">
        <v>21</v>
      </c>
      <c r="R93" s="96" t="s">
        <v>21</v>
      </c>
      <c r="S93" s="76" t="s">
        <v>21</v>
      </c>
      <c r="T93" s="64" t="s">
        <v>21</v>
      </c>
      <c r="V93" s="114">
        <v>1.1493426899999999</v>
      </c>
      <c r="W93" s="72">
        <v>2.9248410799999998</v>
      </c>
      <c r="X93" s="72">
        <v>4.4827264300000005</v>
      </c>
      <c r="Y93" s="72">
        <v>5.8050241299999996</v>
      </c>
      <c r="Z93" s="115">
        <v>7.4317290900000001</v>
      </c>
    </row>
    <row r="94" spans="2:26" x14ac:dyDescent="0.35">
      <c r="B94" s="79" t="s">
        <v>452</v>
      </c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7"/>
      <c r="P94" s="79"/>
      <c r="Q94" s="78"/>
      <c r="R94" s="95"/>
      <c r="S94" s="78"/>
      <c r="T94" s="77"/>
      <c r="V94" s="112"/>
      <c r="W94" s="107"/>
      <c r="X94" s="107"/>
      <c r="Y94" s="107"/>
      <c r="Z94" s="113"/>
    </row>
    <row r="95" spans="2:26" x14ac:dyDescent="0.35">
      <c r="B95" s="55" t="s">
        <v>84</v>
      </c>
      <c r="C95" s="53" t="s">
        <v>85</v>
      </c>
      <c r="D95" s="53" t="s">
        <v>20</v>
      </c>
      <c r="E95" s="53" t="s">
        <v>453</v>
      </c>
      <c r="F95" s="73">
        <v>2.6728172681018913E-2</v>
      </c>
      <c r="G95" s="71">
        <v>3.4025263036114584E-2</v>
      </c>
      <c r="H95" s="71">
        <v>3.9297625832438052E-2</v>
      </c>
      <c r="I95" s="71">
        <v>4.220003286506404E-2</v>
      </c>
      <c r="J95" s="63">
        <v>4.5168085300749831E-2</v>
      </c>
      <c r="K95" s="73" t="s">
        <v>21</v>
      </c>
      <c r="L95" s="71">
        <v>5.639286236114583E-3</v>
      </c>
      <c r="M95" s="71">
        <v>1.0262379532438047E-2</v>
      </c>
      <c r="N95" s="71">
        <v>1.2323388165064036E-2</v>
      </c>
      <c r="O95" s="63">
        <v>1.397110460074983E-2</v>
      </c>
      <c r="P95" s="55" t="s">
        <v>21</v>
      </c>
      <c r="Q95" s="53" t="s">
        <v>21</v>
      </c>
      <c r="R95" s="94" t="s">
        <v>21</v>
      </c>
      <c r="S95" s="71" t="s">
        <v>21</v>
      </c>
      <c r="T95" s="63" t="s">
        <v>21</v>
      </c>
      <c r="V95" s="114">
        <v>1.14685288</v>
      </c>
      <c r="W95" s="72">
        <v>2.9291732100000001</v>
      </c>
      <c r="X95" s="72">
        <v>4.5302038400000004</v>
      </c>
      <c r="Y95" s="72">
        <v>5.9299129800000001</v>
      </c>
      <c r="Z95" s="115">
        <v>7.7143990499999999</v>
      </c>
    </row>
    <row r="96" spans="2:26" x14ac:dyDescent="0.35">
      <c r="B96" s="55" t="s">
        <v>86</v>
      </c>
      <c r="C96" s="53" t="s">
        <v>85</v>
      </c>
      <c r="D96" s="53" t="s">
        <v>20</v>
      </c>
      <c r="E96" s="53" t="s">
        <v>453</v>
      </c>
      <c r="F96" s="73">
        <v>2.6779304856812968E-2</v>
      </c>
      <c r="G96" s="71">
        <v>3.4278281281689575E-2</v>
      </c>
      <c r="H96" s="71">
        <v>3.9413336508262634E-2</v>
      </c>
      <c r="I96" s="71">
        <v>4.2317109764883322E-2</v>
      </c>
      <c r="J96" s="63">
        <v>4.5371515071082613E-2</v>
      </c>
      <c r="K96" s="73" t="s">
        <v>21</v>
      </c>
      <c r="L96" s="71">
        <v>5.883313481689573E-3</v>
      </c>
      <c r="M96" s="71">
        <v>1.0373917208262636E-2</v>
      </c>
      <c r="N96" s="71">
        <v>1.2436498464883313E-2</v>
      </c>
      <c r="O96" s="63">
        <v>1.4167309371082617E-2</v>
      </c>
      <c r="P96" s="55" t="s">
        <v>21</v>
      </c>
      <c r="Q96" s="53" t="s">
        <v>21</v>
      </c>
      <c r="R96" s="94" t="s">
        <v>21</v>
      </c>
      <c r="S96" s="71" t="s">
        <v>21</v>
      </c>
      <c r="T96" s="63" t="s">
        <v>21</v>
      </c>
      <c r="V96" s="114">
        <v>1.14673731</v>
      </c>
      <c r="W96" s="72">
        <v>2.9280932599999998</v>
      </c>
      <c r="X96" s="72">
        <v>4.5279578899999997</v>
      </c>
      <c r="Y96" s="72">
        <v>5.9244549200000005</v>
      </c>
      <c r="Z96" s="115">
        <v>7.7040685700000004</v>
      </c>
    </row>
    <row r="97" spans="2:26" x14ac:dyDescent="0.35">
      <c r="B97" s="55" t="s">
        <v>87</v>
      </c>
      <c r="C97" s="53" t="s">
        <v>85</v>
      </c>
      <c r="D97" s="53" t="s">
        <v>20</v>
      </c>
      <c r="E97" s="53" t="s">
        <v>88</v>
      </c>
      <c r="F97" s="73">
        <v>2.6583078798892462E-2</v>
      </c>
      <c r="G97" s="71">
        <v>3.4131153867028703E-2</v>
      </c>
      <c r="H97" s="71">
        <v>3.9569660180486042E-2</v>
      </c>
      <c r="I97" s="71">
        <v>4.2200131049658057E-2</v>
      </c>
      <c r="J97" s="63">
        <v>4.5218903535666585E-2</v>
      </c>
      <c r="K97" s="73" t="s">
        <v>21</v>
      </c>
      <c r="L97" s="71">
        <v>5.7422046670287021E-3</v>
      </c>
      <c r="M97" s="71">
        <v>1.0524534780486048E-2</v>
      </c>
      <c r="N97" s="71">
        <v>1.2323619349658053E-2</v>
      </c>
      <c r="O97" s="63">
        <v>1.4020064435666585E-2</v>
      </c>
      <c r="P97" s="55" t="s">
        <v>21</v>
      </c>
      <c r="Q97" s="53" t="s">
        <v>21</v>
      </c>
      <c r="R97" s="94" t="s">
        <v>21</v>
      </c>
      <c r="S97" s="71" t="s">
        <v>21</v>
      </c>
      <c r="T97" s="63" t="s">
        <v>21</v>
      </c>
      <c r="V97" s="114">
        <v>1.1471064399999999</v>
      </c>
      <c r="W97" s="72">
        <v>2.9284838099999999</v>
      </c>
      <c r="X97" s="72">
        <v>4.5269632699999995</v>
      </c>
      <c r="Y97" s="72">
        <v>5.9285927200000001</v>
      </c>
      <c r="Z97" s="115">
        <v>7.7113476200000006</v>
      </c>
    </row>
    <row r="98" spans="2:26" x14ac:dyDescent="0.35">
      <c r="B98" s="55" t="s">
        <v>89</v>
      </c>
      <c r="C98" s="53" t="s">
        <v>85</v>
      </c>
      <c r="D98" s="53" t="s">
        <v>20</v>
      </c>
      <c r="E98" s="53" t="s">
        <v>314</v>
      </c>
      <c r="F98" s="73">
        <v>2.5342477423775031E-2</v>
      </c>
      <c r="G98" s="71">
        <v>3.2669422295781632E-2</v>
      </c>
      <c r="H98" s="71">
        <v>3.7351230615650738E-2</v>
      </c>
      <c r="I98" s="71">
        <v>4.0176515395597009E-2</v>
      </c>
      <c r="J98" s="63">
        <v>4.3117783596467674E-2</v>
      </c>
      <c r="K98" s="73" t="s">
        <v>21</v>
      </c>
      <c r="L98" s="71">
        <v>4.3312718957816375E-3</v>
      </c>
      <c r="M98" s="71">
        <v>8.3870917156507342E-3</v>
      </c>
      <c r="N98" s="71">
        <v>1.0375457795597015E-2</v>
      </c>
      <c r="O98" s="63">
        <v>1.1985835396467675E-2</v>
      </c>
      <c r="P98" s="55" t="s">
        <v>21</v>
      </c>
      <c r="Q98" s="53" t="s">
        <v>21</v>
      </c>
      <c r="R98" s="94" t="s">
        <v>21</v>
      </c>
      <c r="S98" s="71" t="s">
        <v>21</v>
      </c>
      <c r="T98" s="63" t="s">
        <v>21</v>
      </c>
      <c r="V98" s="114">
        <v>1.14952192</v>
      </c>
      <c r="W98" s="72">
        <v>2.9424436200000001</v>
      </c>
      <c r="X98" s="72">
        <v>4.5659997299999997</v>
      </c>
      <c r="Y98" s="72">
        <v>5.9987984000000001</v>
      </c>
      <c r="Z98" s="115">
        <v>7.8426410999999998</v>
      </c>
    </row>
    <row r="99" spans="2:26" x14ac:dyDescent="0.35">
      <c r="B99" s="55" t="s">
        <v>90</v>
      </c>
      <c r="C99" s="53" t="s">
        <v>85</v>
      </c>
      <c r="D99" s="53" t="s">
        <v>20</v>
      </c>
      <c r="E99" s="53" t="s">
        <v>75</v>
      </c>
      <c r="F99" s="73">
        <v>2.6664434291122325E-2</v>
      </c>
      <c r="G99" s="71">
        <v>3.4401106709757968E-2</v>
      </c>
      <c r="H99" s="71">
        <v>3.986256511789675E-2</v>
      </c>
      <c r="I99" s="71">
        <v>4.2855342809321913E-2</v>
      </c>
      <c r="J99" s="63">
        <v>4.5732370684323301E-2</v>
      </c>
      <c r="K99" s="73" t="s">
        <v>21</v>
      </c>
      <c r="L99" s="71">
        <v>5.9997487097579651E-3</v>
      </c>
      <c r="M99" s="71">
        <v>1.0804616917896746E-2</v>
      </c>
      <c r="N99" s="71">
        <v>1.295204060932191E-2</v>
      </c>
      <c r="O99" s="63">
        <v>1.4516327784323303E-2</v>
      </c>
      <c r="P99" s="55" t="s">
        <v>21</v>
      </c>
      <c r="Q99" s="53" t="s">
        <v>21</v>
      </c>
      <c r="R99" s="94" t="s">
        <v>21</v>
      </c>
      <c r="S99" s="71" t="s">
        <v>21</v>
      </c>
      <c r="T99" s="63" t="s">
        <v>21</v>
      </c>
      <c r="V99" s="114">
        <v>1.1469542699999999</v>
      </c>
      <c r="W99" s="72">
        <v>2.92762228</v>
      </c>
      <c r="X99" s="72">
        <v>4.5217831899999998</v>
      </c>
      <c r="Y99" s="72">
        <v>5.9110097599999998</v>
      </c>
      <c r="Z99" s="115">
        <v>7.6791706</v>
      </c>
    </row>
    <row r="100" spans="2:26" x14ac:dyDescent="0.35">
      <c r="B100" s="55" t="s">
        <v>91</v>
      </c>
      <c r="C100" s="53" t="s">
        <v>85</v>
      </c>
      <c r="D100" s="53" t="s">
        <v>20</v>
      </c>
      <c r="E100" s="53" t="s">
        <v>92</v>
      </c>
      <c r="F100" s="73">
        <v>2.5971843125731909E-2</v>
      </c>
      <c r="G100" s="71">
        <v>3.3369992277403462E-2</v>
      </c>
      <c r="H100" s="71">
        <v>3.8647108720066402E-2</v>
      </c>
      <c r="I100" s="71">
        <v>4.1454896608944997E-2</v>
      </c>
      <c r="J100" s="63">
        <v>4.4438977474448992E-2</v>
      </c>
      <c r="K100" s="73" t="s">
        <v>21</v>
      </c>
      <c r="L100" s="71">
        <v>5.0060758774034594E-3</v>
      </c>
      <c r="M100" s="71">
        <v>9.6355297200664044E-3</v>
      </c>
      <c r="N100" s="71">
        <v>1.1607198808944995E-2</v>
      </c>
      <c r="O100" s="63">
        <v>1.3266680874448995E-2</v>
      </c>
      <c r="P100" s="55" t="s">
        <v>21</v>
      </c>
      <c r="Q100" s="53" t="s">
        <v>21</v>
      </c>
      <c r="R100" s="94" t="s">
        <v>21</v>
      </c>
      <c r="S100" s="71" t="s">
        <v>21</v>
      </c>
      <c r="T100" s="63" t="s">
        <v>21</v>
      </c>
      <c r="V100" s="114">
        <v>1.14831869</v>
      </c>
      <c r="W100" s="72">
        <v>2.93622038</v>
      </c>
      <c r="X100" s="72">
        <v>4.5446994499999995</v>
      </c>
      <c r="Y100" s="72">
        <v>5.9550016100000001</v>
      </c>
      <c r="Z100" s="115">
        <v>7.7594349300000003</v>
      </c>
    </row>
    <row r="101" spans="2:26" x14ac:dyDescent="0.35">
      <c r="B101" s="55" t="s">
        <v>309</v>
      </c>
      <c r="C101" s="53" t="s">
        <v>85</v>
      </c>
      <c r="D101" s="53" t="s">
        <v>20</v>
      </c>
      <c r="E101" s="53" t="s">
        <v>315</v>
      </c>
      <c r="F101" s="73">
        <v>2.4078181093103168E-2</v>
      </c>
      <c r="G101" s="71">
        <v>3.1717895760862813E-2</v>
      </c>
      <c r="H101" s="71">
        <v>3.6696840493858324E-2</v>
      </c>
      <c r="I101" s="71">
        <v>3.9527011510489991E-2</v>
      </c>
      <c r="J101" s="63">
        <v>4.2503919980893694E-2</v>
      </c>
      <c r="K101" s="73" t="s">
        <v>21</v>
      </c>
      <c r="L101" s="71">
        <v>3.4096169608628202E-3</v>
      </c>
      <c r="M101" s="71">
        <v>7.7538732938583314E-3</v>
      </c>
      <c r="N101" s="71">
        <v>9.748892610489987E-3</v>
      </c>
      <c r="O101" s="63">
        <v>1.1393572880893699E-2</v>
      </c>
      <c r="P101" s="55" t="s">
        <v>21</v>
      </c>
      <c r="Q101" s="53" t="s">
        <v>21</v>
      </c>
      <c r="R101" s="94" t="s">
        <v>21</v>
      </c>
      <c r="S101" s="71" t="s">
        <v>21</v>
      </c>
      <c r="T101" s="63" t="s">
        <v>21</v>
      </c>
      <c r="V101" s="114">
        <v>1.1520700500000001</v>
      </c>
      <c r="W101" s="72">
        <v>2.9535584799999999</v>
      </c>
      <c r="X101" s="72">
        <v>4.5859140600000003</v>
      </c>
      <c r="Y101" s="72">
        <v>6.0283035199999997</v>
      </c>
      <c r="Z101" s="115">
        <v>7.8853800900000008</v>
      </c>
    </row>
    <row r="102" spans="2:26" x14ac:dyDescent="0.35">
      <c r="B102" s="55" t="s">
        <v>310</v>
      </c>
      <c r="C102" s="53" t="s">
        <v>85</v>
      </c>
      <c r="D102" s="53" t="s">
        <v>20</v>
      </c>
      <c r="E102" s="53" t="s">
        <v>73</v>
      </c>
      <c r="F102" s="73">
        <v>2.6527586787001955E-2</v>
      </c>
      <c r="G102" s="71">
        <v>3.557026520038483E-2</v>
      </c>
      <c r="H102" s="71">
        <v>4.2720260623774424E-2</v>
      </c>
      <c r="I102" s="71">
        <v>4.6114676534142154E-2</v>
      </c>
      <c r="J102" s="63">
        <v>4.9958503175654027E-2</v>
      </c>
      <c r="K102" s="73" t="s">
        <v>21</v>
      </c>
      <c r="L102" s="71">
        <v>7.1239052003848353E-3</v>
      </c>
      <c r="M102" s="71">
        <v>1.354269432377442E-2</v>
      </c>
      <c r="N102" s="71">
        <v>1.6071506634142151E-2</v>
      </c>
      <c r="O102" s="63">
        <v>1.8582271275654025E-2</v>
      </c>
      <c r="P102" s="55" t="s">
        <v>21</v>
      </c>
      <c r="Q102" s="53" t="s">
        <v>21</v>
      </c>
      <c r="R102" s="94" t="s">
        <v>21</v>
      </c>
      <c r="S102" s="71" t="s">
        <v>21</v>
      </c>
      <c r="T102" s="63" t="s">
        <v>21</v>
      </c>
      <c r="V102" s="114">
        <v>1.1472296799999999</v>
      </c>
      <c r="W102" s="72">
        <v>2.9204553199999999</v>
      </c>
      <c r="X102" s="72">
        <v>4.4821183200000005</v>
      </c>
      <c r="Y102" s="72">
        <v>5.8181672899999999</v>
      </c>
      <c r="Z102" s="115">
        <v>7.46720206</v>
      </c>
    </row>
    <row r="103" spans="2:26" x14ac:dyDescent="0.35">
      <c r="B103" s="55" t="s">
        <v>311</v>
      </c>
      <c r="C103" s="53" t="s">
        <v>85</v>
      </c>
      <c r="D103" s="53" t="s">
        <v>20</v>
      </c>
      <c r="E103" s="53" t="s">
        <v>48</v>
      </c>
      <c r="F103" s="73">
        <v>2.8414733799972308E-2</v>
      </c>
      <c r="G103" s="71">
        <v>4.1298071705934587E-2</v>
      </c>
      <c r="H103" s="71">
        <v>5.0990805990416915E-2</v>
      </c>
      <c r="I103" s="71">
        <v>5.6840998266932632E-2</v>
      </c>
      <c r="J103" s="63">
        <v>6.0906235939357733E-2</v>
      </c>
      <c r="K103" s="73">
        <v>9.4249219997230918E-4</v>
      </c>
      <c r="L103" s="71">
        <v>1.2597950105934579E-2</v>
      </c>
      <c r="M103" s="71">
        <v>2.1385164890416909E-2</v>
      </c>
      <c r="N103" s="71">
        <v>2.6209544666932628E-2</v>
      </c>
      <c r="O103" s="63">
        <v>2.8964011939357739E-2</v>
      </c>
      <c r="P103" s="55" t="s">
        <v>21</v>
      </c>
      <c r="Q103" s="53" t="s">
        <v>21</v>
      </c>
      <c r="R103" s="94" t="s">
        <v>21</v>
      </c>
      <c r="S103" s="71" t="s">
        <v>21</v>
      </c>
      <c r="T103" s="63" t="s">
        <v>21</v>
      </c>
      <c r="V103" s="114">
        <v>1.1425005800000001</v>
      </c>
      <c r="W103" s="72">
        <v>2.8742467300000003</v>
      </c>
      <c r="X103" s="72">
        <v>4.3416661300000001</v>
      </c>
      <c r="Y103" s="72">
        <v>5.52253156</v>
      </c>
      <c r="Z103" s="115">
        <v>6.9144829899999998</v>
      </c>
    </row>
    <row r="104" spans="2:26" x14ac:dyDescent="0.35">
      <c r="B104" s="55" t="s">
        <v>312</v>
      </c>
      <c r="C104" s="53" t="s">
        <v>85</v>
      </c>
      <c r="D104" s="53" t="s">
        <v>20</v>
      </c>
      <c r="E104" s="53" t="s">
        <v>161</v>
      </c>
      <c r="F104" s="73">
        <v>2.4193019069932774E-2</v>
      </c>
      <c r="G104" s="71">
        <v>3.2116555357223235E-2</v>
      </c>
      <c r="H104" s="71">
        <v>3.7236165827887018E-2</v>
      </c>
      <c r="I104" s="71">
        <v>4.1138792620056659E-2</v>
      </c>
      <c r="J104" s="63">
        <v>4.3745208483652737E-2</v>
      </c>
      <c r="K104" s="73" t="s">
        <v>21</v>
      </c>
      <c r="L104" s="71">
        <v>3.7965374572232393E-3</v>
      </c>
      <c r="M104" s="71">
        <v>8.2760930278870139E-3</v>
      </c>
      <c r="N104" s="71">
        <v>1.1303433020056658E-2</v>
      </c>
      <c r="O104" s="63">
        <v>1.2602697683652729E-2</v>
      </c>
      <c r="P104" s="55" t="s">
        <v>316</v>
      </c>
      <c r="Q104" s="53" t="s">
        <v>317</v>
      </c>
      <c r="R104" s="94">
        <v>47788</v>
      </c>
      <c r="S104" s="71">
        <v>3.5864319999999998E-2</v>
      </c>
      <c r="T104" s="63">
        <v>1.3718458278870194E-3</v>
      </c>
      <c r="V104" s="114">
        <v>1.1518157</v>
      </c>
      <c r="W104" s="72">
        <v>2.9502589000000001</v>
      </c>
      <c r="X104" s="72">
        <v>4.5751663699999998</v>
      </c>
      <c r="Y104" s="72">
        <v>5.9924254699999997</v>
      </c>
      <c r="Z104" s="115">
        <v>7.8109691199999993</v>
      </c>
    </row>
    <row r="105" spans="2:26" x14ac:dyDescent="0.35">
      <c r="B105" s="57" t="s">
        <v>313</v>
      </c>
      <c r="C105" s="53" t="s">
        <v>85</v>
      </c>
      <c r="D105" s="67" t="s">
        <v>20</v>
      </c>
      <c r="E105" s="67" t="s">
        <v>276</v>
      </c>
      <c r="F105" s="74">
        <v>2.5312903831855249E-2</v>
      </c>
      <c r="G105" s="76">
        <v>3.3967917513007255E-2</v>
      </c>
      <c r="H105" s="76">
        <v>4.0942505429924704E-2</v>
      </c>
      <c r="I105" s="76">
        <v>4.5262990428883057E-2</v>
      </c>
      <c r="J105" s="64">
        <v>4.9200300857604427E-2</v>
      </c>
      <c r="K105" s="74" t="s">
        <v>21</v>
      </c>
      <c r="L105" s="76">
        <v>5.5841537130072501E-3</v>
      </c>
      <c r="M105" s="76">
        <v>1.1843009329924699E-2</v>
      </c>
      <c r="N105" s="76">
        <v>1.5259810728883053E-2</v>
      </c>
      <c r="O105" s="64">
        <v>1.7859990357604421E-2</v>
      </c>
      <c r="P105" s="57" t="s">
        <v>21</v>
      </c>
      <c r="Q105" s="67" t="s">
        <v>21</v>
      </c>
      <c r="R105" s="96" t="s">
        <v>21</v>
      </c>
      <c r="S105" s="76" t="s">
        <v>21</v>
      </c>
      <c r="T105" s="64" t="s">
        <v>21</v>
      </c>
      <c r="V105" s="116">
        <v>1.1495840900000001</v>
      </c>
      <c r="W105" s="108">
        <v>2.9344325200000001</v>
      </c>
      <c r="X105" s="108">
        <v>4.5170916099999996</v>
      </c>
      <c r="Y105" s="108">
        <v>5.8679022400000003</v>
      </c>
      <c r="Z105" s="117">
        <v>7.5374514000000001</v>
      </c>
    </row>
    <row r="106" spans="2:26" x14ac:dyDescent="0.35">
      <c r="B106" s="53" t="s">
        <v>21</v>
      </c>
      <c r="C106" s="53" t="s">
        <v>21</v>
      </c>
      <c r="E106" s="53" t="s">
        <v>21</v>
      </c>
      <c r="F106" s="71" t="s">
        <v>21</v>
      </c>
      <c r="G106" s="71"/>
      <c r="H106" s="71" t="s">
        <v>21</v>
      </c>
      <c r="I106" s="71"/>
      <c r="J106" s="71" t="s">
        <v>21</v>
      </c>
      <c r="K106" s="71" t="s">
        <v>21</v>
      </c>
      <c r="L106" s="71"/>
      <c r="M106" s="71" t="s">
        <v>21</v>
      </c>
      <c r="N106" s="71"/>
      <c r="O106" s="71" t="s">
        <v>21</v>
      </c>
      <c r="R106" s="94"/>
      <c r="V106" s="72"/>
      <c r="W106" s="72"/>
      <c r="X106" s="72"/>
      <c r="Y106" s="72"/>
      <c r="Z106" s="72"/>
    </row>
    <row r="107" spans="2:26" ht="15.5" x14ac:dyDescent="0.35">
      <c r="B107" s="122" t="s">
        <v>93</v>
      </c>
      <c r="C107" s="53" t="s">
        <v>21</v>
      </c>
      <c r="E107" s="53" t="s">
        <v>21</v>
      </c>
      <c r="F107" s="71" t="s">
        <v>21</v>
      </c>
      <c r="G107" s="71"/>
      <c r="H107" s="71" t="s">
        <v>21</v>
      </c>
      <c r="I107" s="71"/>
      <c r="J107" s="71" t="s">
        <v>21</v>
      </c>
      <c r="K107" s="71" t="s">
        <v>21</v>
      </c>
      <c r="L107" s="71"/>
      <c r="M107" s="71" t="s">
        <v>21</v>
      </c>
      <c r="N107" s="71"/>
      <c r="O107" s="71" t="s">
        <v>21</v>
      </c>
      <c r="R107" s="94"/>
      <c r="V107" s="72"/>
      <c r="W107" s="72"/>
      <c r="X107" s="72"/>
      <c r="Y107" s="72"/>
      <c r="Z107" s="72"/>
    </row>
    <row r="108" spans="2:26" x14ac:dyDescent="0.35">
      <c r="B108" s="85" t="s">
        <v>5</v>
      </c>
      <c r="C108" s="84" t="s">
        <v>6</v>
      </c>
      <c r="D108" s="84" t="s">
        <v>7</v>
      </c>
      <c r="E108" s="84" t="s">
        <v>8</v>
      </c>
      <c r="F108" s="83" t="s">
        <v>9</v>
      </c>
      <c r="G108" s="82" t="s">
        <v>10</v>
      </c>
      <c r="H108" s="82" t="s">
        <v>11</v>
      </c>
      <c r="I108" s="82" t="s">
        <v>12</v>
      </c>
      <c r="J108" s="81" t="s">
        <v>13</v>
      </c>
      <c r="K108" s="83" t="s">
        <v>9</v>
      </c>
      <c r="L108" s="82" t="s">
        <v>10</v>
      </c>
      <c r="M108" s="82" t="s">
        <v>11</v>
      </c>
      <c r="N108" s="82" t="s">
        <v>12</v>
      </c>
      <c r="O108" s="81" t="s">
        <v>13</v>
      </c>
      <c r="P108" s="70" t="s">
        <v>14</v>
      </c>
      <c r="Q108" s="58" t="s">
        <v>15</v>
      </c>
      <c r="R108" s="58" t="s">
        <v>16</v>
      </c>
      <c r="S108" s="58" t="s">
        <v>17</v>
      </c>
      <c r="T108" s="58" t="s">
        <v>18</v>
      </c>
      <c r="V108" s="110" t="s">
        <v>9</v>
      </c>
      <c r="W108" s="106" t="s">
        <v>10</v>
      </c>
      <c r="X108" s="106" t="s">
        <v>11</v>
      </c>
      <c r="Y108" s="106" t="s">
        <v>12</v>
      </c>
      <c r="Z108" s="111" t="s">
        <v>13</v>
      </c>
    </row>
    <row r="109" spans="2:26" x14ac:dyDescent="0.35">
      <c r="B109" s="79" t="s">
        <v>94</v>
      </c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7"/>
      <c r="P109" s="79"/>
      <c r="Q109" s="78"/>
      <c r="R109" s="95"/>
      <c r="S109" s="78"/>
      <c r="T109" s="77"/>
      <c r="V109" s="112"/>
      <c r="W109" s="107"/>
      <c r="X109" s="107"/>
      <c r="Y109" s="107"/>
      <c r="Z109" s="113"/>
    </row>
    <row r="110" spans="2:26" x14ac:dyDescent="0.35">
      <c r="B110" s="56" t="s">
        <v>95</v>
      </c>
      <c r="C110" s="66" t="s">
        <v>85</v>
      </c>
      <c r="D110" s="66" t="s">
        <v>43</v>
      </c>
      <c r="E110" s="66" t="s">
        <v>232</v>
      </c>
      <c r="F110" s="75">
        <v>2.4677510398351157E-2</v>
      </c>
      <c r="G110" s="80">
        <v>3.2632574556267176E-2</v>
      </c>
      <c r="H110" s="80">
        <v>3.8179417598639909E-2</v>
      </c>
      <c r="I110" s="80">
        <v>4.0966997956778314E-2</v>
      </c>
      <c r="J110" s="62">
        <v>4.3829384195884169E-2</v>
      </c>
      <c r="K110" s="75" t="s">
        <v>21</v>
      </c>
      <c r="L110" s="80">
        <v>4.3130430562671749E-3</v>
      </c>
      <c r="M110" s="80">
        <v>9.2045570986399091E-3</v>
      </c>
      <c r="N110" s="80">
        <v>1.1157691056778326E-2</v>
      </c>
      <c r="O110" s="62">
        <v>1.2695108695884173E-2</v>
      </c>
      <c r="P110" s="56" t="s">
        <v>21</v>
      </c>
      <c r="Q110" s="66" t="s">
        <v>21</v>
      </c>
      <c r="R110" s="100" t="s">
        <v>21</v>
      </c>
      <c r="S110" s="80" t="s">
        <v>21</v>
      </c>
      <c r="T110" s="63" t="s">
        <v>21</v>
      </c>
      <c r="V110" s="118">
        <v>1.15181976</v>
      </c>
      <c r="W110" s="61">
        <v>2.9502504999999997</v>
      </c>
      <c r="X110" s="61">
        <v>4.5705678800000005</v>
      </c>
      <c r="Y110" s="61">
        <v>5.9978993300000001</v>
      </c>
      <c r="Z110" s="119">
        <v>7.8336777199999998</v>
      </c>
    </row>
    <row r="111" spans="2:26" x14ac:dyDescent="0.35">
      <c r="B111" s="57" t="s">
        <v>95</v>
      </c>
      <c r="C111" s="67" t="s">
        <v>35</v>
      </c>
      <c r="D111" s="67" t="s">
        <v>43</v>
      </c>
      <c r="E111" s="67" t="s">
        <v>233</v>
      </c>
      <c r="F111" s="74">
        <v>2.6134443638470853E-2</v>
      </c>
      <c r="G111" s="76">
        <v>3.6245914332553628E-2</v>
      </c>
      <c r="H111" s="76">
        <v>4.4034715169489889E-2</v>
      </c>
      <c r="I111" s="76">
        <v>4.7827835374476969E-2</v>
      </c>
      <c r="J111" s="64">
        <v>5.153070173616988E-2</v>
      </c>
      <c r="K111" s="74" t="s">
        <v>21</v>
      </c>
      <c r="L111" s="76">
        <v>7.8374271325536218E-3</v>
      </c>
      <c r="M111" s="76">
        <v>1.4900744669489888E-2</v>
      </c>
      <c r="N111" s="76">
        <v>1.7821033774476969E-2</v>
      </c>
      <c r="O111" s="64">
        <v>2.0191552736169877E-2</v>
      </c>
      <c r="P111" s="57" t="s">
        <v>21</v>
      </c>
      <c r="Q111" s="67" t="s">
        <v>21</v>
      </c>
      <c r="R111" s="96" t="s">
        <v>21</v>
      </c>
      <c r="S111" s="76" t="s">
        <v>21</v>
      </c>
      <c r="T111" s="64" t="s">
        <v>21</v>
      </c>
      <c r="V111" s="116">
        <v>1.1505018900000001</v>
      </c>
      <c r="W111" s="108">
        <v>2.9358159399999999</v>
      </c>
      <c r="X111" s="108">
        <v>4.52009711</v>
      </c>
      <c r="Y111" s="108">
        <v>5.88958928</v>
      </c>
      <c r="Z111" s="117">
        <v>7.6099759099999993</v>
      </c>
    </row>
    <row r="112" spans="2:26" x14ac:dyDescent="0.35">
      <c r="B112" s="55" t="s">
        <v>96</v>
      </c>
      <c r="C112" s="53" t="s">
        <v>85</v>
      </c>
      <c r="D112" s="53" t="s">
        <v>97</v>
      </c>
      <c r="E112" s="53" t="s">
        <v>21</v>
      </c>
      <c r="F112" s="73">
        <v>2.5076904198651714E-2</v>
      </c>
      <c r="G112" s="71">
        <v>3.2965140359833431E-2</v>
      </c>
      <c r="H112" s="71">
        <v>3.8437781705682642E-2</v>
      </c>
      <c r="I112" s="71">
        <v>4.1609996398764067E-2</v>
      </c>
      <c r="J112" s="63">
        <v>4.4721298938620167E-2</v>
      </c>
      <c r="K112" s="73" t="s">
        <v>21</v>
      </c>
      <c r="L112" s="71">
        <v>4.6343579598334302E-3</v>
      </c>
      <c r="M112" s="71">
        <v>9.4534912056826424E-3</v>
      </c>
      <c r="N112" s="71">
        <v>1.1776339298764064E-2</v>
      </c>
      <c r="O112" s="63">
        <v>1.3559085338620176E-2</v>
      </c>
      <c r="P112" s="55" t="s">
        <v>21</v>
      </c>
      <c r="Q112" s="53" t="s">
        <v>21</v>
      </c>
      <c r="R112" s="94" t="s">
        <v>21</v>
      </c>
      <c r="S112" s="71" t="s">
        <v>21</v>
      </c>
      <c r="T112" s="63" t="s">
        <v>21</v>
      </c>
      <c r="V112" s="114">
        <v>1.1510315900000001</v>
      </c>
      <c r="W112" s="72">
        <v>2.9465197600000002</v>
      </c>
      <c r="X112" s="72">
        <v>4.5641177900000001</v>
      </c>
      <c r="Y112" s="72">
        <v>5.9818701399999998</v>
      </c>
      <c r="Z112" s="115">
        <v>7.7923049300000002</v>
      </c>
    </row>
    <row r="113" spans="2:26" x14ac:dyDescent="0.35">
      <c r="B113" s="57" t="s">
        <v>96</v>
      </c>
      <c r="C113" s="67" t="s">
        <v>35</v>
      </c>
      <c r="D113" s="67" t="s">
        <v>97</v>
      </c>
      <c r="E113" s="67" t="s">
        <v>44</v>
      </c>
      <c r="F113" s="74">
        <v>2.7367316198291136E-2</v>
      </c>
      <c r="G113" s="76">
        <v>3.6454581251988936E-2</v>
      </c>
      <c r="H113" s="76">
        <v>4.3644122453925203E-2</v>
      </c>
      <c r="I113" s="76">
        <v>4.8101259930770149E-2</v>
      </c>
      <c r="J113" s="64">
        <v>5.1715496079037235E-2</v>
      </c>
      <c r="K113" s="74" t="s">
        <v>21</v>
      </c>
      <c r="L113" s="76">
        <v>8.0416402519889341E-3</v>
      </c>
      <c r="M113" s="76">
        <v>1.4525891953925197E-2</v>
      </c>
      <c r="N113" s="76">
        <v>1.8083165130770143E-2</v>
      </c>
      <c r="O113" s="64">
        <v>2.0370389879037231E-2</v>
      </c>
      <c r="P113" s="57" t="s">
        <v>21</v>
      </c>
      <c r="Q113" s="67" t="s">
        <v>21</v>
      </c>
      <c r="R113" s="96" t="s">
        <v>21</v>
      </c>
      <c r="S113" s="76" t="s">
        <v>21</v>
      </c>
      <c r="T113" s="64" t="s">
        <v>21</v>
      </c>
      <c r="V113" s="116">
        <v>1.1485773799999999</v>
      </c>
      <c r="W113" s="108">
        <v>2.9310964099999999</v>
      </c>
      <c r="X113" s="108">
        <v>4.5186272000000001</v>
      </c>
      <c r="Y113" s="108">
        <v>5.8864011400000003</v>
      </c>
      <c r="Z113" s="117">
        <v>7.6017610599999994</v>
      </c>
    </row>
    <row r="114" spans="2:26" x14ac:dyDescent="0.35">
      <c r="B114" s="55" t="s">
        <v>98</v>
      </c>
      <c r="C114" s="53" t="s">
        <v>85</v>
      </c>
      <c r="D114" s="53" t="s">
        <v>47</v>
      </c>
      <c r="E114" s="53" t="s">
        <v>21</v>
      </c>
      <c r="F114" s="73">
        <v>2.5293728549606362E-2</v>
      </c>
      <c r="G114" s="71">
        <v>3.3494752905916109E-2</v>
      </c>
      <c r="H114" s="71">
        <v>3.9617522040560307E-2</v>
      </c>
      <c r="I114" s="71">
        <v>4.2808231828669857E-2</v>
      </c>
      <c r="J114" s="63">
        <v>4.6078798681996366E-2</v>
      </c>
      <c r="K114" s="73" t="s">
        <v>21</v>
      </c>
      <c r="L114" s="71">
        <v>5.1468080059161071E-3</v>
      </c>
      <c r="M114" s="71">
        <v>1.059074264056031E-2</v>
      </c>
      <c r="N114" s="71">
        <v>1.2929935828669855E-2</v>
      </c>
      <c r="O114" s="63">
        <v>1.4872181681996366E-2</v>
      </c>
      <c r="P114" s="55" t="s">
        <v>21</v>
      </c>
      <c r="Q114" s="53" t="s">
        <v>21</v>
      </c>
      <c r="R114" s="94" t="s">
        <v>21</v>
      </c>
      <c r="S114" s="71" t="s">
        <v>21</v>
      </c>
      <c r="T114" s="63" t="s">
        <v>21</v>
      </c>
      <c r="V114" s="114">
        <v>1.15058203</v>
      </c>
      <c r="W114" s="72">
        <v>2.9424606999999998</v>
      </c>
      <c r="X114" s="72">
        <v>4.5459454299999997</v>
      </c>
      <c r="Y114" s="72">
        <v>5.9439580799999998</v>
      </c>
      <c r="Z114" s="115">
        <v>7.7165289999999995</v>
      </c>
    </row>
    <row r="115" spans="2:26" x14ac:dyDescent="0.35">
      <c r="B115" s="57" t="s">
        <v>98</v>
      </c>
      <c r="C115" s="67" t="s">
        <v>35</v>
      </c>
      <c r="D115" s="67" t="s">
        <v>47</v>
      </c>
      <c r="E115" s="67" t="s">
        <v>454</v>
      </c>
      <c r="F115" s="74">
        <v>2.6925544236229119E-2</v>
      </c>
      <c r="G115" s="76">
        <v>3.7026910774411254E-2</v>
      </c>
      <c r="H115" s="76">
        <v>4.5295298516397853E-2</v>
      </c>
      <c r="I115" s="76">
        <v>5.0110133926637428E-2</v>
      </c>
      <c r="J115" s="64">
        <v>5.4174026612898711E-2</v>
      </c>
      <c r="K115" s="74" t="s">
        <v>21</v>
      </c>
      <c r="L115" s="76">
        <v>8.5968161744112547E-3</v>
      </c>
      <c r="M115" s="76">
        <v>1.6115368716397856E-2</v>
      </c>
      <c r="N115" s="76">
        <v>2.0011775326637428E-2</v>
      </c>
      <c r="O115" s="64">
        <v>2.2737088112898703E-2</v>
      </c>
      <c r="P115" s="57" t="s">
        <v>455</v>
      </c>
      <c r="Q115" s="67" t="s">
        <v>456</v>
      </c>
      <c r="R115" s="96" t="s">
        <v>32</v>
      </c>
      <c r="S115" s="76">
        <v>3.7455639999999998E-2</v>
      </c>
      <c r="T115" s="64">
        <v>7.8396585163978544E-3</v>
      </c>
      <c r="V115" s="116">
        <v>1.14926952</v>
      </c>
      <c r="W115" s="108">
        <v>2.9298106599999998</v>
      </c>
      <c r="X115" s="108">
        <v>4.5027080499999999</v>
      </c>
      <c r="Y115" s="108">
        <v>5.8459477399999997</v>
      </c>
      <c r="Z115" s="117">
        <v>7.5098771800000002</v>
      </c>
    </row>
    <row r="116" spans="2:26" x14ac:dyDescent="0.35">
      <c r="B116" s="55" t="s">
        <v>99</v>
      </c>
      <c r="C116" s="53" t="s">
        <v>85</v>
      </c>
      <c r="D116" s="53" t="s">
        <v>69</v>
      </c>
      <c r="E116" s="53" t="s">
        <v>100</v>
      </c>
      <c r="F116" s="73">
        <v>2.5042490819451674E-2</v>
      </c>
      <c r="G116" s="71">
        <v>3.4022598032997342E-2</v>
      </c>
      <c r="H116" s="71">
        <v>4.0489573635415846E-2</v>
      </c>
      <c r="I116" s="71">
        <v>4.3898798851365418E-2</v>
      </c>
      <c r="J116" s="63">
        <v>4.7513123507013796E-2</v>
      </c>
      <c r="K116" s="73" t="s">
        <v>21</v>
      </c>
      <c r="L116" s="71">
        <v>5.6572489329973497E-3</v>
      </c>
      <c r="M116" s="71">
        <v>1.143026533541585E-2</v>
      </c>
      <c r="N116" s="71">
        <v>1.3977497951365419E-2</v>
      </c>
      <c r="O116" s="63">
        <v>1.6255832507013786E-2</v>
      </c>
      <c r="P116" s="55" t="s">
        <v>21</v>
      </c>
      <c r="Q116" s="53" t="s">
        <v>21</v>
      </c>
      <c r="R116" s="94" t="s">
        <v>21</v>
      </c>
      <c r="S116" s="71" t="s">
        <v>21</v>
      </c>
      <c r="T116" s="63" t="s">
        <v>21</v>
      </c>
      <c r="V116" s="114">
        <v>1.15105609</v>
      </c>
      <c r="W116" s="72">
        <v>2.93988154</v>
      </c>
      <c r="X116" s="72">
        <v>4.5330631300000004</v>
      </c>
      <c r="Y116" s="72">
        <v>5.9137239699999995</v>
      </c>
      <c r="Z116" s="115">
        <v>7.6470682400000003</v>
      </c>
    </row>
    <row r="117" spans="2:26" x14ac:dyDescent="0.35">
      <c r="B117" s="57" t="s">
        <v>99</v>
      </c>
      <c r="C117" s="67" t="s">
        <v>35</v>
      </c>
      <c r="D117" s="67" t="s">
        <v>69</v>
      </c>
      <c r="E117" s="67" t="s">
        <v>226</v>
      </c>
      <c r="F117" s="74">
        <v>2.5830539996544201E-2</v>
      </c>
      <c r="G117" s="76">
        <v>3.7079023643217926E-2</v>
      </c>
      <c r="H117" s="76">
        <v>4.5495073590994181E-2</v>
      </c>
      <c r="I117" s="76">
        <v>5.039710688557137E-2</v>
      </c>
      <c r="J117" s="64">
        <v>5.4146945387519435E-2</v>
      </c>
      <c r="K117" s="74" t="s">
        <v>21</v>
      </c>
      <c r="L117" s="76">
        <v>8.6445733432179307E-3</v>
      </c>
      <c r="M117" s="76">
        <v>1.6305678590994174E-2</v>
      </c>
      <c r="N117" s="76">
        <v>2.0285694285571365E-2</v>
      </c>
      <c r="O117" s="64">
        <v>2.271202228751943E-2</v>
      </c>
      <c r="P117" s="57" t="s">
        <v>457</v>
      </c>
      <c r="Q117" s="67" t="s">
        <v>458</v>
      </c>
      <c r="R117" s="96" t="s">
        <v>32</v>
      </c>
      <c r="S117" s="76">
        <v>4.049647E-2</v>
      </c>
      <c r="T117" s="64">
        <v>4.9986035909941814E-3</v>
      </c>
      <c r="V117" s="116">
        <v>1.1509361</v>
      </c>
      <c r="W117" s="108">
        <v>2.9325242299999998</v>
      </c>
      <c r="X117" s="108">
        <v>4.5035800999999998</v>
      </c>
      <c r="Y117" s="108">
        <v>5.8432324500000004</v>
      </c>
      <c r="Z117" s="117">
        <v>7.5061911400000003</v>
      </c>
    </row>
    <row r="118" spans="2:26" x14ac:dyDescent="0.35">
      <c r="B118" s="55" t="s">
        <v>101</v>
      </c>
      <c r="C118" s="53" t="s">
        <v>85</v>
      </c>
      <c r="D118" s="53" t="s">
        <v>31</v>
      </c>
      <c r="E118" s="53" t="s">
        <v>21</v>
      </c>
      <c r="F118" s="73">
        <v>2.4684206353271516E-2</v>
      </c>
      <c r="G118" s="71">
        <v>3.3288380290710691E-2</v>
      </c>
      <c r="H118" s="71">
        <v>3.9262406447375442E-2</v>
      </c>
      <c r="I118" s="71">
        <v>4.2605454936710342E-2</v>
      </c>
      <c r="J118" s="63">
        <v>4.6014132343575202E-2</v>
      </c>
      <c r="K118" s="73" t="s">
        <v>21</v>
      </c>
      <c r="L118" s="71">
        <v>4.9459269907106921E-3</v>
      </c>
      <c r="M118" s="71">
        <v>1.0247985947375443E-2</v>
      </c>
      <c r="N118" s="71">
        <v>1.2734325136710339E-2</v>
      </c>
      <c r="O118" s="63">
        <v>1.4809641843575205E-2</v>
      </c>
      <c r="P118" s="55" t="s">
        <v>21</v>
      </c>
      <c r="Q118" s="53" t="s">
        <v>21</v>
      </c>
      <c r="R118" s="94" t="s">
        <v>21</v>
      </c>
      <c r="S118" s="71" t="s">
        <v>21</v>
      </c>
      <c r="T118" s="63" t="s">
        <v>21</v>
      </c>
      <c r="V118" s="114">
        <v>1.1518221500000001</v>
      </c>
      <c r="W118" s="72">
        <v>2.9460092100000002</v>
      </c>
      <c r="X118" s="72">
        <v>4.5535459100000004</v>
      </c>
      <c r="Y118" s="72">
        <v>5.9550886800000002</v>
      </c>
      <c r="Z118" s="115">
        <v>7.7293957499999992</v>
      </c>
    </row>
    <row r="119" spans="2:26" x14ac:dyDescent="0.35">
      <c r="B119" s="57" t="s">
        <v>101</v>
      </c>
      <c r="C119" s="67" t="s">
        <v>35</v>
      </c>
      <c r="D119" s="67" t="s">
        <v>31</v>
      </c>
      <c r="E119" s="67" t="s">
        <v>21</v>
      </c>
      <c r="F119" s="74">
        <v>2.6108496411652284E-2</v>
      </c>
      <c r="G119" s="76">
        <v>3.6184678218304622E-2</v>
      </c>
      <c r="H119" s="76">
        <v>4.393707797522136E-2</v>
      </c>
      <c r="I119" s="76">
        <v>4.8012172738132589E-2</v>
      </c>
      <c r="J119" s="64">
        <v>5.16244599270465E-2</v>
      </c>
      <c r="K119" s="74" t="s">
        <v>21</v>
      </c>
      <c r="L119" s="76">
        <v>7.77813441830462E-3</v>
      </c>
      <c r="M119" s="76">
        <v>1.4806774075221353E-2</v>
      </c>
      <c r="N119" s="76">
        <v>1.7997907538132591E-2</v>
      </c>
      <c r="O119" s="64">
        <v>2.0282889727046501E-2</v>
      </c>
      <c r="P119" s="57" t="s">
        <v>21</v>
      </c>
      <c r="Q119" s="67" t="s">
        <v>21</v>
      </c>
      <c r="R119" s="96" t="s">
        <v>21</v>
      </c>
      <c r="S119" s="76" t="s">
        <v>21</v>
      </c>
      <c r="T119" s="64" t="s">
        <v>21</v>
      </c>
      <c r="V119" s="116">
        <v>1.1505404000000001</v>
      </c>
      <c r="W119" s="108">
        <v>2.9361828699999997</v>
      </c>
      <c r="X119" s="108">
        <v>4.5213517699999999</v>
      </c>
      <c r="Y119" s="108">
        <v>5.8890454000000005</v>
      </c>
      <c r="Z119" s="117">
        <v>7.6064662000000007</v>
      </c>
    </row>
    <row r="120" spans="2:26" x14ac:dyDescent="0.35">
      <c r="B120" s="55" t="s">
        <v>102</v>
      </c>
      <c r="C120" s="53" t="s">
        <v>85</v>
      </c>
      <c r="D120" s="53" t="s">
        <v>69</v>
      </c>
      <c r="E120" s="53" t="s">
        <v>459</v>
      </c>
      <c r="F120" s="73">
        <v>2.5603376708471362E-2</v>
      </c>
      <c r="G120" s="71">
        <v>3.4022748388309751E-2</v>
      </c>
      <c r="H120" s="71">
        <v>4.0491897703891916E-2</v>
      </c>
      <c r="I120" s="71">
        <v>4.3949706922259642E-2</v>
      </c>
      <c r="J120" s="63">
        <v>4.7377215954916542E-2</v>
      </c>
      <c r="K120" s="73" t="s">
        <v>21</v>
      </c>
      <c r="L120" s="71">
        <v>5.6555797883097569E-3</v>
      </c>
      <c r="M120" s="71">
        <v>1.1430918803891906E-2</v>
      </c>
      <c r="N120" s="71">
        <v>1.4024682122259637E-2</v>
      </c>
      <c r="O120" s="63">
        <v>1.6124184154916545E-2</v>
      </c>
      <c r="P120" s="55" t="s">
        <v>21</v>
      </c>
      <c r="Q120" s="53" t="s">
        <v>21</v>
      </c>
      <c r="R120" s="94" t="s">
        <v>21</v>
      </c>
      <c r="S120" s="71" t="s">
        <v>21</v>
      </c>
      <c r="T120" s="63" t="s">
        <v>21</v>
      </c>
      <c r="V120" s="114">
        <v>1.14998361</v>
      </c>
      <c r="W120" s="72">
        <v>2.9379952399999998</v>
      </c>
      <c r="X120" s="72">
        <v>4.5313180800000001</v>
      </c>
      <c r="Y120" s="72">
        <v>5.9114247000000004</v>
      </c>
      <c r="Z120" s="115">
        <v>7.6478405799999996</v>
      </c>
    </row>
    <row r="121" spans="2:26" x14ac:dyDescent="0.35">
      <c r="B121" s="57" t="s">
        <v>102</v>
      </c>
      <c r="C121" s="67" t="s">
        <v>35</v>
      </c>
      <c r="D121" s="67" t="s">
        <v>69</v>
      </c>
      <c r="E121" s="67" t="s">
        <v>161</v>
      </c>
      <c r="F121" s="74">
        <v>2.6512945158616595E-2</v>
      </c>
      <c r="G121" s="76">
        <v>3.7072320209782857E-2</v>
      </c>
      <c r="H121" s="76">
        <v>4.549371835735723E-2</v>
      </c>
      <c r="I121" s="76">
        <v>5.0026056825296053E-2</v>
      </c>
      <c r="J121" s="64">
        <v>5.4088580557391852E-2</v>
      </c>
      <c r="K121" s="74" t="s">
        <v>21</v>
      </c>
      <c r="L121" s="76">
        <v>8.6384937097828546E-3</v>
      </c>
      <c r="M121" s="76">
        <v>1.6304438357357232E-2</v>
      </c>
      <c r="N121" s="76">
        <v>1.9930412125296053E-2</v>
      </c>
      <c r="O121" s="64">
        <v>2.2653726357391865E-2</v>
      </c>
      <c r="P121" s="57" t="s">
        <v>21</v>
      </c>
      <c r="Q121" s="67" t="s">
        <v>21</v>
      </c>
      <c r="R121" s="96" t="s">
        <v>21</v>
      </c>
      <c r="S121" s="76" t="s">
        <v>21</v>
      </c>
      <c r="T121" s="64" t="s">
        <v>21</v>
      </c>
      <c r="V121" s="114">
        <v>1.1499178400000001</v>
      </c>
      <c r="W121" s="72">
        <v>2.93074995</v>
      </c>
      <c r="X121" s="72">
        <v>4.5019390399999999</v>
      </c>
      <c r="Y121" s="72">
        <v>5.8456317000000002</v>
      </c>
      <c r="Z121" s="115">
        <v>7.5118483500000002</v>
      </c>
    </row>
    <row r="122" spans="2:26" x14ac:dyDescent="0.35">
      <c r="B122" s="56" t="s">
        <v>104</v>
      </c>
      <c r="C122" s="66" t="s">
        <v>85</v>
      </c>
      <c r="D122" s="66" t="s">
        <v>43</v>
      </c>
      <c r="E122" s="65" t="s">
        <v>417</v>
      </c>
      <c r="F122" s="80">
        <v>2.4705552785197565E-2</v>
      </c>
      <c r="G122" s="80">
        <v>3.2516708222766193E-2</v>
      </c>
      <c r="H122" s="80">
        <v>3.8179458223024862E-2</v>
      </c>
      <c r="I122" s="80">
        <v>4.0966409390318662E-2</v>
      </c>
      <c r="J122" s="62">
        <v>4.3876611466822826E-2</v>
      </c>
      <c r="K122" s="80" t="s">
        <v>21</v>
      </c>
      <c r="L122" s="80">
        <v>4.1999144227661918E-3</v>
      </c>
      <c r="M122" s="80">
        <v>9.2038458230248726E-3</v>
      </c>
      <c r="N122" s="80">
        <v>1.1156712190318665E-2</v>
      </c>
      <c r="O122" s="62">
        <v>1.2740655966822828E-2</v>
      </c>
      <c r="P122" s="56" t="s">
        <v>21</v>
      </c>
      <c r="Q122" s="66" t="s">
        <v>21</v>
      </c>
      <c r="R122" s="100" t="s">
        <v>21</v>
      </c>
      <c r="S122" s="80" t="s">
        <v>21</v>
      </c>
      <c r="T122" s="62" t="s">
        <v>21</v>
      </c>
      <c r="V122" s="118">
        <v>1.15178644</v>
      </c>
      <c r="W122" s="61">
        <v>2.9514340900000002</v>
      </c>
      <c r="X122" s="61">
        <v>4.5718037899999997</v>
      </c>
      <c r="Y122" s="61">
        <v>5.9990300000000003</v>
      </c>
      <c r="Z122" s="119">
        <v>7.8335106099999994</v>
      </c>
    </row>
    <row r="123" spans="2:26" x14ac:dyDescent="0.35">
      <c r="B123" s="57" t="s">
        <v>104</v>
      </c>
      <c r="C123" s="67" t="s">
        <v>35</v>
      </c>
      <c r="D123" s="67" t="s">
        <v>43</v>
      </c>
      <c r="E123" s="54" t="s">
        <v>417</v>
      </c>
      <c r="F123" s="76">
        <v>2.6402234305902529E-2</v>
      </c>
      <c r="G123" s="76">
        <v>3.6861482091223634E-2</v>
      </c>
      <c r="H123" s="76">
        <v>4.501257547618235E-2</v>
      </c>
      <c r="I123" s="76">
        <v>4.9080981547076061E-2</v>
      </c>
      <c r="J123" s="64">
        <v>5.2603059351799736E-2</v>
      </c>
      <c r="K123" s="76" t="s">
        <v>21</v>
      </c>
      <c r="L123" s="76">
        <v>8.4321725912236342E-3</v>
      </c>
      <c r="M123" s="76">
        <v>1.5840407376182346E-2</v>
      </c>
      <c r="N123" s="76">
        <v>1.9023254647076059E-2</v>
      </c>
      <c r="O123" s="64">
        <v>2.1224664551799732E-2</v>
      </c>
      <c r="P123" s="67" t="s">
        <v>21</v>
      </c>
      <c r="Q123" s="67" t="s">
        <v>21</v>
      </c>
      <c r="R123" s="96" t="s">
        <v>21</v>
      </c>
      <c r="S123" s="76" t="s">
        <v>21</v>
      </c>
      <c r="T123" s="64" t="s">
        <v>21</v>
      </c>
      <c r="V123" s="116">
        <v>1.1501218400000002</v>
      </c>
      <c r="W123" s="108">
        <v>2.9321485099999998</v>
      </c>
      <c r="X123" s="108">
        <v>4.5075743900000003</v>
      </c>
      <c r="Y123" s="108">
        <v>5.8621409599999996</v>
      </c>
      <c r="Z123" s="117">
        <v>7.5587560900000001</v>
      </c>
    </row>
    <row r="124" spans="2:26" x14ac:dyDescent="0.35">
      <c r="B124" s="55" t="s">
        <v>105</v>
      </c>
      <c r="C124" s="53" t="s">
        <v>85</v>
      </c>
      <c r="D124" s="53" t="s">
        <v>43</v>
      </c>
      <c r="E124" s="53" t="s">
        <v>417</v>
      </c>
      <c r="F124" s="73">
        <v>2.4658287725708911E-2</v>
      </c>
      <c r="G124" s="71">
        <v>3.2571209094390312E-2</v>
      </c>
      <c r="H124" s="71">
        <v>3.8076810409188144E-2</v>
      </c>
      <c r="I124" s="71">
        <v>4.0866795680733724E-2</v>
      </c>
      <c r="J124" s="63">
        <v>4.3679513903099883E-2</v>
      </c>
      <c r="K124" s="73" t="s">
        <v>21</v>
      </c>
      <c r="L124" s="71">
        <v>4.2535019943903104E-3</v>
      </c>
      <c r="M124" s="71">
        <v>9.1053936091881459E-3</v>
      </c>
      <c r="N124" s="71">
        <v>1.1060903680733727E-2</v>
      </c>
      <c r="O124" s="63">
        <v>1.2549773703099875E-2</v>
      </c>
      <c r="P124" s="55" t="s">
        <v>21</v>
      </c>
      <c r="Q124" s="53" t="s">
        <v>21</v>
      </c>
      <c r="R124" s="94" t="s">
        <v>21</v>
      </c>
      <c r="S124" s="71" t="s">
        <v>21</v>
      </c>
      <c r="T124" s="63" t="s">
        <v>21</v>
      </c>
      <c r="V124" s="114">
        <v>1.15186232</v>
      </c>
      <c r="W124" s="72">
        <v>2.9507261900000001</v>
      </c>
      <c r="X124" s="72">
        <v>4.5722582999999997</v>
      </c>
      <c r="Y124" s="72">
        <v>6.0012601600000002</v>
      </c>
      <c r="Z124" s="115">
        <v>7.84112294</v>
      </c>
    </row>
    <row r="125" spans="2:26" x14ac:dyDescent="0.35">
      <c r="B125" s="57" t="s">
        <v>105</v>
      </c>
      <c r="C125" s="67" t="s">
        <v>35</v>
      </c>
      <c r="D125" s="67" t="s">
        <v>43</v>
      </c>
      <c r="E125" s="67" t="s">
        <v>21</v>
      </c>
      <c r="F125" s="74">
        <v>2.631339269342128E-2</v>
      </c>
      <c r="G125" s="76">
        <v>3.6673514677006615E-2</v>
      </c>
      <c r="H125" s="76">
        <v>4.4717190849585704E-2</v>
      </c>
      <c r="I125" s="76">
        <v>4.8694343700921232E-2</v>
      </c>
      <c r="J125" s="64">
        <v>5.230684377729089E-2</v>
      </c>
      <c r="K125" s="74" t="s">
        <v>21</v>
      </c>
      <c r="L125" s="76">
        <v>8.2516583770066119E-3</v>
      </c>
      <c r="M125" s="76">
        <v>1.5557481649585708E-2</v>
      </c>
      <c r="N125" s="76">
        <v>1.8653208900921227E-2</v>
      </c>
      <c r="O125" s="64">
        <v>2.0939858577290894E-2</v>
      </c>
      <c r="P125" s="57" t="s">
        <v>21</v>
      </c>
      <c r="Q125" s="67" t="s">
        <v>21</v>
      </c>
      <c r="R125" s="96" t="s">
        <v>21</v>
      </c>
      <c r="S125" s="76" t="s">
        <v>21</v>
      </c>
      <c r="T125" s="64" t="s">
        <v>21</v>
      </c>
      <c r="V125" s="114">
        <v>1.1502307000000001</v>
      </c>
      <c r="W125" s="72">
        <v>2.9332499200000002</v>
      </c>
      <c r="X125" s="72">
        <v>4.51133279</v>
      </c>
      <c r="Y125" s="72">
        <v>5.8704648399999995</v>
      </c>
      <c r="Z125" s="115">
        <v>7.5737636500000001</v>
      </c>
    </row>
    <row r="126" spans="2:26" x14ac:dyDescent="0.35">
      <c r="B126" s="56" t="s">
        <v>106</v>
      </c>
      <c r="C126" s="66" t="s">
        <v>85</v>
      </c>
      <c r="D126" s="66" t="s">
        <v>62</v>
      </c>
      <c r="E126" s="66" t="s">
        <v>460</v>
      </c>
      <c r="F126" s="75">
        <v>2.5070862784397682E-2</v>
      </c>
      <c r="G126" s="80">
        <v>3.3437956256865187E-2</v>
      </c>
      <c r="H126" s="80">
        <v>3.9517263231853061E-2</v>
      </c>
      <c r="I126" s="80">
        <v>4.2661179044131928E-2</v>
      </c>
      <c r="J126" s="62">
        <v>4.5786802804221378E-2</v>
      </c>
      <c r="K126" s="75" t="s">
        <v>21</v>
      </c>
      <c r="L126" s="80">
        <v>5.0909711568651881E-3</v>
      </c>
      <c r="M126" s="80">
        <v>1.0493624731853064E-2</v>
      </c>
      <c r="N126" s="80">
        <v>1.2788255444131926E-2</v>
      </c>
      <c r="O126" s="62">
        <v>1.4590297804221383E-2</v>
      </c>
      <c r="P126" s="56" t="s">
        <v>461</v>
      </c>
      <c r="Q126" s="66" t="s">
        <v>462</v>
      </c>
      <c r="R126" s="100" t="s">
        <v>32</v>
      </c>
      <c r="S126" s="80">
        <v>3.7119900000000004E-2</v>
      </c>
      <c r="T126" s="62">
        <v>2.3973632318530572E-3</v>
      </c>
      <c r="V126" s="118">
        <v>1.1510436100000001</v>
      </c>
      <c r="W126" s="61">
        <v>2.9436547200000001</v>
      </c>
      <c r="X126" s="61">
        <v>4.5482778000000001</v>
      </c>
      <c r="Y126" s="61">
        <v>5.9485597699999992</v>
      </c>
      <c r="Z126" s="119">
        <v>7.7287972700000003</v>
      </c>
    </row>
    <row r="127" spans="2:26" x14ac:dyDescent="0.35">
      <c r="B127" s="57" t="s">
        <v>106</v>
      </c>
      <c r="C127" s="67" t="s">
        <v>35</v>
      </c>
      <c r="D127" s="67" t="s">
        <v>62</v>
      </c>
      <c r="E127" s="67" t="s">
        <v>463</v>
      </c>
      <c r="F127" s="74">
        <v>2.6386067212377778E-2</v>
      </c>
      <c r="G127" s="76">
        <v>3.7101187982040949E-2</v>
      </c>
      <c r="H127" s="76">
        <v>4.5398734795900467E-2</v>
      </c>
      <c r="I127" s="76">
        <v>4.9372408035132022E-2</v>
      </c>
      <c r="J127" s="64">
        <v>5.325526069247799E-2</v>
      </c>
      <c r="K127" s="76" t="s">
        <v>21</v>
      </c>
      <c r="L127" s="76">
        <v>8.665978382040947E-3</v>
      </c>
      <c r="M127" s="76">
        <v>1.6212926895900454E-2</v>
      </c>
      <c r="N127" s="76">
        <v>1.930409383513202E-2</v>
      </c>
      <c r="O127" s="76">
        <v>2.1851772092477989E-2</v>
      </c>
      <c r="P127" s="67" t="s">
        <v>21</v>
      </c>
      <c r="Q127" s="67" t="s">
        <v>21</v>
      </c>
      <c r="R127" s="96" t="s">
        <v>21</v>
      </c>
      <c r="S127" s="76" t="s">
        <v>21</v>
      </c>
      <c r="T127" s="76" t="s">
        <v>21</v>
      </c>
      <c r="V127" s="116">
        <v>1.1501130700000002</v>
      </c>
      <c r="W127" s="108">
        <v>2.9309577099999999</v>
      </c>
      <c r="X127" s="108">
        <v>4.5028479800000003</v>
      </c>
      <c r="Y127" s="108">
        <v>5.8536509700000003</v>
      </c>
      <c r="Z127" s="117">
        <v>7.5380037699999995</v>
      </c>
    </row>
    <row r="128" spans="2:26" x14ac:dyDescent="0.35">
      <c r="B128" s="55" t="s">
        <v>107</v>
      </c>
      <c r="C128" s="53" t="s">
        <v>85</v>
      </c>
      <c r="D128" s="53" t="s">
        <v>62</v>
      </c>
      <c r="E128" s="53" t="s">
        <v>266</v>
      </c>
      <c r="F128" s="73">
        <v>2.5261522991828097E-2</v>
      </c>
      <c r="G128" s="71">
        <v>3.3373862195252027E-2</v>
      </c>
      <c r="H128" s="71">
        <v>3.941390268847754E-2</v>
      </c>
      <c r="I128" s="71">
        <v>4.2706199364642226E-2</v>
      </c>
      <c r="J128" s="63">
        <v>4.5785378678801822E-2</v>
      </c>
      <c r="K128" s="73" t="s">
        <v>21</v>
      </c>
      <c r="L128" s="71">
        <v>5.0290556952520262E-3</v>
      </c>
      <c r="M128" s="71">
        <v>1.0394012088477549E-2</v>
      </c>
      <c r="N128" s="71">
        <v>1.2831116264642228E-2</v>
      </c>
      <c r="O128" s="63">
        <v>1.4589310678801818E-2</v>
      </c>
      <c r="P128" s="55" t="s">
        <v>21</v>
      </c>
      <c r="Q128" s="53" t="s">
        <v>21</v>
      </c>
      <c r="R128" s="94" t="s">
        <v>21</v>
      </c>
      <c r="S128" s="71" t="s">
        <v>21</v>
      </c>
      <c r="T128" s="63" t="s">
        <v>21</v>
      </c>
      <c r="V128" s="114">
        <v>1.1506672099999999</v>
      </c>
      <c r="W128" s="72">
        <v>2.9434018200000001</v>
      </c>
      <c r="X128" s="72">
        <v>4.5492880399999995</v>
      </c>
      <c r="Y128" s="72">
        <v>5.9491973700000003</v>
      </c>
      <c r="Z128" s="115">
        <v>7.7288631100000007</v>
      </c>
    </row>
    <row r="129" spans="2:26" x14ac:dyDescent="0.35">
      <c r="B129" s="55" t="s">
        <v>107</v>
      </c>
      <c r="C129" s="53" t="s">
        <v>35</v>
      </c>
      <c r="D129" s="53" t="s">
        <v>62</v>
      </c>
      <c r="E129" s="53" t="s">
        <v>291</v>
      </c>
      <c r="F129" s="73">
        <v>2.6314283507115246E-2</v>
      </c>
      <c r="G129" s="71">
        <v>3.6425984028983928E-2</v>
      </c>
      <c r="H129" s="71">
        <v>4.4325649549068181E-2</v>
      </c>
      <c r="I129" s="71">
        <v>4.8024119268536225E-2</v>
      </c>
      <c r="J129" s="63">
        <v>5.1908374947392324E-2</v>
      </c>
      <c r="K129" s="73" t="s">
        <v>21</v>
      </c>
      <c r="L129" s="71">
        <v>8.0126116289839372E-3</v>
      </c>
      <c r="M129" s="71">
        <v>1.518127824906818E-2</v>
      </c>
      <c r="N129" s="71">
        <v>1.8010155568536225E-2</v>
      </c>
      <c r="O129" s="63">
        <v>2.0554969747392324E-2</v>
      </c>
      <c r="P129" s="55" t="s">
        <v>21</v>
      </c>
      <c r="Q129" s="53" t="s">
        <v>21</v>
      </c>
      <c r="R129" s="94" t="s">
        <v>21</v>
      </c>
      <c r="S129" s="71" t="s">
        <v>21</v>
      </c>
      <c r="T129" s="63" t="s">
        <v>21</v>
      </c>
      <c r="V129" s="114">
        <v>1.15022063</v>
      </c>
      <c r="W129" s="72">
        <v>2.9344349200000002</v>
      </c>
      <c r="X129" s="72">
        <v>4.5160813900000001</v>
      </c>
      <c r="Y129" s="72">
        <v>5.8829987200000007</v>
      </c>
      <c r="Z129" s="115">
        <v>7.5962547199999992</v>
      </c>
    </row>
    <row r="130" spans="2:26" x14ac:dyDescent="0.35">
      <c r="B130" s="97" t="s">
        <v>83</v>
      </c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77"/>
      <c r="P130" s="97"/>
      <c r="Q130" s="98"/>
      <c r="R130" s="101"/>
      <c r="S130" s="98"/>
      <c r="T130" s="99"/>
      <c r="V130" s="120"/>
      <c r="W130" s="109"/>
      <c r="X130" s="109"/>
      <c r="Y130" s="109"/>
      <c r="Z130" s="121"/>
    </row>
    <row r="131" spans="2:26" x14ac:dyDescent="0.35">
      <c r="B131" s="56" t="s">
        <v>108</v>
      </c>
      <c r="C131" s="66" t="s">
        <v>85</v>
      </c>
      <c r="D131" s="66" t="s">
        <v>20</v>
      </c>
      <c r="E131" s="65" t="s">
        <v>58</v>
      </c>
      <c r="F131" s="80">
        <v>2.4786925694202253E-2</v>
      </c>
      <c r="G131" s="80">
        <v>3.2831142336903707E-2</v>
      </c>
      <c r="H131" s="80">
        <v>3.8470679098760709E-2</v>
      </c>
      <c r="I131" s="80">
        <v>4.253174846762043E-2</v>
      </c>
      <c r="J131" s="62">
        <v>4.5955432715374944E-2</v>
      </c>
      <c r="K131" s="80" t="s">
        <v>21</v>
      </c>
      <c r="L131" s="80">
        <v>4.4882077369037109E-3</v>
      </c>
      <c r="M131" s="80">
        <v>9.4673865987607072E-3</v>
      </c>
      <c r="N131" s="80">
        <v>1.2643563467620429E-2</v>
      </c>
      <c r="O131" s="62">
        <v>1.4738242615374948E-2</v>
      </c>
      <c r="P131" s="56" t="s">
        <v>464</v>
      </c>
      <c r="Q131" s="66" t="s">
        <v>465</v>
      </c>
      <c r="R131" s="100">
        <v>47580</v>
      </c>
      <c r="S131" s="80">
        <v>3.6302769999999998E-2</v>
      </c>
      <c r="T131" s="62">
        <v>2.1679090987607105E-3</v>
      </c>
      <c r="V131" s="118">
        <v>1.1505904300000001</v>
      </c>
      <c r="W131" s="61">
        <v>2.9438703900000003</v>
      </c>
      <c r="X131" s="61">
        <v>4.5555462599999998</v>
      </c>
      <c r="Y131" s="61">
        <v>5.9504941699999998</v>
      </c>
      <c r="Z131" s="119">
        <v>7.7098983100000007</v>
      </c>
    </row>
    <row r="132" spans="2:26" x14ac:dyDescent="0.35">
      <c r="B132" s="55" t="s">
        <v>109</v>
      </c>
      <c r="C132" s="53" t="s">
        <v>85</v>
      </c>
      <c r="D132" s="53" t="s">
        <v>20</v>
      </c>
      <c r="E132" s="59" t="s">
        <v>54</v>
      </c>
      <c r="F132" s="71">
        <v>2.7630653121117593E-2</v>
      </c>
      <c r="G132" s="71">
        <v>3.9064240455114689E-2</v>
      </c>
      <c r="H132" s="71">
        <v>4.8872976574811974E-2</v>
      </c>
      <c r="I132" s="71">
        <v>5.5050316467789406E-2</v>
      </c>
      <c r="J132" s="63">
        <v>5.7050639496067777E-2</v>
      </c>
      <c r="K132" s="71">
        <v>2.1373682111759055E-4</v>
      </c>
      <c r="L132" s="71">
        <v>1.0480954455114686E-2</v>
      </c>
      <c r="M132" s="71">
        <v>1.9393244674811974E-2</v>
      </c>
      <c r="N132" s="71">
        <v>2.4533155967789416E-2</v>
      </c>
      <c r="O132" s="63">
        <v>2.5339916796067785E-2</v>
      </c>
      <c r="P132" s="55" t="s">
        <v>466</v>
      </c>
      <c r="Q132" s="53" t="s">
        <v>467</v>
      </c>
      <c r="R132" s="94">
        <v>47618</v>
      </c>
      <c r="S132" s="71">
        <v>3.9451050000000001E-2</v>
      </c>
      <c r="T132" s="63">
        <v>9.4219265748119729E-3</v>
      </c>
      <c r="V132" s="114">
        <v>1.1443626199999999</v>
      </c>
      <c r="W132" s="72">
        <v>2.8944059800000002</v>
      </c>
      <c r="X132" s="72">
        <v>4.3847028200000002</v>
      </c>
      <c r="Y132" s="72">
        <v>5.5904649600000003</v>
      </c>
      <c r="Z132" s="115">
        <v>7.0691181500000004</v>
      </c>
    </row>
    <row r="133" spans="2:26" x14ac:dyDescent="0.35">
      <c r="B133" s="57" t="s">
        <v>111</v>
      </c>
      <c r="C133" s="67" t="s">
        <v>85</v>
      </c>
      <c r="D133" s="67" t="s">
        <v>20</v>
      </c>
      <c r="E133" s="54" t="s">
        <v>112</v>
      </c>
      <c r="F133" s="76">
        <v>2.584519360906045E-2</v>
      </c>
      <c r="G133" s="76">
        <v>3.5062215411835254E-2</v>
      </c>
      <c r="H133" s="76">
        <v>4.1539185051702648E-2</v>
      </c>
      <c r="I133" s="76">
        <v>4.5022241264034937E-2</v>
      </c>
      <c r="J133" s="64">
        <v>4.8444661773440797E-2</v>
      </c>
      <c r="K133" s="76" t="s">
        <v>21</v>
      </c>
      <c r="L133" s="76">
        <v>6.6361420118352457E-3</v>
      </c>
      <c r="M133" s="76">
        <v>1.2413696851702648E-2</v>
      </c>
      <c r="N133" s="76">
        <v>1.5028377964034939E-2</v>
      </c>
      <c r="O133" s="64">
        <v>1.7132344073440796E-2</v>
      </c>
      <c r="P133" s="57" t="s">
        <v>21</v>
      </c>
      <c r="Q133" s="67" t="s">
        <v>21</v>
      </c>
      <c r="R133" s="96" t="s">
        <v>21</v>
      </c>
      <c r="S133" s="76" t="s">
        <v>21</v>
      </c>
      <c r="T133" s="64" t="s">
        <v>21</v>
      </c>
      <c r="V133" s="116">
        <v>1.1485798300000001</v>
      </c>
      <c r="W133" s="108">
        <v>2.9260559900000001</v>
      </c>
      <c r="X133" s="108">
        <v>4.5017898799999996</v>
      </c>
      <c r="Y133" s="108">
        <v>5.8565280699999995</v>
      </c>
      <c r="Z133" s="117">
        <v>7.5451473599999996</v>
      </c>
    </row>
    <row r="134" spans="2:26" x14ac:dyDescent="0.35">
      <c r="P134" s="128"/>
      <c r="Q134" s="128"/>
      <c r="R134" s="44"/>
      <c r="S134" s="128"/>
      <c r="T134" s="128"/>
      <c r="V134" s="72"/>
      <c r="W134" s="72"/>
      <c r="X134" s="72"/>
      <c r="Y134" s="72"/>
      <c r="Z134" s="72"/>
    </row>
    <row r="135" spans="2:26" ht="15.5" x14ac:dyDescent="0.35">
      <c r="B135" s="122" t="s">
        <v>113</v>
      </c>
      <c r="R135" s="94"/>
      <c r="S135" s="71"/>
      <c r="T135" s="71"/>
      <c r="V135" s="72"/>
      <c r="W135" s="72"/>
      <c r="X135" s="72"/>
      <c r="Y135" s="72"/>
      <c r="Z135" s="72"/>
    </row>
    <row r="136" spans="2:26" x14ac:dyDescent="0.35">
      <c r="B136" s="85" t="s">
        <v>5</v>
      </c>
      <c r="C136" s="84" t="s">
        <v>6</v>
      </c>
      <c r="D136" s="84" t="s">
        <v>7</v>
      </c>
      <c r="E136" s="84" t="s">
        <v>8</v>
      </c>
      <c r="F136" s="83" t="s">
        <v>9</v>
      </c>
      <c r="G136" s="82" t="s">
        <v>10</v>
      </c>
      <c r="H136" s="82" t="s">
        <v>11</v>
      </c>
      <c r="I136" s="82" t="s">
        <v>12</v>
      </c>
      <c r="J136" s="81" t="s">
        <v>13</v>
      </c>
      <c r="K136" s="83" t="s">
        <v>9</v>
      </c>
      <c r="L136" s="82" t="s">
        <v>10</v>
      </c>
      <c r="M136" s="82" t="s">
        <v>11</v>
      </c>
      <c r="N136" s="82" t="s">
        <v>12</v>
      </c>
      <c r="O136" s="81" t="s">
        <v>13</v>
      </c>
      <c r="P136" s="70" t="s">
        <v>14</v>
      </c>
      <c r="Q136" s="58" t="s">
        <v>15</v>
      </c>
      <c r="R136" s="58" t="s">
        <v>16</v>
      </c>
      <c r="S136" s="58" t="s">
        <v>17</v>
      </c>
      <c r="T136" s="58" t="s">
        <v>18</v>
      </c>
      <c r="V136" s="110" t="s">
        <v>9</v>
      </c>
      <c r="W136" s="106" t="s">
        <v>10</v>
      </c>
      <c r="X136" s="106" t="s">
        <v>11</v>
      </c>
      <c r="Y136" s="106" t="s">
        <v>12</v>
      </c>
      <c r="Z136" s="111" t="s">
        <v>13</v>
      </c>
    </row>
    <row r="137" spans="2:26" x14ac:dyDescent="0.35">
      <c r="B137" s="79" t="s">
        <v>114</v>
      </c>
      <c r="C137" s="9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7"/>
      <c r="P137" s="79"/>
      <c r="Q137" s="78"/>
      <c r="R137" s="95"/>
      <c r="S137" s="78"/>
      <c r="T137" s="77"/>
      <c r="V137" s="112"/>
      <c r="W137" s="107"/>
      <c r="X137" s="107"/>
      <c r="Y137" s="107"/>
      <c r="Z137" s="113"/>
    </row>
    <row r="138" spans="2:26" x14ac:dyDescent="0.35">
      <c r="B138" s="56" t="s">
        <v>319</v>
      </c>
      <c r="C138" s="66" t="s">
        <v>234</v>
      </c>
      <c r="D138" s="66" t="s">
        <v>20</v>
      </c>
      <c r="E138" s="66" t="s">
        <v>21</v>
      </c>
      <c r="F138" s="75">
        <v>2.7274203424689114E-2</v>
      </c>
      <c r="G138" s="80">
        <v>4.1192657147696488E-2</v>
      </c>
      <c r="H138" s="80">
        <v>5.6332070453569118E-2</v>
      </c>
      <c r="I138" s="80">
        <v>6.2736293582123501E-2</v>
      </c>
      <c r="J138" s="62">
        <v>6.767606406834524E-2</v>
      </c>
      <c r="K138" s="80" t="s">
        <v>21</v>
      </c>
      <c r="L138" s="80">
        <v>1.2497535147696493E-2</v>
      </c>
      <c r="M138" s="80">
        <v>2.63984382535691E-2</v>
      </c>
      <c r="N138" s="80">
        <v>3.1718217982123501E-2</v>
      </c>
      <c r="O138" s="62">
        <v>3.5313960768345212E-2</v>
      </c>
      <c r="P138" s="56" t="s">
        <v>21</v>
      </c>
      <c r="Q138" s="66" t="s">
        <v>21</v>
      </c>
      <c r="R138" s="100" t="s">
        <v>21</v>
      </c>
      <c r="S138" s="80" t="s">
        <v>21</v>
      </c>
      <c r="T138" s="62" t="s">
        <v>21</v>
      </c>
      <c r="V138" s="114">
        <v>1.1455302999999999</v>
      </c>
      <c r="W138" s="72">
        <v>2.8823068599999999</v>
      </c>
      <c r="X138" s="72">
        <v>4.2953784299999995</v>
      </c>
      <c r="Y138" s="72">
        <v>5.3891586499999997</v>
      </c>
      <c r="Z138" s="115">
        <v>6.6188211299999997</v>
      </c>
    </row>
    <row r="139" spans="2:26" x14ac:dyDescent="0.35">
      <c r="B139" s="55" t="s">
        <v>177</v>
      </c>
      <c r="C139" s="53" t="s">
        <v>234</v>
      </c>
      <c r="D139" s="53" t="s">
        <v>43</v>
      </c>
      <c r="E139" s="53" t="s">
        <v>21</v>
      </c>
      <c r="F139" s="73">
        <v>2.7415444743133562E-2</v>
      </c>
      <c r="G139" s="71">
        <v>4.2395020484212183E-2</v>
      </c>
      <c r="H139" s="71">
        <v>5.5066904713040363E-2</v>
      </c>
      <c r="I139" s="71">
        <v>6.3433748580936186E-2</v>
      </c>
      <c r="J139" s="63">
        <v>6.7592243262003207E-2</v>
      </c>
      <c r="K139" s="71">
        <v>1.4767443133565164E-5</v>
      </c>
      <c r="L139" s="71">
        <v>1.3667594784212186E-2</v>
      </c>
      <c r="M139" s="71">
        <v>2.5248001913040365E-2</v>
      </c>
      <c r="N139" s="71">
        <v>3.2397654380936176E-2</v>
      </c>
      <c r="O139" s="63">
        <v>3.527278666200321E-2</v>
      </c>
      <c r="P139" s="55" t="s">
        <v>21</v>
      </c>
      <c r="Q139" s="53" t="s">
        <v>21</v>
      </c>
      <c r="R139" s="94" t="s">
        <v>21</v>
      </c>
      <c r="S139" s="71" t="s">
        <v>21</v>
      </c>
      <c r="T139" s="63" t="s">
        <v>21</v>
      </c>
      <c r="V139" s="114">
        <v>1.1463524600000001</v>
      </c>
      <c r="W139" s="72">
        <v>2.8772161199999999</v>
      </c>
      <c r="X139" s="72">
        <v>4.3054355199999996</v>
      </c>
      <c r="Y139" s="72">
        <v>5.4046761800000001</v>
      </c>
      <c r="Z139" s="115">
        <v>6.6444284399999995</v>
      </c>
    </row>
    <row r="140" spans="2:26" x14ac:dyDescent="0.35">
      <c r="B140" s="55" t="s">
        <v>122</v>
      </c>
      <c r="C140" s="53" t="s">
        <v>234</v>
      </c>
      <c r="D140" s="53" t="s">
        <v>97</v>
      </c>
      <c r="E140" s="53" t="s">
        <v>269</v>
      </c>
      <c r="F140" s="73">
        <v>2.6914853402490561E-2</v>
      </c>
      <c r="G140" s="71">
        <v>4.189859870194395E-2</v>
      </c>
      <c r="H140" s="71">
        <v>5.4242898025610893E-2</v>
      </c>
      <c r="I140" s="71">
        <v>6.2413673310640412E-2</v>
      </c>
      <c r="J140" s="63">
        <v>6.8862032433734122E-2</v>
      </c>
      <c r="K140" s="71" t="s">
        <v>21</v>
      </c>
      <c r="L140" s="71">
        <v>1.3199772701943944E-2</v>
      </c>
      <c r="M140" s="71">
        <v>2.4478819625610892E-2</v>
      </c>
      <c r="N140" s="71">
        <v>3.145302071064042E-2</v>
      </c>
      <c r="O140" s="63">
        <v>3.6452165433734127E-2</v>
      </c>
      <c r="P140" s="55" t="s">
        <v>21</v>
      </c>
      <c r="Q140" s="53" t="s">
        <v>21</v>
      </c>
      <c r="R140" s="94" t="s">
        <v>21</v>
      </c>
      <c r="S140" s="71" t="s">
        <v>21</v>
      </c>
      <c r="T140" s="63" t="s">
        <v>21</v>
      </c>
      <c r="V140" s="114">
        <v>1.1473766200000002</v>
      </c>
      <c r="W140" s="72">
        <v>2.8828363700000001</v>
      </c>
      <c r="X140" s="72">
        <v>4.3198857200000003</v>
      </c>
      <c r="Y140" s="72">
        <v>5.4325367399999998</v>
      </c>
      <c r="Z140" s="115">
        <v>6.6485232199999995</v>
      </c>
    </row>
    <row r="141" spans="2:26" x14ac:dyDescent="0.35">
      <c r="B141" s="55" t="s">
        <v>170</v>
      </c>
      <c r="C141" s="53" t="s">
        <v>234</v>
      </c>
      <c r="D141" s="53" t="s">
        <v>20</v>
      </c>
      <c r="E141" s="53" t="s">
        <v>21</v>
      </c>
      <c r="F141" s="73">
        <v>2.9563374803912988E-2</v>
      </c>
      <c r="G141" s="71">
        <v>4.1829763492618931E-2</v>
      </c>
      <c r="H141" s="71">
        <v>5.2537462848198137E-2</v>
      </c>
      <c r="I141" s="71">
        <v>5.7534560034958895E-2</v>
      </c>
      <c r="J141" s="63">
        <v>6.2394060058929376E-2</v>
      </c>
      <c r="K141" s="71">
        <v>2.0491659039129934E-3</v>
      </c>
      <c r="L141" s="71">
        <v>1.3109310892618931E-2</v>
      </c>
      <c r="M141" s="71">
        <v>2.2844670948198132E-2</v>
      </c>
      <c r="N141" s="71">
        <v>2.6866750034958906E-2</v>
      </c>
      <c r="O141" s="63">
        <v>3.0365536158929375E-2</v>
      </c>
      <c r="P141" s="55" t="s">
        <v>468</v>
      </c>
      <c r="Q141" s="53" t="s">
        <v>469</v>
      </c>
      <c r="R141" s="94">
        <v>47505</v>
      </c>
      <c r="S141" s="71">
        <v>4.6046719999999999E-2</v>
      </c>
      <c r="T141" s="63">
        <v>6.4907428481981375E-3</v>
      </c>
      <c r="V141" s="114">
        <v>1.13943167</v>
      </c>
      <c r="W141" s="72">
        <v>2.86615669</v>
      </c>
      <c r="X141" s="72">
        <v>4.32030023</v>
      </c>
      <c r="Y141" s="72">
        <v>5.48159054</v>
      </c>
      <c r="Z141" s="115">
        <v>6.83600998</v>
      </c>
    </row>
    <row r="142" spans="2:26" x14ac:dyDescent="0.35">
      <c r="B142" s="55" t="s">
        <v>153</v>
      </c>
      <c r="C142" s="53" t="s">
        <v>234</v>
      </c>
      <c r="D142" s="53" t="s">
        <v>20</v>
      </c>
      <c r="E142" s="53" t="s">
        <v>123</v>
      </c>
      <c r="F142" s="73">
        <v>2.8847953688823855E-2</v>
      </c>
      <c r="G142" s="71">
        <v>4.3662718875936327E-2</v>
      </c>
      <c r="H142" s="71">
        <v>5.1858304328914168E-2</v>
      </c>
      <c r="I142" s="71">
        <v>5.6893662932731515E-2</v>
      </c>
      <c r="J142" s="63">
        <v>6.0393715218515151E-2</v>
      </c>
      <c r="K142" s="71">
        <v>1.3638278888238545E-3</v>
      </c>
      <c r="L142" s="71">
        <v>1.4843405075936317E-2</v>
      </c>
      <c r="M142" s="71">
        <v>2.220211812891416E-2</v>
      </c>
      <c r="N142" s="71">
        <v>2.6255347732731509E-2</v>
      </c>
      <c r="O142" s="63">
        <v>2.847591901851515E-2</v>
      </c>
      <c r="P142" s="55" t="s">
        <v>470</v>
      </c>
      <c r="Q142" s="53" t="s">
        <v>471</v>
      </c>
      <c r="R142" s="94">
        <v>47484</v>
      </c>
      <c r="S142" s="71">
        <v>4.3067469999999997E-2</v>
      </c>
      <c r="T142" s="63">
        <v>8.790834328914171E-3</v>
      </c>
      <c r="V142" s="114">
        <v>1.1412917899999999</v>
      </c>
      <c r="W142" s="72">
        <v>2.8579528999999999</v>
      </c>
      <c r="X142" s="72">
        <v>4.3121529999999995</v>
      </c>
      <c r="Y142" s="72">
        <v>5.4910821600000004</v>
      </c>
      <c r="Z142" s="115">
        <v>6.8924334099999998</v>
      </c>
    </row>
    <row r="143" spans="2:26" x14ac:dyDescent="0.35">
      <c r="B143" s="55" t="s">
        <v>176</v>
      </c>
      <c r="C143" s="53" t="s">
        <v>234</v>
      </c>
      <c r="D143" s="53" t="s">
        <v>47</v>
      </c>
      <c r="E143" s="53" t="s">
        <v>21</v>
      </c>
      <c r="F143" s="73">
        <v>2.9799758131007905E-2</v>
      </c>
      <c r="G143" s="71">
        <v>4.0367981534897679E-2</v>
      </c>
      <c r="H143" s="71">
        <v>4.9205850907251936E-2</v>
      </c>
      <c r="I143" s="71">
        <v>5.2599048107511495E-2</v>
      </c>
      <c r="J143" s="63">
        <v>5.5957226894809857E-2</v>
      </c>
      <c r="K143" s="71">
        <v>2.2868991310079139E-3</v>
      </c>
      <c r="L143" s="71">
        <v>1.1737365034897671E-2</v>
      </c>
      <c r="M143" s="71">
        <v>1.9726804407251934E-2</v>
      </c>
      <c r="N143" s="71">
        <v>2.22461174075115E-2</v>
      </c>
      <c r="O143" s="63">
        <v>2.4311901894809852E-2</v>
      </c>
      <c r="P143" s="55" t="s">
        <v>21</v>
      </c>
      <c r="Q143" s="53" t="s">
        <v>21</v>
      </c>
      <c r="R143" s="94" t="s">
        <v>21</v>
      </c>
      <c r="S143" s="71" t="s">
        <v>21</v>
      </c>
      <c r="T143" s="63" t="s">
        <v>21</v>
      </c>
      <c r="V143" s="114">
        <v>1.14022461</v>
      </c>
      <c r="W143" s="72">
        <v>2.88212818</v>
      </c>
      <c r="X143" s="72">
        <v>4.3732209600000003</v>
      </c>
      <c r="Y143" s="72">
        <v>5.6213047199999995</v>
      </c>
      <c r="Z143" s="115">
        <v>7.1398716099999993</v>
      </c>
    </row>
    <row r="144" spans="2:26" x14ac:dyDescent="0.35">
      <c r="B144" s="55" t="s">
        <v>325</v>
      </c>
      <c r="C144" s="53" t="s">
        <v>234</v>
      </c>
      <c r="D144" s="53" t="s">
        <v>69</v>
      </c>
      <c r="E144" s="53" t="s">
        <v>116</v>
      </c>
      <c r="F144" s="73">
        <v>2.7269437474449452E-2</v>
      </c>
      <c r="G144" s="71">
        <v>3.842238820947156E-2</v>
      </c>
      <c r="H144" s="71">
        <v>4.893595425512328E-2</v>
      </c>
      <c r="I144" s="71">
        <v>5.4631449460708241E-2</v>
      </c>
      <c r="J144" s="63">
        <v>5.9387438458895304E-2</v>
      </c>
      <c r="K144" s="71" t="s">
        <v>21</v>
      </c>
      <c r="L144" s="71">
        <v>9.8824825094715636E-3</v>
      </c>
      <c r="M144" s="71">
        <v>1.947491895512328E-2</v>
      </c>
      <c r="N144" s="71">
        <v>2.416576146070825E-2</v>
      </c>
      <c r="O144" s="63">
        <v>2.7569681158895291E-2</v>
      </c>
      <c r="P144" s="55" t="s">
        <v>376</v>
      </c>
      <c r="Q144" s="53" t="s">
        <v>377</v>
      </c>
      <c r="R144" s="94" t="s">
        <v>32</v>
      </c>
      <c r="S144" s="71">
        <v>3.9476480000000001E-2</v>
      </c>
      <c r="T144" s="63">
        <v>9.4594742551232791E-3</v>
      </c>
      <c r="V144" s="114">
        <v>1.14668711</v>
      </c>
      <c r="W144" s="72">
        <v>2.9040475999999997</v>
      </c>
      <c r="X144" s="72">
        <v>4.4008321800000001</v>
      </c>
      <c r="Y144" s="72">
        <v>5.6192480500000004</v>
      </c>
      <c r="Z144" s="115">
        <v>7.0464433899999994</v>
      </c>
    </row>
    <row r="145" spans="2:26" x14ac:dyDescent="0.35">
      <c r="B145" s="55" t="s">
        <v>173</v>
      </c>
      <c r="C145" s="53" t="s">
        <v>234</v>
      </c>
      <c r="D145" s="53" t="s">
        <v>20</v>
      </c>
      <c r="E145" s="53" t="s">
        <v>290</v>
      </c>
      <c r="F145" s="73">
        <v>2.7850805465490507E-2</v>
      </c>
      <c r="G145" s="71">
        <v>3.8485185087308568E-2</v>
      </c>
      <c r="H145" s="71">
        <v>4.7252697971855266E-2</v>
      </c>
      <c r="I145" s="71">
        <v>5.181382623100788E-2</v>
      </c>
      <c r="J145" s="63">
        <v>5.6318752160950142E-2</v>
      </c>
      <c r="K145" s="71">
        <v>4.0901836549050129E-4</v>
      </c>
      <c r="L145" s="71">
        <v>9.9201065873085713E-3</v>
      </c>
      <c r="M145" s="71">
        <v>1.7856207671855258E-2</v>
      </c>
      <c r="N145" s="71">
        <v>2.1483728531007877E-2</v>
      </c>
      <c r="O145" s="63">
        <v>2.4640140760950145E-2</v>
      </c>
      <c r="P145" s="55" t="s">
        <v>472</v>
      </c>
      <c r="Q145" s="53" t="s">
        <v>473</v>
      </c>
      <c r="R145" s="94">
        <v>47644</v>
      </c>
      <c r="S145" s="71">
        <v>4.0232869999999997E-2</v>
      </c>
      <c r="T145" s="63">
        <v>7.0198279718552692E-3</v>
      </c>
      <c r="V145" s="114">
        <v>1.1438827899999999</v>
      </c>
      <c r="W145" s="72">
        <v>2.8980386</v>
      </c>
      <c r="X145" s="72">
        <v>4.4067175599999997</v>
      </c>
      <c r="Y145" s="72">
        <v>5.6566123699999995</v>
      </c>
      <c r="Z145" s="115">
        <v>7.1498226799999998</v>
      </c>
    </row>
    <row r="146" spans="2:26" x14ac:dyDescent="0.35">
      <c r="B146" s="55" t="s">
        <v>130</v>
      </c>
      <c r="C146" s="53" t="s">
        <v>234</v>
      </c>
      <c r="D146" s="53" t="s">
        <v>131</v>
      </c>
      <c r="E146" s="53" t="s">
        <v>21</v>
      </c>
      <c r="F146" s="73">
        <v>2.6878449604538342E-2</v>
      </c>
      <c r="G146" s="71">
        <v>3.7813480572753869E-2</v>
      </c>
      <c r="H146" s="71">
        <v>4.7089135746303606E-2</v>
      </c>
      <c r="I146" s="71">
        <v>5.3244966295713403E-2</v>
      </c>
      <c r="J146" s="63">
        <v>5.7723325502892567E-2</v>
      </c>
      <c r="K146" s="71" t="s">
        <v>21</v>
      </c>
      <c r="L146" s="71">
        <v>9.2976517727538701E-3</v>
      </c>
      <c r="M146" s="71">
        <v>1.7724890846303604E-2</v>
      </c>
      <c r="N146" s="71">
        <v>2.2857487795713394E-2</v>
      </c>
      <c r="O146" s="63">
        <v>2.5999189302892564E-2</v>
      </c>
      <c r="P146" s="55" t="s">
        <v>474</v>
      </c>
      <c r="Q146" s="53" t="s">
        <v>475</v>
      </c>
      <c r="R146" s="94">
        <v>47532</v>
      </c>
      <c r="S146" s="71">
        <v>3.8647859999999999E-2</v>
      </c>
      <c r="T146" s="63">
        <v>8.4412757463036073E-3</v>
      </c>
      <c r="V146" s="114">
        <v>1.1475089399999998</v>
      </c>
      <c r="W146" s="72">
        <v>2.9093655900000002</v>
      </c>
      <c r="X146" s="72">
        <v>4.4263553999999994</v>
      </c>
      <c r="Y146" s="72">
        <v>5.6665965300000005</v>
      </c>
      <c r="Z146" s="115">
        <v>7.1313714400000006</v>
      </c>
    </row>
    <row r="147" spans="2:26" x14ac:dyDescent="0.35">
      <c r="B147" s="55" t="s">
        <v>118</v>
      </c>
      <c r="C147" s="53" t="s">
        <v>234</v>
      </c>
      <c r="D147" s="53" t="s">
        <v>20</v>
      </c>
      <c r="E147" s="53" t="s">
        <v>21</v>
      </c>
      <c r="F147" s="73">
        <v>2.665188053729195E-2</v>
      </c>
      <c r="G147" s="71">
        <v>3.7296911478824003E-2</v>
      </c>
      <c r="H147" s="71">
        <v>4.6310528169144237E-2</v>
      </c>
      <c r="I147" s="71">
        <v>5.1614351879474316E-2</v>
      </c>
      <c r="J147" s="63">
        <v>5.5421296647914293E-2</v>
      </c>
      <c r="K147" s="71" t="s">
        <v>21</v>
      </c>
      <c r="L147" s="71">
        <v>8.7828348788240064E-3</v>
      </c>
      <c r="M147" s="71">
        <v>1.6963617269144235E-2</v>
      </c>
      <c r="N147" s="71">
        <v>2.1294636979474313E-2</v>
      </c>
      <c r="O147" s="63">
        <v>2.3795338047914286E-2</v>
      </c>
      <c r="P147" s="55" t="s">
        <v>476</v>
      </c>
      <c r="Q147" s="53" t="s">
        <v>477</v>
      </c>
      <c r="R147" s="94">
        <v>47557</v>
      </c>
      <c r="S147" s="71">
        <v>3.8473939999999998E-2</v>
      </c>
      <c r="T147" s="63">
        <v>7.8365881691442388E-3</v>
      </c>
      <c r="V147" s="114">
        <v>1.1469526299999999</v>
      </c>
      <c r="W147" s="72">
        <v>2.90856526</v>
      </c>
      <c r="X147" s="72">
        <v>4.4284105499999997</v>
      </c>
      <c r="Y147" s="72">
        <v>5.6883667200000003</v>
      </c>
      <c r="Z147" s="115">
        <v>7.2004389500000006</v>
      </c>
    </row>
    <row r="148" spans="2:26" x14ac:dyDescent="0.35">
      <c r="B148" s="55" t="s">
        <v>320</v>
      </c>
      <c r="C148" s="53" t="s">
        <v>234</v>
      </c>
      <c r="D148" s="53" t="s">
        <v>20</v>
      </c>
      <c r="E148" s="53" t="s">
        <v>123</v>
      </c>
      <c r="F148" s="73">
        <v>2.6602486992961617E-2</v>
      </c>
      <c r="G148" s="71">
        <v>3.748463245690406E-2</v>
      </c>
      <c r="H148" s="71">
        <v>4.5431656840105701E-2</v>
      </c>
      <c r="I148" s="71">
        <v>4.9581809922780294E-2</v>
      </c>
      <c r="J148" s="63">
        <v>5.3195224501398297E-2</v>
      </c>
      <c r="K148" s="71" t="s">
        <v>21</v>
      </c>
      <c r="L148" s="71">
        <v>8.9631417569040646E-3</v>
      </c>
      <c r="M148" s="71">
        <v>1.6127155440105696E-2</v>
      </c>
      <c r="N148" s="71">
        <v>1.9368790022780295E-2</v>
      </c>
      <c r="O148" s="63">
        <v>2.1672743501398292E-2</v>
      </c>
      <c r="P148" s="55" t="s">
        <v>21</v>
      </c>
      <c r="Q148" s="53" t="s">
        <v>21</v>
      </c>
      <c r="R148" s="94" t="s">
        <v>21</v>
      </c>
      <c r="S148" s="71" t="s">
        <v>21</v>
      </c>
      <c r="T148" s="63" t="s">
        <v>21</v>
      </c>
      <c r="V148" s="114">
        <v>1.1470406900000001</v>
      </c>
      <c r="W148" s="72">
        <v>2.90614025</v>
      </c>
      <c r="X148" s="72">
        <v>4.4353457399999998</v>
      </c>
      <c r="Y148" s="72">
        <v>5.71968823</v>
      </c>
      <c r="Z148" s="115">
        <v>7.2880319599999996</v>
      </c>
    </row>
    <row r="149" spans="2:26" x14ac:dyDescent="0.35">
      <c r="B149" s="55" t="s">
        <v>334</v>
      </c>
      <c r="C149" s="53" t="s">
        <v>234</v>
      </c>
      <c r="D149" s="53" t="s">
        <v>20</v>
      </c>
      <c r="E149" s="53" t="s">
        <v>318</v>
      </c>
      <c r="F149" s="73">
        <v>2.5900701856199342E-2</v>
      </c>
      <c r="G149" s="71">
        <v>3.5797485611630625E-2</v>
      </c>
      <c r="H149" s="71">
        <v>4.511258357421255E-2</v>
      </c>
      <c r="I149" s="71">
        <v>4.9393140618203296E-2</v>
      </c>
      <c r="J149" s="63">
        <v>5.3705238980637303E-2</v>
      </c>
      <c r="K149" s="71" t="s">
        <v>21</v>
      </c>
      <c r="L149" s="71">
        <v>7.3420651116306301E-3</v>
      </c>
      <c r="M149" s="71">
        <v>1.5821990874212544E-2</v>
      </c>
      <c r="N149" s="71">
        <v>1.9191916318203297E-2</v>
      </c>
      <c r="O149" s="63">
        <v>2.2160335980637297E-2</v>
      </c>
      <c r="P149" s="55" t="s">
        <v>21</v>
      </c>
      <c r="Q149" s="53" t="s">
        <v>21</v>
      </c>
      <c r="R149" s="94" t="s">
        <v>21</v>
      </c>
      <c r="S149" s="71" t="s">
        <v>21</v>
      </c>
      <c r="T149" s="63" t="s">
        <v>21</v>
      </c>
      <c r="V149" s="114">
        <v>1.1485346999999999</v>
      </c>
      <c r="W149" s="72">
        <v>2.9195630800000001</v>
      </c>
      <c r="X149" s="72">
        <v>4.4556860599999997</v>
      </c>
      <c r="Y149" s="72">
        <v>5.7379108499999996</v>
      </c>
      <c r="Z149" s="115">
        <v>7.2932667699999998</v>
      </c>
    </row>
    <row r="150" spans="2:26" x14ac:dyDescent="0.35">
      <c r="B150" s="55" t="s">
        <v>119</v>
      </c>
      <c r="C150" s="53" t="s">
        <v>234</v>
      </c>
      <c r="D150" s="53" t="s">
        <v>120</v>
      </c>
      <c r="E150" s="53" t="s">
        <v>21</v>
      </c>
      <c r="F150" s="73">
        <v>2.5582077527282865E-2</v>
      </c>
      <c r="G150" s="71">
        <v>3.625983962800982E-2</v>
      </c>
      <c r="H150" s="71">
        <v>4.4991456816743776E-2</v>
      </c>
      <c r="I150" s="71">
        <v>5.0656706581520557E-2</v>
      </c>
      <c r="J150" s="63">
        <v>5.6672879094564178E-2</v>
      </c>
      <c r="K150" s="71" t="s">
        <v>21</v>
      </c>
      <c r="L150" s="71">
        <v>7.8086964280098189E-3</v>
      </c>
      <c r="M150" s="71">
        <v>1.5735557216743776E-2</v>
      </c>
      <c r="N150" s="71">
        <v>2.0417964181520563E-2</v>
      </c>
      <c r="O150" s="63">
        <v>2.5007416994564182E-2</v>
      </c>
      <c r="P150" s="55" t="s">
        <v>21</v>
      </c>
      <c r="Q150" s="53" t="s">
        <v>21</v>
      </c>
      <c r="R150" s="94" t="s">
        <v>21</v>
      </c>
      <c r="S150" s="71" t="s">
        <v>21</v>
      </c>
      <c r="T150" s="63" t="s">
        <v>21</v>
      </c>
      <c r="V150" s="114">
        <v>1.15003546</v>
      </c>
      <c r="W150" s="72">
        <v>2.9248340900000001</v>
      </c>
      <c r="X150" s="72">
        <v>4.4668663799999999</v>
      </c>
      <c r="Y150" s="72">
        <v>5.7459365700000005</v>
      </c>
      <c r="Z150" s="115">
        <v>7.2433579600000009</v>
      </c>
    </row>
    <row r="151" spans="2:26" x14ac:dyDescent="0.35">
      <c r="B151" s="55" t="s">
        <v>321</v>
      </c>
      <c r="C151" s="53" t="s">
        <v>234</v>
      </c>
      <c r="D151" s="53" t="s">
        <v>97</v>
      </c>
      <c r="E151" s="53" t="s">
        <v>21</v>
      </c>
      <c r="F151" s="73">
        <v>2.6110148452057787E-2</v>
      </c>
      <c r="G151" s="71">
        <v>3.6140356705286134E-2</v>
      </c>
      <c r="H151" s="71">
        <v>4.4759380286291631E-2</v>
      </c>
      <c r="I151" s="71">
        <v>4.9998586564608906E-2</v>
      </c>
      <c r="J151" s="63">
        <v>5.5933268931533622E-2</v>
      </c>
      <c r="K151" s="71" t="s">
        <v>21</v>
      </c>
      <c r="L151" s="71">
        <v>7.6944764052861341E-3</v>
      </c>
      <c r="M151" s="71">
        <v>1.5514560486291629E-2</v>
      </c>
      <c r="N151" s="71">
        <v>1.9793882164608909E-2</v>
      </c>
      <c r="O151" s="63">
        <v>2.4303831731533616E-2</v>
      </c>
      <c r="P151" s="55" t="s">
        <v>21</v>
      </c>
      <c r="Q151" s="53" t="s">
        <v>21</v>
      </c>
      <c r="R151" s="94" t="s">
        <v>21</v>
      </c>
      <c r="S151" s="71" t="s">
        <v>21</v>
      </c>
      <c r="T151" s="63" t="s">
        <v>21</v>
      </c>
      <c r="V151" s="114">
        <v>1.1489814300000001</v>
      </c>
      <c r="W151" s="72">
        <v>2.92271159</v>
      </c>
      <c r="X151" s="72">
        <v>4.4676361499999997</v>
      </c>
      <c r="Y151" s="72">
        <v>5.75630752</v>
      </c>
      <c r="Z151" s="115">
        <v>7.2736017999999998</v>
      </c>
    </row>
    <row r="152" spans="2:26" x14ac:dyDescent="0.35">
      <c r="B152" s="55" t="s">
        <v>115</v>
      </c>
      <c r="C152" s="53" t="s">
        <v>234</v>
      </c>
      <c r="D152" s="53" t="s">
        <v>31</v>
      </c>
      <c r="E152" s="53" t="s">
        <v>36</v>
      </c>
      <c r="F152" s="73">
        <v>2.6111921404865249E-2</v>
      </c>
      <c r="G152" s="71">
        <v>3.5673925734101074E-2</v>
      </c>
      <c r="H152" s="71">
        <v>4.4502714958351577E-2</v>
      </c>
      <c r="I152" s="71">
        <v>4.9746153054294598E-2</v>
      </c>
      <c r="J152" s="63">
        <v>5.5057697057354443E-2</v>
      </c>
      <c r="K152" s="71" t="s">
        <v>21</v>
      </c>
      <c r="L152" s="71">
        <v>7.2464666341010816E-3</v>
      </c>
      <c r="M152" s="71">
        <v>1.5268663858351577E-2</v>
      </c>
      <c r="N152" s="71">
        <v>1.9551934354294597E-2</v>
      </c>
      <c r="O152" s="63">
        <v>2.3471474357354437E-2</v>
      </c>
      <c r="P152" s="55" t="s">
        <v>478</v>
      </c>
      <c r="Q152" s="53" t="s">
        <v>479</v>
      </c>
      <c r="R152" s="94">
        <v>47492</v>
      </c>
      <c r="S152" s="71">
        <v>3.6364460000000001E-2</v>
      </c>
      <c r="T152" s="63">
        <v>8.1382549583515762E-3</v>
      </c>
      <c r="V152" s="114">
        <v>1.1489654499999999</v>
      </c>
      <c r="W152" s="72">
        <v>2.9258776100000001</v>
      </c>
      <c r="X152" s="72">
        <v>4.4738751299999997</v>
      </c>
      <c r="Y152" s="72">
        <v>5.7649378799999997</v>
      </c>
      <c r="Z152" s="115">
        <v>7.2988461600000001</v>
      </c>
    </row>
    <row r="153" spans="2:26" x14ac:dyDescent="0.35">
      <c r="B153" s="55" t="s">
        <v>328</v>
      </c>
      <c r="C153" s="53" t="s">
        <v>234</v>
      </c>
      <c r="D153" s="53" t="s">
        <v>257</v>
      </c>
      <c r="E153" s="53" t="s">
        <v>480</v>
      </c>
      <c r="F153" s="73">
        <v>2.7039603254404517E-2</v>
      </c>
      <c r="G153" s="71">
        <v>3.6460924966085037E-2</v>
      </c>
      <c r="H153" s="71">
        <v>4.4038418999170138E-2</v>
      </c>
      <c r="I153" s="71">
        <v>4.7783827396639028E-2</v>
      </c>
      <c r="J153" s="63">
        <v>5.1724752016600546E-2</v>
      </c>
      <c r="K153" s="71" t="s">
        <v>21</v>
      </c>
      <c r="L153" s="71">
        <v>8.0015752660850415E-3</v>
      </c>
      <c r="M153" s="71">
        <v>1.4824937599170133E-2</v>
      </c>
      <c r="N153" s="71">
        <v>1.7685721596639031E-2</v>
      </c>
      <c r="O153" s="63">
        <v>2.0290835016600544E-2</v>
      </c>
      <c r="P153" s="55" t="s">
        <v>21</v>
      </c>
      <c r="Q153" s="53" t="s">
        <v>21</v>
      </c>
      <c r="R153" s="94" t="s">
        <v>21</v>
      </c>
      <c r="S153" s="71" t="s">
        <v>21</v>
      </c>
      <c r="T153" s="63" t="s">
        <v>21</v>
      </c>
      <c r="V153" s="114">
        <v>1.14716204</v>
      </c>
      <c r="W153" s="72">
        <v>2.9173679899999998</v>
      </c>
      <c r="X153" s="72">
        <v>4.4689676900000004</v>
      </c>
      <c r="Y153" s="72">
        <v>5.7893516200000006</v>
      </c>
      <c r="Z153" s="115">
        <v>7.4115804399999998</v>
      </c>
    </row>
    <row r="154" spans="2:26" x14ac:dyDescent="0.35">
      <c r="B154" s="55" t="s">
        <v>134</v>
      </c>
      <c r="C154" s="53" t="s">
        <v>234</v>
      </c>
      <c r="D154" s="53" t="s">
        <v>43</v>
      </c>
      <c r="E154" s="53" t="s">
        <v>21</v>
      </c>
      <c r="F154" s="73">
        <v>2.5852562447189899E-2</v>
      </c>
      <c r="G154" s="71">
        <v>3.5576060393949525E-2</v>
      </c>
      <c r="H154" s="71">
        <v>4.3910945691420018E-2</v>
      </c>
      <c r="I154" s="71">
        <v>4.8970180581096576E-2</v>
      </c>
      <c r="J154" s="63">
        <v>5.4541356521378051E-2</v>
      </c>
      <c r="K154" s="71" t="s">
        <v>21</v>
      </c>
      <c r="L154" s="71">
        <v>7.154676993949523E-3</v>
      </c>
      <c r="M154" s="71">
        <v>1.4706537491420013E-2</v>
      </c>
      <c r="N154" s="71">
        <v>1.8816833381096576E-2</v>
      </c>
      <c r="O154" s="63">
        <v>2.2980285021378055E-2</v>
      </c>
      <c r="P154" s="55" t="s">
        <v>481</v>
      </c>
      <c r="Q154" s="53" t="s">
        <v>482</v>
      </c>
      <c r="R154" s="94" t="s">
        <v>32</v>
      </c>
      <c r="S154" s="71">
        <v>3.9560909999999998E-2</v>
      </c>
      <c r="T154" s="63">
        <v>4.3500356914200206E-3</v>
      </c>
      <c r="V154" s="114">
        <v>1.1494316900000001</v>
      </c>
      <c r="W154" s="72">
        <v>2.9276029599999998</v>
      </c>
      <c r="X154" s="72">
        <v>4.48189876</v>
      </c>
      <c r="Y154" s="72">
        <v>5.7848322799999998</v>
      </c>
      <c r="Z154" s="115">
        <v>7.3332561399999996</v>
      </c>
    </row>
    <row r="155" spans="2:26" x14ac:dyDescent="0.35">
      <c r="B155" s="55" t="s">
        <v>132</v>
      </c>
      <c r="C155" s="53" t="s">
        <v>234</v>
      </c>
      <c r="D155" s="53" t="s">
        <v>20</v>
      </c>
      <c r="E155" s="53" t="s">
        <v>21</v>
      </c>
      <c r="F155" s="73">
        <v>2.5542544825355489E-2</v>
      </c>
      <c r="G155" s="71">
        <v>3.5944445423279521E-2</v>
      </c>
      <c r="H155" s="71">
        <v>4.3732991126054145E-2</v>
      </c>
      <c r="I155" s="71">
        <v>4.7001406008030336E-2</v>
      </c>
      <c r="J155" s="63">
        <v>5.1018453666615102E-2</v>
      </c>
      <c r="K155" s="71" t="s">
        <v>21</v>
      </c>
      <c r="L155" s="71">
        <v>7.4841282232795282E-3</v>
      </c>
      <c r="M155" s="71">
        <v>1.4509995026054143E-2</v>
      </c>
      <c r="N155" s="71">
        <v>1.6920026408030326E-2</v>
      </c>
      <c r="O155" s="63">
        <v>1.9595260766615104E-2</v>
      </c>
      <c r="P155" s="55" t="s">
        <v>483</v>
      </c>
      <c r="Q155" s="53" t="s">
        <v>484</v>
      </c>
      <c r="R155" s="94">
        <v>47567</v>
      </c>
      <c r="S155" s="71">
        <v>3.8418100000000004E-2</v>
      </c>
      <c r="T155" s="63">
        <v>5.3148911260541415E-3</v>
      </c>
      <c r="V155" s="114">
        <v>1.1492016199999999</v>
      </c>
      <c r="W155" s="72">
        <v>2.92172046</v>
      </c>
      <c r="X155" s="72">
        <v>4.4708309600000007</v>
      </c>
      <c r="Y155" s="72">
        <v>5.78851008</v>
      </c>
      <c r="Z155" s="115">
        <v>7.4154264200000002</v>
      </c>
    </row>
    <row r="156" spans="2:26" x14ac:dyDescent="0.35">
      <c r="B156" s="55" t="s">
        <v>335</v>
      </c>
      <c r="C156" s="53" t="s">
        <v>234</v>
      </c>
      <c r="D156" s="53" t="s">
        <v>20</v>
      </c>
      <c r="E156" s="53" t="s">
        <v>133</v>
      </c>
      <c r="F156" s="73">
        <v>2.5859151915190254E-2</v>
      </c>
      <c r="G156" s="71">
        <v>3.5585288815941044E-2</v>
      </c>
      <c r="H156" s="71">
        <v>4.3679304309726046E-2</v>
      </c>
      <c r="I156" s="71">
        <v>4.7289427903701053E-2</v>
      </c>
      <c r="J156" s="63">
        <v>5.0911271894524324E-2</v>
      </c>
      <c r="K156" s="71" t="s">
        <v>21</v>
      </c>
      <c r="L156" s="71">
        <v>7.1430916159410445E-3</v>
      </c>
      <c r="M156" s="71">
        <v>1.4461491809726057E-2</v>
      </c>
      <c r="N156" s="71">
        <v>1.7195290603701056E-2</v>
      </c>
      <c r="O156" s="63">
        <v>1.9498089094524315E-2</v>
      </c>
      <c r="P156" s="55" t="s">
        <v>21</v>
      </c>
      <c r="Q156" s="53" t="s">
        <v>21</v>
      </c>
      <c r="R156" s="94" t="s">
        <v>21</v>
      </c>
      <c r="S156" s="71" t="s">
        <v>21</v>
      </c>
      <c r="T156" s="63" t="s">
        <v>21</v>
      </c>
      <c r="V156" s="114">
        <v>1.1484697699999999</v>
      </c>
      <c r="W156" s="72">
        <v>2.9233103300000001</v>
      </c>
      <c r="X156" s="72">
        <v>4.4749069199999996</v>
      </c>
      <c r="Y156" s="72">
        <v>5.7921075000000002</v>
      </c>
      <c r="Z156" s="115">
        <v>7.4183731799999997</v>
      </c>
    </row>
    <row r="157" spans="2:26" x14ac:dyDescent="0.35">
      <c r="B157" s="55" t="s">
        <v>126</v>
      </c>
      <c r="C157" s="53" t="s">
        <v>234</v>
      </c>
      <c r="D157" s="53" t="s">
        <v>69</v>
      </c>
      <c r="E157" s="53" t="s">
        <v>135</v>
      </c>
      <c r="F157" s="73">
        <v>2.5144864780546519E-2</v>
      </c>
      <c r="G157" s="71">
        <v>3.5483486723782938E-2</v>
      </c>
      <c r="H157" s="71">
        <v>4.3638197463691533E-2</v>
      </c>
      <c r="I157" s="71">
        <v>4.8660499854520013E-2</v>
      </c>
      <c r="J157" s="63">
        <v>5.4378819379468465E-2</v>
      </c>
      <c r="K157" s="71" t="s">
        <v>21</v>
      </c>
      <c r="L157" s="71">
        <v>7.0633739237829403E-3</v>
      </c>
      <c r="M157" s="71">
        <v>1.4446773963691536E-2</v>
      </c>
      <c r="N157" s="71">
        <v>1.8525012354520018E-2</v>
      </c>
      <c r="O157" s="63">
        <v>2.2829540479468471E-2</v>
      </c>
      <c r="P157" s="55" t="s">
        <v>485</v>
      </c>
      <c r="Q157" s="53" t="s">
        <v>486</v>
      </c>
      <c r="R157" s="94">
        <v>47484</v>
      </c>
      <c r="S157" s="71">
        <v>3.7563439999999997E-2</v>
      </c>
      <c r="T157" s="63">
        <v>6.0747574636915366E-3</v>
      </c>
      <c r="V157" s="114">
        <v>1.1508763900000001</v>
      </c>
      <c r="W157" s="72">
        <v>2.93291945</v>
      </c>
      <c r="X157" s="72">
        <v>4.4904296199999996</v>
      </c>
      <c r="Y157" s="72">
        <v>5.7988634499999998</v>
      </c>
      <c r="Z157" s="115">
        <v>7.3542663900000003</v>
      </c>
    </row>
    <row r="158" spans="2:26" x14ac:dyDescent="0.35">
      <c r="B158" s="55" t="s">
        <v>127</v>
      </c>
      <c r="C158" s="53" t="s">
        <v>234</v>
      </c>
      <c r="D158" s="53" t="s">
        <v>62</v>
      </c>
      <c r="E158" s="53" t="s">
        <v>487</v>
      </c>
      <c r="F158" s="73">
        <v>2.5929096472730638E-2</v>
      </c>
      <c r="G158" s="71">
        <v>3.5371921711684948E-2</v>
      </c>
      <c r="H158" s="71">
        <v>4.3395998986639636E-2</v>
      </c>
      <c r="I158" s="71">
        <v>4.8103208437737521E-2</v>
      </c>
      <c r="J158" s="63">
        <v>5.3176393984153046E-2</v>
      </c>
      <c r="K158" s="71" t="s">
        <v>21</v>
      </c>
      <c r="L158" s="71">
        <v>6.95749741168495E-3</v>
      </c>
      <c r="M158" s="71">
        <v>1.4216141986639636E-2</v>
      </c>
      <c r="N158" s="71">
        <v>1.7995055337737518E-2</v>
      </c>
      <c r="O158" s="63">
        <v>2.1684407084153048E-2</v>
      </c>
      <c r="P158" s="55" t="s">
        <v>488</v>
      </c>
      <c r="Q158" s="53" t="s">
        <v>489</v>
      </c>
      <c r="R158" s="94">
        <v>47635</v>
      </c>
      <c r="S158" s="71">
        <v>3.7474340000000002E-2</v>
      </c>
      <c r="T158" s="63">
        <v>5.9216589866396344E-3</v>
      </c>
      <c r="V158" s="114">
        <v>1.1492971299999999</v>
      </c>
      <c r="W158" s="72">
        <v>2.93002735</v>
      </c>
      <c r="X158" s="72">
        <v>4.4905489799999998</v>
      </c>
      <c r="Y158" s="72">
        <v>5.8073807300000002</v>
      </c>
      <c r="Z158" s="115">
        <v>7.3928578399999996</v>
      </c>
    </row>
    <row r="159" spans="2:26" x14ac:dyDescent="0.35">
      <c r="B159" s="55" t="s">
        <v>330</v>
      </c>
      <c r="C159" s="53" t="s">
        <v>234</v>
      </c>
      <c r="D159" s="53" t="s">
        <v>31</v>
      </c>
      <c r="E159" s="53" t="s">
        <v>21</v>
      </c>
      <c r="F159" s="73">
        <v>2.5903697963188511E-2</v>
      </c>
      <c r="G159" s="71">
        <v>3.5809620061888356E-2</v>
      </c>
      <c r="H159" s="71">
        <v>4.309513669421098E-2</v>
      </c>
      <c r="I159" s="71">
        <v>4.7308601178695758E-2</v>
      </c>
      <c r="J159" s="63">
        <v>5.1699844017665239E-2</v>
      </c>
      <c r="K159" s="71" t="s">
        <v>21</v>
      </c>
      <c r="L159" s="71">
        <v>7.3751249618883557E-3</v>
      </c>
      <c r="M159" s="71">
        <v>1.3924849294210978E-2</v>
      </c>
      <c r="N159" s="71">
        <v>1.7233112978695758E-2</v>
      </c>
      <c r="O159" s="63">
        <v>2.0268497417665239E-2</v>
      </c>
      <c r="P159" s="55" t="s">
        <v>21</v>
      </c>
      <c r="Q159" s="53" t="s">
        <v>21</v>
      </c>
      <c r="R159" s="94" t="s">
        <v>21</v>
      </c>
      <c r="S159" s="71" t="s">
        <v>21</v>
      </c>
      <c r="T159" s="63" t="s">
        <v>21</v>
      </c>
      <c r="V159" s="114">
        <v>1.1494123999999999</v>
      </c>
      <c r="W159" s="72">
        <v>2.9255015799999997</v>
      </c>
      <c r="X159" s="72">
        <v>4.4880971499999998</v>
      </c>
      <c r="Y159" s="72">
        <v>5.8164412199999997</v>
      </c>
      <c r="Z159" s="115">
        <v>7.4384856299999997</v>
      </c>
    </row>
    <row r="160" spans="2:26" x14ac:dyDescent="0.35">
      <c r="B160" s="55" t="s">
        <v>332</v>
      </c>
      <c r="C160" s="53" t="s">
        <v>234</v>
      </c>
      <c r="D160" s="53" t="s">
        <v>97</v>
      </c>
      <c r="E160" s="53" t="s">
        <v>21</v>
      </c>
      <c r="F160" s="73">
        <v>2.6637340528906303E-2</v>
      </c>
      <c r="G160" s="71">
        <v>3.538230317638337E-2</v>
      </c>
      <c r="H160" s="71">
        <v>4.3032416682695453E-2</v>
      </c>
      <c r="I160" s="71">
        <v>4.6868748379487041E-2</v>
      </c>
      <c r="J160" s="63">
        <v>5.0155870748374867E-2</v>
      </c>
      <c r="K160" s="71" t="s">
        <v>21</v>
      </c>
      <c r="L160" s="71">
        <v>6.9646504763833748E-3</v>
      </c>
      <c r="M160" s="71">
        <v>1.3865030182695455E-2</v>
      </c>
      <c r="N160" s="71">
        <v>1.6814791779487043E-2</v>
      </c>
      <c r="O160" s="63">
        <v>1.8794848148374864E-2</v>
      </c>
      <c r="P160" s="55" t="s">
        <v>380</v>
      </c>
      <c r="Q160" s="53" t="s">
        <v>381</v>
      </c>
      <c r="R160" s="94">
        <v>47497</v>
      </c>
      <c r="S160" s="71">
        <v>3.7493390000000001E-2</v>
      </c>
      <c r="T160" s="63">
        <v>5.5390266826954512E-3</v>
      </c>
      <c r="V160" s="114">
        <v>1.1479526499999999</v>
      </c>
      <c r="W160" s="72">
        <v>2.9268184600000002</v>
      </c>
      <c r="X160" s="72">
        <v>4.4910063999999998</v>
      </c>
      <c r="Y160" s="72">
        <v>5.8252127799999993</v>
      </c>
      <c r="Z160" s="115">
        <v>7.48487686</v>
      </c>
    </row>
    <row r="161" spans="2:26" x14ac:dyDescent="0.35">
      <c r="B161" s="55" t="s">
        <v>121</v>
      </c>
      <c r="C161" s="53" t="s">
        <v>234</v>
      </c>
      <c r="D161" s="53" t="s">
        <v>69</v>
      </c>
      <c r="E161" s="53" t="s">
        <v>133</v>
      </c>
      <c r="F161" s="73">
        <v>2.5397593626920765E-2</v>
      </c>
      <c r="G161" s="71">
        <v>3.4771013262597426E-2</v>
      </c>
      <c r="H161" s="71">
        <v>4.2949033201367295E-2</v>
      </c>
      <c r="I161" s="71">
        <v>4.8766199306602101E-2</v>
      </c>
      <c r="J161" s="63">
        <v>5.3331923566258189E-2</v>
      </c>
      <c r="K161" s="71" t="s">
        <v>21</v>
      </c>
      <c r="L161" s="71">
        <v>6.3756804625974325E-3</v>
      </c>
      <c r="M161" s="71">
        <v>1.3786476001367291E-2</v>
      </c>
      <c r="N161" s="71">
        <v>1.8623076506602106E-2</v>
      </c>
      <c r="O161" s="63">
        <v>2.1837336866258189E-2</v>
      </c>
      <c r="P161" s="55" t="s">
        <v>21</v>
      </c>
      <c r="Q161" s="53" t="s">
        <v>21</v>
      </c>
      <c r="R161" s="94" t="s">
        <v>21</v>
      </c>
      <c r="S161" s="71" t="s">
        <v>21</v>
      </c>
      <c r="T161" s="63" t="s">
        <v>21</v>
      </c>
      <c r="V161" s="114">
        <v>1.15041506</v>
      </c>
      <c r="W161" s="72">
        <v>2.9340279800000002</v>
      </c>
      <c r="X161" s="72">
        <v>4.5006056399999999</v>
      </c>
      <c r="Y161" s="72">
        <v>5.8089911299999999</v>
      </c>
      <c r="Z161" s="115">
        <v>7.3847677099999993</v>
      </c>
    </row>
    <row r="162" spans="2:26" x14ac:dyDescent="0.35">
      <c r="B162" s="55" t="s">
        <v>333</v>
      </c>
      <c r="C162" s="53" t="s">
        <v>234</v>
      </c>
      <c r="D162" s="53" t="s">
        <v>20</v>
      </c>
      <c r="E162" s="53" t="s">
        <v>238</v>
      </c>
      <c r="F162" s="73">
        <v>2.5206829458479282E-2</v>
      </c>
      <c r="G162" s="71">
        <v>3.4846420947890214E-2</v>
      </c>
      <c r="H162" s="71">
        <v>4.2674512227274357E-2</v>
      </c>
      <c r="I162" s="71">
        <v>4.6852921078754717E-2</v>
      </c>
      <c r="J162" s="63">
        <v>5.0436997902971938E-2</v>
      </c>
      <c r="K162" s="71" t="s">
        <v>21</v>
      </c>
      <c r="L162" s="71">
        <v>6.4290733478902084E-3</v>
      </c>
      <c r="M162" s="71">
        <v>1.350050342727435E-2</v>
      </c>
      <c r="N162" s="71">
        <v>1.6777071078754712E-2</v>
      </c>
      <c r="O162" s="63">
        <v>1.9045546102971933E-2</v>
      </c>
      <c r="P162" s="55" t="s">
        <v>21</v>
      </c>
      <c r="Q162" s="53" t="s">
        <v>21</v>
      </c>
      <c r="R162" s="94" t="s">
        <v>21</v>
      </c>
      <c r="S162" s="71" t="s">
        <v>21</v>
      </c>
      <c r="T162" s="63" t="s">
        <v>21</v>
      </c>
      <c r="V162" s="114">
        <v>1.14981248</v>
      </c>
      <c r="W162" s="72">
        <v>2.9298514500000001</v>
      </c>
      <c r="X162" s="72">
        <v>4.4924963499999997</v>
      </c>
      <c r="Y162" s="72">
        <v>5.8175696099999996</v>
      </c>
      <c r="Z162" s="115">
        <v>7.4539118200000001</v>
      </c>
    </row>
    <row r="163" spans="2:26" x14ac:dyDescent="0.35">
      <c r="B163" s="55" t="s">
        <v>329</v>
      </c>
      <c r="C163" s="53" t="s">
        <v>234</v>
      </c>
      <c r="D163" s="53" t="s">
        <v>43</v>
      </c>
      <c r="E163" s="53" t="s">
        <v>21</v>
      </c>
      <c r="F163" s="73">
        <v>2.5714125347094455E-2</v>
      </c>
      <c r="G163" s="71">
        <v>3.4975621038510436E-2</v>
      </c>
      <c r="H163" s="71">
        <v>4.2368120291314704E-2</v>
      </c>
      <c r="I163" s="71">
        <v>4.6897065409955897E-2</v>
      </c>
      <c r="J163" s="63">
        <v>5.142206588557189E-2</v>
      </c>
      <c r="K163" s="71" t="s">
        <v>21</v>
      </c>
      <c r="L163" s="71">
        <v>6.5727782385104367E-3</v>
      </c>
      <c r="M163" s="71">
        <v>1.3230348191314703E-2</v>
      </c>
      <c r="N163" s="71">
        <v>1.6843294809955896E-2</v>
      </c>
      <c r="O163" s="63">
        <v>2.0007607185571881E-2</v>
      </c>
      <c r="P163" s="55" t="s">
        <v>21</v>
      </c>
      <c r="Q163" s="53" t="s">
        <v>21</v>
      </c>
      <c r="R163" s="94" t="s">
        <v>21</v>
      </c>
      <c r="S163" s="71" t="s">
        <v>21</v>
      </c>
      <c r="T163" s="63" t="s">
        <v>21</v>
      </c>
      <c r="V163" s="114">
        <v>1.14978808</v>
      </c>
      <c r="W163" s="72">
        <v>2.9316017199999997</v>
      </c>
      <c r="X163" s="72">
        <v>4.5037806099999997</v>
      </c>
      <c r="Y163" s="72">
        <v>5.8395934299999999</v>
      </c>
      <c r="Z163" s="115">
        <v>7.4697440300000002</v>
      </c>
    </row>
    <row r="164" spans="2:26" x14ac:dyDescent="0.35">
      <c r="B164" s="55" t="s">
        <v>242</v>
      </c>
      <c r="C164" s="53" t="s">
        <v>234</v>
      </c>
      <c r="D164" s="53" t="s">
        <v>20</v>
      </c>
      <c r="E164" s="53" t="s">
        <v>21</v>
      </c>
      <c r="F164" s="73">
        <v>2.4612923446689992E-2</v>
      </c>
      <c r="G164" s="71">
        <v>3.397647888810898E-2</v>
      </c>
      <c r="H164" s="71">
        <v>4.2218655993925096E-2</v>
      </c>
      <c r="I164" s="71">
        <v>4.5864846832838001E-2</v>
      </c>
      <c r="J164" s="63">
        <v>4.984654097265015E-2</v>
      </c>
      <c r="K164" s="71" t="s">
        <v>21</v>
      </c>
      <c r="L164" s="71">
        <v>5.5923483881089846E-3</v>
      </c>
      <c r="M164" s="71">
        <v>1.3065628693925095E-2</v>
      </c>
      <c r="N164" s="71">
        <v>1.5837209632838006E-2</v>
      </c>
      <c r="O164" s="63">
        <v>1.8480706872650153E-2</v>
      </c>
      <c r="P164" s="55" t="s">
        <v>21</v>
      </c>
      <c r="Q164" s="53" t="s">
        <v>21</v>
      </c>
      <c r="R164" s="94" t="s">
        <v>21</v>
      </c>
      <c r="S164" s="71" t="s">
        <v>21</v>
      </c>
      <c r="T164" s="63" t="s">
        <v>21</v>
      </c>
      <c r="V164" s="114">
        <v>1.15096362</v>
      </c>
      <c r="W164" s="72">
        <v>2.9374459399999999</v>
      </c>
      <c r="X164" s="72">
        <v>4.5078033400000006</v>
      </c>
      <c r="Y164" s="72">
        <v>5.8468980200000003</v>
      </c>
      <c r="Z164" s="115">
        <v>7.4998753599999999</v>
      </c>
    </row>
    <row r="165" spans="2:26" x14ac:dyDescent="0.35">
      <c r="B165" s="55" t="s">
        <v>237</v>
      </c>
      <c r="C165" s="53" t="s">
        <v>234</v>
      </c>
      <c r="D165" s="53" t="s">
        <v>31</v>
      </c>
      <c r="E165" s="53" t="s">
        <v>143</v>
      </c>
      <c r="F165" s="73">
        <v>2.5387109489411364E-2</v>
      </c>
      <c r="G165" s="71">
        <v>3.5081786147126523E-2</v>
      </c>
      <c r="H165" s="71">
        <v>4.2190452804980322E-2</v>
      </c>
      <c r="I165" s="71">
        <v>4.6979160902847039E-2</v>
      </c>
      <c r="J165" s="63">
        <v>5.209056311289996E-2</v>
      </c>
      <c r="K165" s="71" t="s">
        <v>21</v>
      </c>
      <c r="L165" s="71">
        <v>6.6725500471265208E-3</v>
      </c>
      <c r="M165" s="71">
        <v>1.3058121404980323E-2</v>
      </c>
      <c r="N165" s="71">
        <v>1.6917600302847034E-2</v>
      </c>
      <c r="O165" s="63">
        <v>2.0641271612899959E-2</v>
      </c>
      <c r="P165" s="55" t="s">
        <v>21</v>
      </c>
      <c r="Q165" s="53" t="s">
        <v>21</v>
      </c>
      <c r="R165" s="94" t="s">
        <v>21</v>
      </c>
      <c r="S165" s="71" t="s">
        <v>21</v>
      </c>
      <c r="T165" s="63" t="s">
        <v>21</v>
      </c>
      <c r="V165" s="114">
        <v>1.1504785499999999</v>
      </c>
      <c r="W165" s="72">
        <v>2.93250791</v>
      </c>
      <c r="X165" s="72">
        <v>4.5059587399999996</v>
      </c>
      <c r="Y165" s="72">
        <v>5.8402438800000001</v>
      </c>
      <c r="Z165" s="115">
        <v>7.4518242600000004</v>
      </c>
    </row>
    <row r="166" spans="2:26" x14ac:dyDescent="0.35">
      <c r="B166" s="55" t="s">
        <v>237</v>
      </c>
      <c r="C166" s="53" t="s">
        <v>234</v>
      </c>
      <c r="D166" s="53" t="s">
        <v>31</v>
      </c>
      <c r="E166" s="53" t="s">
        <v>21</v>
      </c>
      <c r="F166" s="73">
        <v>2.5387109489411364E-2</v>
      </c>
      <c r="G166" s="71">
        <v>3.5081786147126523E-2</v>
      </c>
      <c r="H166" s="71">
        <v>4.2190452804980322E-2</v>
      </c>
      <c r="I166" s="71">
        <v>4.6979160902847039E-2</v>
      </c>
      <c r="J166" s="63">
        <v>5.209056311289996E-2</v>
      </c>
      <c r="K166" s="71" t="s">
        <v>21</v>
      </c>
      <c r="L166" s="71">
        <v>6.6725500471265208E-3</v>
      </c>
      <c r="M166" s="71">
        <v>1.3058121404980323E-2</v>
      </c>
      <c r="N166" s="71">
        <v>1.6917600302847034E-2</v>
      </c>
      <c r="O166" s="63">
        <v>2.0641271612899959E-2</v>
      </c>
      <c r="P166" s="55" t="s">
        <v>21</v>
      </c>
      <c r="Q166" s="53" t="s">
        <v>21</v>
      </c>
      <c r="R166" s="94" t="s">
        <v>21</v>
      </c>
      <c r="S166" s="71" t="s">
        <v>21</v>
      </c>
      <c r="T166" s="63" t="s">
        <v>21</v>
      </c>
      <c r="V166" s="114">
        <v>1.1504785499999999</v>
      </c>
      <c r="W166" s="72">
        <v>2.93250791</v>
      </c>
      <c r="X166" s="72">
        <v>4.5059587399999996</v>
      </c>
      <c r="Y166" s="72">
        <v>5.8402438800000001</v>
      </c>
      <c r="Z166" s="115">
        <v>7.4518242600000004</v>
      </c>
    </row>
    <row r="167" spans="2:26" x14ac:dyDescent="0.35">
      <c r="B167" s="55" t="s">
        <v>239</v>
      </c>
      <c r="C167" s="53" t="s">
        <v>234</v>
      </c>
      <c r="D167" s="53" t="s">
        <v>43</v>
      </c>
      <c r="E167" s="53" t="s">
        <v>110</v>
      </c>
      <c r="F167" s="73">
        <v>2.5284815870360734E-2</v>
      </c>
      <c r="G167" s="71">
        <v>3.4772613908453716E-2</v>
      </c>
      <c r="H167" s="71">
        <v>4.2030124966705017E-2</v>
      </c>
      <c r="I167" s="71">
        <v>4.6445452939182792E-2</v>
      </c>
      <c r="J167" s="63">
        <v>5.0645698536583995E-2</v>
      </c>
      <c r="K167" s="71" t="s">
        <v>21</v>
      </c>
      <c r="L167" s="71">
        <v>6.376762008453718E-3</v>
      </c>
      <c r="M167" s="71">
        <v>1.2905850866705013E-2</v>
      </c>
      <c r="N167" s="71">
        <v>1.6410403539182793E-2</v>
      </c>
      <c r="O167" s="63">
        <v>1.9263408336583996E-2</v>
      </c>
      <c r="P167" s="55" t="s">
        <v>21</v>
      </c>
      <c r="Q167" s="53" t="s">
        <v>21</v>
      </c>
      <c r="R167" s="94" t="s">
        <v>21</v>
      </c>
      <c r="S167" s="71" t="s">
        <v>21</v>
      </c>
      <c r="T167" s="63" t="s">
        <v>21</v>
      </c>
      <c r="V167" s="114">
        <v>1.1506440099999999</v>
      </c>
      <c r="W167" s="72">
        <v>2.9343417999999999</v>
      </c>
      <c r="X167" s="72">
        <v>4.5100862800000003</v>
      </c>
      <c r="Y167" s="72">
        <v>5.8518793200000001</v>
      </c>
      <c r="Z167" s="115">
        <v>7.4993760099999998</v>
      </c>
    </row>
    <row r="168" spans="2:26" x14ac:dyDescent="0.35">
      <c r="B168" s="55" t="s">
        <v>331</v>
      </c>
      <c r="C168" s="53" t="s">
        <v>234</v>
      </c>
      <c r="D168" s="53" t="s">
        <v>62</v>
      </c>
      <c r="E168" s="53" t="s">
        <v>21</v>
      </c>
      <c r="F168" s="73">
        <v>2.5607337099625736E-2</v>
      </c>
      <c r="G168" s="71">
        <v>3.4603592201752409E-2</v>
      </c>
      <c r="H168" s="71">
        <v>4.1824377698255054E-2</v>
      </c>
      <c r="I168" s="71">
        <v>4.5882464505328929E-2</v>
      </c>
      <c r="J168" s="63">
        <v>5.0603773933399168E-2</v>
      </c>
      <c r="K168" s="71" t="s">
        <v>21</v>
      </c>
      <c r="L168" s="71">
        <v>6.2137849017524028E-3</v>
      </c>
      <c r="M168" s="71">
        <v>1.2708380298255049E-2</v>
      </c>
      <c r="N168" s="71">
        <v>1.5875562705328923E-2</v>
      </c>
      <c r="O168" s="63">
        <v>1.9237475533399176E-2</v>
      </c>
      <c r="P168" s="55" t="s">
        <v>21</v>
      </c>
      <c r="Q168" s="53" t="s">
        <v>21</v>
      </c>
      <c r="R168" s="94" t="s">
        <v>21</v>
      </c>
      <c r="S168" s="71" t="s">
        <v>21</v>
      </c>
      <c r="T168" s="63" t="s">
        <v>21</v>
      </c>
      <c r="V168" s="114">
        <v>1.1500094199999999</v>
      </c>
      <c r="W168" s="72">
        <v>2.9343098099999998</v>
      </c>
      <c r="X168" s="72">
        <v>4.5126188799999998</v>
      </c>
      <c r="Y168" s="72">
        <v>5.8553811599999994</v>
      </c>
      <c r="Z168" s="115">
        <v>7.4762888599999995</v>
      </c>
    </row>
    <row r="169" spans="2:26" x14ac:dyDescent="0.35">
      <c r="B169" s="55" t="s">
        <v>373</v>
      </c>
      <c r="C169" s="53" t="s">
        <v>234</v>
      </c>
      <c r="D169" s="53" t="s">
        <v>20</v>
      </c>
      <c r="E169" s="53" t="s">
        <v>21</v>
      </c>
      <c r="F169" s="73">
        <v>2.3529383449985741E-2</v>
      </c>
      <c r="G169" s="71">
        <v>3.0341900943928145E-2</v>
      </c>
      <c r="H169" s="71">
        <v>3.4446093418967427E-2</v>
      </c>
      <c r="I169" s="71">
        <v>3.6798437279522249E-2</v>
      </c>
      <c r="J169" s="63">
        <v>3.935824004163499E-2</v>
      </c>
      <c r="K169" s="71" t="s">
        <v>21</v>
      </c>
      <c r="L169" s="71">
        <v>2.0781818439281523E-3</v>
      </c>
      <c r="M169" s="71">
        <v>5.5742890189674306E-3</v>
      </c>
      <c r="N169" s="71">
        <v>7.104848479522253E-3</v>
      </c>
      <c r="O169" s="63">
        <v>8.3241670416349927E-3</v>
      </c>
      <c r="P169" s="55" t="s">
        <v>21</v>
      </c>
      <c r="Q169" s="53" t="s">
        <v>21</v>
      </c>
      <c r="R169" s="94" t="s">
        <v>21</v>
      </c>
      <c r="S169" s="71" t="s">
        <v>21</v>
      </c>
      <c r="T169" s="63" t="s">
        <v>21</v>
      </c>
      <c r="V169" s="114">
        <v>1.1531235500000001</v>
      </c>
      <c r="W169" s="72">
        <v>2.96416258</v>
      </c>
      <c r="X169" s="72">
        <v>4.6226725399999999</v>
      </c>
      <c r="Y169" s="72">
        <v>6.1111435300000005</v>
      </c>
      <c r="Z169" s="115">
        <v>8.0629374000000009</v>
      </c>
    </row>
    <row r="170" spans="2:26" x14ac:dyDescent="0.35">
      <c r="B170" s="55" t="s">
        <v>137</v>
      </c>
      <c r="C170" s="53" t="s">
        <v>234</v>
      </c>
      <c r="D170" s="53" t="s">
        <v>31</v>
      </c>
      <c r="E170" s="53" t="s">
        <v>81</v>
      </c>
      <c r="F170" s="73">
        <v>2.537403093106912E-2</v>
      </c>
      <c r="G170" s="71">
        <v>3.3768577340734324E-2</v>
      </c>
      <c r="H170" s="71">
        <v>4.0485285598380244E-2</v>
      </c>
      <c r="I170" s="71">
        <v>4.4183144208538028E-2</v>
      </c>
      <c r="J170" s="63">
        <v>4.8638521932703724E-2</v>
      </c>
      <c r="K170" s="71" t="s">
        <v>21</v>
      </c>
      <c r="L170" s="71">
        <v>5.4118061407343199E-3</v>
      </c>
      <c r="M170" s="71">
        <v>1.1425610598380247E-2</v>
      </c>
      <c r="N170" s="71">
        <v>1.424944990853803E-2</v>
      </c>
      <c r="O170" s="63">
        <v>1.7336354732703722E-2</v>
      </c>
      <c r="P170" s="55" t="s">
        <v>490</v>
      </c>
      <c r="Q170" s="53" t="s">
        <v>491</v>
      </c>
      <c r="R170" s="94" t="s">
        <v>32</v>
      </c>
      <c r="S170" s="71">
        <v>3.4731619999999998E-2</v>
      </c>
      <c r="T170" s="63">
        <v>5.7536655983802462E-3</v>
      </c>
      <c r="V170" s="114">
        <v>1.15040827</v>
      </c>
      <c r="W170" s="72">
        <v>2.9403774</v>
      </c>
      <c r="X170" s="72">
        <v>4.5342362700000001</v>
      </c>
      <c r="Y170" s="72">
        <v>5.9107280600000003</v>
      </c>
      <c r="Z170" s="115">
        <v>7.6153487000000002</v>
      </c>
    </row>
    <row r="171" spans="2:26" x14ac:dyDescent="0.35">
      <c r="B171" s="55" t="s">
        <v>242</v>
      </c>
      <c r="C171" s="53" t="s">
        <v>234</v>
      </c>
      <c r="D171" s="53" t="s">
        <v>20</v>
      </c>
      <c r="E171" s="53" t="s">
        <v>21</v>
      </c>
      <c r="F171" s="73">
        <v>2.4612923446689992E-2</v>
      </c>
      <c r="G171" s="71">
        <v>3.397647888810898E-2</v>
      </c>
      <c r="H171" s="71">
        <v>4.2218655993925096E-2</v>
      </c>
      <c r="I171" s="71">
        <v>4.5864846832838001E-2</v>
      </c>
      <c r="J171" s="63">
        <v>4.984654097265015E-2</v>
      </c>
      <c r="K171" s="71" t="s">
        <v>21</v>
      </c>
      <c r="L171" s="71">
        <v>5.5923483881089846E-3</v>
      </c>
      <c r="M171" s="71">
        <v>1.3065628693925095E-2</v>
      </c>
      <c r="N171" s="71">
        <v>1.5837209632838006E-2</v>
      </c>
      <c r="O171" s="63">
        <v>1.8480706872650153E-2</v>
      </c>
      <c r="P171" s="55" t="s">
        <v>21</v>
      </c>
      <c r="Q171" s="53" t="s">
        <v>21</v>
      </c>
      <c r="R171" s="94" t="s">
        <v>21</v>
      </c>
      <c r="S171" s="71" t="s">
        <v>21</v>
      </c>
      <c r="T171" s="63" t="s">
        <v>21</v>
      </c>
      <c r="V171" s="114">
        <v>1.15096362</v>
      </c>
      <c r="W171" s="72">
        <v>2.9374459399999999</v>
      </c>
      <c r="X171" s="72">
        <v>4.5078033400000006</v>
      </c>
      <c r="Y171" s="72">
        <v>5.8468980200000003</v>
      </c>
      <c r="Z171" s="115">
        <v>7.4998753599999999</v>
      </c>
    </row>
    <row r="172" spans="2:26" x14ac:dyDescent="0.35">
      <c r="B172" s="55" t="s">
        <v>151</v>
      </c>
      <c r="C172" s="53" t="s">
        <v>234</v>
      </c>
      <c r="D172" s="53" t="s">
        <v>43</v>
      </c>
      <c r="E172" s="53" t="s">
        <v>21</v>
      </c>
      <c r="F172" s="73">
        <v>2.5595236677143803E-2</v>
      </c>
      <c r="G172" s="71">
        <v>3.3920082125781577E-2</v>
      </c>
      <c r="H172" s="71">
        <v>4.0191156898906059E-2</v>
      </c>
      <c r="I172" s="71">
        <v>4.4088593190388443E-2</v>
      </c>
      <c r="J172" s="63">
        <v>4.9095171134233707E-2</v>
      </c>
      <c r="K172" s="71" t="s">
        <v>21</v>
      </c>
      <c r="L172" s="71">
        <v>5.5533488257815782E-3</v>
      </c>
      <c r="M172" s="71">
        <v>1.113958839890606E-2</v>
      </c>
      <c r="N172" s="71">
        <v>1.4155181190388458E-2</v>
      </c>
      <c r="O172" s="63">
        <v>1.7770084634233706E-2</v>
      </c>
      <c r="P172" s="55" t="s">
        <v>21</v>
      </c>
      <c r="Q172" s="53" t="s">
        <v>21</v>
      </c>
      <c r="R172" s="94" t="s">
        <v>21</v>
      </c>
      <c r="S172" s="71" t="s">
        <v>21</v>
      </c>
      <c r="T172" s="63" t="s">
        <v>21</v>
      </c>
      <c r="V172" s="114">
        <v>1.1500647500000001</v>
      </c>
      <c r="W172" s="72">
        <v>2.9388263299999999</v>
      </c>
      <c r="X172" s="72">
        <v>4.5355542899999994</v>
      </c>
      <c r="Y172" s="72">
        <v>5.9144470499999997</v>
      </c>
      <c r="Z172" s="115">
        <v>7.6086873299999995</v>
      </c>
    </row>
    <row r="173" spans="2:26" x14ac:dyDescent="0.35">
      <c r="B173" s="55" t="s">
        <v>142</v>
      </c>
      <c r="C173" s="53" t="s">
        <v>234</v>
      </c>
      <c r="D173" s="53" t="s">
        <v>53</v>
      </c>
      <c r="E173" s="53" t="s">
        <v>123</v>
      </c>
      <c r="F173" s="73">
        <v>2.5016639538473308E-2</v>
      </c>
      <c r="G173" s="71">
        <v>3.3773567377601947E-2</v>
      </c>
      <c r="H173" s="71">
        <v>4.0134188816776536E-2</v>
      </c>
      <c r="I173" s="71">
        <v>4.4128977542898323E-2</v>
      </c>
      <c r="J173" s="63">
        <v>4.8951742832803763E-2</v>
      </c>
      <c r="K173" s="71" t="s">
        <v>21</v>
      </c>
      <c r="L173" s="71">
        <v>5.41533657760194E-3</v>
      </c>
      <c r="M173" s="71">
        <v>1.1087362116776538E-2</v>
      </c>
      <c r="N173" s="71">
        <v>1.4196200142898335E-2</v>
      </c>
      <c r="O173" s="63">
        <v>1.763584113280376E-2</v>
      </c>
      <c r="P173" s="55" t="s">
        <v>492</v>
      </c>
      <c r="Q173" s="53" t="s">
        <v>493</v>
      </c>
      <c r="R173" s="94" t="s">
        <v>32</v>
      </c>
      <c r="S173" s="71">
        <v>4.0181550000000003E-2</v>
      </c>
      <c r="T173" s="63">
        <v>-4.7361183223466885E-5</v>
      </c>
      <c r="V173" s="114">
        <v>1.1511428699999999</v>
      </c>
      <c r="W173" s="72">
        <v>2.9409841400000003</v>
      </c>
      <c r="X173" s="72">
        <v>4.5384966899999997</v>
      </c>
      <c r="Y173" s="72">
        <v>5.9166950800000002</v>
      </c>
      <c r="Z173" s="115">
        <v>7.61347548</v>
      </c>
    </row>
    <row r="174" spans="2:26" x14ac:dyDescent="0.35">
      <c r="B174" s="55" t="s">
        <v>341</v>
      </c>
      <c r="C174" s="53" t="s">
        <v>234</v>
      </c>
      <c r="D174" s="53" t="s">
        <v>69</v>
      </c>
      <c r="E174" s="53" t="s">
        <v>21</v>
      </c>
      <c r="F174" s="73">
        <v>2.5003486188334308E-2</v>
      </c>
      <c r="G174" s="71">
        <v>3.3736110181906545E-2</v>
      </c>
      <c r="H174" s="71">
        <v>4.0088169181119397E-2</v>
      </c>
      <c r="I174" s="71">
        <v>4.3505558964068276E-2</v>
      </c>
      <c r="J174" s="63">
        <v>4.7861048646738416E-2</v>
      </c>
      <c r="K174" s="71" t="s">
        <v>21</v>
      </c>
      <c r="L174" s="71">
        <v>5.3756297819065411E-3</v>
      </c>
      <c r="M174" s="71">
        <v>1.1040622081119399E-2</v>
      </c>
      <c r="N174" s="71">
        <v>1.3597178164068281E-2</v>
      </c>
      <c r="O174" s="63">
        <v>1.6585584746738411E-2</v>
      </c>
      <c r="P174" s="55" t="s">
        <v>494</v>
      </c>
      <c r="Q174" s="53" t="s">
        <v>495</v>
      </c>
      <c r="R174" s="94" t="s">
        <v>32</v>
      </c>
      <c r="S174" s="71">
        <v>3.7145410000000004E-2</v>
      </c>
      <c r="T174" s="63">
        <v>2.9427591811193934E-3</v>
      </c>
      <c r="V174" s="114">
        <v>1.15124026</v>
      </c>
      <c r="W174" s="72">
        <v>2.9420995799999998</v>
      </c>
      <c r="X174" s="72">
        <v>4.5401644999999995</v>
      </c>
      <c r="Y174" s="72">
        <v>5.9272463100000001</v>
      </c>
      <c r="Z174" s="115">
        <v>7.6539524100000005</v>
      </c>
    </row>
    <row r="175" spans="2:26" x14ac:dyDescent="0.35">
      <c r="B175" s="55" t="s">
        <v>343</v>
      </c>
      <c r="C175" s="53" t="s">
        <v>234</v>
      </c>
      <c r="D175" s="53" t="s">
        <v>20</v>
      </c>
      <c r="E175" s="53" t="s">
        <v>339</v>
      </c>
      <c r="F175" s="73">
        <v>2.4712442088050138E-2</v>
      </c>
      <c r="G175" s="71">
        <v>3.3385189940249277E-2</v>
      </c>
      <c r="H175" s="71">
        <v>3.9877305845584701E-2</v>
      </c>
      <c r="I175" s="71">
        <v>4.349554492286932E-2</v>
      </c>
      <c r="J175" s="63">
        <v>4.7843709126134733E-2</v>
      </c>
      <c r="K175" s="71" t="s">
        <v>21</v>
      </c>
      <c r="L175" s="71">
        <v>5.0237745402492741E-3</v>
      </c>
      <c r="M175" s="71">
        <v>1.0821490645584698E-2</v>
      </c>
      <c r="N175" s="71">
        <v>1.3570066122869314E-2</v>
      </c>
      <c r="O175" s="63">
        <v>1.6552998226134742E-2</v>
      </c>
      <c r="P175" s="55" t="s">
        <v>21</v>
      </c>
      <c r="Q175" s="53" t="s">
        <v>21</v>
      </c>
      <c r="R175" s="94" t="s">
        <v>21</v>
      </c>
      <c r="S175" s="71" t="s">
        <v>21</v>
      </c>
      <c r="T175" s="63" t="s">
        <v>21</v>
      </c>
      <c r="V175" s="114">
        <v>1.15074539</v>
      </c>
      <c r="W175" s="72">
        <v>2.9401720099999999</v>
      </c>
      <c r="X175" s="72">
        <v>4.5357432599999994</v>
      </c>
      <c r="Y175" s="72">
        <v>5.9138158000000001</v>
      </c>
      <c r="Z175" s="115">
        <v>7.6271188700000003</v>
      </c>
    </row>
    <row r="176" spans="2:26" x14ac:dyDescent="0.35">
      <c r="B176" s="55" t="s">
        <v>150</v>
      </c>
      <c r="C176" s="53" t="s">
        <v>234</v>
      </c>
      <c r="D176" s="53" t="s">
        <v>53</v>
      </c>
      <c r="E176" s="53" t="s">
        <v>21</v>
      </c>
      <c r="F176" s="73">
        <v>2.5394584839572857E-2</v>
      </c>
      <c r="G176" s="71">
        <v>3.3731608395797794E-2</v>
      </c>
      <c r="H176" s="71">
        <v>3.982754828373343E-2</v>
      </c>
      <c r="I176" s="71">
        <v>4.3543530185145535E-2</v>
      </c>
      <c r="J176" s="63">
        <v>4.7900548788526766E-2</v>
      </c>
      <c r="K176" s="71" t="s">
        <v>21</v>
      </c>
      <c r="L176" s="71">
        <v>5.373956195797799E-3</v>
      </c>
      <c r="M176" s="71">
        <v>1.0791784683733437E-2</v>
      </c>
      <c r="N176" s="71">
        <v>1.363423538514553E-2</v>
      </c>
      <c r="O176" s="63">
        <v>1.6624925188526773E-2</v>
      </c>
      <c r="P176" s="55" t="s">
        <v>496</v>
      </c>
      <c r="Q176" s="53" t="s">
        <v>497</v>
      </c>
      <c r="R176" s="94">
        <v>47498</v>
      </c>
      <c r="S176" s="71">
        <v>3.3672279999999999E-2</v>
      </c>
      <c r="T176" s="63">
        <v>6.155268283733431E-3</v>
      </c>
      <c r="V176" s="114">
        <v>1.1504120600000001</v>
      </c>
      <c r="W176" s="72">
        <v>2.9406398899999999</v>
      </c>
      <c r="X176" s="72">
        <v>4.5414696399999999</v>
      </c>
      <c r="Y176" s="72">
        <v>5.9287682400000001</v>
      </c>
      <c r="Z176" s="115">
        <v>7.6537168099999997</v>
      </c>
    </row>
    <row r="177" spans="2:26" x14ac:dyDescent="0.35">
      <c r="B177" s="55" t="s">
        <v>138</v>
      </c>
      <c r="C177" s="53" t="s">
        <v>234</v>
      </c>
      <c r="D177" s="53" t="s">
        <v>20</v>
      </c>
      <c r="E177" s="53" t="s">
        <v>21</v>
      </c>
      <c r="F177" s="73">
        <v>2.5869692359293893E-2</v>
      </c>
      <c r="G177" s="71">
        <v>3.4203684722769911E-2</v>
      </c>
      <c r="H177" s="71">
        <v>3.9795618892531706E-2</v>
      </c>
      <c r="I177" s="71">
        <v>4.2706765011963174E-2</v>
      </c>
      <c r="J177" s="63">
        <v>4.5988261484149327E-2</v>
      </c>
      <c r="K177" s="71" t="s">
        <v>21</v>
      </c>
      <c r="L177" s="71">
        <v>5.8108984227699051E-3</v>
      </c>
      <c r="M177" s="71">
        <v>1.0741298492531715E-2</v>
      </c>
      <c r="N177" s="71">
        <v>1.2811849911963179E-2</v>
      </c>
      <c r="O177" s="63">
        <v>1.4772070984149333E-2</v>
      </c>
      <c r="P177" s="55" t="s">
        <v>498</v>
      </c>
      <c r="Q177" s="53" t="s">
        <v>499</v>
      </c>
      <c r="R177" s="94">
        <v>47423</v>
      </c>
      <c r="S177" s="71">
        <v>3.634362E-2</v>
      </c>
      <c r="T177" s="63">
        <v>3.4519988925317061E-3</v>
      </c>
      <c r="V177" s="114">
        <v>1.14851024</v>
      </c>
      <c r="W177" s="72">
        <v>2.9311312700000003</v>
      </c>
      <c r="X177" s="72">
        <v>4.5269051999999999</v>
      </c>
      <c r="Y177" s="72">
        <v>5.91547818</v>
      </c>
      <c r="Z177" s="115">
        <v>7.6618990999999994</v>
      </c>
    </row>
    <row r="178" spans="2:26" x14ac:dyDescent="0.35">
      <c r="B178" s="55" t="s">
        <v>159</v>
      </c>
      <c r="C178" s="53" t="s">
        <v>234</v>
      </c>
      <c r="D178" s="53" t="s">
        <v>20</v>
      </c>
      <c r="E178" s="53" t="s">
        <v>290</v>
      </c>
      <c r="F178" s="73">
        <v>2.5207757247278133E-2</v>
      </c>
      <c r="G178" s="71">
        <v>3.3788940644777075E-2</v>
      </c>
      <c r="H178" s="71">
        <v>3.9794224602848163E-2</v>
      </c>
      <c r="I178" s="71">
        <v>4.2727817479781299E-2</v>
      </c>
      <c r="J178" s="63">
        <v>4.6068438699299448E-2</v>
      </c>
      <c r="K178" s="71" t="s">
        <v>21</v>
      </c>
      <c r="L178" s="71">
        <v>5.4107147447770738E-3</v>
      </c>
      <c r="M178" s="71">
        <v>1.0739882502848165E-2</v>
      </c>
      <c r="N178" s="71">
        <v>1.2833530979781297E-2</v>
      </c>
      <c r="O178" s="63">
        <v>1.4843417799299454E-2</v>
      </c>
      <c r="P178" s="55" t="s">
        <v>500</v>
      </c>
      <c r="Q178" s="53" t="s">
        <v>501</v>
      </c>
      <c r="R178" s="94">
        <v>47543</v>
      </c>
      <c r="S178" s="71">
        <v>3.6800260000000001E-2</v>
      </c>
      <c r="T178" s="63">
        <v>2.993964602848162E-3</v>
      </c>
      <c r="V178" s="114">
        <v>1.1498187</v>
      </c>
      <c r="W178" s="72">
        <v>2.9366876399999997</v>
      </c>
      <c r="X178" s="72">
        <v>4.5326743500000006</v>
      </c>
      <c r="Y178" s="72">
        <v>5.91855756</v>
      </c>
      <c r="Z178" s="115">
        <v>7.6775222799999998</v>
      </c>
    </row>
    <row r="179" spans="2:26" x14ac:dyDescent="0.35">
      <c r="B179" s="55" t="s">
        <v>367</v>
      </c>
      <c r="C179" s="53" t="s">
        <v>234</v>
      </c>
      <c r="D179" s="53" t="s">
        <v>20</v>
      </c>
      <c r="E179" s="53" t="s">
        <v>21</v>
      </c>
      <c r="F179" s="73">
        <v>2.4383808340982305E-2</v>
      </c>
      <c r="G179" s="71">
        <v>3.1580552937810091E-2</v>
      </c>
      <c r="H179" s="71">
        <v>3.6098078566707145E-2</v>
      </c>
      <c r="I179" s="71">
        <v>3.8603895567642682E-2</v>
      </c>
      <c r="J179" s="63">
        <v>4.1207156743191434E-2</v>
      </c>
      <c r="K179" s="71" t="s">
        <v>21</v>
      </c>
      <c r="L179" s="71">
        <v>3.2781362378100994E-3</v>
      </c>
      <c r="M179" s="71">
        <v>7.1757200667071485E-3</v>
      </c>
      <c r="N179" s="71">
        <v>8.8565077676426816E-3</v>
      </c>
      <c r="O179" s="63">
        <v>1.0130149343191439E-2</v>
      </c>
      <c r="P179" s="55" t="s">
        <v>394</v>
      </c>
      <c r="Q179" s="53" t="s">
        <v>395</v>
      </c>
      <c r="R179" s="94">
        <v>47270</v>
      </c>
      <c r="S179" s="71">
        <v>3.1669889999999999E-2</v>
      </c>
      <c r="T179" s="63">
        <v>4.4281885667071461E-3</v>
      </c>
      <c r="V179" s="114">
        <v>1.15142685</v>
      </c>
      <c r="W179" s="72">
        <v>2.9535397400000001</v>
      </c>
      <c r="X179" s="72">
        <v>4.59217415</v>
      </c>
      <c r="Y179" s="72">
        <v>6.04966618</v>
      </c>
      <c r="Z179" s="115">
        <v>7.94625731</v>
      </c>
    </row>
    <row r="180" spans="2:26" x14ac:dyDescent="0.35">
      <c r="B180" s="55" t="s">
        <v>359</v>
      </c>
      <c r="C180" s="53" t="s">
        <v>234</v>
      </c>
      <c r="D180" s="53" t="s">
        <v>20</v>
      </c>
      <c r="E180" s="53" t="s">
        <v>128</v>
      </c>
      <c r="F180" s="73">
        <v>2.4821988457290018E-2</v>
      </c>
      <c r="G180" s="71">
        <v>3.3148162437461569E-2</v>
      </c>
      <c r="H180" s="71">
        <v>3.9384070598215845E-2</v>
      </c>
      <c r="I180" s="71">
        <v>4.2200355653668718E-2</v>
      </c>
      <c r="J180" s="63">
        <v>4.5523126570479674E-2</v>
      </c>
      <c r="K180" s="71" t="s">
        <v>21</v>
      </c>
      <c r="L180" s="71">
        <v>4.7928773374615683E-3</v>
      </c>
      <c r="M180" s="71">
        <v>1.034561099821584E-2</v>
      </c>
      <c r="N180" s="71">
        <v>1.2326543253668717E-2</v>
      </c>
      <c r="O180" s="63">
        <v>1.4318605770479668E-2</v>
      </c>
      <c r="P180" s="55" t="s">
        <v>21</v>
      </c>
      <c r="Q180" s="53" t="s">
        <v>21</v>
      </c>
      <c r="R180" s="94" t="s">
        <v>21</v>
      </c>
      <c r="S180" s="71" t="s">
        <v>21</v>
      </c>
      <c r="T180" s="63" t="s">
        <v>21</v>
      </c>
      <c r="V180" s="114">
        <v>1.1505663399999999</v>
      </c>
      <c r="W180" s="72">
        <v>2.9427384700000001</v>
      </c>
      <c r="X180" s="72">
        <v>4.54502279</v>
      </c>
      <c r="Y180" s="72">
        <v>5.9427651199999998</v>
      </c>
      <c r="Z180" s="115">
        <v>7.7155852799999991</v>
      </c>
    </row>
    <row r="181" spans="2:26" x14ac:dyDescent="0.35">
      <c r="B181" s="55" t="s">
        <v>155</v>
      </c>
      <c r="C181" s="53" t="s">
        <v>234</v>
      </c>
      <c r="D181" s="53" t="s">
        <v>43</v>
      </c>
      <c r="E181" s="53" t="s">
        <v>21</v>
      </c>
      <c r="F181" s="73">
        <v>2.5230931663738947E-2</v>
      </c>
      <c r="G181" s="71">
        <v>3.315207639149232E-2</v>
      </c>
      <c r="H181" s="71">
        <v>3.9358752803101658E-2</v>
      </c>
      <c r="I181" s="71">
        <v>4.2990634433124043E-2</v>
      </c>
      <c r="J181" s="63">
        <v>4.6782081740006781E-2</v>
      </c>
      <c r="K181" s="71" t="s">
        <v>21</v>
      </c>
      <c r="L181" s="71">
        <v>4.8153474914923115E-3</v>
      </c>
      <c r="M181" s="71">
        <v>1.0341189403101659E-2</v>
      </c>
      <c r="N181" s="71">
        <v>1.3104443733124041E-2</v>
      </c>
      <c r="O181" s="63">
        <v>1.5550662640006775E-2</v>
      </c>
      <c r="P181" s="55" t="s">
        <v>502</v>
      </c>
      <c r="Q181" s="53" t="s">
        <v>503</v>
      </c>
      <c r="R181" s="94">
        <v>47536</v>
      </c>
      <c r="S181" s="71">
        <v>3.1985E-2</v>
      </c>
      <c r="T181" s="63">
        <v>7.3737528031016589E-3</v>
      </c>
      <c r="V181" s="114">
        <v>1.1507181</v>
      </c>
      <c r="W181" s="72">
        <v>2.9449235899999997</v>
      </c>
      <c r="X181" s="72">
        <v>4.5518556299999995</v>
      </c>
      <c r="Y181" s="72">
        <v>5.9476374999999999</v>
      </c>
      <c r="Z181" s="115">
        <v>7.7010451099999999</v>
      </c>
    </row>
    <row r="182" spans="2:26" x14ac:dyDescent="0.35">
      <c r="B182" s="55" t="s">
        <v>136</v>
      </c>
      <c r="C182" s="53" t="s">
        <v>234</v>
      </c>
      <c r="D182" s="53" t="s">
        <v>47</v>
      </c>
      <c r="E182" s="53" t="s">
        <v>21</v>
      </c>
      <c r="F182" s="73">
        <v>2.5258755492815182E-2</v>
      </c>
      <c r="G182" s="71">
        <v>3.3176303858668245E-2</v>
      </c>
      <c r="H182" s="71">
        <v>3.9303273898879533E-2</v>
      </c>
      <c r="I182" s="71">
        <v>4.2744323918999197E-2</v>
      </c>
      <c r="J182" s="63">
        <v>4.6721971453439266E-2</v>
      </c>
      <c r="K182" s="71" t="s">
        <v>21</v>
      </c>
      <c r="L182" s="71">
        <v>4.8405800586682427E-3</v>
      </c>
      <c r="M182" s="71">
        <v>1.0289187998879531E-2</v>
      </c>
      <c r="N182" s="71">
        <v>1.2869189618999188E-2</v>
      </c>
      <c r="O182" s="63">
        <v>1.5492282553439261E-2</v>
      </c>
      <c r="P182" s="55" t="s">
        <v>504</v>
      </c>
      <c r="Q182" s="53" t="s">
        <v>505</v>
      </c>
      <c r="R182" s="94">
        <v>47559</v>
      </c>
      <c r="S182" s="71">
        <v>3.5481569999999997E-2</v>
      </c>
      <c r="T182" s="63">
        <v>3.821703898879536E-3</v>
      </c>
      <c r="V182" s="114">
        <v>1.15062372</v>
      </c>
      <c r="W182" s="72">
        <v>2.9452129500000002</v>
      </c>
      <c r="X182" s="72">
        <v>4.5525775099999999</v>
      </c>
      <c r="Y182" s="72">
        <v>5.9519491200000001</v>
      </c>
      <c r="Z182" s="115">
        <v>7.7083910000000007</v>
      </c>
    </row>
    <row r="183" spans="2:26" x14ac:dyDescent="0.35">
      <c r="B183" s="55" t="s">
        <v>322</v>
      </c>
      <c r="C183" s="53" t="s">
        <v>234</v>
      </c>
      <c r="D183" s="53" t="s">
        <v>69</v>
      </c>
      <c r="E183" s="53" t="s">
        <v>423</v>
      </c>
      <c r="F183" s="73">
        <v>2.4940461484017677E-2</v>
      </c>
      <c r="G183" s="71">
        <v>3.3191989916310005E-2</v>
      </c>
      <c r="H183" s="71">
        <v>3.9209917172702044E-2</v>
      </c>
      <c r="I183" s="71">
        <v>4.323072042098141E-2</v>
      </c>
      <c r="J183" s="63">
        <v>4.6930075479678458E-2</v>
      </c>
      <c r="K183" s="71" t="s">
        <v>21</v>
      </c>
      <c r="L183" s="71">
        <v>4.8525067163100125E-3</v>
      </c>
      <c r="M183" s="71">
        <v>1.0197051472702043E-2</v>
      </c>
      <c r="N183" s="71">
        <v>1.3333737220981402E-2</v>
      </c>
      <c r="O183" s="63">
        <v>1.569434607967846E-2</v>
      </c>
      <c r="P183" s="55" t="s">
        <v>21</v>
      </c>
      <c r="Q183" s="53" t="s">
        <v>21</v>
      </c>
      <c r="R183" s="94" t="s">
        <v>21</v>
      </c>
      <c r="S183" s="71" t="s">
        <v>21</v>
      </c>
      <c r="T183" s="63" t="s">
        <v>21</v>
      </c>
      <c r="V183" s="114">
        <v>1.15132163</v>
      </c>
      <c r="W183" s="72">
        <v>2.9457476800000002</v>
      </c>
      <c r="X183" s="72">
        <v>4.5541088299999997</v>
      </c>
      <c r="Y183" s="72">
        <v>5.9468727499999998</v>
      </c>
      <c r="Z183" s="115">
        <v>7.6946099300000004</v>
      </c>
    </row>
    <row r="184" spans="2:26" x14ac:dyDescent="0.35">
      <c r="B184" s="55" t="s">
        <v>156</v>
      </c>
      <c r="C184" s="53" t="s">
        <v>234</v>
      </c>
      <c r="D184" s="53" t="s">
        <v>131</v>
      </c>
      <c r="E184" s="53" t="s">
        <v>75</v>
      </c>
      <c r="F184" s="73">
        <v>2.5099708879079717E-2</v>
      </c>
      <c r="G184" s="71">
        <v>3.3168090242422697E-2</v>
      </c>
      <c r="H184" s="71">
        <v>3.9208896677528325E-2</v>
      </c>
      <c r="I184" s="71">
        <v>4.2940879020706979E-2</v>
      </c>
      <c r="J184" s="63">
        <v>4.7105929624631011E-2</v>
      </c>
      <c r="K184" s="71" t="s">
        <v>21</v>
      </c>
      <c r="L184" s="71">
        <v>4.829535142422705E-3</v>
      </c>
      <c r="M184" s="71">
        <v>1.0196065677528324E-2</v>
      </c>
      <c r="N184" s="71">
        <v>1.3055720920706976E-2</v>
      </c>
      <c r="O184" s="63">
        <v>1.5861050724631006E-2</v>
      </c>
      <c r="P184" s="55" t="s">
        <v>506</v>
      </c>
      <c r="Q184" s="53" t="s">
        <v>507</v>
      </c>
      <c r="R184" s="94">
        <v>47534</v>
      </c>
      <c r="S184" s="71">
        <v>3.5843430000000003E-2</v>
      </c>
      <c r="T184" s="63">
        <v>3.3654666775283226E-3</v>
      </c>
      <c r="V184" s="114">
        <v>1.1510041800000002</v>
      </c>
      <c r="W184" s="72">
        <v>2.9453379900000001</v>
      </c>
      <c r="X184" s="72">
        <v>4.5537960000000002</v>
      </c>
      <c r="Y184" s="72">
        <v>5.9506986499999996</v>
      </c>
      <c r="Z184" s="115">
        <v>7.69642816</v>
      </c>
    </row>
    <row r="185" spans="2:26" x14ac:dyDescent="0.35">
      <c r="B185" s="55" t="s">
        <v>326</v>
      </c>
      <c r="C185" s="53" t="s">
        <v>234</v>
      </c>
      <c r="D185" s="53" t="s">
        <v>20</v>
      </c>
      <c r="E185" s="53" t="s">
        <v>21</v>
      </c>
      <c r="F185" s="73">
        <v>2.413216138681119E-2</v>
      </c>
      <c r="G185" s="71">
        <v>3.270048679111924E-2</v>
      </c>
      <c r="H185" s="71">
        <v>3.9182526963465372E-2</v>
      </c>
      <c r="I185" s="71">
        <v>4.2877640064574313E-2</v>
      </c>
      <c r="J185" s="63">
        <v>4.6435084249783584E-2</v>
      </c>
      <c r="K185" s="71" t="s">
        <v>21</v>
      </c>
      <c r="L185" s="71">
        <v>4.361170191119243E-3</v>
      </c>
      <c r="M185" s="71">
        <v>1.0152524663465369E-2</v>
      </c>
      <c r="N185" s="71">
        <v>1.2977104064574309E-2</v>
      </c>
      <c r="O185" s="63">
        <v>1.5202185249783593E-2</v>
      </c>
      <c r="P185" s="55" t="s">
        <v>21</v>
      </c>
      <c r="Q185" s="53" t="s">
        <v>21</v>
      </c>
      <c r="R185" s="94" t="s">
        <v>21</v>
      </c>
      <c r="S185" s="71" t="s">
        <v>21</v>
      </c>
      <c r="T185" s="63" t="s">
        <v>21</v>
      </c>
      <c r="V185" s="114">
        <v>1.15195531</v>
      </c>
      <c r="W185" s="72">
        <v>2.9474902800000002</v>
      </c>
      <c r="X185" s="72">
        <v>4.5507810000000006</v>
      </c>
      <c r="Y185" s="72">
        <v>5.9385276400000002</v>
      </c>
      <c r="Z185" s="115">
        <v>7.6835497999999998</v>
      </c>
    </row>
    <row r="186" spans="2:26" x14ac:dyDescent="0.35">
      <c r="B186" s="55" t="s">
        <v>267</v>
      </c>
      <c r="C186" s="53" t="s">
        <v>234</v>
      </c>
      <c r="D186" s="53" t="s">
        <v>31</v>
      </c>
      <c r="E186" s="53" t="s">
        <v>21</v>
      </c>
      <c r="F186" s="73">
        <v>2.4933608118560054E-2</v>
      </c>
      <c r="G186" s="71">
        <v>3.3333609194686815E-2</v>
      </c>
      <c r="H186" s="71">
        <v>3.9162312502706069E-2</v>
      </c>
      <c r="I186" s="71">
        <v>4.2314510451111481E-2</v>
      </c>
      <c r="J186" s="63">
        <v>4.4957366646731806E-2</v>
      </c>
      <c r="K186" s="71" t="s">
        <v>21</v>
      </c>
      <c r="L186" s="71">
        <v>4.9885928946868082E-3</v>
      </c>
      <c r="M186" s="71">
        <v>1.0150797102706065E-2</v>
      </c>
      <c r="N186" s="71">
        <v>1.2453897551111481E-2</v>
      </c>
      <c r="O186" s="63">
        <v>1.3789098046731797E-2</v>
      </c>
      <c r="P186" s="55" t="s">
        <v>508</v>
      </c>
      <c r="Q186" s="53" t="s">
        <v>509</v>
      </c>
      <c r="R186" s="94">
        <v>47679</v>
      </c>
      <c r="S186" s="71">
        <v>3.8073579999999996E-2</v>
      </c>
      <c r="T186" s="63">
        <v>1.0887325027060732E-3</v>
      </c>
      <c r="V186" s="114">
        <v>1.1513490100000001</v>
      </c>
      <c r="W186" s="72">
        <v>2.9448846899999999</v>
      </c>
      <c r="X186" s="72">
        <v>4.5534436400000002</v>
      </c>
      <c r="Y186" s="72">
        <v>5.9595259</v>
      </c>
      <c r="Z186" s="115">
        <v>7.7611604900000009</v>
      </c>
    </row>
    <row r="187" spans="2:26" x14ac:dyDescent="0.35">
      <c r="B187" s="55" t="s">
        <v>243</v>
      </c>
      <c r="C187" s="53" t="s">
        <v>234</v>
      </c>
      <c r="D187" s="53" t="s">
        <v>43</v>
      </c>
      <c r="E187" s="53" t="s">
        <v>112</v>
      </c>
      <c r="F187" s="73">
        <v>2.5056717587264618E-2</v>
      </c>
      <c r="G187" s="71">
        <v>3.3112964469384235E-2</v>
      </c>
      <c r="H187" s="71">
        <v>3.9105021917451889E-2</v>
      </c>
      <c r="I187" s="71">
        <v>4.2936335026759337E-2</v>
      </c>
      <c r="J187" s="63">
        <v>4.7007708991069291E-2</v>
      </c>
      <c r="K187" s="71" t="s">
        <v>21</v>
      </c>
      <c r="L187" s="71">
        <v>4.7763991693842347E-3</v>
      </c>
      <c r="M187" s="71">
        <v>1.0096186817451884E-2</v>
      </c>
      <c r="N187" s="71">
        <v>1.3051424726759334E-2</v>
      </c>
      <c r="O187" s="63">
        <v>1.5767334491069294E-2</v>
      </c>
      <c r="P187" s="55" t="s">
        <v>510</v>
      </c>
      <c r="Q187" s="53" t="s">
        <v>511</v>
      </c>
      <c r="R187" s="94" t="s">
        <v>32</v>
      </c>
      <c r="S187" s="71">
        <v>3.6992859999999995E-2</v>
      </c>
      <c r="T187" s="63">
        <v>2.1121619174518935E-3</v>
      </c>
      <c r="V187" s="114">
        <v>1.1510859</v>
      </c>
      <c r="W187" s="72">
        <v>2.9463505300000001</v>
      </c>
      <c r="X187" s="72">
        <v>4.5559511600000002</v>
      </c>
      <c r="Y187" s="72">
        <v>5.9530814799999998</v>
      </c>
      <c r="Z187" s="115">
        <v>7.7007498600000002</v>
      </c>
    </row>
    <row r="188" spans="2:26" x14ac:dyDescent="0.35">
      <c r="B188" s="55" t="s">
        <v>244</v>
      </c>
      <c r="C188" s="53" t="s">
        <v>234</v>
      </c>
      <c r="D188" s="53" t="s">
        <v>43</v>
      </c>
      <c r="E188" s="53" t="s">
        <v>245</v>
      </c>
      <c r="F188" s="73">
        <v>2.5007131706380383E-2</v>
      </c>
      <c r="G188" s="71">
        <v>3.3107413617971891E-2</v>
      </c>
      <c r="H188" s="71">
        <v>3.9053661668980146E-2</v>
      </c>
      <c r="I188" s="71">
        <v>4.3081208916206926E-2</v>
      </c>
      <c r="J188" s="63">
        <v>4.715405292494157E-2</v>
      </c>
      <c r="K188" s="71" t="s">
        <v>21</v>
      </c>
      <c r="L188" s="71">
        <v>4.7718106179718903E-3</v>
      </c>
      <c r="M188" s="71">
        <v>1.004739556898015E-2</v>
      </c>
      <c r="N188" s="71">
        <v>1.3191011916206924E-2</v>
      </c>
      <c r="O188" s="63">
        <v>1.5909236624941571E-2</v>
      </c>
      <c r="P188" s="55" t="s">
        <v>512</v>
      </c>
      <c r="Q188" s="53" t="s">
        <v>513</v>
      </c>
      <c r="R188" s="94">
        <v>47492</v>
      </c>
      <c r="S188" s="71">
        <v>3.7116610000000001E-2</v>
      </c>
      <c r="T188" s="63">
        <v>1.9370516689801442E-3</v>
      </c>
      <c r="V188" s="114">
        <v>1.15116821</v>
      </c>
      <c r="W188" s="72">
        <v>2.9464093899999999</v>
      </c>
      <c r="X188" s="72">
        <v>4.5559509</v>
      </c>
      <c r="Y188" s="72">
        <v>5.9504014999999999</v>
      </c>
      <c r="Z188" s="115">
        <v>7.6936290899999999</v>
      </c>
    </row>
    <row r="189" spans="2:26" x14ac:dyDescent="0.35">
      <c r="B189" s="55" t="s">
        <v>124</v>
      </c>
      <c r="C189" s="53" t="s">
        <v>234</v>
      </c>
      <c r="D189" s="53" t="s">
        <v>69</v>
      </c>
      <c r="E189" s="53" t="s">
        <v>81</v>
      </c>
      <c r="F189" s="73">
        <v>2.4779667566460103E-2</v>
      </c>
      <c r="G189" s="71">
        <v>3.2855819912859505E-2</v>
      </c>
      <c r="H189" s="71">
        <v>3.9051937839257374E-2</v>
      </c>
      <c r="I189" s="71">
        <v>4.2883516298517048E-2</v>
      </c>
      <c r="J189" s="63">
        <v>4.7140935762570571E-2</v>
      </c>
      <c r="K189" s="71" t="s">
        <v>21</v>
      </c>
      <c r="L189" s="71">
        <v>4.5280233128595065E-3</v>
      </c>
      <c r="M189" s="71">
        <v>1.0045059339257374E-2</v>
      </c>
      <c r="N189" s="71">
        <v>1.3001066698517047E-2</v>
      </c>
      <c r="O189" s="63">
        <v>1.5895860462570563E-2</v>
      </c>
      <c r="P189" s="55" t="s">
        <v>21</v>
      </c>
      <c r="Q189" s="53" t="s">
        <v>21</v>
      </c>
      <c r="R189" s="94" t="s">
        <v>21</v>
      </c>
      <c r="S189" s="71" t="s">
        <v>21</v>
      </c>
      <c r="T189" s="63" t="s">
        <v>21</v>
      </c>
      <c r="V189" s="114">
        <v>1.1516342100000001</v>
      </c>
      <c r="W189" s="72">
        <v>2.9484789599999996</v>
      </c>
      <c r="X189" s="72">
        <v>4.5591906600000005</v>
      </c>
      <c r="Y189" s="72">
        <v>5.9569474199999997</v>
      </c>
      <c r="Z189" s="115">
        <v>7.7013218600000002</v>
      </c>
    </row>
    <row r="190" spans="2:26" x14ac:dyDescent="0.35">
      <c r="B190" s="55" t="s">
        <v>246</v>
      </c>
      <c r="C190" s="53" t="s">
        <v>234</v>
      </c>
      <c r="D190" s="53" t="s">
        <v>31</v>
      </c>
      <c r="E190" s="53" t="s">
        <v>255</v>
      </c>
      <c r="F190" s="73">
        <v>2.5042347535363187E-2</v>
      </c>
      <c r="G190" s="71">
        <v>3.3186306035569657E-2</v>
      </c>
      <c r="H190" s="71">
        <v>3.8954612054333218E-2</v>
      </c>
      <c r="I190" s="71">
        <v>4.2112670272274805E-2</v>
      </c>
      <c r="J190" s="63">
        <v>4.5800029772538407E-2</v>
      </c>
      <c r="K190" s="71" t="s">
        <v>21</v>
      </c>
      <c r="L190" s="71">
        <v>4.8469109355696559E-3</v>
      </c>
      <c r="M190" s="71">
        <v>9.9510558543332173E-3</v>
      </c>
      <c r="N190" s="71">
        <v>1.2259930572274804E-2</v>
      </c>
      <c r="O190" s="63">
        <v>1.460015937253841E-2</v>
      </c>
      <c r="P190" s="55" t="s">
        <v>514</v>
      </c>
      <c r="Q190" s="53" t="s">
        <v>515</v>
      </c>
      <c r="R190" s="94">
        <v>47491</v>
      </c>
      <c r="S190" s="71">
        <v>3.5873599999999999E-2</v>
      </c>
      <c r="T190" s="63">
        <v>3.0810120543332195E-3</v>
      </c>
      <c r="V190" s="114">
        <v>1.15112218</v>
      </c>
      <c r="W190" s="72">
        <v>2.9454312599999999</v>
      </c>
      <c r="X190" s="72">
        <v>4.5564996500000001</v>
      </c>
      <c r="Y190" s="72">
        <v>5.9659065800000004</v>
      </c>
      <c r="Z190" s="115">
        <v>7.7482886200000003</v>
      </c>
    </row>
    <row r="191" spans="2:26" x14ac:dyDescent="0.35">
      <c r="B191" s="55" t="s">
        <v>336</v>
      </c>
      <c r="C191" s="53" t="s">
        <v>234</v>
      </c>
      <c r="D191" s="53" t="s">
        <v>20</v>
      </c>
      <c r="E191" s="53" t="s">
        <v>123</v>
      </c>
      <c r="F191" s="73">
        <v>2.5970002104537718E-2</v>
      </c>
      <c r="G191" s="71">
        <v>3.3381107547338723E-2</v>
      </c>
      <c r="H191" s="71">
        <v>3.8826533755572726E-2</v>
      </c>
      <c r="I191" s="71">
        <v>4.1899362191095413E-2</v>
      </c>
      <c r="J191" s="63">
        <v>4.5603711962328694E-2</v>
      </c>
      <c r="K191" s="71" t="s">
        <v>21</v>
      </c>
      <c r="L191" s="71">
        <v>5.01492714733872E-3</v>
      </c>
      <c r="M191" s="71">
        <v>9.8070491555727283E-3</v>
      </c>
      <c r="N191" s="71">
        <v>1.2033476391095411E-2</v>
      </c>
      <c r="O191" s="63">
        <v>1.4389527962328705E-2</v>
      </c>
      <c r="P191" s="55" t="s">
        <v>21</v>
      </c>
      <c r="Q191" s="53" t="s">
        <v>21</v>
      </c>
      <c r="R191" s="94" t="s">
        <v>21</v>
      </c>
      <c r="S191" s="71" t="s">
        <v>21</v>
      </c>
      <c r="T191" s="63" t="s">
        <v>21</v>
      </c>
      <c r="V191" s="114">
        <v>1.1483885199999999</v>
      </c>
      <c r="W191" s="72">
        <v>2.9365240899999998</v>
      </c>
      <c r="X191" s="72">
        <v>4.5427438899999997</v>
      </c>
      <c r="Y191" s="72">
        <v>5.9465742400000003</v>
      </c>
      <c r="Z191" s="115">
        <v>7.7219891799999996</v>
      </c>
    </row>
    <row r="192" spans="2:26" x14ac:dyDescent="0.35">
      <c r="B192" s="55" t="s">
        <v>337</v>
      </c>
      <c r="C192" s="53" t="s">
        <v>234</v>
      </c>
      <c r="D192" s="53" t="s">
        <v>20</v>
      </c>
      <c r="E192" s="53" t="s">
        <v>251</v>
      </c>
      <c r="F192" s="73">
        <v>2.4444987541703923E-2</v>
      </c>
      <c r="G192" s="71">
        <v>3.2883304494531716E-2</v>
      </c>
      <c r="H192" s="71">
        <v>3.8805056526392087E-2</v>
      </c>
      <c r="I192" s="71">
        <v>4.2508624054158901E-2</v>
      </c>
      <c r="J192" s="63">
        <v>4.5909969181490463E-2</v>
      </c>
      <c r="K192" s="71" t="s">
        <v>21</v>
      </c>
      <c r="L192" s="71">
        <v>4.5376748945317171E-3</v>
      </c>
      <c r="M192" s="71">
        <v>9.7890196263920922E-3</v>
      </c>
      <c r="N192" s="71">
        <v>1.26217332541589E-2</v>
      </c>
      <c r="O192" s="63">
        <v>1.4695934481490461E-2</v>
      </c>
      <c r="P192" s="55" t="s">
        <v>382</v>
      </c>
      <c r="Q192" s="53" t="s">
        <v>383</v>
      </c>
      <c r="R192" s="94">
        <v>47624</v>
      </c>
      <c r="S192" s="71">
        <v>3.6976200000000001E-2</v>
      </c>
      <c r="T192" s="63">
        <v>1.8288565263920864E-3</v>
      </c>
      <c r="V192" s="114">
        <v>1.1512892800000001</v>
      </c>
      <c r="W192" s="72">
        <v>2.9451558100000002</v>
      </c>
      <c r="X192" s="72">
        <v>4.5528672100000005</v>
      </c>
      <c r="Y192" s="72">
        <v>5.94769624</v>
      </c>
      <c r="Z192" s="115">
        <v>7.7049556399999997</v>
      </c>
    </row>
    <row r="193" spans="2:26" x14ac:dyDescent="0.35">
      <c r="B193" s="55" t="s">
        <v>146</v>
      </c>
      <c r="C193" s="53" t="s">
        <v>234</v>
      </c>
      <c r="D193" s="53" t="s">
        <v>69</v>
      </c>
      <c r="E193" s="53" t="s">
        <v>348</v>
      </c>
      <c r="F193" s="73">
        <v>2.5125134620397525E-2</v>
      </c>
      <c r="G193" s="71">
        <v>3.3026472197586747E-2</v>
      </c>
      <c r="H193" s="71">
        <v>3.8798888196655897E-2</v>
      </c>
      <c r="I193" s="71">
        <v>4.2252385349644456E-2</v>
      </c>
      <c r="J193" s="63">
        <v>4.6880837750137988E-2</v>
      </c>
      <c r="K193" s="71" t="s">
        <v>21</v>
      </c>
      <c r="L193" s="71">
        <v>4.6926943975867464E-3</v>
      </c>
      <c r="M193" s="71">
        <v>9.8010225966558943E-3</v>
      </c>
      <c r="N193" s="71">
        <v>1.2393962449644452E-2</v>
      </c>
      <c r="O193" s="63">
        <v>1.5640935850137989E-2</v>
      </c>
      <c r="P193" s="55" t="s">
        <v>516</v>
      </c>
      <c r="Q193" s="53" t="s">
        <v>517</v>
      </c>
      <c r="R193" s="94" t="s">
        <v>32</v>
      </c>
      <c r="S193" s="71">
        <v>3.7563249999999999E-2</v>
      </c>
      <c r="T193" s="63">
        <v>1.2356381966558971E-3</v>
      </c>
      <c r="V193" s="114">
        <v>1.1509552700000001</v>
      </c>
      <c r="W193" s="72">
        <v>2.94599703</v>
      </c>
      <c r="X193" s="72">
        <v>4.5590804199999999</v>
      </c>
      <c r="Y193" s="72">
        <v>5.9668042699999999</v>
      </c>
      <c r="Z193" s="115">
        <v>7.7218097400000003</v>
      </c>
    </row>
    <row r="194" spans="2:26" x14ac:dyDescent="0.35">
      <c r="B194" s="55" t="s">
        <v>145</v>
      </c>
      <c r="C194" s="53" t="s">
        <v>234</v>
      </c>
      <c r="D194" s="53" t="s">
        <v>20</v>
      </c>
      <c r="E194" s="53" t="s">
        <v>21</v>
      </c>
      <c r="F194" s="73">
        <v>2.5991778406068991E-2</v>
      </c>
      <c r="G194" s="71">
        <v>3.3584815913934724E-2</v>
      </c>
      <c r="H194" s="71">
        <v>3.875742649435613E-2</v>
      </c>
      <c r="I194" s="71">
        <v>4.1896029987903323E-2</v>
      </c>
      <c r="J194" s="63">
        <v>4.5355452348324964E-2</v>
      </c>
      <c r="K194" s="71" t="s">
        <v>21</v>
      </c>
      <c r="L194" s="71">
        <v>5.2136852139347241E-3</v>
      </c>
      <c r="M194" s="71">
        <v>9.742074994356139E-3</v>
      </c>
      <c r="N194" s="71">
        <v>1.2030789787903323E-2</v>
      </c>
      <c r="O194" s="63">
        <v>1.4152353648324961E-2</v>
      </c>
      <c r="P194" s="55" t="s">
        <v>518</v>
      </c>
      <c r="Q194" s="53" t="s">
        <v>519</v>
      </c>
      <c r="R194" s="94" t="s">
        <v>32</v>
      </c>
      <c r="S194" s="71">
        <v>3.4048490000000001E-2</v>
      </c>
      <c r="T194" s="63">
        <v>4.7089364943561293E-3</v>
      </c>
      <c r="V194" s="114">
        <v>1.14829045</v>
      </c>
      <c r="W194" s="72">
        <v>2.9344290900000001</v>
      </c>
      <c r="X194" s="72">
        <v>4.5413432599999997</v>
      </c>
      <c r="Y194" s="72">
        <v>5.9463763699999994</v>
      </c>
      <c r="Z194" s="115">
        <v>7.7250912500000002</v>
      </c>
    </row>
    <row r="195" spans="2:26" x14ac:dyDescent="0.35">
      <c r="B195" s="55" t="s">
        <v>152</v>
      </c>
      <c r="C195" s="53" t="s">
        <v>234</v>
      </c>
      <c r="D195" s="53" t="s">
        <v>47</v>
      </c>
      <c r="E195" s="53" t="s">
        <v>141</v>
      </c>
      <c r="F195" s="73">
        <v>2.5258584885478788E-2</v>
      </c>
      <c r="G195" s="71">
        <v>3.3133976958705409E-2</v>
      </c>
      <c r="H195" s="71">
        <v>3.8747699156468862E-2</v>
      </c>
      <c r="I195" s="71">
        <v>4.2203445721873817E-2</v>
      </c>
      <c r="J195" s="63">
        <v>4.645738104881017E-2</v>
      </c>
      <c r="K195" s="71" t="s">
        <v>21</v>
      </c>
      <c r="L195" s="71">
        <v>4.796980458705415E-3</v>
      </c>
      <c r="M195" s="71">
        <v>9.75201995646887E-3</v>
      </c>
      <c r="N195" s="71">
        <v>1.2346902921873815E-2</v>
      </c>
      <c r="O195" s="63">
        <v>1.5233565048810162E-2</v>
      </c>
      <c r="P195" s="55" t="s">
        <v>520</v>
      </c>
      <c r="Q195" s="53" t="s">
        <v>521</v>
      </c>
      <c r="R195" s="94" t="s">
        <v>32</v>
      </c>
      <c r="S195" s="71">
        <v>3.3686430000000003E-2</v>
      </c>
      <c r="T195" s="63">
        <v>5.0612691564688589E-3</v>
      </c>
      <c r="V195" s="114">
        <v>1.15068178</v>
      </c>
      <c r="W195" s="72">
        <v>2.9449832900000001</v>
      </c>
      <c r="X195" s="72">
        <v>4.5583685200000001</v>
      </c>
      <c r="Y195" s="72">
        <v>5.96704452</v>
      </c>
      <c r="Z195" s="115">
        <v>7.7325537299999993</v>
      </c>
    </row>
    <row r="196" spans="2:26" x14ac:dyDescent="0.35">
      <c r="B196" s="55" t="s">
        <v>241</v>
      </c>
      <c r="C196" s="53" t="s">
        <v>234</v>
      </c>
      <c r="D196" s="53" t="s">
        <v>69</v>
      </c>
      <c r="E196" s="53" t="s">
        <v>342</v>
      </c>
      <c r="F196" s="73">
        <v>2.4719190053569432E-2</v>
      </c>
      <c r="G196" s="71">
        <v>3.2732885891742433E-2</v>
      </c>
      <c r="H196" s="71">
        <v>3.8690610024067505E-2</v>
      </c>
      <c r="I196" s="71">
        <v>4.238823902322493E-2</v>
      </c>
      <c r="J196" s="63">
        <v>4.6125510953740831E-2</v>
      </c>
      <c r="K196" s="71" t="s">
        <v>21</v>
      </c>
      <c r="L196" s="71">
        <v>4.4105340917424294E-3</v>
      </c>
      <c r="M196" s="71">
        <v>9.697866524067511E-3</v>
      </c>
      <c r="N196" s="71">
        <v>1.2525823023224927E-2</v>
      </c>
      <c r="O196" s="63">
        <v>1.4918173253740832E-2</v>
      </c>
      <c r="P196" s="55" t="s">
        <v>522</v>
      </c>
      <c r="Q196" s="53" t="s">
        <v>523</v>
      </c>
      <c r="R196" s="94" t="s">
        <v>32</v>
      </c>
      <c r="S196" s="71">
        <v>4.1244329999999996E-2</v>
      </c>
      <c r="T196" s="63">
        <v>-2.5537199759324905E-3</v>
      </c>
      <c r="V196" s="114">
        <v>1.1517262100000001</v>
      </c>
      <c r="W196" s="72">
        <v>2.94942913</v>
      </c>
      <c r="X196" s="72">
        <v>4.5641586800000002</v>
      </c>
      <c r="Y196" s="72">
        <v>5.9698139999999995</v>
      </c>
      <c r="Z196" s="115">
        <v>7.7409424599999994</v>
      </c>
    </row>
    <row r="197" spans="2:26" x14ac:dyDescent="0.35">
      <c r="B197" s="55" t="s">
        <v>340</v>
      </c>
      <c r="C197" s="53" t="s">
        <v>234</v>
      </c>
      <c r="D197" s="53" t="s">
        <v>20</v>
      </c>
      <c r="E197" s="53" t="s">
        <v>123</v>
      </c>
      <c r="F197" s="73">
        <v>2.4917196539923581E-2</v>
      </c>
      <c r="G197" s="71">
        <v>3.2987653895562623E-2</v>
      </c>
      <c r="H197" s="71">
        <v>3.8667032962306155E-2</v>
      </c>
      <c r="I197" s="71">
        <v>4.1664523131193773E-2</v>
      </c>
      <c r="J197" s="63">
        <v>4.5012777396545682E-2</v>
      </c>
      <c r="K197" s="71" t="s">
        <v>21</v>
      </c>
      <c r="L197" s="71">
        <v>4.6341707955626279E-3</v>
      </c>
      <c r="M197" s="71">
        <v>9.6530371623061578E-3</v>
      </c>
      <c r="N197" s="71">
        <v>1.1808711031193771E-2</v>
      </c>
      <c r="O197" s="63">
        <v>1.3822746096545678E-2</v>
      </c>
      <c r="P197" s="55" t="s">
        <v>21</v>
      </c>
      <c r="Q197" s="53" t="s">
        <v>21</v>
      </c>
      <c r="R197" s="94" t="s">
        <v>21</v>
      </c>
      <c r="S197" s="71" t="s">
        <v>21</v>
      </c>
      <c r="T197" s="63" t="s">
        <v>21</v>
      </c>
      <c r="V197" s="114">
        <v>1.15047652</v>
      </c>
      <c r="W197" s="72">
        <v>2.9433249099999998</v>
      </c>
      <c r="X197" s="72">
        <v>4.5520419700000003</v>
      </c>
      <c r="Y197" s="72">
        <v>5.9580071999999999</v>
      </c>
      <c r="Z197" s="115">
        <v>7.7456923499999997</v>
      </c>
    </row>
    <row r="198" spans="2:26" x14ac:dyDescent="0.35">
      <c r="B198" s="55" t="s">
        <v>240</v>
      </c>
      <c r="C198" s="53" t="s">
        <v>234</v>
      </c>
      <c r="D198" s="53" t="s">
        <v>20</v>
      </c>
      <c r="E198" s="53" t="s">
        <v>245</v>
      </c>
      <c r="F198" s="73">
        <v>2.4522303456511629E-2</v>
      </c>
      <c r="G198" s="71">
        <v>3.3003061257048771E-2</v>
      </c>
      <c r="H198" s="71">
        <v>3.8650914167566719E-2</v>
      </c>
      <c r="I198" s="71">
        <v>4.2558471849646978E-2</v>
      </c>
      <c r="J198" s="63">
        <v>4.6321726550003099E-2</v>
      </c>
      <c r="K198" s="71" t="s">
        <v>21</v>
      </c>
      <c r="L198" s="71">
        <v>4.6505623570487703E-3</v>
      </c>
      <c r="M198" s="71">
        <v>9.6389375675667299E-3</v>
      </c>
      <c r="N198" s="71">
        <v>1.266868504964697E-2</v>
      </c>
      <c r="O198" s="63">
        <v>1.5091122050003104E-2</v>
      </c>
      <c r="P198" s="55" t="s">
        <v>524</v>
      </c>
      <c r="Q198" s="53" t="s">
        <v>525</v>
      </c>
      <c r="R198" s="94">
        <v>47515</v>
      </c>
      <c r="S198" s="71">
        <v>3.7312900000000003E-2</v>
      </c>
      <c r="T198" s="63">
        <v>1.3380141675667159E-3</v>
      </c>
      <c r="V198" s="114">
        <v>1.1511962099999999</v>
      </c>
      <c r="W198" s="72">
        <v>2.94320431</v>
      </c>
      <c r="X198" s="72">
        <v>4.5517774400000004</v>
      </c>
      <c r="Y198" s="72">
        <v>5.94623758</v>
      </c>
      <c r="Z198" s="115">
        <v>7.6949525899999998</v>
      </c>
    </row>
    <row r="199" spans="2:26" x14ac:dyDescent="0.35">
      <c r="B199" s="55" t="s">
        <v>147</v>
      </c>
      <c r="C199" s="53" t="s">
        <v>234</v>
      </c>
      <c r="D199" s="53" t="s">
        <v>69</v>
      </c>
      <c r="E199" s="53" t="s">
        <v>21</v>
      </c>
      <c r="F199" s="73">
        <v>2.4688241622009582E-2</v>
      </c>
      <c r="G199" s="71">
        <v>3.2681527853256412E-2</v>
      </c>
      <c r="H199" s="71">
        <v>3.8590062234502703E-2</v>
      </c>
      <c r="I199" s="71">
        <v>4.2096244725270224E-2</v>
      </c>
      <c r="J199" s="63">
        <v>4.611307573176604E-2</v>
      </c>
      <c r="K199" s="71" t="s">
        <v>21</v>
      </c>
      <c r="L199" s="71">
        <v>4.3597905532564082E-3</v>
      </c>
      <c r="M199" s="71">
        <v>9.6001547345027066E-3</v>
      </c>
      <c r="N199" s="71">
        <v>1.2244534625270221E-2</v>
      </c>
      <c r="O199" s="63">
        <v>1.4903933931766025E-2</v>
      </c>
      <c r="P199" s="55" t="s">
        <v>526</v>
      </c>
      <c r="Q199" s="53" t="s">
        <v>527</v>
      </c>
      <c r="R199" s="94" t="s">
        <v>32</v>
      </c>
      <c r="S199" s="71">
        <v>3.5515060000000001E-2</v>
      </c>
      <c r="T199" s="63">
        <v>3.0750022345027023E-3</v>
      </c>
      <c r="V199" s="114">
        <v>1.1518106300000002</v>
      </c>
      <c r="W199" s="72">
        <v>2.9499212699999999</v>
      </c>
      <c r="X199" s="72">
        <v>4.5658336200000003</v>
      </c>
      <c r="Y199" s="72">
        <v>5.9758995099999996</v>
      </c>
      <c r="Z199" s="115">
        <v>7.74921521</v>
      </c>
    </row>
    <row r="200" spans="2:26" x14ac:dyDescent="0.35">
      <c r="B200" s="55" t="s">
        <v>178</v>
      </c>
      <c r="C200" s="53" t="s">
        <v>234</v>
      </c>
      <c r="D200" s="53" t="s">
        <v>47</v>
      </c>
      <c r="E200" s="53" t="s">
        <v>128</v>
      </c>
      <c r="F200" s="73">
        <v>2.4806254103157854E-2</v>
      </c>
      <c r="G200" s="71">
        <v>3.2490000980080494E-2</v>
      </c>
      <c r="H200" s="71">
        <v>3.8544991601303272E-2</v>
      </c>
      <c r="I200" s="71">
        <v>4.233148195099147E-2</v>
      </c>
      <c r="J200" s="63">
        <v>4.6787681266724834E-2</v>
      </c>
      <c r="K200" s="71" t="s">
        <v>21</v>
      </c>
      <c r="L200" s="71">
        <v>4.1745059800804927E-3</v>
      </c>
      <c r="M200" s="71">
        <v>9.5568146013032713E-3</v>
      </c>
      <c r="N200" s="71">
        <v>1.2471770250991471E-2</v>
      </c>
      <c r="O200" s="63">
        <v>1.5556285866724837E-2</v>
      </c>
      <c r="P200" s="55" t="s">
        <v>21</v>
      </c>
      <c r="Q200" s="53" t="s">
        <v>21</v>
      </c>
      <c r="R200" s="94" t="s">
        <v>21</v>
      </c>
      <c r="S200" s="71" t="s">
        <v>21</v>
      </c>
      <c r="T200" s="63" t="s">
        <v>21</v>
      </c>
      <c r="V200" s="114">
        <v>1.1515804299999999</v>
      </c>
      <c r="W200" s="72">
        <v>2.95101221</v>
      </c>
      <c r="X200" s="72">
        <v>4.56798152</v>
      </c>
      <c r="Y200" s="72">
        <v>5.97520512</v>
      </c>
      <c r="Z200" s="115">
        <v>7.7320687599999989</v>
      </c>
    </row>
    <row r="201" spans="2:26" x14ac:dyDescent="0.35">
      <c r="B201" s="55" t="s">
        <v>327</v>
      </c>
      <c r="C201" s="53" t="s">
        <v>234</v>
      </c>
      <c r="D201" s="53" t="s">
        <v>169</v>
      </c>
      <c r="E201" s="53" t="s">
        <v>81</v>
      </c>
      <c r="F201" s="73">
        <v>2.4272396190544047E-2</v>
      </c>
      <c r="G201" s="71">
        <v>3.2290152887749654E-2</v>
      </c>
      <c r="H201" s="71">
        <v>3.8370634550537415E-2</v>
      </c>
      <c r="I201" s="71">
        <v>4.2899223883819067E-2</v>
      </c>
      <c r="J201" s="63">
        <v>4.6537496861911082E-2</v>
      </c>
      <c r="K201" s="71" t="s">
        <v>21</v>
      </c>
      <c r="L201" s="71">
        <v>3.9652298877496514E-3</v>
      </c>
      <c r="M201" s="71">
        <v>9.3712833505374162E-3</v>
      </c>
      <c r="N201" s="71">
        <v>1.2998345783819067E-2</v>
      </c>
      <c r="O201" s="63">
        <v>1.5304578661911091E-2</v>
      </c>
      <c r="P201" s="55" t="s">
        <v>378</v>
      </c>
      <c r="Q201" s="53" t="s">
        <v>379</v>
      </c>
      <c r="R201" s="94">
        <v>47588</v>
      </c>
      <c r="S201" s="71">
        <v>3.4718869999999999E-2</v>
      </c>
      <c r="T201" s="63">
        <v>3.6517645505374161E-3</v>
      </c>
      <c r="V201" s="114">
        <v>1.1516585799999999</v>
      </c>
      <c r="W201" s="72">
        <v>2.9493122700000001</v>
      </c>
      <c r="X201" s="72">
        <v>4.5620298400000001</v>
      </c>
      <c r="Y201" s="72">
        <v>5.9513582300000003</v>
      </c>
      <c r="Z201" s="115">
        <v>7.6925540999999997</v>
      </c>
    </row>
    <row r="202" spans="2:26" x14ac:dyDescent="0.35">
      <c r="B202" s="55" t="s">
        <v>338</v>
      </c>
      <c r="C202" s="53" t="s">
        <v>234</v>
      </c>
      <c r="D202" s="53" t="s">
        <v>69</v>
      </c>
      <c r="E202" s="53" t="s">
        <v>21</v>
      </c>
      <c r="F202" s="73">
        <v>2.4821306640851176E-2</v>
      </c>
      <c r="G202" s="71">
        <v>3.2879431739859299E-2</v>
      </c>
      <c r="H202" s="71">
        <v>3.818477565035281E-2</v>
      </c>
      <c r="I202" s="71">
        <v>4.1314043899334567E-2</v>
      </c>
      <c r="J202" s="63">
        <v>4.5514632414689178E-2</v>
      </c>
      <c r="K202" s="71" t="s">
        <v>21</v>
      </c>
      <c r="L202" s="71">
        <v>4.5502707398593018E-3</v>
      </c>
      <c r="M202" s="71">
        <v>9.2088038503528157E-3</v>
      </c>
      <c r="N202" s="71">
        <v>1.1490641599334567E-2</v>
      </c>
      <c r="O202" s="63">
        <v>1.4321884114689177E-2</v>
      </c>
      <c r="P202" s="55" t="s">
        <v>21</v>
      </c>
      <c r="Q202" s="53" t="s">
        <v>21</v>
      </c>
      <c r="R202" s="94" t="s">
        <v>21</v>
      </c>
      <c r="S202" s="71" t="s">
        <v>21</v>
      </c>
      <c r="T202" s="63" t="s">
        <v>21</v>
      </c>
      <c r="V202" s="114">
        <v>1.15156367</v>
      </c>
      <c r="W202" s="72">
        <v>2.9482050900000001</v>
      </c>
      <c r="X202" s="72">
        <v>4.5679740500000001</v>
      </c>
      <c r="Y202" s="72">
        <v>5.9906057099999996</v>
      </c>
      <c r="Z202" s="115">
        <v>7.7835398599999994</v>
      </c>
    </row>
    <row r="203" spans="2:26" x14ac:dyDescent="0.35">
      <c r="B203" s="55" t="s">
        <v>354</v>
      </c>
      <c r="C203" s="53" t="s">
        <v>234</v>
      </c>
      <c r="D203" s="53" t="s">
        <v>20</v>
      </c>
      <c r="E203" s="53" t="s">
        <v>128</v>
      </c>
      <c r="F203" s="73">
        <v>2.501772364956089E-2</v>
      </c>
      <c r="G203" s="71">
        <v>3.2921376827180708E-2</v>
      </c>
      <c r="H203" s="71">
        <v>3.8002417279290442E-2</v>
      </c>
      <c r="I203" s="71">
        <v>4.0993114336852911E-2</v>
      </c>
      <c r="J203" s="63">
        <v>4.4240200275950707E-2</v>
      </c>
      <c r="K203" s="71" t="s">
        <v>21</v>
      </c>
      <c r="L203" s="71">
        <v>4.5691952271807099E-3</v>
      </c>
      <c r="M203" s="71">
        <v>9.0119952792904433E-3</v>
      </c>
      <c r="N203" s="71">
        <v>1.116087243685291E-2</v>
      </c>
      <c r="O203" s="63">
        <v>1.3072531175950704E-2</v>
      </c>
      <c r="P203" s="55" t="s">
        <v>388</v>
      </c>
      <c r="Q203" s="53" t="s">
        <v>389</v>
      </c>
      <c r="R203" s="94" t="s">
        <v>32</v>
      </c>
      <c r="S203" s="71">
        <v>3.4986380000000004E-2</v>
      </c>
      <c r="T203" s="63">
        <v>3.0160372792904372E-3</v>
      </c>
      <c r="V203" s="114">
        <v>1.1502498000000001</v>
      </c>
      <c r="W203" s="72">
        <v>2.9434102699999998</v>
      </c>
      <c r="X203" s="72">
        <v>4.5591051299999998</v>
      </c>
      <c r="Y203" s="72">
        <v>5.9773850099999999</v>
      </c>
      <c r="Z203" s="115">
        <v>7.7896547299999996</v>
      </c>
    </row>
    <row r="204" spans="2:26" x14ac:dyDescent="0.35">
      <c r="B204" s="55" t="s">
        <v>349</v>
      </c>
      <c r="C204" s="53" t="s">
        <v>234</v>
      </c>
      <c r="D204" s="53" t="s">
        <v>20</v>
      </c>
      <c r="E204" s="53" t="s">
        <v>528</v>
      </c>
      <c r="F204" s="73">
        <v>2.4419990815417188E-2</v>
      </c>
      <c r="G204" s="71">
        <v>3.2047093390173545E-2</v>
      </c>
      <c r="H204" s="71">
        <v>3.7621702241314815E-2</v>
      </c>
      <c r="I204" s="71">
        <v>4.109194587206863E-2</v>
      </c>
      <c r="J204" s="63">
        <v>4.4278048896169243E-2</v>
      </c>
      <c r="K204" s="71" t="s">
        <v>21</v>
      </c>
      <c r="L204" s="71">
        <v>3.7292636901735468E-3</v>
      </c>
      <c r="M204" s="71">
        <v>8.6479055413148133E-3</v>
      </c>
      <c r="N204" s="71">
        <v>1.1258250972068635E-2</v>
      </c>
      <c r="O204" s="63">
        <v>1.3116680296169237E-2</v>
      </c>
      <c r="P204" s="55" t="s">
        <v>384</v>
      </c>
      <c r="Q204" s="53" t="s">
        <v>385</v>
      </c>
      <c r="R204" s="94">
        <v>47529</v>
      </c>
      <c r="S204" s="71">
        <v>3.5713639999999998E-2</v>
      </c>
      <c r="T204" s="63">
        <v>1.9080622413148174E-3</v>
      </c>
      <c r="V204" s="114">
        <v>1.1513664299999999</v>
      </c>
      <c r="W204" s="72">
        <v>2.9504806599999998</v>
      </c>
      <c r="X204" s="72">
        <v>4.5722555600000003</v>
      </c>
      <c r="Y204" s="72">
        <v>5.9917620400000002</v>
      </c>
      <c r="Z204" s="115">
        <v>7.7970526400000004</v>
      </c>
    </row>
    <row r="205" spans="2:26" x14ac:dyDescent="0.35">
      <c r="B205" s="55" t="s">
        <v>253</v>
      </c>
      <c r="C205" s="53" t="s">
        <v>234</v>
      </c>
      <c r="D205" s="53" t="s">
        <v>53</v>
      </c>
      <c r="E205" s="53" t="s">
        <v>125</v>
      </c>
      <c r="F205" s="73">
        <v>2.4525914184449271E-2</v>
      </c>
      <c r="G205" s="71">
        <v>3.2299832734816084E-2</v>
      </c>
      <c r="H205" s="71">
        <v>3.761397235511358E-2</v>
      </c>
      <c r="I205" s="71">
        <v>4.0806014907191351E-2</v>
      </c>
      <c r="J205" s="63">
        <v>4.4479749384372741E-2</v>
      </c>
      <c r="K205" s="71" t="s">
        <v>21</v>
      </c>
      <c r="L205" s="71">
        <v>3.9903577348160829E-3</v>
      </c>
      <c r="M205" s="71">
        <v>8.6581112551135913E-3</v>
      </c>
      <c r="N205" s="71">
        <v>1.1001384207191354E-2</v>
      </c>
      <c r="O205" s="63">
        <v>1.3323662984372738E-2</v>
      </c>
      <c r="P205" s="55" t="s">
        <v>529</v>
      </c>
      <c r="Q205" s="53" t="s">
        <v>530</v>
      </c>
      <c r="R205" s="94" t="s">
        <v>32</v>
      </c>
      <c r="S205" s="71">
        <v>3.8188659999999999E-2</v>
      </c>
      <c r="T205" s="63">
        <v>-5.7468764488641938E-4</v>
      </c>
      <c r="V205" s="114">
        <v>1.15213853</v>
      </c>
      <c r="W205" s="72">
        <v>2.9533822299999999</v>
      </c>
      <c r="X205" s="72">
        <v>4.5803364499999999</v>
      </c>
      <c r="Y205" s="72">
        <v>6.0112129899999998</v>
      </c>
      <c r="Z205" s="115">
        <v>7.83068323</v>
      </c>
    </row>
    <row r="206" spans="2:26" x14ac:dyDescent="0.35">
      <c r="B206" s="55" t="s">
        <v>144</v>
      </c>
      <c r="C206" s="53" t="s">
        <v>234</v>
      </c>
      <c r="D206" s="53" t="s">
        <v>20</v>
      </c>
      <c r="E206" s="53" t="s">
        <v>57</v>
      </c>
      <c r="F206" s="73">
        <v>2.4586076223902485E-2</v>
      </c>
      <c r="G206" s="71">
        <v>3.2070796994281586E-2</v>
      </c>
      <c r="H206" s="71">
        <v>3.7504714767850805E-2</v>
      </c>
      <c r="I206" s="71">
        <v>4.0653595073303322E-2</v>
      </c>
      <c r="J206" s="63">
        <v>4.4319558395952467E-2</v>
      </c>
      <c r="K206" s="71" t="s">
        <v>21</v>
      </c>
      <c r="L206" s="71">
        <v>3.7542457942815835E-3</v>
      </c>
      <c r="M206" s="71">
        <v>8.5366644678508113E-3</v>
      </c>
      <c r="N206" s="71">
        <v>1.0838951373303323E-2</v>
      </c>
      <c r="O206" s="63">
        <v>1.3155897395952456E-2</v>
      </c>
      <c r="P206" s="55" t="s">
        <v>531</v>
      </c>
      <c r="Q206" s="53" t="s">
        <v>532</v>
      </c>
      <c r="R206" s="94">
        <v>47498</v>
      </c>
      <c r="S206" s="71">
        <v>3.6022209999999999E-2</v>
      </c>
      <c r="T206" s="63">
        <v>1.4825047678508063E-3</v>
      </c>
      <c r="V206" s="114">
        <v>1.1509846500000001</v>
      </c>
      <c r="W206" s="72">
        <v>2.9495271999999999</v>
      </c>
      <c r="X206" s="72">
        <v>4.5723718400000006</v>
      </c>
      <c r="Y206" s="72">
        <v>5.9958810800000002</v>
      </c>
      <c r="Z206" s="115">
        <v>7.80400472</v>
      </c>
    </row>
    <row r="207" spans="2:26" x14ac:dyDescent="0.35">
      <c r="B207" s="55" t="s">
        <v>344</v>
      </c>
      <c r="C207" s="53" t="s">
        <v>234</v>
      </c>
      <c r="D207" s="53" t="s">
        <v>31</v>
      </c>
      <c r="E207" s="53" t="s">
        <v>21</v>
      </c>
      <c r="F207" s="73">
        <v>2.4950455190655814E-2</v>
      </c>
      <c r="G207" s="71">
        <v>3.2078178862961347E-2</v>
      </c>
      <c r="H207" s="71">
        <v>3.7349918813690035E-2</v>
      </c>
      <c r="I207" s="71">
        <v>4.0453265999172948E-2</v>
      </c>
      <c r="J207" s="63">
        <v>4.3934067567354441E-2</v>
      </c>
      <c r="K207" s="71" t="s">
        <v>21</v>
      </c>
      <c r="L207" s="71">
        <v>3.7779686629613534E-3</v>
      </c>
      <c r="M207" s="71">
        <v>8.4041503136900383E-3</v>
      </c>
      <c r="N207" s="71">
        <v>1.0661760699172948E-2</v>
      </c>
      <c r="O207" s="63">
        <v>1.2795404867354442E-2</v>
      </c>
      <c r="P207" s="55" t="s">
        <v>21</v>
      </c>
      <c r="Q207" s="53" t="s">
        <v>21</v>
      </c>
      <c r="R207" s="94" t="s">
        <v>21</v>
      </c>
      <c r="S207" s="71" t="s">
        <v>21</v>
      </c>
      <c r="T207" s="63" t="s">
        <v>21</v>
      </c>
      <c r="V207" s="114">
        <v>1.1512547799999999</v>
      </c>
      <c r="W207" s="72">
        <v>2.95283579</v>
      </c>
      <c r="X207" s="72">
        <v>4.5831582599999994</v>
      </c>
      <c r="Y207" s="72">
        <v>6.0197608999999996</v>
      </c>
      <c r="Z207" s="115">
        <v>7.8544318900000007</v>
      </c>
    </row>
    <row r="208" spans="2:26" x14ac:dyDescent="0.35">
      <c r="B208" s="55" t="s">
        <v>345</v>
      </c>
      <c r="C208" s="53" t="s">
        <v>234</v>
      </c>
      <c r="D208" s="53" t="s">
        <v>97</v>
      </c>
      <c r="E208" s="53" t="s">
        <v>21</v>
      </c>
      <c r="F208" s="73">
        <v>2.4366055707445562E-2</v>
      </c>
      <c r="G208" s="71">
        <v>3.232735302684131E-2</v>
      </c>
      <c r="H208" s="71">
        <v>3.7307719169600774E-2</v>
      </c>
      <c r="I208" s="71">
        <v>4.0508271181021113E-2</v>
      </c>
      <c r="J208" s="63">
        <v>4.3892022598787266E-2</v>
      </c>
      <c r="K208" s="71" t="s">
        <v>21</v>
      </c>
      <c r="L208" s="71">
        <v>4.0170953268413179E-3</v>
      </c>
      <c r="M208" s="71">
        <v>8.3623867696007801E-3</v>
      </c>
      <c r="N208" s="71">
        <v>1.0713817081021114E-2</v>
      </c>
      <c r="O208" s="63">
        <v>1.2754430398787266E-2</v>
      </c>
      <c r="P208" s="55" t="s">
        <v>21</v>
      </c>
      <c r="Q208" s="53" t="s">
        <v>21</v>
      </c>
      <c r="R208" s="94" t="s">
        <v>21</v>
      </c>
      <c r="S208" s="71" t="s">
        <v>21</v>
      </c>
      <c r="T208" s="63" t="s">
        <v>21</v>
      </c>
      <c r="V208" s="114">
        <v>1.1524537800000001</v>
      </c>
      <c r="W208" s="72">
        <v>2.9533670399999998</v>
      </c>
      <c r="X208" s="72">
        <v>4.5834887900000005</v>
      </c>
      <c r="Y208" s="72">
        <v>6.01955565</v>
      </c>
      <c r="Z208" s="115">
        <v>7.8548968400000003</v>
      </c>
    </row>
    <row r="209" spans="2:26" x14ac:dyDescent="0.35">
      <c r="B209" s="55" t="s">
        <v>154</v>
      </c>
      <c r="C209" s="53" t="s">
        <v>234</v>
      </c>
      <c r="D209" s="53" t="s">
        <v>20</v>
      </c>
      <c r="E209" s="53" t="s">
        <v>133</v>
      </c>
      <c r="F209" s="73">
        <v>2.3945689712324726E-2</v>
      </c>
      <c r="G209" s="71">
        <v>3.1563496983326507E-2</v>
      </c>
      <c r="H209" s="71">
        <v>3.7258009263773706E-2</v>
      </c>
      <c r="I209" s="71">
        <v>4.0717800828437227E-2</v>
      </c>
      <c r="J209" s="63">
        <v>4.3982319750485013E-2</v>
      </c>
      <c r="K209" s="71" t="s">
        <v>21</v>
      </c>
      <c r="L209" s="71">
        <v>3.2631033833265101E-3</v>
      </c>
      <c r="M209" s="71">
        <v>8.2983081637737141E-3</v>
      </c>
      <c r="N209" s="71">
        <v>1.0900171028437228E-2</v>
      </c>
      <c r="O209" s="63">
        <v>1.2831908850485017E-2</v>
      </c>
      <c r="P209" s="55" t="s">
        <v>533</v>
      </c>
      <c r="Q209" s="53" t="s">
        <v>534</v>
      </c>
      <c r="R209" s="94">
        <v>47529</v>
      </c>
      <c r="S209" s="71">
        <v>3.5977929999999998E-2</v>
      </c>
      <c r="T209" s="63">
        <v>1.2800792637737077E-3</v>
      </c>
      <c r="V209" s="114">
        <v>1.15227868</v>
      </c>
      <c r="W209" s="72">
        <v>2.9555923200000001</v>
      </c>
      <c r="X209" s="72">
        <v>4.5810165100000004</v>
      </c>
      <c r="Y209" s="72">
        <v>6.0039399099999997</v>
      </c>
      <c r="Z209" s="115">
        <v>7.8179427999999991</v>
      </c>
    </row>
    <row r="210" spans="2:26" x14ac:dyDescent="0.35">
      <c r="B210" s="55" t="s">
        <v>252</v>
      </c>
      <c r="C210" s="53" t="s">
        <v>234</v>
      </c>
      <c r="D210" s="53" t="s">
        <v>43</v>
      </c>
      <c r="E210" s="53" t="s">
        <v>21</v>
      </c>
      <c r="F210" s="73">
        <v>2.4624115600793202E-2</v>
      </c>
      <c r="G210" s="71">
        <v>3.2076818438523037E-2</v>
      </c>
      <c r="H210" s="71">
        <v>3.725024280692036E-2</v>
      </c>
      <c r="I210" s="71">
        <v>4.0355165373425345E-2</v>
      </c>
      <c r="J210" s="63">
        <v>4.392989851797121E-2</v>
      </c>
      <c r="K210" s="71" t="s">
        <v>21</v>
      </c>
      <c r="L210" s="71">
        <v>3.7758693385230363E-3</v>
      </c>
      <c r="M210" s="71">
        <v>8.3074258069203606E-3</v>
      </c>
      <c r="N210" s="71">
        <v>1.0566771173425343E-2</v>
      </c>
      <c r="O210" s="63">
        <v>1.2790881517971215E-2</v>
      </c>
      <c r="P210" s="55" t="s">
        <v>21</v>
      </c>
      <c r="Q210" s="53" t="s">
        <v>21</v>
      </c>
      <c r="R210" s="94" t="s">
        <v>21</v>
      </c>
      <c r="S210" s="71" t="s">
        <v>21</v>
      </c>
      <c r="T210" s="63" t="s">
        <v>21</v>
      </c>
      <c r="V210" s="114">
        <v>1.1519175399999999</v>
      </c>
      <c r="W210" s="72">
        <v>2.9540314099999998</v>
      </c>
      <c r="X210" s="72">
        <v>4.5853553800000002</v>
      </c>
      <c r="Y210" s="72">
        <v>6.0235974800000003</v>
      </c>
      <c r="Z210" s="115">
        <v>7.8588098100000003</v>
      </c>
    </row>
    <row r="211" spans="2:26" x14ac:dyDescent="0.35">
      <c r="B211" s="55" t="s">
        <v>357</v>
      </c>
      <c r="C211" s="53" t="s">
        <v>234</v>
      </c>
      <c r="D211" s="53" t="s">
        <v>20</v>
      </c>
      <c r="E211" s="53" t="s">
        <v>21</v>
      </c>
      <c r="F211" s="73">
        <v>2.444662790167328E-2</v>
      </c>
      <c r="G211" s="71">
        <v>3.2019887842321189E-2</v>
      </c>
      <c r="H211" s="71">
        <v>3.7206137882238213E-2</v>
      </c>
      <c r="I211" s="71">
        <v>4.0191994715367406E-2</v>
      </c>
      <c r="J211" s="63">
        <v>4.3480872173779286E-2</v>
      </c>
      <c r="K211" s="71" t="s">
        <v>21</v>
      </c>
      <c r="L211" s="71">
        <v>3.7023041423211965E-3</v>
      </c>
      <c r="M211" s="71">
        <v>8.2461852822382099E-3</v>
      </c>
      <c r="N211" s="71">
        <v>1.03909042153674E-2</v>
      </c>
      <c r="O211" s="63">
        <v>1.2340744773779283E-2</v>
      </c>
      <c r="P211" s="55" t="s">
        <v>21</v>
      </c>
      <c r="Q211" s="53" t="s">
        <v>21</v>
      </c>
      <c r="R211" s="94" t="s">
        <v>21</v>
      </c>
      <c r="S211" s="71" t="s">
        <v>21</v>
      </c>
      <c r="T211" s="63" t="s">
        <v>21</v>
      </c>
      <c r="V211" s="114">
        <v>1.1513214900000002</v>
      </c>
      <c r="W211" s="72">
        <v>2.9494592900000001</v>
      </c>
      <c r="X211" s="72">
        <v>4.5757636599999998</v>
      </c>
      <c r="Y211" s="72">
        <v>6.0073352399999997</v>
      </c>
      <c r="Z211" s="115">
        <v>7.8381216800000004</v>
      </c>
    </row>
    <row r="212" spans="2:26" x14ac:dyDescent="0.35">
      <c r="B212" s="55" t="s">
        <v>360</v>
      </c>
      <c r="C212" s="53" t="s">
        <v>234</v>
      </c>
      <c r="D212" s="53" t="s">
        <v>20</v>
      </c>
      <c r="E212" s="53" t="s">
        <v>535</v>
      </c>
      <c r="F212" s="73">
        <v>2.4547243027973498E-2</v>
      </c>
      <c r="G212" s="71">
        <v>3.2005364927410664E-2</v>
      </c>
      <c r="H212" s="71">
        <v>3.7205097102420079E-2</v>
      </c>
      <c r="I212" s="71">
        <v>4.0172819158841765E-2</v>
      </c>
      <c r="J212" s="63">
        <v>4.3581939060450658E-2</v>
      </c>
      <c r="K212" s="71" t="s">
        <v>21</v>
      </c>
      <c r="L212" s="71">
        <v>3.6884406274106728E-3</v>
      </c>
      <c r="M212" s="71">
        <v>8.2453034024200789E-3</v>
      </c>
      <c r="N212" s="71">
        <v>1.0372714958841759E-2</v>
      </c>
      <c r="O212" s="63">
        <v>1.243861346045066E-2</v>
      </c>
      <c r="P212" s="55" t="s">
        <v>21</v>
      </c>
      <c r="Q212" s="53" t="s">
        <v>21</v>
      </c>
      <c r="R212" s="94" t="s">
        <v>21</v>
      </c>
      <c r="S212" s="71" t="s">
        <v>21</v>
      </c>
      <c r="T212" s="63" t="s">
        <v>21</v>
      </c>
      <c r="V212" s="114">
        <v>1.1511220100000001</v>
      </c>
      <c r="W212" s="72">
        <v>2.9497930700000001</v>
      </c>
      <c r="X212" s="72">
        <v>4.5762613100000005</v>
      </c>
      <c r="Y212" s="72">
        <v>6.0077253900000001</v>
      </c>
      <c r="Z212" s="115">
        <v>7.8359756799999998</v>
      </c>
    </row>
    <row r="213" spans="2:26" x14ac:dyDescent="0.35">
      <c r="B213" s="55" t="s">
        <v>353</v>
      </c>
      <c r="C213" s="53" t="s">
        <v>234</v>
      </c>
      <c r="D213" s="53" t="s">
        <v>31</v>
      </c>
      <c r="E213" s="53" t="s">
        <v>21</v>
      </c>
      <c r="F213" s="73">
        <v>2.4311266212512339E-2</v>
      </c>
      <c r="G213" s="71">
        <v>3.1987080575895881E-2</v>
      </c>
      <c r="H213" s="71">
        <v>3.7201326536645034E-2</v>
      </c>
      <c r="I213" s="71">
        <v>4.0257140276248098E-2</v>
      </c>
      <c r="J213" s="63">
        <v>4.3782167899185591E-2</v>
      </c>
      <c r="K213" s="71" t="s">
        <v>21</v>
      </c>
      <c r="L213" s="71">
        <v>3.6880091758958824E-3</v>
      </c>
      <c r="M213" s="71">
        <v>8.25953353664503E-3</v>
      </c>
      <c r="N213" s="71">
        <v>1.0471903376248096E-2</v>
      </c>
      <c r="O213" s="63">
        <v>1.2647660299185593E-2</v>
      </c>
      <c r="P213" s="55" t="s">
        <v>21</v>
      </c>
      <c r="Q213" s="53" t="s">
        <v>21</v>
      </c>
      <c r="R213" s="94" t="s">
        <v>21</v>
      </c>
      <c r="S213" s="71" t="s">
        <v>21</v>
      </c>
      <c r="T213" s="63" t="s">
        <v>21</v>
      </c>
      <c r="V213" s="114">
        <v>1.15255928</v>
      </c>
      <c r="W213" s="72">
        <v>2.9557664899999998</v>
      </c>
      <c r="X213" s="72">
        <v>4.5877646100000007</v>
      </c>
      <c r="Y213" s="72">
        <v>6.02742515</v>
      </c>
      <c r="Z213" s="115">
        <v>7.8666742299999992</v>
      </c>
    </row>
    <row r="214" spans="2:26" x14ac:dyDescent="0.35">
      <c r="B214" s="55" t="s">
        <v>250</v>
      </c>
      <c r="C214" s="53" t="s">
        <v>234</v>
      </c>
      <c r="D214" s="53" t="s">
        <v>97</v>
      </c>
      <c r="E214" s="53" t="s">
        <v>227</v>
      </c>
      <c r="F214" s="73">
        <v>2.467195369029395E-2</v>
      </c>
      <c r="G214" s="71">
        <v>3.2068277453680127E-2</v>
      </c>
      <c r="H214" s="71">
        <v>3.7150374358133065E-2</v>
      </c>
      <c r="I214" s="71">
        <v>3.9963414843971062E-2</v>
      </c>
      <c r="J214" s="63">
        <v>4.3438684128171971E-2</v>
      </c>
      <c r="K214" s="71" t="s">
        <v>21</v>
      </c>
      <c r="L214" s="71">
        <v>3.7661103536801251E-3</v>
      </c>
      <c r="M214" s="71">
        <v>8.2098274581330656E-3</v>
      </c>
      <c r="N214" s="71">
        <v>1.0187738143971061E-2</v>
      </c>
      <c r="O214" s="63">
        <v>1.2312607928171975E-2</v>
      </c>
      <c r="P214" s="55" t="s">
        <v>536</v>
      </c>
      <c r="Q214" s="53" t="s">
        <v>537</v>
      </c>
      <c r="R214" s="94">
        <v>47551</v>
      </c>
      <c r="S214" s="71">
        <v>3.2760540000000005E-2</v>
      </c>
      <c r="T214" s="63">
        <v>4.3898343581330601E-3</v>
      </c>
      <c r="V214" s="114">
        <v>1.1518548099999999</v>
      </c>
      <c r="W214" s="72">
        <v>2.9539875100000001</v>
      </c>
      <c r="X214" s="72">
        <v>4.5864242200000005</v>
      </c>
      <c r="Y214" s="72">
        <v>6.0306377699999993</v>
      </c>
      <c r="Z214" s="115">
        <v>7.8806713300000002</v>
      </c>
    </row>
    <row r="215" spans="2:26" x14ac:dyDescent="0.35">
      <c r="B215" s="55" t="s">
        <v>261</v>
      </c>
      <c r="C215" s="53" t="s">
        <v>234</v>
      </c>
      <c r="D215" s="53" t="s">
        <v>31</v>
      </c>
      <c r="E215" s="53" t="s">
        <v>538</v>
      </c>
      <c r="F215" s="73">
        <v>2.4571326081716749E-2</v>
      </c>
      <c r="G215" s="71">
        <v>3.2022212635344487E-2</v>
      </c>
      <c r="H215" s="71">
        <v>3.714839827213097E-2</v>
      </c>
      <c r="I215" s="71">
        <v>3.9961565645370317E-2</v>
      </c>
      <c r="J215" s="63">
        <v>4.2809994680251887E-2</v>
      </c>
      <c r="K215" s="71" t="s">
        <v>21</v>
      </c>
      <c r="L215" s="71">
        <v>3.7224672353444871E-3</v>
      </c>
      <c r="M215" s="71">
        <v>8.2085975721309674E-3</v>
      </c>
      <c r="N215" s="71">
        <v>1.0186608545370316E-2</v>
      </c>
      <c r="O215" s="63">
        <v>1.1704787980251891E-2</v>
      </c>
      <c r="P215" s="55" t="s">
        <v>539</v>
      </c>
      <c r="Q215" s="53" t="s">
        <v>540</v>
      </c>
      <c r="R215" s="94">
        <v>47517</v>
      </c>
      <c r="S215" s="71">
        <v>3.4738600000000001E-2</v>
      </c>
      <c r="T215" s="63">
        <v>2.4097982721309683E-3</v>
      </c>
      <c r="V215" s="114">
        <v>1.15203407</v>
      </c>
      <c r="W215" s="72">
        <v>2.9545986200000001</v>
      </c>
      <c r="X215" s="72">
        <v>4.5871205699999997</v>
      </c>
      <c r="Y215" s="72">
        <v>6.0312850100000004</v>
      </c>
      <c r="Z215" s="115">
        <v>7.8965276800000002</v>
      </c>
    </row>
    <row r="216" spans="2:26" x14ac:dyDescent="0.35">
      <c r="B216" s="55" t="s">
        <v>361</v>
      </c>
      <c r="C216" s="53" t="s">
        <v>234</v>
      </c>
      <c r="D216" s="53" t="s">
        <v>306</v>
      </c>
      <c r="E216" s="53" t="s">
        <v>21</v>
      </c>
      <c r="F216" s="73">
        <v>2.4444560244798491E-2</v>
      </c>
      <c r="G216" s="71">
        <v>3.1979588118756216E-2</v>
      </c>
      <c r="H216" s="71">
        <v>3.7099026121895903E-2</v>
      </c>
      <c r="I216" s="71">
        <v>4.0010793850933563E-2</v>
      </c>
      <c r="J216" s="63">
        <v>4.3100762565703839E-2</v>
      </c>
      <c r="K216" s="71" t="s">
        <v>21</v>
      </c>
      <c r="L216" s="71">
        <v>3.6802968187562134E-3</v>
      </c>
      <c r="M216" s="71">
        <v>8.1602655218959048E-3</v>
      </c>
      <c r="N216" s="71">
        <v>1.0233636350933556E-2</v>
      </c>
      <c r="O216" s="63">
        <v>1.1986599065703832E-2</v>
      </c>
      <c r="P216" s="55" t="s">
        <v>21</v>
      </c>
      <c r="Q216" s="53" t="s">
        <v>21</v>
      </c>
      <c r="R216" s="94" t="s">
        <v>21</v>
      </c>
      <c r="S216" s="71" t="s">
        <v>21</v>
      </c>
      <c r="T216" s="63" t="s">
        <v>21</v>
      </c>
      <c r="V216" s="114">
        <v>1.15230491</v>
      </c>
      <c r="W216" s="72">
        <v>2.9553658700000001</v>
      </c>
      <c r="X216" s="72">
        <v>4.5884975199999998</v>
      </c>
      <c r="Y216" s="72">
        <v>6.0320417199999996</v>
      </c>
      <c r="Z216" s="115">
        <v>7.8896190699999993</v>
      </c>
    </row>
    <row r="217" spans="2:26" x14ac:dyDescent="0.35">
      <c r="B217" s="55" t="s">
        <v>259</v>
      </c>
      <c r="C217" s="53" t="s">
        <v>234</v>
      </c>
      <c r="D217" s="53" t="s">
        <v>69</v>
      </c>
      <c r="E217" s="53" t="s">
        <v>21</v>
      </c>
      <c r="F217" s="73">
        <v>2.4777898840574134E-2</v>
      </c>
      <c r="G217" s="71">
        <v>3.2060088876655797E-2</v>
      </c>
      <c r="H217" s="71">
        <v>3.7091289231413256E-2</v>
      </c>
      <c r="I217" s="71">
        <v>4.0066990635585067E-2</v>
      </c>
      <c r="J217" s="63">
        <v>4.3407653849076973E-2</v>
      </c>
      <c r="K217" s="71" t="s">
        <v>21</v>
      </c>
      <c r="L217" s="71">
        <v>3.756926476655795E-3</v>
      </c>
      <c r="M217" s="71">
        <v>8.1518708314132545E-3</v>
      </c>
      <c r="N217" s="71">
        <v>1.0286824935585071E-2</v>
      </c>
      <c r="O217" s="63">
        <v>1.2282698549076978E-2</v>
      </c>
      <c r="P217" s="55" t="s">
        <v>541</v>
      </c>
      <c r="Q217" s="53" t="s">
        <v>542</v>
      </c>
      <c r="R217" s="94" t="s">
        <v>32</v>
      </c>
      <c r="S217" s="71">
        <v>2.9328799999999999E-2</v>
      </c>
      <c r="T217" s="63">
        <v>7.7624892314132575E-3</v>
      </c>
      <c r="V217" s="114">
        <v>1.1516727200000001</v>
      </c>
      <c r="W217" s="72">
        <v>2.9542515499999999</v>
      </c>
      <c r="X217" s="72">
        <v>4.5872186900000003</v>
      </c>
      <c r="Y217" s="72">
        <v>6.0302926799999996</v>
      </c>
      <c r="Z217" s="115">
        <v>7.8805640400000003</v>
      </c>
    </row>
    <row r="218" spans="2:26" x14ac:dyDescent="0.35">
      <c r="B218" s="55" t="s">
        <v>262</v>
      </c>
      <c r="C218" s="53" t="s">
        <v>234</v>
      </c>
      <c r="D218" s="53" t="s">
        <v>31</v>
      </c>
      <c r="E218" s="53" t="s">
        <v>123</v>
      </c>
      <c r="F218" s="73">
        <v>2.458536281319058E-2</v>
      </c>
      <c r="G218" s="71">
        <v>3.1942762911103408E-2</v>
      </c>
      <c r="H218" s="71">
        <v>3.7047796505283281E-2</v>
      </c>
      <c r="I218" s="71">
        <v>3.9911938419119011E-2</v>
      </c>
      <c r="J218" s="63">
        <v>4.338618249900885E-2</v>
      </c>
      <c r="K218" s="71" t="s">
        <v>21</v>
      </c>
      <c r="L218" s="71">
        <v>3.6441274111034161E-3</v>
      </c>
      <c r="M218" s="71">
        <v>8.1102893052832845E-3</v>
      </c>
      <c r="N218" s="71">
        <v>1.013773411911901E-2</v>
      </c>
      <c r="O218" s="63">
        <v>1.226181309900885E-2</v>
      </c>
      <c r="P218" s="55" t="s">
        <v>543</v>
      </c>
      <c r="Q218" s="53" t="s">
        <v>544</v>
      </c>
      <c r="R218" s="94">
        <v>47660</v>
      </c>
      <c r="S218" s="71">
        <v>3.516068E-2</v>
      </c>
      <c r="T218" s="63">
        <v>1.8871165052832817E-3</v>
      </c>
      <c r="V218" s="114">
        <v>1.1520372699999999</v>
      </c>
      <c r="W218" s="72">
        <v>2.9551329800000001</v>
      </c>
      <c r="X218" s="72">
        <v>4.5889286399999998</v>
      </c>
      <c r="Y218" s="72">
        <v>6.03405579</v>
      </c>
      <c r="Z218" s="115">
        <v>7.8853546999999997</v>
      </c>
    </row>
    <row r="219" spans="2:26" x14ac:dyDescent="0.35">
      <c r="B219" s="55" t="s">
        <v>247</v>
      </c>
      <c r="C219" s="53" t="s">
        <v>234</v>
      </c>
      <c r="D219" s="53" t="s">
        <v>20</v>
      </c>
      <c r="E219" s="53" t="s">
        <v>36</v>
      </c>
      <c r="F219" s="73">
        <v>2.4550566025230123E-2</v>
      </c>
      <c r="G219" s="71">
        <v>3.210814575783786E-2</v>
      </c>
      <c r="H219" s="71">
        <v>3.7045674857898205E-2</v>
      </c>
      <c r="I219" s="71">
        <v>3.9941801447072003E-2</v>
      </c>
      <c r="J219" s="63">
        <v>4.3217803221734512E-2</v>
      </c>
      <c r="K219" s="71" t="s">
        <v>21</v>
      </c>
      <c r="L219" s="71">
        <v>3.7881117578378583E-3</v>
      </c>
      <c r="M219" s="71">
        <v>8.0919529578982081E-3</v>
      </c>
      <c r="N219" s="71">
        <v>1.0150344447072008E-2</v>
      </c>
      <c r="O219" s="63">
        <v>1.208587792173451E-2</v>
      </c>
      <c r="P219" s="55" t="s">
        <v>248</v>
      </c>
      <c r="Q219" s="53" t="s">
        <v>249</v>
      </c>
      <c r="R219" s="94">
        <v>47543</v>
      </c>
      <c r="S219" s="71">
        <v>3.3833870000000002E-2</v>
      </c>
      <c r="T219" s="63">
        <v>3.2118048578982025E-3</v>
      </c>
      <c r="V219" s="114">
        <v>1.15112003</v>
      </c>
      <c r="W219" s="72">
        <v>2.9496133699999998</v>
      </c>
      <c r="X219" s="72">
        <v>4.5769319099999999</v>
      </c>
      <c r="Y219" s="72">
        <v>6.0129753299999997</v>
      </c>
      <c r="Z219" s="115">
        <v>7.8525589199999999</v>
      </c>
    </row>
    <row r="220" spans="2:26" x14ac:dyDescent="0.35">
      <c r="B220" s="55" t="s">
        <v>254</v>
      </c>
      <c r="C220" s="53" t="s">
        <v>234</v>
      </c>
      <c r="D220" s="53" t="s">
        <v>20</v>
      </c>
      <c r="E220" s="53" t="s">
        <v>161</v>
      </c>
      <c r="F220" s="73">
        <v>2.4688685019468883E-2</v>
      </c>
      <c r="G220" s="71">
        <v>3.2710158963288494E-2</v>
      </c>
      <c r="H220" s="71">
        <v>3.7029044880138959E-2</v>
      </c>
      <c r="I220" s="71">
        <v>3.9453074089414147E-2</v>
      </c>
      <c r="J220" s="63">
        <v>4.3183331979396625E-2</v>
      </c>
      <c r="K220" s="71" t="s">
        <v>21</v>
      </c>
      <c r="L220" s="71">
        <v>4.3657407632885E-3</v>
      </c>
      <c r="M220" s="71">
        <v>8.0730695801389668E-3</v>
      </c>
      <c r="N220" s="71">
        <v>9.6746514894141527E-3</v>
      </c>
      <c r="O220" s="63">
        <v>1.2040397479396633E-2</v>
      </c>
      <c r="P220" s="55" t="s">
        <v>545</v>
      </c>
      <c r="Q220" s="53" t="s">
        <v>546</v>
      </c>
      <c r="R220" s="94">
        <v>47545</v>
      </c>
      <c r="S220" s="71">
        <v>3.2964030000000005E-2</v>
      </c>
      <c r="T220" s="63">
        <v>4.0650148801389535E-3</v>
      </c>
      <c r="V220" s="114">
        <v>1.1509199699999999</v>
      </c>
      <c r="W220" s="72">
        <v>2.9449542799999997</v>
      </c>
      <c r="X220" s="72">
        <v>4.5713372799999998</v>
      </c>
      <c r="Y220" s="72">
        <v>6.0162884700000001</v>
      </c>
      <c r="Z220" s="115">
        <v>7.8687027899999995</v>
      </c>
    </row>
    <row r="221" spans="2:26" x14ac:dyDescent="0.35">
      <c r="B221" s="55" t="s">
        <v>347</v>
      </c>
      <c r="C221" s="53" t="s">
        <v>234</v>
      </c>
      <c r="D221" s="53" t="s">
        <v>97</v>
      </c>
      <c r="E221" s="53" t="s">
        <v>21</v>
      </c>
      <c r="F221" s="73">
        <v>2.4421953449072241E-2</v>
      </c>
      <c r="G221" s="71">
        <v>3.1954176840677972E-2</v>
      </c>
      <c r="H221" s="71">
        <v>3.6995626043277496E-2</v>
      </c>
      <c r="I221" s="71">
        <v>3.9762960788019053E-2</v>
      </c>
      <c r="J221" s="63">
        <v>4.3380318143762628E-2</v>
      </c>
      <c r="K221" s="71" t="s">
        <v>21</v>
      </c>
      <c r="L221" s="71">
        <v>3.6559903406779689E-3</v>
      </c>
      <c r="M221" s="71">
        <v>8.0605015432774936E-3</v>
      </c>
      <c r="N221" s="71">
        <v>9.9943811880190535E-3</v>
      </c>
      <c r="O221" s="63">
        <v>1.2255696443762631E-2</v>
      </c>
      <c r="P221" s="55" t="s">
        <v>21</v>
      </c>
      <c r="Q221" s="53" t="s">
        <v>21</v>
      </c>
      <c r="R221" s="94" t="s">
        <v>21</v>
      </c>
      <c r="S221" s="71" t="s">
        <v>21</v>
      </c>
      <c r="T221" s="63" t="s">
        <v>21</v>
      </c>
      <c r="V221" s="114">
        <v>1.1523435</v>
      </c>
      <c r="W221" s="72">
        <v>2.9555975700000001</v>
      </c>
      <c r="X221" s="72">
        <v>4.5898677699999997</v>
      </c>
      <c r="Y221" s="72">
        <v>6.03726027</v>
      </c>
      <c r="Z221" s="115">
        <v>7.8897007000000006</v>
      </c>
    </row>
    <row r="222" spans="2:26" x14ac:dyDescent="0.35">
      <c r="B222" s="55" t="s">
        <v>350</v>
      </c>
      <c r="C222" s="53" t="s">
        <v>234</v>
      </c>
      <c r="D222" s="53" t="s">
        <v>20</v>
      </c>
      <c r="E222" s="53" t="s">
        <v>21</v>
      </c>
      <c r="F222" s="73">
        <v>2.4081337241375921E-2</v>
      </c>
      <c r="G222" s="71">
        <v>3.1526367314161217E-2</v>
      </c>
      <c r="H222" s="71">
        <v>3.6732479343249733E-2</v>
      </c>
      <c r="I222" s="71">
        <v>3.9652057800474205E-2</v>
      </c>
      <c r="J222" s="63">
        <v>4.2572229043332778E-2</v>
      </c>
      <c r="K222" s="71" t="s">
        <v>21</v>
      </c>
      <c r="L222" s="71">
        <v>3.2277427141612232E-3</v>
      </c>
      <c r="M222" s="71">
        <v>7.7907912432497329E-3</v>
      </c>
      <c r="N222" s="71">
        <v>9.8717931004742056E-3</v>
      </c>
      <c r="O222" s="63">
        <v>1.1461699443332786E-2</v>
      </c>
      <c r="P222" s="55" t="s">
        <v>386</v>
      </c>
      <c r="Q222" s="53" t="s">
        <v>387</v>
      </c>
      <c r="R222" s="94">
        <v>47802</v>
      </c>
      <c r="S222" s="71">
        <v>3.5482060000000003E-2</v>
      </c>
      <c r="T222" s="63">
        <v>1.2504193432497299E-3</v>
      </c>
      <c r="V222" s="114">
        <v>1.15200802</v>
      </c>
      <c r="W222" s="72">
        <v>2.9545584699999998</v>
      </c>
      <c r="X222" s="72">
        <v>4.5861154800000001</v>
      </c>
      <c r="Y222" s="72">
        <v>6.0263081199999995</v>
      </c>
      <c r="Z222" s="115">
        <v>7.8820713799999993</v>
      </c>
    </row>
    <row r="223" spans="2:26" x14ac:dyDescent="0.35">
      <c r="B223" s="55" t="s">
        <v>256</v>
      </c>
      <c r="C223" s="53" t="s">
        <v>234</v>
      </c>
      <c r="D223" s="53" t="s">
        <v>257</v>
      </c>
      <c r="E223" s="53" t="s">
        <v>103</v>
      </c>
      <c r="F223" s="73">
        <v>2.4618032004362304E-2</v>
      </c>
      <c r="G223" s="71">
        <v>3.1710003180775104E-2</v>
      </c>
      <c r="H223" s="71">
        <v>3.6683261176659619E-2</v>
      </c>
      <c r="I223" s="71">
        <v>3.9704839818989097E-2</v>
      </c>
      <c r="J223" s="63">
        <v>4.317718670045851E-2</v>
      </c>
      <c r="K223" s="71" t="s">
        <v>21</v>
      </c>
      <c r="L223" s="71">
        <v>3.4200384807751092E-3</v>
      </c>
      <c r="M223" s="71">
        <v>7.7584892766596174E-3</v>
      </c>
      <c r="N223" s="71">
        <v>9.9378653189890944E-3</v>
      </c>
      <c r="O223" s="63">
        <v>1.2059765000458519E-2</v>
      </c>
      <c r="P223" s="55" t="s">
        <v>547</v>
      </c>
      <c r="Q223" s="53" t="s">
        <v>548</v>
      </c>
      <c r="R223" s="94" t="s">
        <v>32</v>
      </c>
      <c r="S223" s="71">
        <v>3.3750639999999998E-2</v>
      </c>
      <c r="T223" s="63">
        <v>2.9326211766596208E-3</v>
      </c>
      <c r="V223" s="114">
        <v>1.1519455700000001</v>
      </c>
      <c r="W223" s="72">
        <v>2.9564737700000001</v>
      </c>
      <c r="X223" s="72">
        <v>4.5946304900000001</v>
      </c>
      <c r="Y223" s="72">
        <v>6.0435811399999997</v>
      </c>
      <c r="Z223" s="115">
        <v>7.9004576699999998</v>
      </c>
    </row>
    <row r="224" spans="2:26" x14ac:dyDescent="0.35">
      <c r="B224" s="55" t="s">
        <v>157</v>
      </c>
      <c r="C224" s="53" t="s">
        <v>234</v>
      </c>
      <c r="D224" s="53" t="s">
        <v>31</v>
      </c>
      <c r="E224" s="53" t="s">
        <v>549</v>
      </c>
      <c r="F224" s="73">
        <v>2.4206520657694297E-2</v>
      </c>
      <c r="G224" s="71">
        <v>3.1569792643470623E-2</v>
      </c>
      <c r="H224" s="71">
        <v>3.6584028637023473E-2</v>
      </c>
      <c r="I224" s="71">
        <v>3.9507970986593428E-2</v>
      </c>
      <c r="J224" s="63">
        <v>4.297729291709055E-2</v>
      </c>
      <c r="K224" s="71" t="s">
        <v>21</v>
      </c>
      <c r="L224" s="71">
        <v>3.2827774434706202E-3</v>
      </c>
      <c r="M224" s="71">
        <v>7.661558537023468E-3</v>
      </c>
      <c r="N224" s="71">
        <v>9.7471510865934363E-3</v>
      </c>
      <c r="O224" s="63">
        <v>1.1865221717090544E-2</v>
      </c>
      <c r="P224" s="55" t="s">
        <v>21</v>
      </c>
      <c r="Q224" s="53" t="s">
        <v>21</v>
      </c>
      <c r="R224" s="94" t="s">
        <v>21</v>
      </c>
      <c r="S224" s="71" t="s">
        <v>21</v>
      </c>
      <c r="T224" s="63" t="s">
        <v>21</v>
      </c>
      <c r="V224" s="114">
        <v>1.1527930800000001</v>
      </c>
      <c r="W224" s="72">
        <v>2.9589105099999999</v>
      </c>
      <c r="X224" s="72">
        <v>4.5983832400000004</v>
      </c>
      <c r="Y224" s="72">
        <v>6.0502826599999997</v>
      </c>
      <c r="Z224" s="115">
        <v>7.9130912600000007</v>
      </c>
    </row>
    <row r="225" spans="2:26" x14ac:dyDescent="0.35">
      <c r="B225" s="55" t="s">
        <v>149</v>
      </c>
      <c r="C225" s="53" t="s">
        <v>234</v>
      </c>
      <c r="D225" s="53" t="s">
        <v>97</v>
      </c>
      <c r="E225" s="53" t="s">
        <v>346</v>
      </c>
      <c r="F225" s="73">
        <v>2.407796694905447E-2</v>
      </c>
      <c r="G225" s="71">
        <v>3.1659794288684831E-2</v>
      </c>
      <c r="H225" s="71">
        <v>3.6481148639464868E-2</v>
      </c>
      <c r="I225" s="71">
        <v>3.9506497214098227E-2</v>
      </c>
      <c r="J225" s="63">
        <v>4.3071949040360054E-2</v>
      </c>
      <c r="K225" s="71" t="s">
        <v>21</v>
      </c>
      <c r="L225" s="71">
        <v>3.3707031886848339E-3</v>
      </c>
      <c r="M225" s="71">
        <v>7.5626303394648649E-3</v>
      </c>
      <c r="N225" s="71">
        <v>9.7459284140982254E-3</v>
      </c>
      <c r="O225" s="63">
        <v>1.195726694036006E-2</v>
      </c>
      <c r="P225" s="55" t="s">
        <v>550</v>
      </c>
      <c r="Q225" s="53" t="s">
        <v>551</v>
      </c>
      <c r="R225" s="94" t="s">
        <v>32</v>
      </c>
      <c r="S225" s="71">
        <v>3.6981229999999997E-2</v>
      </c>
      <c r="T225" s="63">
        <v>-5.0008136053512897E-4</v>
      </c>
      <c r="V225" s="114">
        <v>1.15303153</v>
      </c>
      <c r="W225" s="72">
        <v>2.9587429099999998</v>
      </c>
      <c r="X225" s="72">
        <v>4.5990572299999997</v>
      </c>
      <c r="Y225" s="72">
        <v>6.0513197499999993</v>
      </c>
      <c r="Z225" s="115">
        <v>7.91165086</v>
      </c>
    </row>
    <row r="226" spans="2:26" x14ac:dyDescent="0.35">
      <c r="B226" s="55" t="s">
        <v>260</v>
      </c>
      <c r="C226" s="53" t="s">
        <v>234</v>
      </c>
      <c r="D226" s="53" t="s">
        <v>43</v>
      </c>
      <c r="E226" s="53" t="s">
        <v>21</v>
      </c>
      <c r="F226" s="73">
        <v>2.4803933093447885E-2</v>
      </c>
      <c r="G226" s="71">
        <v>3.1907441165344545E-2</v>
      </c>
      <c r="H226" s="71">
        <v>3.6479401639931124E-2</v>
      </c>
      <c r="I226" s="71">
        <v>3.9212370500490715E-2</v>
      </c>
      <c r="J226" s="63">
        <v>4.2681458434184874E-2</v>
      </c>
      <c r="K226" s="71" t="s">
        <v>21</v>
      </c>
      <c r="L226" s="71">
        <v>3.6108366653445508E-3</v>
      </c>
      <c r="M226" s="71">
        <v>7.5609932399311221E-3</v>
      </c>
      <c r="N226" s="71">
        <v>9.4610268004907162E-3</v>
      </c>
      <c r="O226" s="63">
        <v>1.1575551034184872E-2</v>
      </c>
      <c r="P226" s="55" t="s">
        <v>552</v>
      </c>
      <c r="Q226" s="53" t="s">
        <v>553</v>
      </c>
      <c r="R226" s="94" t="s">
        <v>32</v>
      </c>
      <c r="S226" s="71">
        <v>3.3961930000000001E-2</v>
      </c>
      <c r="T226" s="63">
        <v>2.5174716399311223E-3</v>
      </c>
      <c r="V226" s="114">
        <v>1.1515851400000001</v>
      </c>
      <c r="W226" s="72">
        <v>2.9545496999999998</v>
      </c>
      <c r="X226" s="72">
        <v>4.5944564300000001</v>
      </c>
      <c r="Y226" s="72">
        <v>6.0513680700000005</v>
      </c>
      <c r="Z226" s="115">
        <v>7.9241538199999999</v>
      </c>
    </row>
    <row r="227" spans="2:26" x14ac:dyDescent="0.35">
      <c r="B227" s="55" t="s">
        <v>324</v>
      </c>
      <c r="C227" s="53" t="s">
        <v>234</v>
      </c>
      <c r="D227" s="53" t="s">
        <v>31</v>
      </c>
      <c r="E227" s="53" t="s">
        <v>21</v>
      </c>
      <c r="F227" s="73">
        <v>2.4049469577894642E-2</v>
      </c>
      <c r="G227" s="71">
        <v>3.1407802282069082E-2</v>
      </c>
      <c r="H227" s="71">
        <v>3.637815241767333E-2</v>
      </c>
      <c r="I227" s="71">
        <v>4.0188900437110243E-2</v>
      </c>
      <c r="J227" s="63">
        <v>4.3662515585017284E-2</v>
      </c>
      <c r="K227" s="71" t="s">
        <v>21</v>
      </c>
      <c r="L227" s="71">
        <v>3.125631782069089E-3</v>
      </c>
      <c r="M227" s="71">
        <v>7.4621337176733272E-3</v>
      </c>
      <c r="N227" s="71">
        <v>1.0404206737110244E-2</v>
      </c>
      <c r="O227" s="63">
        <v>1.253392408501728E-2</v>
      </c>
      <c r="P227" s="55" t="s">
        <v>21</v>
      </c>
      <c r="Q227" s="53" t="s">
        <v>21</v>
      </c>
      <c r="R227" s="94" t="s">
        <v>21</v>
      </c>
      <c r="S227" s="71" t="s">
        <v>21</v>
      </c>
      <c r="T227" s="63" t="s">
        <v>21</v>
      </c>
      <c r="V227" s="114">
        <v>1.1531095</v>
      </c>
      <c r="W227" s="72">
        <v>2.9605329199999999</v>
      </c>
      <c r="X227" s="72">
        <v>4.6025289799999998</v>
      </c>
      <c r="Y227" s="72">
        <v>6.0449721900000002</v>
      </c>
      <c r="Z227" s="115">
        <v>7.8849365799999998</v>
      </c>
    </row>
    <row r="228" spans="2:26" x14ac:dyDescent="0.35">
      <c r="B228" s="55" t="s">
        <v>373</v>
      </c>
      <c r="C228" s="53" t="s">
        <v>234</v>
      </c>
      <c r="D228" s="53" t="s">
        <v>20</v>
      </c>
      <c r="E228" s="53" t="s">
        <v>554</v>
      </c>
      <c r="F228" s="73">
        <v>2.3529383449985741E-2</v>
      </c>
      <c r="G228" s="71">
        <v>3.0341900943928145E-2</v>
      </c>
      <c r="H228" s="71">
        <v>3.4446093418967427E-2</v>
      </c>
      <c r="I228" s="71">
        <v>3.6798437279522249E-2</v>
      </c>
      <c r="J228" s="63">
        <v>3.935824004163499E-2</v>
      </c>
      <c r="K228" s="71" t="s">
        <v>21</v>
      </c>
      <c r="L228" s="71">
        <v>2.0781818439281523E-3</v>
      </c>
      <c r="M228" s="71">
        <v>5.5742890189674306E-3</v>
      </c>
      <c r="N228" s="71">
        <v>7.104848479522253E-3</v>
      </c>
      <c r="O228" s="63">
        <v>8.3241670416349927E-3</v>
      </c>
      <c r="P228" s="55" t="s">
        <v>21</v>
      </c>
      <c r="Q228" s="53" t="s">
        <v>21</v>
      </c>
      <c r="R228" s="94" t="s">
        <v>21</v>
      </c>
      <c r="S228" s="71" t="s">
        <v>21</v>
      </c>
      <c r="T228" s="63" t="s">
        <v>21</v>
      </c>
      <c r="V228" s="114">
        <v>1.1531235500000001</v>
      </c>
      <c r="W228" s="72">
        <v>2.96416258</v>
      </c>
      <c r="X228" s="72">
        <v>4.6226725399999999</v>
      </c>
      <c r="Y228" s="72">
        <v>6.1111435300000005</v>
      </c>
      <c r="Z228" s="115">
        <v>8.0629374000000009</v>
      </c>
    </row>
    <row r="229" spans="2:26" x14ac:dyDescent="0.35">
      <c r="B229" s="55" t="s">
        <v>352</v>
      </c>
      <c r="C229" s="53" t="s">
        <v>234</v>
      </c>
      <c r="D229" s="53" t="s">
        <v>20</v>
      </c>
      <c r="E229" s="53" t="s">
        <v>21</v>
      </c>
      <c r="F229" s="73">
        <v>2.3920093249798699E-2</v>
      </c>
      <c r="G229" s="71">
        <v>3.1393098025258866E-2</v>
      </c>
      <c r="H229" s="71">
        <v>3.6376468719448725E-2</v>
      </c>
      <c r="I229" s="71">
        <v>3.9599389797778196E-2</v>
      </c>
      <c r="J229" s="63">
        <v>4.2859859020193972E-2</v>
      </c>
      <c r="K229" s="71" t="s">
        <v>21</v>
      </c>
      <c r="L229" s="71">
        <v>3.0940868252588693E-3</v>
      </c>
      <c r="M229" s="71">
        <v>7.4433170194487287E-3</v>
      </c>
      <c r="N229" s="71">
        <v>9.8180689977781978E-3</v>
      </c>
      <c r="O229" s="63">
        <v>1.1739339020193978E-2</v>
      </c>
      <c r="P229" s="55" t="s">
        <v>21</v>
      </c>
      <c r="Q229" s="53" t="s">
        <v>21</v>
      </c>
      <c r="R229" s="94" t="s">
        <v>21</v>
      </c>
      <c r="S229" s="71" t="s">
        <v>21</v>
      </c>
      <c r="T229" s="63" t="s">
        <v>21</v>
      </c>
      <c r="V229" s="114">
        <v>1.15240912</v>
      </c>
      <c r="W229" s="72">
        <v>2.9568615400000002</v>
      </c>
      <c r="X229" s="72">
        <v>4.5930807900000001</v>
      </c>
      <c r="Y229" s="72">
        <v>6.0345924600000007</v>
      </c>
      <c r="Z229" s="115">
        <v>7.8820938300000005</v>
      </c>
    </row>
    <row r="230" spans="2:26" x14ac:dyDescent="0.35">
      <c r="B230" s="55" t="s">
        <v>158</v>
      </c>
      <c r="C230" s="53" t="s">
        <v>234</v>
      </c>
      <c r="D230" s="53" t="s">
        <v>31</v>
      </c>
      <c r="E230" s="53" t="s">
        <v>21</v>
      </c>
      <c r="F230" s="73">
        <v>2.4709998754278206E-2</v>
      </c>
      <c r="G230" s="71">
        <v>3.1647332794015014E-2</v>
      </c>
      <c r="H230" s="71">
        <v>3.632591837184692E-2</v>
      </c>
      <c r="I230" s="71">
        <v>3.9110807438687098E-2</v>
      </c>
      <c r="J230" s="63">
        <v>4.2287587335782029E-2</v>
      </c>
      <c r="K230" s="71" t="s">
        <v>21</v>
      </c>
      <c r="L230" s="71">
        <v>3.3576118940150117E-3</v>
      </c>
      <c r="M230" s="71">
        <v>7.4113682718469232E-3</v>
      </c>
      <c r="N230" s="71">
        <v>9.3620536386870897E-3</v>
      </c>
      <c r="O230" s="63">
        <v>1.1193459935782035E-2</v>
      </c>
      <c r="P230" s="55" t="s">
        <v>21</v>
      </c>
      <c r="Q230" s="53" t="s">
        <v>21</v>
      </c>
      <c r="R230" s="94" t="s">
        <v>21</v>
      </c>
      <c r="S230" s="71" t="s">
        <v>21</v>
      </c>
      <c r="T230" s="63" t="s">
        <v>21</v>
      </c>
      <c r="V230" s="114">
        <v>1.1518011500000001</v>
      </c>
      <c r="W230" s="72">
        <v>2.9566387000000001</v>
      </c>
      <c r="X230" s="72">
        <v>4.5987730899999999</v>
      </c>
      <c r="Y230" s="72">
        <v>6.0573764800000003</v>
      </c>
      <c r="Z230" s="115">
        <v>7.9399514800000004</v>
      </c>
    </row>
    <row r="231" spans="2:26" x14ac:dyDescent="0.35">
      <c r="B231" s="55" t="s">
        <v>372</v>
      </c>
      <c r="C231" s="53" t="s">
        <v>234</v>
      </c>
      <c r="D231" s="53" t="s">
        <v>69</v>
      </c>
      <c r="E231" s="53" t="s">
        <v>258</v>
      </c>
      <c r="F231" s="73">
        <v>2.4201230788319414E-2</v>
      </c>
      <c r="G231" s="71">
        <v>3.1529807326393551E-2</v>
      </c>
      <c r="H231" s="71">
        <v>3.6323855439974309E-2</v>
      </c>
      <c r="I231" s="71">
        <v>3.8910736622094537E-2</v>
      </c>
      <c r="J231" s="63">
        <v>4.1745235432361895E-2</v>
      </c>
      <c r="K231" s="71" t="s">
        <v>21</v>
      </c>
      <c r="L231" s="71">
        <v>3.2454217263935561E-3</v>
      </c>
      <c r="M231" s="71">
        <v>7.4106774399743114E-3</v>
      </c>
      <c r="N231" s="71">
        <v>9.1700204220945356E-3</v>
      </c>
      <c r="O231" s="63">
        <v>1.0667489132361891E-2</v>
      </c>
      <c r="P231" s="55" t="s">
        <v>21</v>
      </c>
      <c r="Q231" s="53" t="s">
        <v>21</v>
      </c>
      <c r="R231" s="94" t="s">
        <v>21</v>
      </c>
      <c r="S231" s="71" t="s">
        <v>21</v>
      </c>
      <c r="T231" s="63" t="s">
        <v>21</v>
      </c>
      <c r="V231" s="114">
        <v>1.1527736099999999</v>
      </c>
      <c r="W231" s="72">
        <v>2.9591248600000002</v>
      </c>
      <c r="X231" s="72">
        <v>4.6014141300000002</v>
      </c>
      <c r="Y231" s="72">
        <v>6.0626846300000006</v>
      </c>
      <c r="Z231" s="115">
        <v>7.9598453099999995</v>
      </c>
    </row>
    <row r="232" spans="2:26" x14ac:dyDescent="0.35">
      <c r="B232" s="55" t="s">
        <v>365</v>
      </c>
      <c r="C232" s="53" t="s">
        <v>234</v>
      </c>
      <c r="D232" s="53" t="s">
        <v>69</v>
      </c>
      <c r="E232" s="53" t="s">
        <v>21</v>
      </c>
      <c r="F232" s="73">
        <v>2.4629790712742537E-2</v>
      </c>
      <c r="G232" s="71">
        <v>3.1479566331719867E-2</v>
      </c>
      <c r="H232" s="71">
        <v>3.6115688935190876E-2</v>
      </c>
      <c r="I232" s="71">
        <v>3.8807797001389227E-2</v>
      </c>
      <c r="J232" s="63">
        <v>4.1787642792761953E-2</v>
      </c>
      <c r="K232" s="71" t="s">
        <v>21</v>
      </c>
      <c r="L232" s="71">
        <v>3.196690531719869E-3</v>
      </c>
      <c r="M232" s="71">
        <v>7.2088347351908812E-3</v>
      </c>
      <c r="N232" s="71">
        <v>9.0695964013892301E-3</v>
      </c>
      <c r="O232" s="63">
        <v>1.0707745292761951E-2</v>
      </c>
      <c r="P232" s="55" t="s">
        <v>21</v>
      </c>
      <c r="Q232" s="53" t="s">
        <v>21</v>
      </c>
      <c r="R232" s="94" t="s">
        <v>21</v>
      </c>
      <c r="S232" s="71" t="s">
        <v>21</v>
      </c>
      <c r="T232" s="63" t="s">
        <v>21</v>
      </c>
      <c r="V232" s="114">
        <v>1.1519257700000001</v>
      </c>
      <c r="W232" s="72">
        <v>2.9579403000000002</v>
      </c>
      <c r="X232" s="72">
        <v>4.6026370700000001</v>
      </c>
      <c r="Y232" s="72">
        <v>6.06606588</v>
      </c>
      <c r="Z232" s="115">
        <v>7.96263027</v>
      </c>
    </row>
    <row r="233" spans="2:26" x14ac:dyDescent="0.35">
      <c r="B233" s="55" t="s">
        <v>373</v>
      </c>
      <c r="C233" s="53" t="s">
        <v>234</v>
      </c>
      <c r="D233" s="53" t="s">
        <v>20</v>
      </c>
      <c r="E233" s="53" t="s">
        <v>251</v>
      </c>
      <c r="F233" s="73">
        <v>2.3529383449985741E-2</v>
      </c>
      <c r="G233" s="71">
        <v>3.0341900943928145E-2</v>
      </c>
      <c r="H233" s="71">
        <v>3.4446093418967427E-2</v>
      </c>
      <c r="I233" s="71">
        <v>3.6798437279522249E-2</v>
      </c>
      <c r="J233" s="63">
        <v>3.935824004163499E-2</v>
      </c>
      <c r="K233" s="71" t="s">
        <v>21</v>
      </c>
      <c r="L233" s="71">
        <v>2.0781818439281523E-3</v>
      </c>
      <c r="M233" s="71">
        <v>5.5742890189674306E-3</v>
      </c>
      <c r="N233" s="71">
        <v>7.104848479522253E-3</v>
      </c>
      <c r="O233" s="63">
        <v>8.3241670416349927E-3</v>
      </c>
      <c r="P233" s="55" t="s">
        <v>21</v>
      </c>
      <c r="Q233" s="53" t="s">
        <v>21</v>
      </c>
      <c r="R233" s="94" t="s">
        <v>21</v>
      </c>
      <c r="S233" s="71" t="s">
        <v>21</v>
      </c>
      <c r="T233" s="63" t="s">
        <v>21</v>
      </c>
      <c r="V233" s="114">
        <v>1.1531235500000001</v>
      </c>
      <c r="W233" s="72">
        <v>2.96416258</v>
      </c>
      <c r="X233" s="72">
        <v>4.6226725399999999</v>
      </c>
      <c r="Y233" s="72">
        <v>6.1111435300000005</v>
      </c>
      <c r="Z233" s="115">
        <v>8.0629374000000009</v>
      </c>
    </row>
    <row r="234" spans="2:26" x14ac:dyDescent="0.35">
      <c r="B234" s="55" t="s">
        <v>357</v>
      </c>
      <c r="C234" s="53" t="s">
        <v>234</v>
      </c>
      <c r="D234" s="53" t="s">
        <v>20</v>
      </c>
      <c r="E234" s="53" t="s">
        <v>58</v>
      </c>
      <c r="F234" s="73">
        <v>2.444662790167328E-2</v>
      </c>
      <c r="G234" s="71">
        <v>3.2019887842321189E-2</v>
      </c>
      <c r="H234" s="71">
        <v>3.7206137882238213E-2</v>
      </c>
      <c r="I234" s="71">
        <v>4.0191994715367406E-2</v>
      </c>
      <c r="J234" s="63">
        <v>4.3480872173779286E-2</v>
      </c>
      <c r="K234" s="71" t="s">
        <v>21</v>
      </c>
      <c r="L234" s="71">
        <v>3.7023041423211965E-3</v>
      </c>
      <c r="M234" s="71">
        <v>8.2461852822382099E-3</v>
      </c>
      <c r="N234" s="71">
        <v>1.03909042153674E-2</v>
      </c>
      <c r="O234" s="63">
        <v>1.2340744773779283E-2</v>
      </c>
      <c r="P234" s="55" t="s">
        <v>21</v>
      </c>
      <c r="Q234" s="53" t="s">
        <v>21</v>
      </c>
      <c r="R234" s="94" t="s">
        <v>21</v>
      </c>
      <c r="S234" s="71" t="s">
        <v>21</v>
      </c>
      <c r="T234" s="63" t="s">
        <v>21</v>
      </c>
      <c r="V234" s="114">
        <v>1.1513214900000002</v>
      </c>
      <c r="W234" s="72">
        <v>2.9494592900000001</v>
      </c>
      <c r="X234" s="72">
        <v>4.5757636599999998</v>
      </c>
      <c r="Y234" s="72">
        <v>6.0073352399999997</v>
      </c>
      <c r="Z234" s="115">
        <v>7.8381216800000004</v>
      </c>
    </row>
    <row r="235" spans="2:26" x14ac:dyDescent="0.35">
      <c r="B235" s="55" t="s">
        <v>263</v>
      </c>
      <c r="C235" s="53" t="s">
        <v>234</v>
      </c>
      <c r="D235" s="53" t="s">
        <v>62</v>
      </c>
      <c r="E235" s="53" t="s">
        <v>128</v>
      </c>
      <c r="F235" s="73">
        <v>2.4645411668984353E-2</v>
      </c>
      <c r="G235" s="71">
        <v>3.1541955118001466E-2</v>
      </c>
      <c r="H235" s="71">
        <v>3.6012520889289371E-2</v>
      </c>
      <c r="I235" s="71">
        <v>3.8658400170546732E-2</v>
      </c>
      <c r="J235" s="63">
        <v>4.1636890642757926E-2</v>
      </c>
      <c r="K235" s="71" t="s">
        <v>21</v>
      </c>
      <c r="L235" s="71">
        <v>3.2574414180014701E-3</v>
      </c>
      <c r="M235" s="71">
        <v>7.1091434892893738E-3</v>
      </c>
      <c r="N235" s="71">
        <v>8.924878270546735E-3</v>
      </c>
      <c r="O235" s="63">
        <v>1.056038444275793E-2</v>
      </c>
      <c r="P235" s="55" t="s">
        <v>555</v>
      </c>
      <c r="Q235" s="53" t="s">
        <v>556</v>
      </c>
      <c r="R235" s="94">
        <v>47649</v>
      </c>
      <c r="S235" s="71">
        <v>3.1890599999999998E-2</v>
      </c>
      <c r="T235" s="63">
        <v>4.1219208892893724E-3</v>
      </c>
      <c r="V235" s="114">
        <v>1.15188797</v>
      </c>
      <c r="W235" s="72">
        <v>2.9574638800000002</v>
      </c>
      <c r="X235" s="72">
        <v>4.6031070999999999</v>
      </c>
      <c r="Y235" s="72">
        <v>6.0690688700000006</v>
      </c>
      <c r="Z235" s="115">
        <v>7.9704099900000003</v>
      </c>
    </row>
    <row r="236" spans="2:26" x14ac:dyDescent="0.35">
      <c r="B236" s="55" t="s">
        <v>265</v>
      </c>
      <c r="C236" s="53" t="s">
        <v>234</v>
      </c>
      <c r="D236" s="53" t="s">
        <v>31</v>
      </c>
      <c r="E236" s="53" t="s">
        <v>21</v>
      </c>
      <c r="F236" s="73">
        <v>2.4392815271166778E-2</v>
      </c>
      <c r="G236" s="71">
        <v>3.1247742459198289E-2</v>
      </c>
      <c r="H236" s="71">
        <v>3.6011611087649512E-2</v>
      </c>
      <c r="I236" s="71">
        <v>3.8804054021645128E-2</v>
      </c>
      <c r="J236" s="63">
        <v>4.1490788688654481E-2</v>
      </c>
      <c r="K236" s="71" t="s">
        <v>21</v>
      </c>
      <c r="L236" s="71">
        <v>2.9721955591982892E-3</v>
      </c>
      <c r="M236" s="71">
        <v>7.1080943876495233E-3</v>
      </c>
      <c r="N236" s="71">
        <v>9.0662371216451293E-3</v>
      </c>
      <c r="O236" s="63">
        <v>1.0420572088654484E-2</v>
      </c>
      <c r="P236" s="55" t="s">
        <v>21</v>
      </c>
      <c r="Q236" s="53" t="s">
        <v>21</v>
      </c>
      <c r="R236" s="94" t="s">
        <v>21</v>
      </c>
      <c r="S236" s="71" t="s">
        <v>21</v>
      </c>
      <c r="T236" s="63" t="s">
        <v>21</v>
      </c>
      <c r="V236" s="114">
        <v>1.1523922900000001</v>
      </c>
      <c r="W236" s="72">
        <v>2.9602826599999998</v>
      </c>
      <c r="X236" s="72">
        <v>4.60656584</v>
      </c>
      <c r="Y236" s="72">
        <v>6.0700942700000002</v>
      </c>
      <c r="Z236" s="115">
        <v>7.97339223</v>
      </c>
    </row>
    <row r="237" spans="2:26" x14ac:dyDescent="0.35">
      <c r="B237" s="55" t="s">
        <v>366</v>
      </c>
      <c r="C237" s="53" t="s">
        <v>234</v>
      </c>
      <c r="D237" s="53" t="s">
        <v>20</v>
      </c>
      <c r="E237" s="53" t="s">
        <v>21</v>
      </c>
      <c r="F237" s="73">
        <v>2.3852281382199976E-2</v>
      </c>
      <c r="G237" s="71">
        <v>3.1173699938594989E-2</v>
      </c>
      <c r="H237" s="71">
        <v>3.5858102953469272E-2</v>
      </c>
      <c r="I237" s="71">
        <v>3.8753796529736408E-2</v>
      </c>
      <c r="J237" s="63">
        <v>4.2226397115644736E-2</v>
      </c>
      <c r="K237" s="71" t="s">
        <v>21</v>
      </c>
      <c r="L237" s="71">
        <v>2.8829600385949943E-3</v>
      </c>
      <c r="M237" s="71">
        <v>6.942583153469269E-3</v>
      </c>
      <c r="N237" s="71">
        <v>9.0011359297364098E-3</v>
      </c>
      <c r="O237" s="63">
        <v>1.1122112615644737E-2</v>
      </c>
      <c r="P237" s="55" t="s">
        <v>392</v>
      </c>
      <c r="Q237" s="53" t="s">
        <v>393</v>
      </c>
      <c r="R237" s="94">
        <v>47710</v>
      </c>
      <c r="S237" s="71">
        <v>3.6637679999999999E-2</v>
      </c>
      <c r="T237" s="63">
        <v>-7.7957704653072724E-4</v>
      </c>
      <c r="V237" s="114">
        <v>1.1525241800000001</v>
      </c>
      <c r="W237" s="72">
        <v>2.9583644499999999</v>
      </c>
      <c r="X237" s="72">
        <v>4.6004383500000001</v>
      </c>
      <c r="Y237" s="72">
        <v>6.0557565200000001</v>
      </c>
      <c r="Z237" s="115">
        <v>7.9234977500000001</v>
      </c>
    </row>
    <row r="238" spans="2:26" x14ac:dyDescent="0.35">
      <c r="B238" s="55" t="s">
        <v>160</v>
      </c>
      <c r="C238" s="53" t="s">
        <v>234</v>
      </c>
      <c r="D238" s="53" t="s">
        <v>43</v>
      </c>
      <c r="E238" s="53" t="s">
        <v>21</v>
      </c>
      <c r="F238" s="73">
        <v>2.4076821165078179E-2</v>
      </c>
      <c r="G238" s="71">
        <v>3.1214834049177267E-2</v>
      </c>
      <c r="H238" s="71">
        <v>3.5756309565877366E-2</v>
      </c>
      <c r="I238" s="71">
        <v>3.8307589892708584E-2</v>
      </c>
      <c r="J238" s="63">
        <v>4.0987636654180523E-2</v>
      </c>
      <c r="K238" s="71" t="s">
        <v>21</v>
      </c>
      <c r="L238" s="71">
        <v>2.939904549177265E-3</v>
      </c>
      <c r="M238" s="71">
        <v>6.8605484658773664E-3</v>
      </c>
      <c r="N238" s="71">
        <v>8.5850903927085914E-3</v>
      </c>
      <c r="O238" s="63">
        <v>9.9285607541805196E-3</v>
      </c>
      <c r="P238" s="55" t="s">
        <v>557</v>
      </c>
      <c r="Q238" s="53" t="s">
        <v>558</v>
      </c>
      <c r="R238" s="94">
        <v>47557</v>
      </c>
      <c r="S238" s="71">
        <v>3.3188450000000001E-2</v>
      </c>
      <c r="T238" s="63">
        <v>2.5678595658773645E-3</v>
      </c>
      <c r="V238" s="114">
        <v>1.15302745</v>
      </c>
      <c r="W238" s="72">
        <v>2.9616346099999999</v>
      </c>
      <c r="X238" s="72">
        <v>4.6106492599999997</v>
      </c>
      <c r="Y238" s="72">
        <v>6.0820821900000004</v>
      </c>
      <c r="Z238" s="115">
        <v>8.001178470000001</v>
      </c>
    </row>
    <row r="239" spans="2:26" x14ac:dyDescent="0.35">
      <c r="B239" s="55" t="s">
        <v>364</v>
      </c>
      <c r="C239" s="53" t="s">
        <v>234</v>
      </c>
      <c r="D239" s="53" t="s">
        <v>20</v>
      </c>
      <c r="E239" s="53" t="s">
        <v>21</v>
      </c>
      <c r="F239" s="73">
        <v>2.3851629950598304E-2</v>
      </c>
      <c r="G239" s="71">
        <v>3.0736779564039349E-2</v>
      </c>
      <c r="H239" s="71">
        <v>3.5699776595510671E-2</v>
      </c>
      <c r="I239" s="71">
        <v>3.8461202287050432E-2</v>
      </c>
      <c r="J239" s="63">
        <v>4.1529493525569207E-2</v>
      </c>
      <c r="K239" s="71" t="s">
        <v>21</v>
      </c>
      <c r="L239" s="71">
        <v>2.4600725640393445E-3</v>
      </c>
      <c r="M239" s="71">
        <v>6.7890905955106697E-3</v>
      </c>
      <c r="N239" s="71">
        <v>8.7183342870504263E-3</v>
      </c>
      <c r="O239" s="63">
        <v>1.0445580025569211E-2</v>
      </c>
      <c r="P239" s="55" t="s">
        <v>390</v>
      </c>
      <c r="Q239" s="53" t="s">
        <v>391</v>
      </c>
      <c r="R239" s="94">
        <v>47708</v>
      </c>
      <c r="S239" s="71">
        <v>3.3569589999999996E-2</v>
      </c>
      <c r="T239" s="63">
        <v>2.1301865955106747E-3</v>
      </c>
      <c r="V239" s="114">
        <v>1.15252559</v>
      </c>
      <c r="W239" s="72">
        <v>2.9603405199999999</v>
      </c>
      <c r="X239" s="72">
        <v>4.60584405</v>
      </c>
      <c r="Y239" s="72">
        <v>6.0654319599999997</v>
      </c>
      <c r="Z239" s="115">
        <v>7.9516464499999993</v>
      </c>
    </row>
    <row r="240" spans="2:26" x14ac:dyDescent="0.35">
      <c r="B240" s="55" t="s">
        <v>362</v>
      </c>
      <c r="C240" s="53" t="s">
        <v>234</v>
      </c>
      <c r="D240" s="53" t="s">
        <v>20</v>
      </c>
      <c r="E240" s="53" t="s">
        <v>21</v>
      </c>
      <c r="F240" s="73">
        <v>2.3738158537679126E-2</v>
      </c>
      <c r="G240" s="71">
        <v>3.1176954092096962E-2</v>
      </c>
      <c r="H240" s="71">
        <v>3.569906361798568E-2</v>
      </c>
      <c r="I240" s="71">
        <v>3.8106664584867167E-2</v>
      </c>
      <c r="J240" s="63">
        <v>4.0819692682417377E-2</v>
      </c>
      <c r="K240" s="71" t="s">
        <v>21</v>
      </c>
      <c r="L240" s="71">
        <v>2.8857686920969552E-3</v>
      </c>
      <c r="M240" s="71">
        <v>6.7883638179856796E-3</v>
      </c>
      <c r="N240" s="71">
        <v>8.3750881848671643E-3</v>
      </c>
      <c r="O240" s="63">
        <v>9.7552766824173798E-3</v>
      </c>
      <c r="P240" s="55" t="s">
        <v>21</v>
      </c>
      <c r="Q240" s="53" t="s">
        <v>21</v>
      </c>
      <c r="R240" s="94" t="s">
        <v>21</v>
      </c>
      <c r="S240" s="71" t="s">
        <v>21</v>
      </c>
      <c r="T240" s="63" t="s">
        <v>21</v>
      </c>
      <c r="V240" s="114">
        <v>1.15274031</v>
      </c>
      <c r="W240" s="72">
        <v>2.9583225899999999</v>
      </c>
      <c r="X240" s="72">
        <v>4.60205427</v>
      </c>
      <c r="Y240" s="72">
        <v>6.0658353300000005</v>
      </c>
      <c r="Z240" s="115">
        <v>7.9678204899999994</v>
      </c>
    </row>
    <row r="241" spans="2:26" x14ac:dyDescent="0.35">
      <c r="B241" s="55" t="s">
        <v>363</v>
      </c>
      <c r="C241" s="53" t="s">
        <v>234</v>
      </c>
      <c r="D241" s="53" t="s">
        <v>20</v>
      </c>
      <c r="E241" s="53" t="s">
        <v>266</v>
      </c>
      <c r="F241" s="73">
        <v>2.36789012981924E-2</v>
      </c>
      <c r="G241" s="71">
        <v>3.099294299953264E-2</v>
      </c>
      <c r="H241" s="71">
        <v>3.5666882751931556E-2</v>
      </c>
      <c r="I241" s="71">
        <v>3.8560009427164997E-2</v>
      </c>
      <c r="J241" s="63">
        <v>4.1863545210700598E-2</v>
      </c>
      <c r="K241" s="71" t="s">
        <v>21</v>
      </c>
      <c r="L241" s="71">
        <v>2.7087234995326493E-3</v>
      </c>
      <c r="M241" s="71">
        <v>6.7578883519315604E-3</v>
      </c>
      <c r="N241" s="71">
        <v>8.8133929271649973E-3</v>
      </c>
      <c r="O241" s="63">
        <v>1.0769603010700598E-2</v>
      </c>
      <c r="P241" s="55" t="s">
        <v>21</v>
      </c>
      <c r="Q241" s="53" t="s">
        <v>21</v>
      </c>
      <c r="R241" s="94" t="s">
        <v>21</v>
      </c>
      <c r="S241" s="71" t="s">
        <v>21</v>
      </c>
      <c r="T241" s="63" t="s">
        <v>21</v>
      </c>
      <c r="V241" s="114">
        <v>1.15283231</v>
      </c>
      <c r="W241" s="72">
        <v>2.9596583700000001</v>
      </c>
      <c r="X241" s="72">
        <v>4.6044110700000003</v>
      </c>
      <c r="Y241" s="72">
        <v>6.06477267</v>
      </c>
      <c r="Z241" s="115">
        <v>7.9431640600000009</v>
      </c>
    </row>
    <row r="242" spans="2:26" x14ac:dyDescent="0.35">
      <c r="B242" s="55" t="s">
        <v>375</v>
      </c>
      <c r="C242" s="53" t="s">
        <v>234</v>
      </c>
      <c r="D242" s="53" t="s">
        <v>20</v>
      </c>
      <c r="E242" s="53" t="s">
        <v>112</v>
      </c>
      <c r="F242" s="73">
        <v>2.3666003611171018E-2</v>
      </c>
      <c r="G242" s="71">
        <v>3.0604131822685631E-2</v>
      </c>
      <c r="H242" s="71">
        <v>3.5636937647076115E-2</v>
      </c>
      <c r="I242" s="71">
        <v>3.8283975927974376E-2</v>
      </c>
      <c r="J242" s="63">
        <v>4.1243056490862809E-2</v>
      </c>
      <c r="K242" s="71" t="s">
        <v>21</v>
      </c>
      <c r="L242" s="71">
        <v>2.3311929226856347E-3</v>
      </c>
      <c r="M242" s="71">
        <v>6.7282820470761142E-3</v>
      </c>
      <c r="N242" s="71">
        <v>8.547373927974368E-3</v>
      </c>
      <c r="O242" s="63">
        <v>1.0166504690862809E-2</v>
      </c>
      <c r="P242" s="55" t="s">
        <v>398</v>
      </c>
      <c r="Q242" s="53" t="s">
        <v>399</v>
      </c>
      <c r="R242" s="94">
        <v>47825</v>
      </c>
      <c r="S242" s="71">
        <v>3.572003E-2</v>
      </c>
      <c r="T242" s="63">
        <v>-8.3092352923884449E-5</v>
      </c>
      <c r="V242" s="114">
        <v>1.1528709399999999</v>
      </c>
      <c r="W242" s="72">
        <v>2.9622789300000001</v>
      </c>
      <c r="X242" s="72">
        <v>4.6076927899999998</v>
      </c>
      <c r="Y242" s="72">
        <v>6.0687032600000004</v>
      </c>
      <c r="Z242" s="115">
        <v>7.9642210500000008</v>
      </c>
    </row>
    <row r="243" spans="2:26" x14ac:dyDescent="0.35">
      <c r="B243" s="55" t="s">
        <v>355</v>
      </c>
      <c r="C243" s="53" t="s">
        <v>234</v>
      </c>
      <c r="D243" s="53" t="s">
        <v>20</v>
      </c>
      <c r="E243" s="53" t="s">
        <v>21</v>
      </c>
      <c r="F243" s="73">
        <v>2.3511217606629158E-2</v>
      </c>
      <c r="G243" s="71">
        <v>3.0501256260768515E-2</v>
      </c>
      <c r="H243" s="71">
        <v>3.5524203533595075E-2</v>
      </c>
      <c r="I243" s="71">
        <v>3.880896855586017E-2</v>
      </c>
      <c r="J243" s="63">
        <v>4.2328624492526452E-2</v>
      </c>
      <c r="K243" s="71" t="s">
        <v>21</v>
      </c>
      <c r="L243" s="71">
        <v>2.2332977607685193E-3</v>
      </c>
      <c r="M243" s="71">
        <v>6.6202822335950755E-3</v>
      </c>
      <c r="N243" s="71">
        <v>9.0558292558601591E-3</v>
      </c>
      <c r="O243" s="63">
        <v>1.1224614392526446E-2</v>
      </c>
      <c r="P243" s="55" t="s">
        <v>21</v>
      </c>
      <c r="Q243" s="53" t="s">
        <v>21</v>
      </c>
      <c r="R243" s="94" t="s">
        <v>21</v>
      </c>
      <c r="S243" s="71" t="s">
        <v>21</v>
      </c>
      <c r="T243" s="63" t="s">
        <v>21</v>
      </c>
      <c r="V243" s="114">
        <v>1.1531548300000001</v>
      </c>
      <c r="W243" s="72">
        <v>2.9635887300000001</v>
      </c>
      <c r="X243" s="72">
        <v>4.6110312999999996</v>
      </c>
      <c r="Y243" s="72">
        <v>6.0654669600000002</v>
      </c>
      <c r="Z243" s="115">
        <v>7.9294545300000001</v>
      </c>
    </row>
    <row r="244" spans="2:26" x14ac:dyDescent="0.35">
      <c r="B244" s="55" t="s">
        <v>358</v>
      </c>
      <c r="C244" s="53" t="s">
        <v>234</v>
      </c>
      <c r="D244" s="53" t="s">
        <v>20</v>
      </c>
      <c r="E244" s="53" t="s">
        <v>21</v>
      </c>
      <c r="F244" s="73">
        <v>2.3726165123559739E-2</v>
      </c>
      <c r="G244" s="71">
        <v>3.0842869561973227E-2</v>
      </c>
      <c r="H244" s="71">
        <v>3.5523361546159378E-2</v>
      </c>
      <c r="I244" s="71">
        <v>3.8907432663004532E-2</v>
      </c>
      <c r="J244" s="63">
        <v>4.2489689766645779E-2</v>
      </c>
      <c r="K244" s="71" t="s">
        <v>21</v>
      </c>
      <c r="L244" s="71">
        <v>2.5625307619732314E-3</v>
      </c>
      <c r="M244" s="71">
        <v>6.6183606461593728E-3</v>
      </c>
      <c r="N244" s="71">
        <v>9.1488456630045289E-3</v>
      </c>
      <c r="O244" s="63">
        <v>1.1379257966645781E-2</v>
      </c>
      <c r="P244" s="55" t="s">
        <v>21</v>
      </c>
      <c r="Q244" s="53" t="s">
        <v>21</v>
      </c>
      <c r="R244" s="94" t="s">
        <v>21</v>
      </c>
      <c r="S244" s="71" t="s">
        <v>21</v>
      </c>
      <c r="T244" s="63" t="s">
        <v>21</v>
      </c>
      <c r="V244" s="114">
        <v>1.15275657</v>
      </c>
      <c r="W244" s="72">
        <v>2.9608591199999998</v>
      </c>
      <c r="X244" s="72">
        <v>4.6069971499999998</v>
      </c>
      <c r="Y244" s="72">
        <v>6.06212515</v>
      </c>
      <c r="Z244" s="115">
        <v>7.9215507500000006</v>
      </c>
    </row>
    <row r="245" spans="2:26" x14ac:dyDescent="0.35">
      <c r="B245" s="55" t="s">
        <v>370</v>
      </c>
      <c r="C245" s="53" t="s">
        <v>234</v>
      </c>
      <c r="D245" s="53" t="s">
        <v>31</v>
      </c>
      <c r="E245" s="53" t="s">
        <v>21</v>
      </c>
      <c r="F245" s="73">
        <v>2.4292412190993016E-2</v>
      </c>
      <c r="G245" s="71">
        <v>3.1046517523955632E-2</v>
      </c>
      <c r="H245" s="71">
        <v>3.5444182900931806E-2</v>
      </c>
      <c r="I245" s="71">
        <v>3.8004096134993968E-2</v>
      </c>
      <c r="J245" s="63">
        <v>4.0876745182634858E-2</v>
      </c>
      <c r="K245" s="71" t="s">
        <v>21</v>
      </c>
      <c r="L245" s="71">
        <v>2.7769746239556339E-3</v>
      </c>
      <c r="M245" s="71">
        <v>6.5578879009318023E-3</v>
      </c>
      <c r="N245" s="71">
        <v>8.2903866349939639E-3</v>
      </c>
      <c r="O245" s="63">
        <v>9.8191598826348602E-3</v>
      </c>
      <c r="P245" s="55" t="s">
        <v>21</v>
      </c>
      <c r="Q245" s="53" t="s">
        <v>21</v>
      </c>
      <c r="R245" s="94" t="s">
        <v>21</v>
      </c>
      <c r="S245" s="71" t="s">
        <v>21</v>
      </c>
      <c r="T245" s="63" t="s">
        <v>21</v>
      </c>
      <c r="V245" s="114">
        <v>1.15259489</v>
      </c>
      <c r="W245" s="72">
        <v>2.9619585800000001</v>
      </c>
      <c r="X245" s="72">
        <v>4.6147161099999998</v>
      </c>
      <c r="Y245" s="72">
        <v>6.0914053900000003</v>
      </c>
      <c r="Z245" s="115">
        <v>8.0149160100000003</v>
      </c>
    </row>
    <row r="246" spans="2:26" x14ac:dyDescent="0.35">
      <c r="B246" s="55" t="s">
        <v>264</v>
      </c>
      <c r="C246" s="53" t="s">
        <v>234</v>
      </c>
      <c r="D246" s="53" t="s">
        <v>97</v>
      </c>
      <c r="E246" s="53" t="s">
        <v>291</v>
      </c>
      <c r="F246" s="73">
        <v>2.4133737253747112E-2</v>
      </c>
      <c r="G246" s="71">
        <v>3.1156561325399151E-2</v>
      </c>
      <c r="H246" s="71">
        <v>3.5344700105106305E-2</v>
      </c>
      <c r="I246" s="71">
        <v>3.7906710218216427E-2</v>
      </c>
      <c r="J246" s="63">
        <v>4.0483300420996564E-2</v>
      </c>
      <c r="K246" s="71" t="s">
        <v>21</v>
      </c>
      <c r="L246" s="71">
        <v>2.8826955253991528E-3</v>
      </c>
      <c r="M246" s="71">
        <v>6.4608639051063083E-3</v>
      </c>
      <c r="N246" s="71">
        <v>8.1952428182164375E-3</v>
      </c>
      <c r="O246" s="63">
        <v>9.4351709209965669E-3</v>
      </c>
      <c r="P246" s="55" t="s">
        <v>559</v>
      </c>
      <c r="Q246" s="53" t="s">
        <v>560</v>
      </c>
      <c r="R246" s="94">
        <v>47648</v>
      </c>
      <c r="S246" s="71">
        <v>3.2313109999999999E-2</v>
      </c>
      <c r="T246" s="63">
        <v>3.0315901051063063E-3</v>
      </c>
      <c r="V246" s="114">
        <v>1.1529305999999999</v>
      </c>
      <c r="W246" s="72">
        <v>2.96184811</v>
      </c>
      <c r="X246" s="72">
        <v>4.6153975999999997</v>
      </c>
      <c r="Y246" s="72">
        <v>6.0938924500000002</v>
      </c>
      <c r="Z246" s="115">
        <v>8.0278695500000001</v>
      </c>
    </row>
    <row r="247" spans="2:26" x14ac:dyDescent="0.35">
      <c r="B247" s="55" t="s">
        <v>371</v>
      </c>
      <c r="C247" s="53" t="s">
        <v>234</v>
      </c>
      <c r="D247" s="53" t="s">
        <v>20</v>
      </c>
      <c r="E247" s="53" t="s">
        <v>21</v>
      </c>
      <c r="F247" s="73">
        <v>2.3746796619166528E-2</v>
      </c>
      <c r="G247" s="71">
        <v>3.0641520947953166E-2</v>
      </c>
      <c r="H247" s="71">
        <v>3.4968904583838285E-2</v>
      </c>
      <c r="I247" s="71">
        <v>3.7359656615868091E-2</v>
      </c>
      <c r="J247" s="63">
        <v>4.0276617382641197E-2</v>
      </c>
      <c r="K247" s="71" t="s">
        <v>21</v>
      </c>
      <c r="L247" s="71">
        <v>2.3682192479531684E-3</v>
      </c>
      <c r="M247" s="71">
        <v>6.0813036838382826E-3</v>
      </c>
      <c r="N247" s="71">
        <v>7.6501904158680955E-3</v>
      </c>
      <c r="O247" s="63">
        <v>9.2213781826411961E-3</v>
      </c>
      <c r="P247" s="55" t="s">
        <v>21</v>
      </c>
      <c r="Q247" s="53" t="s">
        <v>21</v>
      </c>
      <c r="R247" s="94" t="s">
        <v>21</v>
      </c>
      <c r="S247" s="71" t="s">
        <v>21</v>
      </c>
      <c r="T247" s="63" t="s">
        <v>21</v>
      </c>
      <c r="V247" s="114">
        <v>1.1527104700000002</v>
      </c>
      <c r="W247" s="72">
        <v>2.96159624</v>
      </c>
      <c r="X247" s="72">
        <v>4.6142169900000001</v>
      </c>
      <c r="Y247" s="72">
        <v>6.0924051100000005</v>
      </c>
      <c r="Z247" s="115">
        <v>8.0177302699999995</v>
      </c>
    </row>
    <row r="248" spans="2:26" x14ac:dyDescent="0.35">
      <c r="B248" s="55" t="s">
        <v>148</v>
      </c>
      <c r="C248" s="53" t="s">
        <v>234</v>
      </c>
      <c r="D248" s="53" t="s">
        <v>20</v>
      </c>
      <c r="E248" s="53" t="s">
        <v>21</v>
      </c>
      <c r="F248" s="73">
        <v>2.3373061372168408E-2</v>
      </c>
      <c r="G248" s="71">
        <v>3.01129880913504E-2</v>
      </c>
      <c r="H248" s="71">
        <v>3.4922479603842094E-2</v>
      </c>
      <c r="I248" s="71">
        <v>3.8083405058952143E-2</v>
      </c>
      <c r="J248" s="63">
        <v>4.1423772128620404E-2</v>
      </c>
      <c r="K248" s="71" t="s">
        <v>21</v>
      </c>
      <c r="L248" s="71">
        <v>1.8556149913503965E-3</v>
      </c>
      <c r="M248" s="71">
        <v>6.0361846038420961E-3</v>
      </c>
      <c r="N248" s="71">
        <v>8.3523965589521413E-3</v>
      </c>
      <c r="O248" s="63">
        <v>1.0343844028620409E-2</v>
      </c>
      <c r="P248" s="55" t="s">
        <v>561</v>
      </c>
      <c r="Q248" s="53" t="s">
        <v>562</v>
      </c>
      <c r="R248" s="94">
        <v>47515</v>
      </c>
      <c r="S248" s="71">
        <v>3.4927880000000001E-2</v>
      </c>
      <c r="T248" s="63">
        <v>-5.4003961579077164E-6</v>
      </c>
      <c r="V248" s="114">
        <v>1.1534443700000001</v>
      </c>
      <c r="W248" s="72">
        <v>2.9665737700000001</v>
      </c>
      <c r="X248" s="72">
        <v>4.6207808000000004</v>
      </c>
      <c r="Y248" s="72">
        <v>6.0873968000000005</v>
      </c>
      <c r="Z248" s="115">
        <v>7.9768944600000005</v>
      </c>
    </row>
    <row r="249" spans="2:26" x14ac:dyDescent="0.35">
      <c r="B249" s="55" t="s">
        <v>369</v>
      </c>
      <c r="C249" s="53" t="s">
        <v>234</v>
      </c>
      <c r="D249" s="53" t="s">
        <v>20</v>
      </c>
      <c r="E249" s="53" t="s">
        <v>258</v>
      </c>
      <c r="F249" s="73">
        <v>2.3356176770692925E-2</v>
      </c>
      <c r="G249" s="71">
        <v>3.0366060356706998E-2</v>
      </c>
      <c r="H249" s="71">
        <v>3.4838810224103713E-2</v>
      </c>
      <c r="I249" s="71">
        <v>3.7911925381280201E-2</v>
      </c>
      <c r="J249" s="63">
        <v>4.0609427929121568E-2</v>
      </c>
      <c r="K249" s="71" t="s">
        <v>21</v>
      </c>
      <c r="L249" s="71">
        <v>2.1006270567069975E-3</v>
      </c>
      <c r="M249" s="71">
        <v>5.9549036241037167E-3</v>
      </c>
      <c r="N249" s="71">
        <v>8.1852513812801977E-3</v>
      </c>
      <c r="O249" s="63">
        <v>9.5491897291215735E-3</v>
      </c>
      <c r="P249" s="55" t="s">
        <v>21</v>
      </c>
      <c r="Q249" s="53" t="s">
        <v>21</v>
      </c>
      <c r="R249" s="94" t="s">
        <v>21</v>
      </c>
      <c r="S249" s="71" t="s">
        <v>21</v>
      </c>
      <c r="T249" s="63" t="s">
        <v>21</v>
      </c>
      <c r="V249" s="114">
        <v>1.15348965</v>
      </c>
      <c r="W249" s="72">
        <v>2.9649268900000001</v>
      </c>
      <c r="X249" s="72">
        <v>4.6190009600000002</v>
      </c>
      <c r="Y249" s="72">
        <v>6.0897188299999998</v>
      </c>
      <c r="Z249" s="115">
        <v>8.0037567899999988</v>
      </c>
    </row>
    <row r="250" spans="2:26" x14ac:dyDescent="0.35">
      <c r="B250" s="55" t="s">
        <v>368</v>
      </c>
      <c r="C250" s="53" t="s">
        <v>234</v>
      </c>
      <c r="D250" s="53" t="s">
        <v>20</v>
      </c>
      <c r="E250" s="53" t="s">
        <v>294</v>
      </c>
      <c r="F250" s="73">
        <v>2.3398414738433959E-2</v>
      </c>
      <c r="G250" s="71">
        <v>3.031821089271048E-2</v>
      </c>
      <c r="H250" s="71">
        <v>3.4738248267278449E-2</v>
      </c>
      <c r="I250" s="71">
        <v>3.7692303260672466E-2</v>
      </c>
      <c r="J250" s="63">
        <v>4.081137411667831E-2</v>
      </c>
      <c r="K250" s="71" t="s">
        <v>21</v>
      </c>
      <c r="L250" s="71">
        <v>2.0539331927104864E-3</v>
      </c>
      <c r="M250" s="71">
        <v>5.856913367278449E-3</v>
      </c>
      <c r="N250" s="71">
        <v>7.972623660672468E-3</v>
      </c>
      <c r="O250" s="63">
        <v>9.7496102166783095E-3</v>
      </c>
      <c r="P250" s="55" t="s">
        <v>21</v>
      </c>
      <c r="Q250" s="53" t="s">
        <v>21</v>
      </c>
      <c r="R250" s="94" t="s">
        <v>21</v>
      </c>
      <c r="S250" s="71" t="s">
        <v>21</v>
      </c>
      <c r="T250" s="63" t="s">
        <v>21</v>
      </c>
      <c r="V250" s="114">
        <v>1.15340854</v>
      </c>
      <c r="W250" s="72">
        <v>2.96516322</v>
      </c>
      <c r="X250" s="72">
        <v>4.6213974200000001</v>
      </c>
      <c r="Y250" s="72">
        <v>6.0940973899999999</v>
      </c>
      <c r="Z250" s="115">
        <v>7.9940467400000008</v>
      </c>
    </row>
    <row r="251" spans="2:26" x14ac:dyDescent="0.35">
      <c r="B251" s="55" t="s">
        <v>373</v>
      </c>
      <c r="C251" s="53" t="s">
        <v>234</v>
      </c>
      <c r="D251" s="53" t="s">
        <v>20</v>
      </c>
      <c r="E251" s="53" t="s">
        <v>21</v>
      </c>
      <c r="F251" s="73">
        <v>2.3529383449985741E-2</v>
      </c>
      <c r="G251" s="71">
        <v>3.0341900943928145E-2</v>
      </c>
      <c r="H251" s="71">
        <v>3.4446093418967427E-2</v>
      </c>
      <c r="I251" s="71">
        <v>3.6798437279522249E-2</v>
      </c>
      <c r="J251" s="63">
        <v>3.935824004163499E-2</v>
      </c>
      <c r="K251" s="71" t="s">
        <v>21</v>
      </c>
      <c r="L251" s="71">
        <v>2.0781818439281523E-3</v>
      </c>
      <c r="M251" s="71">
        <v>5.5742890189674306E-3</v>
      </c>
      <c r="N251" s="71">
        <v>7.104848479522253E-3</v>
      </c>
      <c r="O251" s="63">
        <v>8.3241670416349927E-3</v>
      </c>
      <c r="P251" s="55" t="s">
        <v>21</v>
      </c>
      <c r="Q251" s="53" t="s">
        <v>21</v>
      </c>
      <c r="R251" s="94" t="s">
        <v>21</v>
      </c>
      <c r="S251" s="71" t="s">
        <v>21</v>
      </c>
      <c r="T251" s="63" t="s">
        <v>21</v>
      </c>
      <c r="V251" s="114">
        <v>1.1531235500000001</v>
      </c>
      <c r="W251" s="72">
        <v>2.96416258</v>
      </c>
      <c r="X251" s="72">
        <v>4.6226725399999999</v>
      </c>
      <c r="Y251" s="72">
        <v>6.1111435300000005</v>
      </c>
      <c r="Z251" s="115">
        <v>8.0629374000000009</v>
      </c>
    </row>
    <row r="252" spans="2:26" x14ac:dyDescent="0.35">
      <c r="B252" s="55" t="s">
        <v>268</v>
      </c>
      <c r="C252" s="53" t="s">
        <v>234</v>
      </c>
      <c r="D252" s="53" t="s">
        <v>20</v>
      </c>
      <c r="E252" s="53" t="s">
        <v>318</v>
      </c>
      <c r="F252" s="73">
        <v>2.3856574713640576E-2</v>
      </c>
      <c r="G252" s="71">
        <v>3.0475901467430965E-2</v>
      </c>
      <c r="H252" s="71">
        <v>3.4442316994763841E-2</v>
      </c>
      <c r="I252" s="71">
        <v>3.6774544421585398E-2</v>
      </c>
      <c r="J252" s="63">
        <v>3.9332801657396332E-2</v>
      </c>
      <c r="K252" s="71" t="s">
        <v>21</v>
      </c>
      <c r="L252" s="71">
        <v>2.2062706674309705E-3</v>
      </c>
      <c r="M252" s="71">
        <v>5.5691709947638416E-3</v>
      </c>
      <c r="N252" s="71">
        <v>7.080543421585395E-3</v>
      </c>
      <c r="O252" s="63">
        <v>8.2978881573963353E-3</v>
      </c>
      <c r="P252" s="55" t="s">
        <v>563</v>
      </c>
      <c r="Q252" s="53" t="s">
        <v>564</v>
      </c>
      <c r="R252" s="94" t="s">
        <v>32</v>
      </c>
      <c r="S252" s="71">
        <v>3.2188250000000002E-2</v>
      </c>
      <c r="T252" s="63">
        <v>2.2540669947638398E-3</v>
      </c>
      <c r="V252" s="114">
        <v>1.15251145</v>
      </c>
      <c r="W252" s="72">
        <v>2.9623955399999997</v>
      </c>
      <c r="X252" s="72">
        <v>4.6214216400000003</v>
      </c>
      <c r="Y252" s="72">
        <v>6.1096427499999999</v>
      </c>
      <c r="Z252" s="115">
        <v>8.0625628000000003</v>
      </c>
    </row>
    <row r="253" spans="2:26" x14ac:dyDescent="0.35">
      <c r="B253" s="55" t="s">
        <v>374</v>
      </c>
      <c r="C253" s="53" t="s">
        <v>234</v>
      </c>
      <c r="D253" s="53" t="s">
        <v>20</v>
      </c>
      <c r="E253" s="53" t="s">
        <v>266</v>
      </c>
      <c r="F253" s="73">
        <v>2.3371960552880652E-2</v>
      </c>
      <c r="G253" s="71">
        <v>3.0316618475870482E-2</v>
      </c>
      <c r="H253" s="71">
        <v>3.4332292755745411E-2</v>
      </c>
      <c r="I253" s="71">
        <v>3.663399052489584E-2</v>
      </c>
      <c r="J253" s="63">
        <v>3.9328346904332415E-2</v>
      </c>
      <c r="K253" s="71" t="s">
        <v>21</v>
      </c>
      <c r="L253" s="71">
        <v>2.0525511758704854E-3</v>
      </c>
      <c r="M253" s="71">
        <v>5.463088455745415E-3</v>
      </c>
      <c r="N253" s="71">
        <v>6.9446952248958475E-3</v>
      </c>
      <c r="O253" s="63">
        <v>8.2989842043324127E-3</v>
      </c>
      <c r="P253" s="55" t="s">
        <v>396</v>
      </c>
      <c r="Q253" s="53" t="s">
        <v>397</v>
      </c>
      <c r="R253" s="94">
        <v>47515</v>
      </c>
      <c r="S253" s="71">
        <v>3.4841950000000003E-2</v>
      </c>
      <c r="T253" s="63">
        <v>-5.0965724425459241E-4</v>
      </c>
      <c r="V253" s="114">
        <v>1.1534627800000001</v>
      </c>
      <c r="W253" s="72">
        <v>2.9649823099999999</v>
      </c>
      <c r="X253" s="72">
        <v>4.62476267</v>
      </c>
      <c r="Y253" s="72">
        <v>6.1152438699999996</v>
      </c>
      <c r="Z253" s="115">
        <v>8.0586085099999991</v>
      </c>
    </row>
    <row r="254" spans="2:26" x14ac:dyDescent="0.35">
      <c r="B254" s="79" t="s">
        <v>162</v>
      </c>
      <c r="C254" s="136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7"/>
      <c r="P254" s="79"/>
      <c r="Q254" s="78"/>
      <c r="R254" s="95"/>
      <c r="S254" s="78"/>
      <c r="T254" s="77"/>
      <c r="V254" s="120"/>
      <c r="W254" s="109"/>
      <c r="X254" s="109"/>
      <c r="Y254" s="109"/>
      <c r="Z254" s="121"/>
    </row>
    <row r="255" spans="2:26" x14ac:dyDescent="0.35">
      <c r="B255" s="56" t="s">
        <v>164</v>
      </c>
      <c r="C255" s="53" t="s">
        <v>234</v>
      </c>
      <c r="D255" s="66" t="s">
        <v>20</v>
      </c>
      <c r="E255" s="66" t="s">
        <v>292</v>
      </c>
      <c r="F255" s="75">
        <v>3.3537735833924193E-2</v>
      </c>
      <c r="G255" s="80">
        <v>5.5531547192670005E-2</v>
      </c>
      <c r="H255" s="80">
        <v>7.4780379618200235E-2</v>
      </c>
      <c r="I255" s="80">
        <v>8.4454018367711298E-2</v>
      </c>
      <c r="J255" s="62">
        <v>8.8159547358758736E-2</v>
      </c>
      <c r="K255" s="80">
        <v>5.7825085339241883E-3</v>
      </c>
      <c r="L255" s="80">
        <v>2.5958971392670008E-2</v>
      </c>
      <c r="M255" s="80">
        <v>4.3386488218200243E-2</v>
      </c>
      <c r="N255" s="80">
        <v>5.1539461667711298E-2</v>
      </c>
      <c r="O255" s="62">
        <v>5.4041761758758744E-2</v>
      </c>
      <c r="P255" s="56" t="s">
        <v>21</v>
      </c>
      <c r="Q255" s="66" t="s">
        <v>21</v>
      </c>
      <c r="R255" s="100" t="s">
        <v>21</v>
      </c>
      <c r="S255" s="80" t="s">
        <v>21</v>
      </c>
      <c r="T255" s="62" t="s">
        <v>21</v>
      </c>
      <c r="V255" s="118">
        <v>1.1296812700000001</v>
      </c>
      <c r="W255" s="61">
        <v>2.7644474799999998</v>
      </c>
      <c r="X255" s="61">
        <v>3.9897761300000001</v>
      </c>
      <c r="Y255" s="61">
        <v>4.8258179999999999</v>
      </c>
      <c r="Z255" s="119">
        <v>5.69278583</v>
      </c>
    </row>
    <row r="256" spans="2:26" x14ac:dyDescent="0.35">
      <c r="B256" s="55" t="s">
        <v>167</v>
      </c>
      <c r="C256" s="53" t="s">
        <v>234</v>
      </c>
      <c r="D256" s="53" t="s">
        <v>97</v>
      </c>
      <c r="E256" s="53" t="s">
        <v>236</v>
      </c>
      <c r="F256" s="73">
        <v>2.8947540841876007E-2</v>
      </c>
      <c r="G256" s="71">
        <v>4.652245394692716E-2</v>
      </c>
      <c r="H256" s="71">
        <v>6.0653580925282259E-2</v>
      </c>
      <c r="I256" s="71">
        <v>6.563123762144249E-2</v>
      </c>
      <c r="J256" s="63">
        <v>7.0300015044986605E-2</v>
      </c>
      <c r="K256" s="71">
        <v>1.5065807418759986E-3</v>
      </c>
      <c r="L256" s="71">
        <v>1.7589143846927162E-2</v>
      </c>
      <c r="M256" s="71">
        <v>3.0472512025282263E-2</v>
      </c>
      <c r="N256" s="71">
        <v>3.4445067921442488E-2</v>
      </c>
      <c r="O256" s="63">
        <v>3.7778596744986612E-2</v>
      </c>
      <c r="P256" s="55" t="s">
        <v>21</v>
      </c>
      <c r="Q256" s="53" t="s">
        <v>21</v>
      </c>
      <c r="R256" s="94" t="s">
        <v>21</v>
      </c>
      <c r="S256" s="71" t="s">
        <v>21</v>
      </c>
      <c r="T256" s="63" t="s">
        <v>21</v>
      </c>
      <c r="V256" s="114">
        <v>1.1420705200000001</v>
      </c>
      <c r="W256" s="72">
        <v>2.8430710800000001</v>
      </c>
      <c r="X256" s="72">
        <v>4.2103724299999996</v>
      </c>
      <c r="Y256" s="72">
        <v>5.2762759199999998</v>
      </c>
      <c r="Z256" s="115">
        <v>6.4744093300000003</v>
      </c>
    </row>
    <row r="257" spans="2:26" x14ac:dyDescent="0.35">
      <c r="B257" s="55" t="s">
        <v>235</v>
      </c>
      <c r="C257" s="53" t="s">
        <v>234</v>
      </c>
      <c r="D257" s="53" t="s">
        <v>43</v>
      </c>
      <c r="E257" s="53" t="s">
        <v>565</v>
      </c>
      <c r="F257" s="73">
        <v>2.8238087312048792E-2</v>
      </c>
      <c r="G257" s="71">
        <v>4.2400203616291127E-2</v>
      </c>
      <c r="H257" s="71">
        <v>5.600366872972163E-2</v>
      </c>
      <c r="I257" s="71">
        <v>6.3012786224697179E-2</v>
      </c>
      <c r="J257" s="63">
        <v>6.7925666549634736E-2</v>
      </c>
      <c r="K257" s="71">
        <v>8.0947951204879062E-4</v>
      </c>
      <c r="L257" s="71">
        <v>1.3675234616291134E-2</v>
      </c>
      <c r="M257" s="71">
        <v>2.6123623529721626E-2</v>
      </c>
      <c r="N257" s="71">
        <v>3.2002521124697196E-2</v>
      </c>
      <c r="O257" s="63">
        <v>3.5572136349634728E-2</v>
      </c>
      <c r="P257" s="55" t="s">
        <v>21</v>
      </c>
      <c r="Q257" s="53" t="s">
        <v>21</v>
      </c>
      <c r="R257" s="94" t="s">
        <v>21</v>
      </c>
      <c r="S257" s="71" t="s">
        <v>21</v>
      </c>
      <c r="T257" s="63" t="s">
        <v>21</v>
      </c>
      <c r="V257" s="114">
        <v>1.1441172499999999</v>
      </c>
      <c r="W257" s="72">
        <v>2.8774097799999998</v>
      </c>
      <c r="X257" s="72">
        <v>4.2948228900000007</v>
      </c>
      <c r="Y257" s="72">
        <v>5.3953675200000006</v>
      </c>
      <c r="Z257" s="115">
        <v>6.6295287499999995</v>
      </c>
    </row>
    <row r="258" spans="2:26" x14ac:dyDescent="0.35">
      <c r="B258" s="55" t="s">
        <v>163</v>
      </c>
      <c r="C258" s="53" t="s">
        <v>234</v>
      </c>
      <c r="D258" s="53" t="s">
        <v>97</v>
      </c>
      <c r="E258" s="53" t="s">
        <v>116</v>
      </c>
      <c r="F258" s="73">
        <v>2.7017875185795001E-2</v>
      </c>
      <c r="G258" s="71">
        <v>3.98618757039228E-2</v>
      </c>
      <c r="H258" s="71">
        <v>4.9946820089027968E-2</v>
      </c>
      <c r="I258" s="71">
        <v>5.5762397957208429E-2</v>
      </c>
      <c r="J258" s="63">
        <v>6.074056532961386E-2</v>
      </c>
      <c r="K258" s="71" t="s">
        <v>21</v>
      </c>
      <c r="L258" s="71">
        <v>1.1256609703922799E-2</v>
      </c>
      <c r="M258" s="71">
        <v>2.0430636689027976E-2</v>
      </c>
      <c r="N258" s="71">
        <v>2.5230313357208427E-2</v>
      </c>
      <c r="O258" s="63">
        <v>2.8846409729613859E-2</v>
      </c>
      <c r="P258" s="55" t="s">
        <v>566</v>
      </c>
      <c r="Q258" s="53" t="s">
        <v>567</v>
      </c>
      <c r="R258" s="94">
        <v>47542</v>
      </c>
      <c r="S258" s="71">
        <v>3.8895260000000001E-2</v>
      </c>
      <c r="T258" s="63">
        <v>1.1051560089027967E-2</v>
      </c>
      <c r="V258" s="114">
        <v>1.14725762</v>
      </c>
      <c r="W258" s="72">
        <v>2.8919737200000002</v>
      </c>
      <c r="X258" s="72">
        <v>4.3768632100000007</v>
      </c>
      <c r="Y258" s="72">
        <v>5.5817391199999999</v>
      </c>
      <c r="Z258" s="115">
        <v>6.9777723200000006</v>
      </c>
    </row>
    <row r="259" spans="2:26" x14ac:dyDescent="0.35">
      <c r="B259" s="55" t="s">
        <v>174</v>
      </c>
      <c r="C259" s="53" t="s">
        <v>234</v>
      </c>
      <c r="D259" s="53" t="s">
        <v>43</v>
      </c>
      <c r="E259" s="53" t="s">
        <v>568</v>
      </c>
      <c r="F259" s="73">
        <v>2.7842652862806516E-2</v>
      </c>
      <c r="G259" s="71">
        <v>3.9256191595258533E-2</v>
      </c>
      <c r="H259" s="71">
        <v>4.8956530483046011E-2</v>
      </c>
      <c r="I259" s="71">
        <v>5.4563498269344722E-2</v>
      </c>
      <c r="J259" s="63">
        <v>5.8970584603766647E-2</v>
      </c>
      <c r="K259" s="71">
        <v>4.2956476280651881E-4</v>
      </c>
      <c r="L259" s="71">
        <v>1.0682155195258527E-2</v>
      </c>
      <c r="M259" s="71">
        <v>1.9495801983046013E-2</v>
      </c>
      <c r="N259" s="71">
        <v>2.4101840669344711E-2</v>
      </c>
      <c r="O259" s="63">
        <v>2.7175594203766633E-2</v>
      </c>
      <c r="P259" s="55" t="s">
        <v>569</v>
      </c>
      <c r="Q259" s="53" t="s">
        <v>570</v>
      </c>
      <c r="R259" s="94">
        <v>47535</v>
      </c>
      <c r="S259" s="71">
        <v>3.601174E-2</v>
      </c>
      <c r="T259" s="63">
        <v>1.2944790483046011E-2</v>
      </c>
      <c r="V259" s="114">
        <v>1.14516095</v>
      </c>
      <c r="W259" s="72">
        <v>2.8980504899999997</v>
      </c>
      <c r="X259" s="72">
        <v>4.3930108599999995</v>
      </c>
      <c r="Y259" s="72">
        <v>5.6132743200000004</v>
      </c>
      <c r="Z259" s="115">
        <v>7.0512213000000008</v>
      </c>
    </row>
    <row r="260" spans="2:26" x14ac:dyDescent="0.35">
      <c r="B260" s="55" t="s">
        <v>172</v>
      </c>
      <c r="C260" s="53" t="s">
        <v>234</v>
      </c>
      <c r="D260" s="53" t="s">
        <v>31</v>
      </c>
      <c r="E260" s="53" t="s">
        <v>571</v>
      </c>
      <c r="F260" s="73">
        <v>2.6522486389591791E-2</v>
      </c>
      <c r="G260" s="71">
        <v>3.7488216171586021E-2</v>
      </c>
      <c r="H260" s="71">
        <v>4.7839879400303022E-2</v>
      </c>
      <c r="I260" s="71">
        <v>5.4893739000661197E-2</v>
      </c>
      <c r="J260" s="63">
        <v>6.0937463146415377E-2</v>
      </c>
      <c r="K260" s="71" t="s">
        <v>21</v>
      </c>
      <c r="L260" s="71">
        <v>8.9874040715860228E-3</v>
      </c>
      <c r="M260" s="71">
        <v>1.8438090800303019E-2</v>
      </c>
      <c r="N260" s="71">
        <v>2.4412637600661206E-2</v>
      </c>
      <c r="O260" s="63">
        <v>2.903324574641538E-2</v>
      </c>
      <c r="P260" s="55" t="s">
        <v>572</v>
      </c>
      <c r="Q260" s="53" t="s">
        <v>573</v>
      </c>
      <c r="R260" s="94">
        <v>47664</v>
      </c>
      <c r="S260" s="71">
        <v>3.893373E-2</v>
      </c>
      <c r="T260" s="63">
        <v>8.906149400303022E-3</v>
      </c>
      <c r="V260" s="114">
        <v>1.1481795499999998</v>
      </c>
      <c r="W260" s="72">
        <v>2.91436071</v>
      </c>
      <c r="X260" s="72">
        <v>4.4238196600000004</v>
      </c>
      <c r="Y260" s="72">
        <v>5.6395078600000002</v>
      </c>
      <c r="Z260" s="115">
        <v>7.0264532899999992</v>
      </c>
    </row>
    <row r="261" spans="2:26" x14ac:dyDescent="0.35">
      <c r="B261" s="55" t="s">
        <v>175</v>
      </c>
      <c r="C261" s="53" t="s">
        <v>234</v>
      </c>
      <c r="D261" s="53" t="s">
        <v>43</v>
      </c>
      <c r="E261" s="53" t="s">
        <v>141</v>
      </c>
      <c r="F261" s="73">
        <v>3.0860426066501738E-2</v>
      </c>
      <c r="G261" s="71">
        <v>4.0041802116857449E-2</v>
      </c>
      <c r="H261" s="71">
        <v>4.7483912288630137E-2</v>
      </c>
      <c r="I261" s="71">
        <v>5.2866315292774531E-2</v>
      </c>
      <c r="J261" s="63">
        <v>5.8684777964582123E-2</v>
      </c>
      <c r="K261" s="71">
        <v>3.2788647665017339E-3</v>
      </c>
      <c r="L261" s="71">
        <v>1.1419310216857458E-2</v>
      </c>
      <c r="M261" s="71">
        <v>1.8092366088630137E-2</v>
      </c>
      <c r="N261" s="71">
        <v>2.2492890592774525E-2</v>
      </c>
      <c r="O261" s="63">
        <v>2.6890968164582117E-2</v>
      </c>
      <c r="P261" s="55" t="s">
        <v>21</v>
      </c>
      <c r="Q261" s="53" t="s">
        <v>21</v>
      </c>
      <c r="R261" s="94" t="s">
        <v>21</v>
      </c>
      <c r="S261" s="71" t="s">
        <v>21</v>
      </c>
      <c r="T261" s="63" t="s">
        <v>21</v>
      </c>
      <c r="V261" s="114">
        <v>1.13772283</v>
      </c>
      <c r="W261" s="72">
        <v>2.8797466800000002</v>
      </c>
      <c r="X261" s="72">
        <v>4.38983977</v>
      </c>
      <c r="Y261" s="72">
        <v>5.6368764799999997</v>
      </c>
      <c r="Z261" s="115">
        <v>7.08730437</v>
      </c>
    </row>
    <row r="262" spans="2:26" x14ac:dyDescent="0.35">
      <c r="B262" s="55" t="s">
        <v>129</v>
      </c>
      <c r="C262" s="53" t="s">
        <v>234</v>
      </c>
      <c r="D262" s="53" t="s">
        <v>62</v>
      </c>
      <c r="E262" s="53" t="s">
        <v>574</v>
      </c>
      <c r="F262" s="73">
        <v>2.8032999918518653E-2</v>
      </c>
      <c r="G262" s="71">
        <v>3.8867407219861025E-2</v>
      </c>
      <c r="H262" s="71">
        <v>4.7021029752884948E-2</v>
      </c>
      <c r="I262" s="71">
        <v>5.1804178114668566E-2</v>
      </c>
      <c r="J262" s="63">
        <v>5.5895322798762449E-2</v>
      </c>
      <c r="K262" s="71">
        <v>6.1234491851864994E-4</v>
      </c>
      <c r="L262" s="71">
        <v>1.0310825219861033E-2</v>
      </c>
      <c r="M262" s="71">
        <v>1.7662825652884948E-2</v>
      </c>
      <c r="N262" s="71">
        <v>2.1498357814668557E-2</v>
      </c>
      <c r="O262" s="63">
        <v>2.426138899876245E-2</v>
      </c>
      <c r="P262" s="55" t="s">
        <v>21</v>
      </c>
      <c r="Q262" s="53" t="s">
        <v>21</v>
      </c>
      <c r="R262" s="94" t="s">
        <v>21</v>
      </c>
      <c r="S262" s="71" t="s">
        <v>21</v>
      </c>
      <c r="T262" s="63" t="s">
        <v>21</v>
      </c>
      <c r="V262" s="114">
        <v>1.1446598000000001</v>
      </c>
      <c r="W262" s="72">
        <v>2.89766887</v>
      </c>
      <c r="X262" s="72">
        <v>4.4136790799999996</v>
      </c>
      <c r="Y262" s="72">
        <v>5.67510344</v>
      </c>
      <c r="Z262" s="115">
        <v>7.1906546000000002</v>
      </c>
    </row>
    <row r="263" spans="2:26" x14ac:dyDescent="0.35">
      <c r="B263" s="55" t="s">
        <v>400</v>
      </c>
      <c r="C263" s="53" t="s">
        <v>234</v>
      </c>
      <c r="D263" s="53" t="s">
        <v>20</v>
      </c>
      <c r="E263" s="53" t="s">
        <v>288</v>
      </c>
      <c r="F263" s="73">
        <v>2.5800270325935216E-2</v>
      </c>
      <c r="G263" s="71">
        <v>3.6601605622625294E-2</v>
      </c>
      <c r="H263" s="71">
        <v>4.4722176506082456E-2</v>
      </c>
      <c r="I263" s="71">
        <v>5.024764835109493E-2</v>
      </c>
      <c r="J263" s="63">
        <v>5.3587649271185471E-2</v>
      </c>
      <c r="K263" s="71" t="s">
        <v>21</v>
      </c>
      <c r="L263" s="71">
        <v>8.109470022625298E-3</v>
      </c>
      <c r="M263" s="71">
        <v>1.5449104006082452E-2</v>
      </c>
      <c r="N263" s="71">
        <v>1.9998301051094926E-2</v>
      </c>
      <c r="O263" s="63">
        <v>2.2052693371185476E-2</v>
      </c>
      <c r="P263" s="55" t="s">
        <v>403</v>
      </c>
      <c r="Q263" s="53" t="s">
        <v>404</v>
      </c>
      <c r="R263" s="94">
        <v>47771</v>
      </c>
      <c r="S263" s="71">
        <v>3.8153350000000003E-2</v>
      </c>
      <c r="T263" s="63">
        <v>6.5688265060824536E-3</v>
      </c>
      <c r="V263" s="114">
        <v>1.1487375100000001</v>
      </c>
      <c r="W263" s="72">
        <v>2.9158340000000003</v>
      </c>
      <c r="X263" s="72">
        <v>4.4549170300000007</v>
      </c>
      <c r="Y263" s="72">
        <v>5.7320217600000003</v>
      </c>
      <c r="Z263" s="115">
        <v>7.2871577000000007</v>
      </c>
    </row>
    <row r="264" spans="2:26" x14ac:dyDescent="0.35">
      <c r="B264" s="55" t="s">
        <v>165</v>
      </c>
      <c r="C264" s="53" t="s">
        <v>234</v>
      </c>
      <c r="D264" s="53" t="s">
        <v>47</v>
      </c>
      <c r="E264" s="53" t="s">
        <v>48</v>
      </c>
      <c r="F264" s="73">
        <v>2.6688579663354511E-2</v>
      </c>
      <c r="G264" s="71">
        <v>3.5873892727123435E-2</v>
      </c>
      <c r="H264" s="71">
        <v>4.362746011307591E-2</v>
      </c>
      <c r="I264" s="71">
        <v>4.9342865548997458E-2</v>
      </c>
      <c r="J264" s="63">
        <v>5.4475839653328063E-2</v>
      </c>
      <c r="K264" s="71" t="s">
        <v>21</v>
      </c>
      <c r="L264" s="71">
        <v>7.4390486271234298E-3</v>
      </c>
      <c r="M264" s="71">
        <v>1.4434341513075913E-2</v>
      </c>
      <c r="N264" s="71">
        <v>1.916747954899746E-2</v>
      </c>
      <c r="O264" s="63">
        <v>2.2918369053328062E-2</v>
      </c>
      <c r="P264" s="55" t="s">
        <v>21</v>
      </c>
      <c r="Q264" s="53" t="s">
        <v>21</v>
      </c>
      <c r="R264" s="94" t="s">
        <v>21</v>
      </c>
      <c r="S264" s="71" t="s">
        <v>21</v>
      </c>
      <c r="T264" s="63" t="s">
        <v>21</v>
      </c>
      <c r="V264" s="114">
        <v>1.1478211699999998</v>
      </c>
      <c r="W264" s="72">
        <v>2.9234433000000002</v>
      </c>
      <c r="X264" s="72">
        <v>4.4803134499999997</v>
      </c>
      <c r="Y264" s="72">
        <v>5.7793553700000002</v>
      </c>
      <c r="Z264" s="115">
        <v>7.3268445500000006</v>
      </c>
    </row>
    <row r="265" spans="2:26" x14ac:dyDescent="0.35">
      <c r="B265" s="55" t="s">
        <v>166</v>
      </c>
      <c r="C265" s="53" t="s">
        <v>234</v>
      </c>
      <c r="D265" s="53" t="s">
        <v>43</v>
      </c>
      <c r="E265" s="53" t="s">
        <v>575</v>
      </c>
      <c r="F265" s="73">
        <v>2.6021124570254624E-2</v>
      </c>
      <c r="G265" s="71">
        <v>3.5588475886720067E-2</v>
      </c>
      <c r="H265" s="71">
        <v>4.3045235146575239E-2</v>
      </c>
      <c r="I265" s="71">
        <v>4.650128651051693E-2</v>
      </c>
      <c r="J265" s="63">
        <v>4.9355497769909731E-2</v>
      </c>
      <c r="K265" s="71" t="s">
        <v>21</v>
      </c>
      <c r="L265" s="71">
        <v>7.1584914867200665E-3</v>
      </c>
      <c r="M265" s="71">
        <v>1.3874155146575239E-2</v>
      </c>
      <c r="N265" s="71">
        <v>1.6462780310516931E-2</v>
      </c>
      <c r="O265" s="63">
        <v>1.8024719069909739E-2</v>
      </c>
      <c r="P265" s="55" t="s">
        <v>21</v>
      </c>
      <c r="Q265" s="53" t="s">
        <v>21</v>
      </c>
      <c r="R265" s="94" t="s">
        <v>21</v>
      </c>
      <c r="S265" s="71" t="s">
        <v>21</v>
      </c>
      <c r="T265" s="63" t="s">
        <v>21</v>
      </c>
      <c r="V265" s="114">
        <v>1.1492707499999999</v>
      </c>
      <c r="W265" s="72">
        <v>2.9277286499999997</v>
      </c>
      <c r="X265" s="72">
        <v>4.4919433099999999</v>
      </c>
      <c r="Y265" s="72">
        <v>5.8299357599999997</v>
      </c>
      <c r="Z265" s="115">
        <v>7.5131052800000004</v>
      </c>
    </row>
    <row r="266" spans="2:26" x14ac:dyDescent="0.35">
      <c r="B266" s="55" t="s">
        <v>401</v>
      </c>
      <c r="C266" s="53" t="s">
        <v>234</v>
      </c>
      <c r="D266" s="53" t="s">
        <v>53</v>
      </c>
      <c r="E266" s="53" t="s">
        <v>293</v>
      </c>
      <c r="F266" s="73">
        <v>2.5215841513517093E-2</v>
      </c>
      <c r="G266" s="71">
        <v>3.49062582843759E-2</v>
      </c>
      <c r="H266" s="71">
        <v>4.2776563191520588E-2</v>
      </c>
      <c r="I266" s="71">
        <v>4.7383850800877723E-2</v>
      </c>
      <c r="J266" s="63">
        <v>5.3020474431247973E-2</v>
      </c>
      <c r="K266" s="71" t="s">
        <v>21</v>
      </c>
      <c r="L266" s="71">
        <v>6.5085996843758948E-3</v>
      </c>
      <c r="M266" s="71">
        <v>1.3623693691520593E-2</v>
      </c>
      <c r="N266" s="71">
        <v>1.7310141500877722E-2</v>
      </c>
      <c r="O266" s="63">
        <v>2.153437363124798E-2</v>
      </c>
      <c r="P266" s="55" t="s">
        <v>21</v>
      </c>
      <c r="Q266" s="53" t="s">
        <v>21</v>
      </c>
      <c r="R266" s="94" t="s">
        <v>21</v>
      </c>
      <c r="S266" s="71" t="s">
        <v>21</v>
      </c>
      <c r="T266" s="63" t="s">
        <v>21</v>
      </c>
      <c r="V266" s="114">
        <v>1.1507205700000001</v>
      </c>
      <c r="W266" s="72">
        <v>2.93469801</v>
      </c>
      <c r="X266" s="72">
        <v>4.5025646200000002</v>
      </c>
      <c r="Y266" s="72">
        <v>5.83028791</v>
      </c>
      <c r="Z266" s="115">
        <v>7.4216335800000008</v>
      </c>
    </row>
    <row r="267" spans="2:26" x14ac:dyDescent="0.35">
      <c r="B267" s="55" t="s">
        <v>170</v>
      </c>
      <c r="C267" s="53" t="s">
        <v>234</v>
      </c>
      <c r="D267" s="53" t="s">
        <v>20</v>
      </c>
      <c r="E267" s="53" t="s">
        <v>402</v>
      </c>
      <c r="F267" s="73">
        <v>2.9563374803912988E-2</v>
      </c>
      <c r="G267" s="71">
        <v>4.1829763492618931E-2</v>
      </c>
      <c r="H267" s="71">
        <v>5.2537462848198137E-2</v>
      </c>
      <c r="I267" s="71">
        <v>5.7534560034958895E-2</v>
      </c>
      <c r="J267" s="63">
        <v>6.2394060058929376E-2</v>
      </c>
      <c r="K267" s="71">
        <v>2.0491659039129934E-3</v>
      </c>
      <c r="L267" s="71">
        <v>1.3109310892618931E-2</v>
      </c>
      <c r="M267" s="71">
        <v>2.2844670948198132E-2</v>
      </c>
      <c r="N267" s="71">
        <v>2.6866750034958906E-2</v>
      </c>
      <c r="O267" s="63">
        <v>3.0365536158929375E-2</v>
      </c>
      <c r="P267" s="55" t="s">
        <v>468</v>
      </c>
      <c r="Q267" s="53" t="s">
        <v>469</v>
      </c>
      <c r="R267" s="94">
        <v>47505</v>
      </c>
      <c r="S267" s="71">
        <v>4.6046719999999999E-2</v>
      </c>
      <c r="T267" s="63">
        <v>6.4907428481981375E-3</v>
      </c>
      <c r="V267" s="114">
        <v>1.13943167</v>
      </c>
      <c r="W267" s="72">
        <v>2.86615669</v>
      </c>
      <c r="X267" s="72">
        <v>4.32030023</v>
      </c>
      <c r="Y267" s="72">
        <v>5.48159054</v>
      </c>
      <c r="Z267" s="115">
        <v>6.83600998</v>
      </c>
    </row>
    <row r="268" spans="2:26" x14ac:dyDescent="0.35">
      <c r="B268" s="55" t="s">
        <v>168</v>
      </c>
      <c r="C268" s="53" t="s">
        <v>234</v>
      </c>
      <c r="D268" s="53" t="s">
        <v>169</v>
      </c>
      <c r="E268" s="53" t="s">
        <v>576</v>
      </c>
      <c r="F268" s="73">
        <v>2.7687956537255438E-2</v>
      </c>
      <c r="G268" s="71">
        <v>3.5973223530199154E-2</v>
      </c>
      <c r="H268" s="71">
        <v>4.1405004568517548E-2</v>
      </c>
      <c r="I268" s="71">
        <v>4.4036798204989638E-2</v>
      </c>
      <c r="J268" s="63">
        <v>4.6726543133185638E-2</v>
      </c>
      <c r="K268" s="71">
        <v>2.3680173725543641E-4</v>
      </c>
      <c r="L268" s="71">
        <v>7.5039481301991534E-3</v>
      </c>
      <c r="M268" s="71">
        <v>1.2279496668517556E-2</v>
      </c>
      <c r="N268" s="71">
        <v>1.4079932104989635E-2</v>
      </c>
      <c r="O268" s="63">
        <v>1.5468168733185636E-2</v>
      </c>
      <c r="P268" s="55" t="s">
        <v>21</v>
      </c>
      <c r="Q268" s="53" t="s">
        <v>21</v>
      </c>
      <c r="R268" s="94" t="s">
        <v>21</v>
      </c>
      <c r="S268" s="71" t="s">
        <v>21</v>
      </c>
      <c r="T268" s="63" t="s">
        <v>21</v>
      </c>
      <c r="V268" s="114">
        <v>1.1447598299999999</v>
      </c>
      <c r="W268" s="72">
        <v>2.9130585600000001</v>
      </c>
      <c r="X268" s="72">
        <v>4.4874499300000004</v>
      </c>
      <c r="Y268" s="72">
        <v>5.8586731400000005</v>
      </c>
      <c r="Z268" s="115">
        <v>7.6021927700000003</v>
      </c>
    </row>
    <row r="269" spans="2:26" x14ac:dyDescent="0.35">
      <c r="B269" s="55" t="s">
        <v>117</v>
      </c>
      <c r="C269" s="53" t="s">
        <v>234</v>
      </c>
      <c r="D269" s="53" t="s">
        <v>31</v>
      </c>
      <c r="E269" s="53" t="s">
        <v>123</v>
      </c>
      <c r="F269" s="73">
        <v>2.5149997687116735E-2</v>
      </c>
      <c r="G269" s="71">
        <v>3.5241380183655135E-2</v>
      </c>
      <c r="H269" s="71">
        <v>3.9695260122656888E-2</v>
      </c>
      <c r="I269" s="71">
        <v>4.3126841510741122E-2</v>
      </c>
      <c r="J269" s="63">
        <v>4.6067718148207988E-2</v>
      </c>
      <c r="K269" s="71" t="s">
        <v>21</v>
      </c>
      <c r="L269" s="71">
        <v>6.827933383655135E-3</v>
      </c>
      <c r="M269" s="71">
        <v>1.0664295322656888E-2</v>
      </c>
      <c r="N269" s="71">
        <v>1.323280161074112E-2</v>
      </c>
      <c r="O269" s="63">
        <v>1.4858881148207985E-2</v>
      </c>
      <c r="P269" s="55" t="s">
        <v>21</v>
      </c>
      <c r="Q269" s="53" t="s">
        <v>21</v>
      </c>
      <c r="R269" s="94" t="s">
        <v>21</v>
      </c>
      <c r="S269" s="71" t="s">
        <v>21</v>
      </c>
      <c r="T269" s="63" t="s">
        <v>21</v>
      </c>
      <c r="V269" s="114">
        <v>1.1509127100000001</v>
      </c>
      <c r="W269" s="72">
        <v>2.9324324100000001</v>
      </c>
      <c r="X269" s="72">
        <v>4.5337619900000004</v>
      </c>
      <c r="Y269" s="72">
        <v>5.9284235599999997</v>
      </c>
      <c r="Z269" s="115">
        <v>7.7009761499999998</v>
      </c>
    </row>
    <row r="270" spans="2:26" x14ac:dyDescent="0.35">
      <c r="B270" s="55" t="s">
        <v>139</v>
      </c>
      <c r="C270" s="53" t="s">
        <v>234</v>
      </c>
      <c r="D270" s="53" t="s">
        <v>140</v>
      </c>
      <c r="E270" s="53" t="s">
        <v>161</v>
      </c>
      <c r="F270" s="73">
        <v>2.6211390588383277E-2</v>
      </c>
      <c r="G270" s="71">
        <v>3.3485591523504395E-2</v>
      </c>
      <c r="H270" s="71">
        <v>3.8713028024591596E-2</v>
      </c>
      <c r="I270" s="71">
        <v>4.2591720465691513E-2</v>
      </c>
      <c r="J270" s="63">
        <v>4.7132087028954793E-2</v>
      </c>
      <c r="K270" s="71" t="s">
        <v>21</v>
      </c>
      <c r="L270" s="71">
        <v>5.1389137235043963E-3</v>
      </c>
      <c r="M270" s="71">
        <v>9.7202528245915951E-3</v>
      </c>
      <c r="N270" s="71">
        <v>1.2721081765691511E-2</v>
      </c>
      <c r="O270" s="63">
        <v>1.58852359289548E-2</v>
      </c>
      <c r="P270" s="55" t="s">
        <v>21</v>
      </c>
      <c r="Q270" s="53" t="s">
        <v>21</v>
      </c>
      <c r="R270" s="94" t="s">
        <v>21</v>
      </c>
      <c r="S270" s="71" t="s">
        <v>21</v>
      </c>
      <c r="T270" s="63" t="s">
        <v>21</v>
      </c>
      <c r="V270" s="114">
        <v>1.14875192</v>
      </c>
      <c r="W270" s="72">
        <v>2.9393019199999997</v>
      </c>
      <c r="X270" s="72">
        <v>4.5525461400000005</v>
      </c>
      <c r="Y270" s="72">
        <v>5.9568159899999999</v>
      </c>
      <c r="Z270" s="115">
        <v>7.7058027400000011</v>
      </c>
    </row>
    <row r="271" spans="2:26" x14ac:dyDescent="0.35">
      <c r="B271" s="57" t="s">
        <v>171</v>
      </c>
      <c r="C271" s="67" t="s">
        <v>234</v>
      </c>
      <c r="D271" s="67" t="s">
        <v>69</v>
      </c>
      <c r="E271" s="67" t="s">
        <v>110</v>
      </c>
      <c r="F271" s="74">
        <v>2.4724982279546819E-2</v>
      </c>
      <c r="G271" s="76">
        <v>3.2303659995188187E-2</v>
      </c>
      <c r="H271" s="76">
        <v>3.7768538417662249E-2</v>
      </c>
      <c r="I271" s="76">
        <v>4.0761290155024776E-2</v>
      </c>
      <c r="J271" s="64">
        <v>4.4863413096577993E-2</v>
      </c>
      <c r="K271" s="76" t="s">
        <v>21</v>
      </c>
      <c r="L271" s="76">
        <v>3.9935707951881906E-3</v>
      </c>
      <c r="M271" s="76">
        <v>8.8068672176622471E-3</v>
      </c>
      <c r="N271" s="76">
        <v>1.0958098455024774E-2</v>
      </c>
      <c r="O271" s="64">
        <v>1.3692614796577997E-2</v>
      </c>
      <c r="P271" s="57" t="s">
        <v>21</v>
      </c>
      <c r="Q271" s="67" t="s">
        <v>21</v>
      </c>
      <c r="R271" s="96" t="s">
        <v>21</v>
      </c>
      <c r="S271" s="76" t="s">
        <v>21</v>
      </c>
      <c r="T271" s="64" t="s">
        <v>21</v>
      </c>
      <c r="V271" s="116">
        <v>1.15175553</v>
      </c>
      <c r="W271" s="108">
        <v>2.9522832600000002</v>
      </c>
      <c r="X271" s="108">
        <v>4.5776934699999998</v>
      </c>
      <c r="Y271" s="108">
        <v>6.0088703900000002</v>
      </c>
      <c r="Z271" s="117">
        <v>7.8199146700000002</v>
      </c>
    </row>
    <row r="272" spans="2:26" x14ac:dyDescent="0.35">
      <c r="P272" s="128"/>
      <c r="Q272" s="128"/>
      <c r="R272" s="44"/>
      <c r="S272" s="128"/>
      <c r="T272" s="128"/>
      <c r="V272" s="72"/>
      <c r="W272" s="72"/>
      <c r="X272" s="72"/>
      <c r="Y272" s="72"/>
      <c r="Z272" s="72"/>
    </row>
    <row r="273" spans="2:26" ht="15.5" x14ac:dyDescent="0.35">
      <c r="B273" s="122" t="s">
        <v>179</v>
      </c>
      <c r="R273" s="94"/>
      <c r="S273" s="71"/>
      <c r="T273" s="71"/>
      <c r="V273" s="72"/>
      <c r="W273" s="72"/>
      <c r="X273" s="72"/>
      <c r="Y273" s="72"/>
      <c r="Z273" s="72"/>
    </row>
    <row r="274" spans="2:26" x14ac:dyDescent="0.35">
      <c r="B274" s="85" t="s">
        <v>5</v>
      </c>
      <c r="C274" s="84" t="s">
        <v>6</v>
      </c>
      <c r="D274" s="84" t="s">
        <v>7</v>
      </c>
      <c r="E274" s="84" t="s">
        <v>8</v>
      </c>
      <c r="F274" s="83" t="s">
        <v>9</v>
      </c>
      <c r="G274" s="82" t="s">
        <v>10</v>
      </c>
      <c r="H274" s="82" t="s">
        <v>11</v>
      </c>
      <c r="I274" s="82" t="s">
        <v>12</v>
      </c>
      <c r="J274" s="81" t="s">
        <v>13</v>
      </c>
      <c r="K274" s="83" t="s">
        <v>9</v>
      </c>
      <c r="L274" s="82" t="s">
        <v>10</v>
      </c>
      <c r="M274" s="82" t="s">
        <v>11</v>
      </c>
      <c r="N274" s="82" t="s">
        <v>12</v>
      </c>
      <c r="O274" s="81" t="s">
        <v>13</v>
      </c>
      <c r="P274" s="70" t="s">
        <v>14</v>
      </c>
      <c r="Q274" s="58" t="s">
        <v>15</v>
      </c>
      <c r="R274" s="58" t="s">
        <v>16</v>
      </c>
      <c r="S274" s="58" t="s">
        <v>17</v>
      </c>
      <c r="T274" s="58" t="s">
        <v>18</v>
      </c>
      <c r="V274" s="110" t="s">
        <v>9</v>
      </c>
      <c r="W274" s="106" t="s">
        <v>10</v>
      </c>
      <c r="X274" s="106" t="s">
        <v>11</v>
      </c>
      <c r="Y274" s="106" t="s">
        <v>12</v>
      </c>
      <c r="Z274" s="111" t="s">
        <v>13</v>
      </c>
    </row>
    <row r="275" spans="2:26" x14ac:dyDescent="0.35">
      <c r="B275" s="56" t="s">
        <v>180</v>
      </c>
      <c r="C275" s="53" t="s">
        <v>234</v>
      </c>
      <c r="D275" s="66" t="s">
        <v>47</v>
      </c>
      <c r="E275" s="66" t="s">
        <v>577</v>
      </c>
      <c r="F275" s="75" t="s">
        <v>21</v>
      </c>
      <c r="G275" s="80">
        <v>3.229423379394343E-2</v>
      </c>
      <c r="H275" s="80">
        <v>3.686863303937514E-2</v>
      </c>
      <c r="I275" s="80">
        <v>4.0512559312256863E-2</v>
      </c>
      <c r="J275" s="62">
        <v>4.4291426872633481E-2</v>
      </c>
      <c r="K275" s="80" t="s">
        <v>21</v>
      </c>
      <c r="L275" s="80">
        <v>4.0031525939434294E-3</v>
      </c>
      <c r="M275" s="80">
        <v>7.9429574393751409E-3</v>
      </c>
      <c r="N275" s="80">
        <v>1.0745823412256873E-2</v>
      </c>
      <c r="O275" s="62">
        <v>1.3174264172633489E-2</v>
      </c>
      <c r="P275" s="56" t="s">
        <v>578</v>
      </c>
      <c r="Q275" s="66" t="s">
        <v>579</v>
      </c>
      <c r="R275" s="100" t="s">
        <v>32</v>
      </c>
      <c r="S275" s="80">
        <v>3.2252349999999999E-2</v>
      </c>
      <c r="T275" s="63">
        <v>4.6162830393751408E-3</v>
      </c>
      <c r="V275" s="114">
        <v>1.1524311700000001</v>
      </c>
      <c r="W275" s="72">
        <v>2.9575923799999999</v>
      </c>
      <c r="X275" s="72">
        <v>4.5960290199999996</v>
      </c>
      <c r="Y275" s="72">
        <v>6.04556147</v>
      </c>
      <c r="Z275" s="115">
        <v>7.9035785600000006</v>
      </c>
    </row>
    <row r="276" spans="2:26" x14ac:dyDescent="0.35">
      <c r="B276" s="55" t="s">
        <v>271</v>
      </c>
      <c r="C276" s="53" t="s">
        <v>234</v>
      </c>
      <c r="D276" s="53" t="s">
        <v>20</v>
      </c>
      <c r="E276" s="53" t="s">
        <v>580</v>
      </c>
      <c r="F276" s="73" t="s">
        <v>21</v>
      </c>
      <c r="G276" s="71">
        <v>3.3880629769552424E-2</v>
      </c>
      <c r="H276" s="71">
        <v>3.7275934693788239E-2</v>
      </c>
      <c r="I276" s="71">
        <v>4.0053152635570223E-2</v>
      </c>
      <c r="J276" s="63">
        <v>4.236092859227375E-2</v>
      </c>
      <c r="K276" s="71" t="s">
        <v>21</v>
      </c>
      <c r="L276" s="71">
        <v>5.5585246695524252E-3</v>
      </c>
      <c r="M276" s="71">
        <v>8.355566993788241E-3</v>
      </c>
      <c r="N276" s="71">
        <v>1.0315875535570233E-2</v>
      </c>
      <c r="O276" s="63">
        <v>1.1301739092273753E-2</v>
      </c>
      <c r="P276" s="55" t="s">
        <v>581</v>
      </c>
      <c r="Q276" s="53" t="s">
        <v>582</v>
      </c>
      <c r="R276" s="94" t="s">
        <v>32</v>
      </c>
      <c r="S276" s="71">
        <v>2.9385170000000002E-2</v>
      </c>
      <c r="T276" s="63">
        <v>7.8907646937882367E-3</v>
      </c>
      <c r="V276" s="114">
        <v>1.1508867700000001</v>
      </c>
      <c r="W276" s="72">
        <v>2.9471101399999999</v>
      </c>
      <c r="X276" s="72">
        <v>4.5843747300000004</v>
      </c>
      <c r="Y276" s="72">
        <v>6.0483466200000002</v>
      </c>
      <c r="Z276" s="115">
        <v>7.9702147900000009</v>
      </c>
    </row>
    <row r="277" spans="2:26" x14ac:dyDescent="0.35">
      <c r="B277" s="55" t="s">
        <v>182</v>
      </c>
      <c r="C277" s="53" t="s">
        <v>234</v>
      </c>
      <c r="D277" s="53" t="s">
        <v>69</v>
      </c>
      <c r="E277" s="53" t="s">
        <v>272</v>
      </c>
      <c r="F277" s="73" t="s">
        <v>21</v>
      </c>
      <c r="G277" s="71">
        <v>3.0907021358858807E-2</v>
      </c>
      <c r="H277" s="71">
        <v>3.4581644240925219E-2</v>
      </c>
      <c r="I277" s="71">
        <v>3.7493221162029619E-2</v>
      </c>
      <c r="J277" s="63">
        <v>4.0409666111785994E-2</v>
      </c>
      <c r="K277" s="71" t="s">
        <v>21</v>
      </c>
      <c r="L277" s="71">
        <v>2.6587377588588026E-3</v>
      </c>
      <c r="M277" s="71">
        <v>5.7234969409252221E-3</v>
      </c>
      <c r="N277" s="71">
        <v>7.8115690620296279E-3</v>
      </c>
      <c r="O277" s="63">
        <v>9.3811575117859966E-3</v>
      </c>
      <c r="P277" s="55" t="s">
        <v>583</v>
      </c>
      <c r="Q277" s="53" t="s">
        <v>584</v>
      </c>
      <c r="R277" s="94" t="s">
        <v>32</v>
      </c>
      <c r="S277" s="71">
        <v>2.8684630000000003E-2</v>
      </c>
      <c r="T277" s="63">
        <v>5.8970142409252163E-3</v>
      </c>
      <c r="V277" s="114">
        <v>1.15358373</v>
      </c>
      <c r="W277" s="72">
        <v>2.9683599699999998</v>
      </c>
      <c r="X277" s="72">
        <v>4.6330202800000002</v>
      </c>
      <c r="Y277" s="72">
        <v>6.1284967000000004</v>
      </c>
      <c r="Z277" s="115">
        <v>8.09094655</v>
      </c>
    </row>
    <row r="278" spans="2:26" x14ac:dyDescent="0.35">
      <c r="B278" s="55" t="s">
        <v>183</v>
      </c>
      <c r="C278" s="53" t="s">
        <v>234</v>
      </c>
      <c r="D278" s="53" t="s">
        <v>184</v>
      </c>
      <c r="E278" s="53" t="s">
        <v>323</v>
      </c>
      <c r="F278" s="73" t="s">
        <v>21</v>
      </c>
      <c r="G278" s="71">
        <v>3.1940647427827457E-2</v>
      </c>
      <c r="H278" s="71">
        <v>3.6271738731990598E-2</v>
      </c>
      <c r="I278" s="71">
        <v>4.0396431337502578E-2</v>
      </c>
      <c r="J278" s="63">
        <v>4.4762496025461257E-2</v>
      </c>
      <c r="K278" s="71" t="s">
        <v>21</v>
      </c>
      <c r="L278" s="71">
        <v>3.6613817278274554E-3</v>
      </c>
      <c r="M278" s="71">
        <v>7.3652260319905976E-3</v>
      </c>
      <c r="N278" s="71">
        <v>1.0633367437502581E-2</v>
      </c>
      <c r="O278" s="63">
        <v>1.3633240825461263E-2</v>
      </c>
      <c r="P278" s="55" t="s">
        <v>585</v>
      </c>
      <c r="Q278" s="53" t="s">
        <v>586</v>
      </c>
      <c r="R278" s="94" t="s">
        <v>32</v>
      </c>
      <c r="S278" s="71">
        <v>3.5326240000000002E-2</v>
      </c>
      <c r="T278" s="63">
        <v>9.4549873199059609E-4</v>
      </c>
      <c r="V278" s="114">
        <v>1.1535405599999999</v>
      </c>
      <c r="W278" s="72">
        <v>2.9617725099999999</v>
      </c>
      <c r="X278" s="72">
        <v>4.6068917899999997</v>
      </c>
      <c r="Y278" s="72">
        <v>6.0591124199999999</v>
      </c>
      <c r="Z278" s="115">
        <v>7.9051950999999994</v>
      </c>
    </row>
    <row r="279" spans="2:26" x14ac:dyDescent="0.35">
      <c r="B279" s="55" t="s">
        <v>185</v>
      </c>
      <c r="C279" s="53" t="s">
        <v>234</v>
      </c>
      <c r="D279" s="53" t="s">
        <v>53</v>
      </c>
      <c r="E279" s="53" t="s">
        <v>181</v>
      </c>
      <c r="F279" s="73" t="s">
        <v>21</v>
      </c>
      <c r="G279" s="71">
        <v>3.0923044904896457E-2</v>
      </c>
      <c r="H279" s="71">
        <v>3.4584936594334759E-2</v>
      </c>
      <c r="I279" s="71">
        <v>3.7714610348657099E-2</v>
      </c>
      <c r="J279" s="63">
        <v>4.0742814307531475E-2</v>
      </c>
      <c r="K279" s="71" t="s">
        <v>21</v>
      </c>
      <c r="L279" s="71">
        <v>2.6735346048964584E-3</v>
      </c>
      <c r="M279" s="71">
        <v>5.7262658943347594E-3</v>
      </c>
      <c r="N279" s="71">
        <v>8.0268333486571003E-3</v>
      </c>
      <c r="O279" s="63">
        <v>9.7081455075314765E-3</v>
      </c>
      <c r="P279" s="55" t="s">
        <v>587</v>
      </c>
      <c r="Q279" s="53" t="s">
        <v>588</v>
      </c>
      <c r="R279" s="94" t="s">
        <v>32</v>
      </c>
      <c r="S279" s="71">
        <v>2.9641640000000004E-2</v>
      </c>
      <c r="T279" s="63">
        <v>4.9432965943347548E-3</v>
      </c>
      <c r="V279" s="114">
        <v>1.1539702000000001</v>
      </c>
      <c r="W279" s="72">
        <v>2.96895204</v>
      </c>
      <c r="X279" s="72">
        <v>4.6335175700000004</v>
      </c>
      <c r="Y279" s="72">
        <v>6.1259341200000001</v>
      </c>
      <c r="Z279" s="115">
        <v>8.0789118200000001</v>
      </c>
    </row>
    <row r="280" spans="2:26" x14ac:dyDescent="0.35">
      <c r="B280" s="55" t="s">
        <v>186</v>
      </c>
      <c r="C280" s="53" t="s">
        <v>234</v>
      </c>
      <c r="D280" s="53" t="s">
        <v>31</v>
      </c>
      <c r="E280" s="53" t="s">
        <v>589</v>
      </c>
      <c r="F280" s="73" t="s">
        <v>21</v>
      </c>
      <c r="G280" s="71">
        <v>3.1798659453555311E-2</v>
      </c>
      <c r="H280" s="71">
        <v>3.6070247963367247E-2</v>
      </c>
      <c r="I280" s="71">
        <v>3.9510980329413893E-2</v>
      </c>
      <c r="J280" s="63">
        <v>4.3009545420894954E-2</v>
      </c>
      <c r="K280" s="71" t="s">
        <v>21</v>
      </c>
      <c r="L280" s="71">
        <v>3.5238037535553065E-3</v>
      </c>
      <c r="M280" s="71">
        <v>7.1696935633672508E-3</v>
      </c>
      <c r="N280" s="71">
        <v>9.7747612294139009E-3</v>
      </c>
      <c r="O280" s="63">
        <v>1.1925436220894953E-2</v>
      </c>
      <c r="P280" s="55" t="s">
        <v>590</v>
      </c>
      <c r="Q280" s="53" t="s">
        <v>591</v>
      </c>
      <c r="R280" s="94" t="s">
        <v>32</v>
      </c>
      <c r="S280" s="71">
        <v>3.1024449999999999E-2</v>
      </c>
      <c r="T280" s="63">
        <v>5.0457979633672483E-3</v>
      </c>
      <c r="V280" s="114">
        <v>1.1530222999999999</v>
      </c>
      <c r="W280" s="72">
        <v>2.9617414399999999</v>
      </c>
      <c r="X280" s="72">
        <v>4.6092746599999996</v>
      </c>
      <c r="Y280" s="72">
        <v>6.0739503099999999</v>
      </c>
      <c r="Z280" s="115">
        <v>7.9657549100000002</v>
      </c>
    </row>
    <row r="281" spans="2:26" x14ac:dyDescent="0.35">
      <c r="B281" s="57" t="s">
        <v>187</v>
      </c>
      <c r="C281" s="67" t="s">
        <v>234</v>
      </c>
      <c r="D281" s="67" t="s">
        <v>140</v>
      </c>
      <c r="E281" s="67" t="s">
        <v>592</v>
      </c>
      <c r="F281" s="74" t="s">
        <v>21</v>
      </c>
      <c r="G281" s="76">
        <v>3.0857731115475028E-2</v>
      </c>
      <c r="H281" s="76">
        <v>3.4314171590253635E-2</v>
      </c>
      <c r="I281" s="76">
        <v>3.78788902093221E-2</v>
      </c>
      <c r="J281" s="64">
        <v>4.0962222729746783E-2</v>
      </c>
      <c r="K281" s="76" t="s">
        <v>21</v>
      </c>
      <c r="L281" s="76">
        <v>2.6095727154750292E-3</v>
      </c>
      <c r="M281" s="76">
        <v>5.4624230902536363E-3</v>
      </c>
      <c r="N281" s="76">
        <v>8.1858910093220993E-3</v>
      </c>
      <c r="O281" s="64">
        <v>9.923993929746782E-3</v>
      </c>
      <c r="P281" s="57" t="s">
        <v>593</v>
      </c>
      <c r="Q281" s="67" t="s">
        <v>594</v>
      </c>
      <c r="R281" s="96" t="s">
        <v>32</v>
      </c>
      <c r="S281" s="76">
        <v>2.828806E-2</v>
      </c>
      <c r="T281" s="64">
        <v>6.0261115902536348E-3</v>
      </c>
      <c r="V281" s="116">
        <v>1.15415837</v>
      </c>
      <c r="W281" s="108">
        <v>2.9697033099999999</v>
      </c>
      <c r="X281" s="108">
        <v>4.6371891200000004</v>
      </c>
      <c r="Y281" s="108">
        <v>6.1280521400000003</v>
      </c>
      <c r="Z281" s="117">
        <v>8.0739745599999999</v>
      </c>
    </row>
    <row r="282" spans="2:26" x14ac:dyDescent="0.35">
      <c r="V282" s="72"/>
      <c r="W282" s="72"/>
      <c r="X282" s="72"/>
      <c r="Y282" s="72"/>
      <c r="Z282" s="72"/>
    </row>
    <row r="283" spans="2:26" ht="15.5" x14ac:dyDescent="0.35">
      <c r="B283" s="122" t="s">
        <v>188</v>
      </c>
      <c r="R283" s="94"/>
      <c r="S283" s="71"/>
      <c r="T283" s="71"/>
      <c r="V283" s="72"/>
      <c r="W283" s="72"/>
      <c r="X283" s="72"/>
      <c r="Y283" s="72"/>
      <c r="Z283" s="72"/>
    </row>
    <row r="284" spans="2:26" x14ac:dyDescent="0.35">
      <c r="B284" s="85" t="s">
        <v>5</v>
      </c>
      <c r="C284" s="84" t="s">
        <v>6</v>
      </c>
      <c r="D284" s="84" t="s">
        <v>7</v>
      </c>
      <c r="E284" s="84" t="s">
        <v>8</v>
      </c>
      <c r="F284" s="83" t="s">
        <v>9</v>
      </c>
      <c r="G284" s="82" t="s">
        <v>10</v>
      </c>
      <c r="H284" s="82" t="s">
        <v>11</v>
      </c>
      <c r="I284" s="82" t="s">
        <v>12</v>
      </c>
      <c r="J284" s="81" t="s">
        <v>13</v>
      </c>
      <c r="K284" s="83" t="s">
        <v>9</v>
      </c>
      <c r="L284" s="82" t="s">
        <v>10</v>
      </c>
      <c r="M284" s="82" t="s">
        <v>11</v>
      </c>
      <c r="N284" s="82" t="s">
        <v>12</v>
      </c>
      <c r="O284" s="81" t="s">
        <v>13</v>
      </c>
      <c r="P284" s="70" t="s">
        <v>14</v>
      </c>
      <c r="Q284" s="58" t="s">
        <v>15</v>
      </c>
      <c r="R284" s="58" t="s">
        <v>16</v>
      </c>
      <c r="S284" s="58" t="s">
        <v>17</v>
      </c>
      <c r="T284" s="58" t="s">
        <v>18</v>
      </c>
      <c r="V284" s="110" t="s">
        <v>9</v>
      </c>
      <c r="W284" s="106" t="s">
        <v>10</v>
      </c>
      <c r="X284" s="106" t="s">
        <v>11</v>
      </c>
      <c r="Y284" s="106" t="s">
        <v>12</v>
      </c>
      <c r="Z284" s="111" t="s">
        <v>13</v>
      </c>
    </row>
    <row r="285" spans="2:26" x14ac:dyDescent="0.35">
      <c r="B285" s="57" t="s">
        <v>298</v>
      </c>
      <c r="C285" s="67"/>
      <c r="D285" s="69"/>
      <c r="E285" s="69"/>
      <c r="F285" s="102" t="s">
        <v>21</v>
      </c>
      <c r="G285" s="103"/>
      <c r="H285" s="103">
        <v>4.5125021437239544E-2</v>
      </c>
      <c r="I285" s="103" t="s">
        <v>21</v>
      </c>
      <c r="J285" s="104" t="s">
        <v>21</v>
      </c>
      <c r="K285" s="103" t="s">
        <v>21</v>
      </c>
      <c r="L285" s="103"/>
      <c r="M285" s="103">
        <v>1.5942032737239542E-2</v>
      </c>
      <c r="N285" s="103" t="s">
        <v>21</v>
      </c>
      <c r="O285" s="104" t="s">
        <v>21</v>
      </c>
      <c r="P285" s="56"/>
      <c r="Q285" s="69"/>
      <c r="R285" s="105"/>
      <c r="S285" s="103"/>
      <c r="T285" s="104"/>
      <c r="V285" s="114">
        <v>1.13400675</v>
      </c>
      <c r="W285" s="72">
        <v>2.8745713900000003</v>
      </c>
      <c r="X285" s="72">
        <v>4.4338455000000003</v>
      </c>
      <c r="Y285" s="72">
        <v>5.8104815999999992</v>
      </c>
      <c r="Z285" s="115">
        <v>7.5904377400000005</v>
      </c>
    </row>
    <row r="286" spans="2:26" x14ac:dyDescent="0.35">
      <c r="B286" s="55" t="s">
        <v>189</v>
      </c>
      <c r="C286" s="53" t="s">
        <v>234</v>
      </c>
      <c r="D286" s="66" t="s">
        <v>190</v>
      </c>
      <c r="E286" s="66" t="s">
        <v>273</v>
      </c>
      <c r="F286" s="75" t="s">
        <v>21</v>
      </c>
      <c r="G286" s="80">
        <v>3.0726762217037368E-2</v>
      </c>
      <c r="H286" s="80">
        <v>3.5427446837113775E-2</v>
      </c>
      <c r="I286" s="80" t="s">
        <v>21</v>
      </c>
      <c r="J286" s="62" t="s">
        <v>21</v>
      </c>
      <c r="K286" s="80" t="s">
        <v>21</v>
      </c>
      <c r="L286" s="80">
        <v>2.4813174170373745E-3</v>
      </c>
      <c r="M286" s="80">
        <v>6.5648985371137784E-3</v>
      </c>
      <c r="N286" s="80" t="s">
        <v>21</v>
      </c>
      <c r="O286" s="62" t="s">
        <v>21</v>
      </c>
      <c r="P286" s="56" t="s">
        <v>21</v>
      </c>
      <c r="Q286" s="66" t="s">
        <v>21</v>
      </c>
      <c r="R286" s="100" t="s">
        <v>21</v>
      </c>
      <c r="S286" s="80" t="s">
        <v>21</v>
      </c>
      <c r="T286" s="63" t="s">
        <v>21</v>
      </c>
      <c r="V286" s="114">
        <v>1.1538492500000002</v>
      </c>
      <c r="W286" s="72">
        <v>2.9699996400000002</v>
      </c>
      <c r="X286" s="72">
        <v>4.6347422600000003</v>
      </c>
      <c r="Y286" s="72">
        <v>6.1240171400000003</v>
      </c>
      <c r="Z286" s="115">
        <v>8.0717935300000008</v>
      </c>
    </row>
    <row r="287" spans="2:26" x14ac:dyDescent="0.35">
      <c r="B287" s="55" t="s">
        <v>191</v>
      </c>
      <c r="C287" s="53" t="s">
        <v>234</v>
      </c>
      <c r="D287" s="53" t="s">
        <v>192</v>
      </c>
      <c r="E287" s="53" t="s">
        <v>595</v>
      </c>
      <c r="F287" s="73" t="s">
        <v>21</v>
      </c>
      <c r="G287" s="71">
        <v>3.3661212758083009E-2</v>
      </c>
      <c r="H287" s="71">
        <v>3.9276427934427968E-2</v>
      </c>
      <c r="I287" s="71" t="s">
        <v>21</v>
      </c>
      <c r="J287" s="63" t="s">
        <v>21</v>
      </c>
      <c r="K287" s="71" t="s">
        <v>21</v>
      </c>
      <c r="L287" s="71">
        <v>5.3263083580830086E-3</v>
      </c>
      <c r="M287" s="71">
        <v>1.0296394134427959E-2</v>
      </c>
      <c r="N287" s="71" t="s">
        <v>21</v>
      </c>
      <c r="O287" s="63" t="s">
        <v>21</v>
      </c>
      <c r="P287" s="55" t="s">
        <v>596</v>
      </c>
      <c r="Q287" s="53" t="s">
        <v>597</v>
      </c>
      <c r="R287" s="94" t="s">
        <v>32</v>
      </c>
      <c r="S287" s="71">
        <v>3.7169729999999998E-2</v>
      </c>
      <c r="T287" s="71">
        <v>2.1066979344279702E-3</v>
      </c>
      <c r="V287" s="114">
        <v>1.1492278200000001</v>
      </c>
      <c r="W287" s="72">
        <v>2.9456009500000002</v>
      </c>
      <c r="X287" s="72">
        <v>4.5698840800000005</v>
      </c>
      <c r="Y287" s="72">
        <v>6.0034098399999998</v>
      </c>
      <c r="Z287" s="115">
        <v>7.8399915599999996</v>
      </c>
    </row>
    <row r="288" spans="2:26" x14ac:dyDescent="0.35">
      <c r="B288" s="55" t="s">
        <v>194</v>
      </c>
      <c r="C288" s="53" t="s">
        <v>234</v>
      </c>
      <c r="D288" s="53" t="s">
        <v>195</v>
      </c>
      <c r="E288" s="53" t="s">
        <v>294</v>
      </c>
      <c r="F288" s="73" t="s">
        <v>21</v>
      </c>
      <c r="G288" s="71">
        <v>3.0776439483416202E-2</v>
      </c>
      <c r="H288" s="71">
        <v>3.546574718046664E-2</v>
      </c>
      <c r="I288" s="71" t="s">
        <v>21</v>
      </c>
      <c r="J288" s="63" t="s">
        <v>21</v>
      </c>
      <c r="K288" s="71" t="s">
        <v>21</v>
      </c>
      <c r="L288" s="71">
        <v>2.5302584834162086E-3</v>
      </c>
      <c r="M288" s="71">
        <v>6.6025337804666417E-3</v>
      </c>
      <c r="N288" s="71" t="s">
        <v>21</v>
      </c>
      <c r="O288" s="63" t="s">
        <v>21</v>
      </c>
      <c r="P288" s="55" t="s">
        <v>598</v>
      </c>
      <c r="Q288" s="53" t="s">
        <v>599</v>
      </c>
      <c r="R288" s="94" t="s">
        <v>32</v>
      </c>
      <c r="S288" s="71">
        <v>3.5098329999999997E-2</v>
      </c>
      <c r="T288" s="71">
        <v>3.6741718046664346E-4</v>
      </c>
      <c r="V288" s="114">
        <v>1.15350413</v>
      </c>
      <c r="W288" s="72">
        <v>2.96916673</v>
      </c>
      <c r="X288" s="72">
        <v>4.6336253100000002</v>
      </c>
      <c r="Y288" s="72">
        <v>6.1239270999999995</v>
      </c>
      <c r="Z288" s="115">
        <v>8.0578167300000008</v>
      </c>
    </row>
    <row r="289" spans="2:26" x14ac:dyDescent="0.35">
      <c r="B289" s="55" t="s">
        <v>196</v>
      </c>
      <c r="C289" s="53" t="s">
        <v>234</v>
      </c>
      <c r="D289" s="53" t="s">
        <v>197</v>
      </c>
      <c r="E289" s="53" t="s">
        <v>600</v>
      </c>
      <c r="F289" s="73" t="s">
        <v>21</v>
      </c>
      <c r="G289" s="71">
        <v>3.690615942229962E-2</v>
      </c>
      <c r="H289" s="71">
        <v>4.60493243816186E-2</v>
      </c>
      <c r="I289" s="71" t="s">
        <v>21</v>
      </c>
      <c r="J289" s="63" t="s">
        <v>21</v>
      </c>
      <c r="K289" s="71" t="s">
        <v>21</v>
      </c>
      <c r="L289" s="71">
        <v>8.449138422299626E-3</v>
      </c>
      <c r="M289" s="71">
        <v>1.6796015981618596E-2</v>
      </c>
      <c r="N289" s="71" t="s">
        <v>21</v>
      </c>
      <c r="O289" s="63" t="s">
        <v>21</v>
      </c>
      <c r="P289" s="55" t="s">
        <v>601</v>
      </c>
      <c r="Q289" s="53" t="s">
        <v>602</v>
      </c>
      <c r="R289" s="94" t="s">
        <v>32</v>
      </c>
      <c r="S289" s="71">
        <v>4.7464069999999997E-2</v>
      </c>
      <c r="T289" s="71">
        <v>-1.4147456183813967E-3</v>
      </c>
      <c r="V289" s="114">
        <v>1.1492959899999999</v>
      </c>
      <c r="W289" s="72">
        <v>2.9288392700000001</v>
      </c>
      <c r="X289" s="72">
        <v>4.4839069199999999</v>
      </c>
      <c r="Y289" s="72">
        <v>5.7882473799999996</v>
      </c>
      <c r="Z289" s="115">
        <v>7.3301590099999991</v>
      </c>
    </row>
    <row r="290" spans="2:26" x14ac:dyDescent="0.35">
      <c r="B290" s="55" t="s">
        <v>198</v>
      </c>
      <c r="C290" s="53" t="s">
        <v>234</v>
      </c>
      <c r="D290" s="53" t="s">
        <v>199</v>
      </c>
      <c r="E290" s="53" t="s">
        <v>55</v>
      </c>
      <c r="F290" s="73" t="s">
        <v>21</v>
      </c>
      <c r="G290" s="71">
        <v>3.6710143585140069E-2</v>
      </c>
      <c r="H290" s="71">
        <v>4.3495418016993276E-2</v>
      </c>
      <c r="I290" s="71" t="s">
        <v>21</v>
      </c>
      <c r="J290" s="63" t="s">
        <v>21</v>
      </c>
      <c r="K290" s="71" t="s">
        <v>21</v>
      </c>
      <c r="L290" s="71">
        <v>8.2769274851400843E-3</v>
      </c>
      <c r="M290" s="71">
        <v>1.4364436016993269E-2</v>
      </c>
      <c r="N290" s="71" t="s">
        <v>21</v>
      </c>
      <c r="O290" s="63" t="s">
        <v>21</v>
      </c>
      <c r="P290" s="55" t="s">
        <v>603</v>
      </c>
      <c r="Q290" s="53" t="s">
        <v>604</v>
      </c>
      <c r="R290" s="94">
        <v>47586</v>
      </c>
      <c r="S290" s="71">
        <v>4.1210769999999994E-2</v>
      </c>
      <c r="T290" s="71">
        <v>2.284648016993282E-3</v>
      </c>
      <c r="V290" s="114">
        <v>1.1471296500000001</v>
      </c>
      <c r="W290" s="72">
        <v>2.92501166</v>
      </c>
      <c r="X290" s="72">
        <v>4.5054422500000006</v>
      </c>
      <c r="Y290" s="72">
        <v>5.8598661600000002</v>
      </c>
      <c r="Z290" s="115">
        <v>7.5202731699999994</v>
      </c>
    </row>
    <row r="291" spans="2:26" x14ac:dyDescent="0.35">
      <c r="B291" s="55" t="s">
        <v>200</v>
      </c>
      <c r="C291" s="53" t="s">
        <v>234</v>
      </c>
      <c r="D291" s="53" t="s">
        <v>201</v>
      </c>
      <c r="E291" s="53" t="s">
        <v>295</v>
      </c>
      <c r="F291" s="73" t="s">
        <v>21</v>
      </c>
      <c r="G291" s="71">
        <v>3.8435881821632704E-2</v>
      </c>
      <c r="H291" s="71">
        <v>4.6442427833094914E-2</v>
      </c>
      <c r="I291" s="71" t="s">
        <v>21</v>
      </c>
      <c r="J291" s="63" t="s">
        <v>21</v>
      </c>
      <c r="K291" s="71" t="s">
        <v>21</v>
      </c>
      <c r="L291" s="71">
        <v>9.9389253216327043E-3</v>
      </c>
      <c r="M291" s="71">
        <v>1.7187798333094917E-2</v>
      </c>
      <c r="N291" s="71" t="s">
        <v>21</v>
      </c>
      <c r="O291" s="63" t="s">
        <v>21</v>
      </c>
      <c r="P291" s="55" t="s">
        <v>605</v>
      </c>
      <c r="Q291" s="53" t="s">
        <v>606</v>
      </c>
      <c r="R291" s="94" t="s">
        <v>32</v>
      </c>
      <c r="S291" s="71">
        <v>4.1238780000000003E-2</v>
      </c>
      <c r="T291" s="71">
        <v>5.2036478330949112E-3</v>
      </c>
      <c r="V291" s="114">
        <v>1.1461511799999999</v>
      </c>
      <c r="W291" s="72">
        <v>2.9140245600000001</v>
      </c>
      <c r="X291" s="72">
        <v>4.4651232800000002</v>
      </c>
      <c r="Y291" s="72">
        <v>5.7691462399999995</v>
      </c>
      <c r="Z291" s="115">
        <v>7.3237475299999995</v>
      </c>
    </row>
    <row r="292" spans="2:26" x14ac:dyDescent="0.35">
      <c r="B292" s="55" t="s">
        <v>202</v>
      </c>
      <c r="C292" s="53" t="s">
        <v>234</v>
      </c>
      <c r="D292" s="53" t="s">
        <v>203</v>
      </c>
      <c r="E292" s="53" t="s">
        <v>181</v>
      </c>
      <c r="F292" s="73" t="s">
        <v>21</v>
      </c>
      <c r="G292" s="71">
        <v>3.4817996701739962E-2</v>
      </c>
      <c r="H292" s="71">
        <v>4.0841395899734526E-2</v>
      </c>
      <c r="I292" s="71" t="s">
        <v>21</v>
      </c>
      <c r="J292" s="63" t="s">
        <v>21</v>
      </c>
      <c r="K292" s="71" t="s">
        <v>21</v>
      </c>
      <c r="L292" s="71">
        <v>6.4433950017399617E-3</v>
      </c>
      <c r="M292" s="71">
        <v>1.1803848299734533E-2</v>
      </c>
      <c r="N292" s="71" t="s">
        <v>21</v>
      </c>
      <c r="O292" s="63" t="s">
        <v>21</v>
      </c>
      <c r="P292" s="55" t="s">
        <v>607</v>
      </c>
      <c r="Q292" s="53" t="s">
        <v>608</v>
      </c>
      <c r="R292" s="94" t="s">
        <v>32</v>
      </c>
      <c r="S292" s="71">
        <v>-6.8491500000000009E-3</v>
      </c>
      <c r="T292" s="71">
        <v>4.7690545899734524E-2</v>
      </c>
      <c r="V292" s="114">
        <v>1.1487834100000001</v>
      </c>
      <c r="W292" s="72">
        <v>2.9374764</v>
      </c>
      <c r="X292" s="72">
        <v>4.5431298600000005</v>
      </c>
      <c r="Y292" s="72">
        <v>5.94103403</v>
      </c>
      <c r="Z292" s="115">
        <v>7.7049053399999998</v>
      </c>
    </row>
    <row r="293" spans="2:26" x14ac:dyDescent="0.35">
      <c r="B293" s="55" t="s">
        <v>204</v>
      </c>
      <c r="C293" s="53" t="s">
        <v>234</v>
      </c>
      <c r="D293" s="53" t="s">
        <v>205</v>
      </c>
      <c r="E293" s="53" t="s">
        <v>609</v>
      </c>
      <c r="F293" s="73" t="s">
        <v>21</v>
      </c>
      <c r="G293" s="71">
        <v>4.4315762032717115E-2</v>
      </c>
      <c r="H293" s="71">
        <v>5.4360117097729067E-2</v>
      </c>
      <c r="I293" s="71" t="s">
        <v>21</v>
      </c>
      <c r="J293" s="63" t="s">
        <v>21</v>
      </c>
      <c r="K293" s="71" t="s">
        <v>21</v>
      </c>
      <c r="L293" s="71">
        <v>1.5553796332717111E-2</v>
      </c>
      <c r="M293" s="71">
        <v>2.4697197297729068E-2</v>
      </c>
      <c r="N293" s="71" t="s">
        <v>21</v>
      </c>
      <c r="O293" s="63" t="s">
        <v>21</v>
      </c>
      <c r="P293" s="55" t="s">
        <v>21</v>
      </c>
      <c r="Q293" s="53" t="s">
        <v>21</v>
      </c>
      <c r="R293" s="94" t="s">
        <v>21</v>
      </c>
      <c r="S293" s="71" t="s">
        <v>21</v>
      </c>
      <c r="T293" s="71" t="s">
        <v>21</v>
      </c>
      <c r="V293" s="114">
        <v>1.1401760299999999</v>
      </c>
      <c r="W293" s="72">
        <v>2.8688263100000002</v>
      </c>
      <c r="X293" s="72">
        <v>4.3415822200000003</v>
      </c>
      <c r="Y293" s="72">
        <v>5.5311148399999999</v>
      </c>
      <c r="Z293" s="115">
        <v>6.8912941500000002</v>
      </c>
    </row>
    <row r="294" spans="2:26" x14ac:dyDescent="0.35">
      <c r="B294" s="55" t="s">
        <v>206</v>
      </c>
      <c r="C294" s="53" t="s">
        <v>234</v>
      </c>
      <c r="D294" s="53" t="s">
        <v>207</v>
      </c>
      <c r="E294" s="53" t="s">
        <v>193</v>
      </c>
      <c r="F294" s="73" t="s">
        <v>21</v>
      </c>
      <c r="G294" s="71">
        <v>3.3658682349023646E-2</v>
      </c>
      <c r="H294" s="71">
        <v>3.8824645594713152E-2</v>
      </c>
      <c r="I294" s="71" t="s">
        <v>21</v>
      </c>
      <c r="J294" s="63" t="s">
        <v>21</v>
      </c>
      <c r="K294" s="71" t="s">
        <v>21</v>
      </c>
      <c r="L294" s="71">
        <v>5.3267006490236492E-3</v>
      </c>
      <c r="M294" s="71">
        <v>9.8616687947131534E-3</v>
      </c>
      <c r="N294" s="71" t="s">
        <v>21</v>
      </c>
      <c r="O294" s="63" t="s">
        <v>21</v>
      </c>
      <c r="P294" s="55" t="s">
        <v>610</v>
      </c>
      <c r="Q294" s="53" t="s">
        <v>611</v>
      </c>
      <c r="R294" s="94" t="s">
        <v>32</v>
      </c>
      <c r="S294" s="71">
        <v>3.3886690000000004E-2</v>
      </c>
      <c r="T294" s="71">
        <v>4.9379555947131476E-3</v>
      </c>
      <c r="V294" s="114">
        <v>1.1499240399999999</v>
      </c>
      <c r="W294" s="72">
        <v>2.9465780600000002</v>
      </c>
      <c r="X294" s="72">
        <v>4.5748402100000005</v>
      </c>
      <c r="Y294" s="72">
        <v>6.0107551100000007</v>
      </c>
      <c r="Z294" s="115">
        <v>7.8538543399999998</v>
      </c>
    </row>
    <row r="295" spans="2:26" x14ac:dyDescent="0.35">
      <c r="B295" s="55" t="s">
        <v>208</v>
      </c>
      <c r="C295" s="53" t="s">
        <v>234</v>
      </c>
      <c r="D295" s="53" t="s">
        <v>209</v>
      </c>
      <c r="E295" s="53" t="s">
        <v>181</v>
      </c>
      <c r="F295" s="73" t="s">
        <v>21</v>
      </c>
      <c r="G295" s="71">
        <v>3.7674987918266477E-2</v>
      </c>
      <c r="H295" s="71">
        <v>4.5118476756875768E-2</v>
      </c>
      <c r="I295" s="71" t="s">
        <v>21</v>
      </c>
      <c r="J295" s="63" t="s">
        <v>21</v>
      </c>
      <c r="K295" s="71" t="s">
        <v>21</v>
      </c>
      <c r="L295" s="71">
        <v>9.2028065182664723E-3</v>
      </c>
      <c r="M295" s="71">
        <v>1.5916638056875768E-2</v>
      </c>
      <c r="N295" s="71" t="s">
        <v>21</v>
      </c>
      <c r="O295" s="63" t="s">
        <v>21</v>
      </c>
      <c r="P295" s="55" t="s">
        <v>21</v>
      </c>
      <c r="Q295" s="53" t="s">
        <v>21</v>
      </c>
      <c r="R295" s="94" t="s">
        <v>21</v>
      </c>
      <c r="S295" s="71" t="s">
        <v>21</v>
      </c>
      <c r="T295" s="71" t="s">
        <v>21</v>
      </c>
      <c r="V295" s="114">
        <v>1.1461579200000001</v>
      </c>
      <c r="W295" s="72">
        <v>2.9173382500000002</v>
      </c>
      <c r="X295" s="72">
        <v>4.4810392999999999</v>
      </c>
      <c r="Y295" s="72">
        <v>5.8087373199999996</v>
      </c>
      <c r="Z295" s="115">
        <v>7.4145439199999998</v>
      </c>
    </row>
    <row r="296" spans="2:26" x14ac:dyDescent="0.35">
      <c r="B296" s="55" t="s">
        <v>405</v>
      </c>
      <c r="C296" s="53" t="s">
        <v>234</v>
      </c>
      <c r="D296" s="53" t="s">
        <v>405</v>
      </c>
      <c r="E296" s="53" t="s">
        <v>612</v>
      </c>
      <c r="F296" s="73" t="s">
        <v>21</v>
      </c>
      <c r="G296" s="71">
        <v>6.2314133962922319E-2</v>
      </c>
      <c r="H296" s="71">
        <v>7.1710657320562754E-2</v>
      </c>
      <c r="I296" s="71" t="s">
        <v>21</v>
      </c>
      <c r="J296" s="63" t="s">
        <v>21</v>
      </c>
      <c r="K296" s="71" t="s">
        <v>21</v>
      </c>
      <c r="L296" s="71">
        <v>3.2453786262922314E-2</v>
      </c>
      <c r="M296" s="71">
        <v>4.0832204220562732E-2</v>
      </c>
      <c r="N296" s="71" t="s">
        <v>21</v>
      </c>
      <c r="O296" s="63" t="s">
        <v>21</v>
      </c>
      <c r="P296" s="55" t="s">
        <v>613</v>
      </c>
      <c r="Q296" s="53" t="s">
        <v>614</v>
      </c>
      <c r="R296" s="94" t="s">
        <v>32</v>
      </c>
      <c r="S296" s="71">
        <v>6.4161689999999993E-2</v>
      </c>
      <c r="T296" s="71">
        <v>7.5489673205627605E-3</v>
      </c>
      <c r="V296" s="114">
        <v>1.1046311099999999</v>
      </c>
      <c r="W296" s="72">
        <v>2.7121382400000003</v>
      </c>
      <c r="X296" s="72">
        <v>4.0148448300000004</v>
      </c>
      <c r="Y296" s="72">
        <v>5.0369288399999999</v>
      </c>
      <c r="Z296" s="115">
        <v>6.1737565100000005</v>
      </c>
    </row>
    <row r="297" spans="2:26" x14ac:dyDescent="0.35">
      <c r="B297" s="55" t="s">
        <v>210</v>
      </c>
      <c r="C297" s="53" t="s">
        <v>234</v>
      </c>
      <c r="D297" s="53" t="s">
        <v>210</v>
      </c>
      <c r="E297" s="53" t="s">
        <v>615</v>
      </c>
      <c r="F297" s="73" t="s">
        <v>21</v>
      </c>
      <c r="G297" s="71">
        <v>3.5019017809948788E-2</v>
      </c>
      <c r="H297" s="71">
        <v>4.0436412415920255E-2</v>
      </c>
      <c r="I297" s="71" t="s">
        <v>21</v>
      </c>
      <c r="J297" s="63" t="s">
        <v>21</v>
      </c>
      <c r="K297" s="71" t="s">
        <v>21</v>
      </c>
      <c r="L297" s="71">
        <v>6.6448496099487976E-3</v>
      </c>
      <c r="M297" s="71">
        <v>1.1420787715920259E-2</v>
      </c>
      <c r="N297" s="71" t="s">
        <v>21</v>
      </c>
      <c r="O297" s="63" t="s">
        <v>21</v>
      </c>
      <c r="P297" s="55" t="s">
        <v>616</v>
      </c>
      <c r="Q297" s="53" t="s">
        <v>617</v>
      </c>
      <c r="R297" s="94" t="s">
        <v>32</v>
      </c>
      <c r="S297" s="71">
        <v>3.728977E-2</v>
      </c>
      <c r="T297" s="71">
        <v>3.1466424159202547E-3</v>
      </c>
      <c r="V297" s="114">
        <v>1.14900121</v>
      </c>
      <c r="W297" s="72">
        <v>2.9376812399999999</v>
      </c>
      <c r="X297" s="72">
        <v>4.5480384800000007</v>
      </c>
      <c r="Y297" s="72">
        <v>5.96425961</v>
      </c>
      <c r="Z297" s="115">
        <v>7.7774382299999996</v>
      </c>
    </row>
    <row r="298" spans="2:26" x14ac:dyDescent="0.35">
      <c r="B298" s="55" t="s">
        <v>211</v>
      </c>
      <c r="C298" s="53" t="s">
        <v>234</v>
      </c>
      <c r="D298" s="53" t="s">
        <v>211</v>
      </c>
      <c r="E298" s="53" t="s">
        <v>618</v>
      </c>
      <c r="F298" s="73" t="s">
        <v>21</v>
      </c>
      <c r="G298" s="71">
        <v>4.1627020195780212E-2</v>
      </c>
      <c r="H298" s="71">
        <v>4.9836151269253087E-2</v>
      </c>
      <c r="I298" s="71" t="s">
        <v>21</v>
      </c>
      <c r="J298" s="63" t="s">
        <v>21</v>
      </c>
      <c r="K298" s="71" t="s">
        <v>21</v>
      </c>
      <c r="L298" s="71">
        <v>1.2901019795780219E-2</v>
      </c>
      <c r="M298" s="71">
        <v>2.0315219569253085E-2</v>
      </c>
      <c r="N298" s="71" t="s">
        <v>21</v>
      </c>
      <c r="O298" s="63" t="s">
        <v>21</v>
      </c>
      <c r="P298" s="55" t="s">
        <v>619</v>
      </c>
      <c r="Q298" s="53" t="s">
        <v>620</v>
      </c>
      <c r="R298" s="94" t="s">
        <v>32</v>
      </c>
      <c r="S298" s="71">
        <v>6.1685660000000003E-2</v>
      </c>
      <c r="T298" s="71">
        <v>-1.1849508730746916E-2</v>
      </c>
      <c r="V298" s="114">
        <v>1.13967938</v>
      </c>
      <c r="W298" s="72">
        <v>2.8741137299999999</v>
      </c>
      <c r="X298" s="72">
        <v>4.3707429600000003</v>
      </c>
      <c r="Y298" s="72">
        <v>5.6201093899999996</v>
      </c>
      <c r="Z298" s="115">
        <v>7.1306045299999994</v>
      </c>
    </row>
    <row r="299" spans="2:26" x14ac:dyDescent="0.35">
      <c r="B299" s="55" t="s">
        <v>212</v>
      </c>
      <c r="C299" s="53" t="s">
        <v>234</v>
      </c>
      <c r="D299" s="53" t="s">
        <v>212</v>
      </c>
      <c r="E299" s="53" t="s">
        <v>574</v>
      </c>
      <c r="F299" s="73" t="s">
        <v>21</v>
      </c>
      <c r="G299" s="71">
        <v>5.2107041768707001E-2</v>
      </c>
      <c r="H299" s="71">
        <v>6.3268264552211642E-2</v>
      </c>
      <c r="I299" s="71" t="s">
        <v>21</v>
      </c>
      <c r="J299" s="63" t="s">
        <v>21</v>
      </c>
      <c r="K299" s="71" t="s">
        <v>21</v>
      </c>
      <c r="L299" s="71">
        <v>2.2909729068706995E-2</v>
      </c>
      <c r="M299" s="71">
        <v>3.3030350652211653E-2</v>
      </c>
      <c r="N299" s="71" t="s">
        <v>21</v>
      </c>
      <c r="O299" s="63" t="s">
        <v>21</v>
      </c>
      <c r="P299" s="55" t="s">
        <v>621</v>
      </c>
      <c r="Q299" s="53" t="s">
        <v>622</v>
      </c>
      <c r="R299" s="94" t="s">
        <v>32</v>
      </c>
      <c r="S299" s="71">
        <v>5.5514799999999996E-2</v>
      </c>
      <c r="T299" s="71">
        <v>7.753464552211646E-3</v>
      </c>
      <c r="V299" s="114">
        <v>1.1280824599999999</v>
      </c>
      <c r="W299" s="72">
        <v>2.8077372999999999</v>
      </c>
      <c r="X299" s="72">
        <v>4.1942836699999999</v>
      </c>
      <c r="Y299" s="72">
        <v>5.3011309299999994</v>
      </c>
      <c r="Z299" s="115">
        <v>6.5665876400000007</v>
      </c>
    </row>
    <row r="300" spans="2:26" x14ac:dyDescent="0.35">
      <c r="B300" s="55" t="s">
        <v>213</v>
      </c>
      <c r="C300" s="53" t="s">
        <v>234</v>
      </c>
      <c r="D300" s="53" t="s">
        <v>213</v>
      </c>
      <c r="E300" s="53" t="s">
        <v>623</v>
      </c>
      <c r="F300" s="73" t="s">
        <v>21</v>
      </c>
      <c r="G300" s="71">
        <v>5.2266801098338062E-2</v>
      </c>
      <c r="H300" s="71">
        <v>6.2291434251131914E-2</v>
      </c>
      <c r="I300" s="71" t="s">
        <v>21</v>
      </c>
      <c r="J300" s="63" t="s">
        <v>21</v>
      </c>
      <c r="K300" s="71" t="s">
        <v>21</v>
      </c>
      <c r="L300" s="71">
        <v>2.3054591998338061E-2</v>
      </c>
      <c r="M300" s="71">
        <v>3.2113735351131913E-2</v>
      </c>
      <c r="N300" s="71" t="s">
        <v>21</v>
      </c>
      <c r="O300" s="63" t="s">
        <v>21</v>
      </c>
      <c r="P300" s="55" t="s">
        <v>624</v>
      </c>
      <c r="Q300" s="53" t="s">
        <v>625</v>
      </c>
      <c r="R300" s="94" t="s">
        <v>32</v>
      </c>
      <c r="S300" s="71">
        <v>5.4920650000000001E-2</v>
      </c>
      <c r="T300" s="71">
        <v>7.3707842511319122E-3</v>
      </c>
      <c r="V300" s="114">
        <v>1.12813265</v>
      </c>
      <c r="W300" s="72">
        <v>2.8036180700000002</v>
      </c>
      <c r="X300" s="72">
        <v>4.1957592000000004</v>
      </c>
      <c r="Y300" s="72">
        <v>5.3063385300000006</v>
      </c>
      <c r="Z300" s="115">
        <v>6.56274318</v>
      </c>
    </row>
    <row r="301" spans="2:26" x14ac:dyDescent="0.35">
      <c r="B301" s="55" t="s">
        <v>274</v>
      </c>
      <c r="C301" s="53" t="s">
        <v>234</v>
      </c>
      <c r="D301" s="53" t="s">
        <v>274</v>
      </c>
      <c r="E301" s="53" t="s">
        <v>288</v>
      </c>
      <c r="F301" s="73" t="s">
        <v>21</v>
      </c>
      <c r="G301" s="71">
        <v>3.3118118513340733E-2</v>
      </c>
      <c r="H301" s="71">
        <v>3.9697723250397929E-2</v>
      </c>
      <c r="I301" s="71" t="s">
        <v>21</v>
      </c>
      <c r="J301" s="63" t="s">
        <v>21</v>
      </c>
      <c r="K301" s="71" t="s">
        <v>21</v>
      </c>
      <c r="L301" s="71">
        <v>4.8060532133407333E-3</v>
      </c>
      <c r="M301" s="71">
        <v>1.070786705039794E-2</v>
      </c>
      <c r="N301" s="71" t="s">
        <v>21</v>
      </c>
      <c r="O301" s="63" t="s">
        <v>21</v>
      </c>
      <c r="P301" s="55" t="s">
        <v>21</v>
      </c>
      <c r="Q301" s="53" t="s">
        <v>21</v>
      </c>
      <c r="R301" s="94" t="s">
        <v>21</v>
      </c>
      <c r="S301" s="71" t="s">
        <v>21</v>
      </c>
      <c r="T301" s="71" t="s">
        <v>21</v>
      </c>
      <c r="V301" s="114">
        <v>1.15146886</v>
      </c>
      <c r="W301" s="72">
        <v>2.9527053300000001</v>
      </c>
      <c r="X301" s="72">
        <v>4.5746230199999998</v>
      </c>
      <c r="Y301" s="72">
        <v>5.9806507199999999</v>
      </c>
      <c r="Z301" s="115">
        <v>7.7700240300000001</v>
      </c>
    </row>
    <row r="302" spans="2:26" x14ac:dyDescent="0.35">
      <c r="B302" s="55" t="s">
        <v>275</v>
      </c>
      <c r="C302" s="53" t="s">
        <v>234</v>
      </c>
      <c r="D302" s="53" t="s">
        <v>275</v>
      </c>
      <c r="E302" s="53" t="s">
        <v>276</v>
      </c>
      <c r="F302" s="73" t="s">
        <v>21</v>
      </c>
      <c r="G302" s="71">
        <v>3.6846016653797525E-2</v>
      </c>
      <c r="H302" s="71">
        <v>4.3567922963620657E-2</v>
      </c>
      <c r="I302" s="71" t="s">
        <v>21</v>
      </c>
      <c r="J302" s="63" t="s">
        <v>21</v>
      </c>
      <c r="K302" s="71" t="s">
        <v>21</v>
      </c>
      <c r="L302" s="71">
        <v>8.4005611537975276E-3</v>
      </c>
      <c r="M302" s="71">
        <v>1.4429373163620666E-2</v>
      </c>
      <c r="N302" s="71" t="s">
        <v>21</v>
      </c>
      <c r="O302" s="63" t="s">
        <v>21</v>
      </c>
      <c r="P302" s="55" t="s">
        <v>626</v>
      </c>
      <c r="Q302" s="53" t="s">
        <v>627</v>
      </c>
      <c r="R302" s="94" t="s">
        <v>32</v>
      </c>
      <c r="S302" s="71">
        <v>4.1753369999999998E-2</v>
      </c>
      <c r="T302" s="71">
        <v>1.8145529636206595E-3</v>
      </c>
      <c r="V302" s="114">
        <v>1.1494004499999999</v>
      </c>
      <c r="W302" s="72">
        <v>2.9288599799999999</v>
      </c>
      <c r="X302" s="72">
        <v>4.5076726799999998</v>
      </c>
      <c r="Y302" s="72">
        <v>5.8668102099999997</v>
      </c>
      <c r="Z302" s="115">
        <v>7.5658128600000003</v>
      </c>
    </row>
    <row r="303" spans="2:26" x14ac:dyDescent="0.35">
      <c r="B303" s="138" t="s">
        <v>279</v>
      </c>
      <c r="C303" s="139" t="s">
        <v>234</v>
      </c>
      <c r="D303" s="139" t="s">
        <v>279</v>
      </c>
      <c r="E303" s="139" t="s">
        <v>280</v>
      </c>
      <c r="F303" s="140" t="s">
        <v>21</v>
      </c>
      <c r="G303" s="141">
        <v>3.3240996806187022E-2</v>
      </c>
      <c r="H303" s="141">
        <v>3.8711918322956632E-2</v>
      </c>
      <c r="I303" s="141" t="s">
        <v>21</v>
      </c>
      <c r="J303" s="142" t="s">
        <v>21</v>
      </c>
      <c r="K303" s="141" t="s">
        <v>21</v>
      </c>
      <c r="L303" s="141">
        <v>4.9226889061870262E-3</v>
      </c>
      <c r="M303" s="141">
        <v>9.7532792229566376E-3</v>
      </c>
      <c r="N303" s="141" t="s">
        <v>21</v>
      </c>
      <c r="O303" s="142" t="s">
        <v>21</v>
      </c>
      <c r="P303" s="138" t="s">
        <v>628</v>
      </c>
      <c r="Q303" s="139" t="s">
        <v>629</v>
      </c>
      <c r="R303" s="143" t="s">
        <v>32</v>
      </c>
      <c r="S303" s="141">
        <v>3.1957650000000004E-2</v>
      </c>
      <c r="T303" s="141">
        <v>6.7542683229566275E-3</v>
      </c>
      <c r="V303" s="144">
        <v>1.1515918999999999</v>
      </c>
      <c r="W303" s="145">
        <v>2.9516095099999999</v>
      </c>
      <c r="X303" s="145">
        <v>4.5809910799999995</v>
      </c>
      <c r="Y303" s="145">
        <v>6.0189870000000001</v>
      </c>
      <c r="Z303" s="146">
        <v>7.8660971399999999</v>
      </c>
    </row>
    <row r="304" spans="2:26" x14ac:dyDescent="0.35">
      <c r="B304" s="138" t="s">
        <v>281</v>
      </c>
      <c r="C304" s="139" t="s">
        <v>234</v>
      </c>
      <c r="D304" s="139" t="s">
        <v>281</v>
      </c>
      <c r="E304" s="139" t="s">
        <v>48</v>
      </c>
      <c r="F304" s="140" t="s">
        <v>21</v>
      </c>
      <c r="G304" s="141">
        <v>3.975676697807675E-2</v>
      </c>
      <c r="H304" s="141">
        <v>4.7704834543023399E-2</v>
      </c>
      <c r="I304" s="141" t="s">
        <v>21</v>
      </c>
      <c r="J304" s="142" t="s">
        <v>21</v>
      </c>
      <c r="K304" s="141" t="s">
        <v>21</v>
      </c>
      <c r="L304" s="141">
        <v>1.1200298978076742E-2</v>
      </c>
      <c r="M304" s="141">
        <v>1.8384866343023401E-2</v>
      </c>
      <c r="N304" s="141" t="s">
        <v>21</v>
      </c>
      <c r="O304" s="142" t="s">
        <v>21</v>
      </c>
      <c r="P304" s="138" t="s">
        <v>630</v>
      </c>
      <c r="Q304" s="139" t="s">
        <v>631</v>
      </c>
      <c r="R304" s="143" t="s">
        <v>32</v>
      </c>
      <c r="S304" s="141">
        <v>4.6082129999999999E-2</v>
      </c>
      <c r="T304" s="141">
        <v>1.6227045430233997E-3</v>
      </c>
      <c r="V304" s="144">
        <v>1.14520325</v>
      </c>
      <c r="W304" s="145">
        <v>2.9028941700000002</v>
      </c>
      <c r="X304" s="145">
        <v>4.4391897</v>
      </c>
      <c r="Y304" s="145">
        <v>5.7390115000000002</v>
      </c>
      <c r="Z304" s="146">
        <v>7.2919234900000003</v>
      </c>
    </row>
    <row r="305" spans="2:26" x14ac:dyDescent="0.35">
      <c r="B305" s="147" t="s">
        <v>277</v>
      </c>
      <c r="C305" s="148" t="s">
        <v>234</v>
      </c>
      <c r="D305" s="148" t="s">
        <v>278</v>
      </c>
      <c r="E305" s="148" t="s">
        <v>123</v>
      </c>
      <c r="F305" s="149" t="s">
        <v>21</v>
      </c>
      <c r="G305" s="150">
        <v>3.7114359207925912E-2</v>
      </c>
      <c r="H305" s="150">
        <v>4.3121049273059986E-2</v>
      </c>
      <c r="I305" s="150" t="s">
        <v>21</v>
      </c>
      <c r="J305" s="151" t="s">
        <v>21</v>
      </c>
      <c r="K305" s="150" t="s">
        <v>21</v>
      </c>
      <c r="L305" s="150">
        <v>8.6375774079259192E-3</v>
      </c>
      <c r="M305" s="150">
        <v>1.3959642573059986E-2</v>
      </c>
      <c r="N305" s="150" t="s">
        <v>21</v>
      </c>
      <c r="O305" s="151" t="s">
        <v>21</v>
      </c>
      <c r="P305" s="147" t="s">
        <v>632</v>
      </c>
      <c r="Q305" s="148" t="s">
        <v>633</v>
      </c>
      <c r="R305" s="152" t="s">
        <v>32</v>
      </c>
      <c r="S305" s="150">
        <v>3.7862960000000001E-2</v>
      </c>
      <c r="T305" s="150">
        <v>5.2580892730599849E-3</v>
      </c>
      <c r="V305" s="153">
        <v>1.1447694399999999</v>
      </c>
      <c r="W305" s="154">
        <v>2.90954493</v>
      </c>
      <c r="X305" s="154">
        <v>4.4711417000000004</v>
      </c>
      <c r="Y305" s="154">
        <v>5.8144395299999996</v>
      </c>
      <c r="Z305" s="155">
        <v>7.4591885900000001</v>
      </c>
    </row>
    <row r="306" spans="2:26" x14ac:dyDescent="0.35">
      <c r="B306" s="55" t="s">
        <v>214</v>
      </c>
      <c r="C306" s="53" t="s">
        <v>234</v>
      </c>
      <c r="D306" s="53" t="s">
        <v>201</v>
      </c>
      <c r="E306" s="53" t="s">
        <v>295</v>
      </c>
      <c r="F306" s="73" t="s">
        <v>21</v>
      </c>
      <c r="G306" s="71">
        <v>3.7841669813691144E-2</v>
      </c>
      <c r="H306" s="71">
        <v>4.6674903116207436E-2</v>
      </c>
      <c r="I306" s="71" t="s">
        <v>21</v>
      </c>
      <c r="J306" s="63" t="s">
        <v>21</v>
      </c>
      <c r="K306" s="71" t="s">
        <v>21</v>
      </c>
      <c r="L306" s="71">
        <v>9.3379425136911332E-3</v>
      </c>
      <c r="M306" s="71">
        <v>1.7377594416207443E-2</v>
      </c>
      <c r="N306" s="71" t="s">
        <v>21</v>
      </c>
      <c r="O306" s="63" t="s">
        <v>21</v>
      </c>
      <c r="P306" s="55" t="s">
        <v>634</v>
      </c>
      <c r="Q306" s="53" t="s">
        <v>635</v>
      </c>
      <c r="R306" s="94" t="s">
        <v>32</v>
      </c>
      <c r="S306" s="71">
        <v>4.2416140000000005E-2</v>
      </c>
      <c r="T306" s="71">
        <v>4.2587631162074313E-3</v>
      </c>
      <c r="V306" s="114">
        <v>1.1476624799999999</v>
      </c>
      <c r="W306" s="72">
        <v>2.9164165</v>
      </c>
      <c r="X306" s="72">
        <v>4.4596098200000007</v>
      </c>
      <c r="Y306" s="72">
        <v>5.7497673200000001</v>
      </c>
      <c r="Z306" s="115">
        <v>7.2876185700000002</v>
      </c>
    </row>
    <row r="307" spans="2:26" x14ac:dyDescent="0.35">
      <c r="B307" s="55" t="s">
        <v>215</v>
      </c>
      <c r="C307" s="53" t="s">
        <v>234</v>
      </c>
      <c r="D307" s="53" t="s">
        <v>199</v>
      </c>
      <c r="E307" s="53" t="s">
        <v>636</v>
      </c>
      <c r="F307" s="73" t="s">
        <v>21</v>
      </c>
      <c r="G307" s="71">
        <v>5.505318687663454E-2</v>
      </c>
      <c r="H307" s="71">
        <v>6.3862147131730593E-2</v>
      </c>
      <c r="I307" s="71" t="s">
        <v>21</v>
      </c>
      <c r="J307" s="63" t="s">
        <v>21</v>
      </c>
      <c r="K307" s="71" t="s">
        <v>21</v>
      </c>
      <c r="L307" s="71">
        <v>2.5671926076634526E-2</v>
      </c>
      <c r="M307" s="71">
        <v>3.3565638231730588E-2</v>
      </c>
      <c r="N307" s="71" t="s">
        <v>21</v>
      </c>
      <c r="O307" s="63" t="s">
        <v>21</v>
      </c>
      <c r="P307" s="55" t="s">
        <v>21</v>
      </c>
      <c r="Q307" s="53" t="s">
        <v>21</v>
      </c>
      <c r="R307" s="94" t="s">
        <v>21</v>
      </c>
      <c r="S307" s="71" t="s">
        <v>21</v>
      </c>
      <c r="T307" s="71" t="s">
        <v>21</v>
      </c>
      <c r="V307" s="114">
        <v>1.11764705</v>
      </c>
      <c r="W307" s="72">
        <v>2.76921325</v>
      </c>
      <c r="X307" s="72">
        <v>4.14489296</v>
      </c>
      <c r="Y307" s="72">
        <v>5.2337278700000001</v>
      </c>
      <c r="Z307" s="115">
        <v>6.4632400300000006</v>
      </c>
    </row>
    <row r="308" spans="2:26" x14ac:dyDescent="0.35">
      <c r="B308" s="55" t="s">
        <v>282</v>
      </c>
      <c r="C308" s="53" t="s">
        <v>234</v>
      </c>
      <c r="D308" s="53" t="s">
        <v>201</v>
      </c>
      <c r="E308" s="53" t="s">
        <v>133</v>
      </c>
      <c r="F308" s="73" t="s">
        <v>21</v>
      </c>
      <c r="G308" s="71"/>
      <c r="H308" s="71">
        <v>3.6137888593386056E-2</v>
      </c>
      <c r="I308" s="71" t="s">
        <v>21</v>
      </c>
      <c r="J308" s="63" t="s">
        <v>21</v>
      </c>
      <c r="K308" s="71" t="s">
        <v>21</v>
      </c>
      <c r="L308" s="71"/>
      <c r="M308" s="71">
        <v>7.1724327933860533E-3</v>
      </c>
      <c r="N308" s="71" t="s">
        <v>21</v>
      </c>
      <c r="O308" s="63" t="s">
        <v>21</v>
      </c>
      <c r="P308" s="55" t="s">
        <v>296</v>
      </c>
      <c r="Q308" s="53" t="s">
        <v>297</v>
      </c>
      <c r="R308" s="94">
        <v>47581</v>
      </c>
      <c r="S308" s="71">
        <v>3.9770369999999999E-2</v>
      </c>
      <c r="T308" s="71">
        <v>-3.6324814066139438E-3</v>
      </c>
      <c r="V308" s="114">
        <v>1.1492319600000001</v>
      </c>
      <c r="W308" s="72">
        <v>2.94613843</v>
      </c>
      <c r="X308" s="72">
        <v>4.5721341799999999</v>
      </c>
      <c r="Y308" s="72">
        <v>6.0045066799999995</v>
      </c>
      <c r="Z308" s="115">
        <v>7.8162962700000005</v>
      </c>
    </row>
    <row r="309" spans="2:26" x14ac:dyDescent="0.35">
      <c r="B309" s="55" t="s">
        <v>283</v>
      </c>
      <c r="C309" s="53" t="s">
        <v>234</v>
      </c>
      <c r="D309" s="53" t="s">
        <v>197</v>
      </c>
      <c r="E309" s="53" t="s">
        <v>637</v>
      </c>
      <c r="F309" s="73" t="s">
        <v>21</v>
      </c>
      <c r="G309" s="71"/>
      <c r="H309" s="71">
        <v>6.2654027615002217E-2</v>
      </c>
      <c r="I309" s="71" t="s">
        <v>21</v>
      </c>
      <c r="J309" s="63" t="s">
        <v>21</v>
      </c>
      <c r="K309" s="71" t="s">
        <v>21</v>
      </c>
      <c r="L309" s="71"/>
      <c r="M309" s="71">
        <v>3.2414712015002213E-2</v>
      </c>
      <c r="N309" s="71" t="s">
        <v>21</v>
      </c>
      <c r="O309" s="63" t="s">
        <v>21</v>
      </c>
      <c r="P309" s="55" t="s">
        <v>21</v>
      </c>
      <c r="Q309" s="53" t="s">
        <v>21</v>
      </c>
      <c r="R309" s="94" t="s">
        <v>21</v>
      </c>
      <c r="S309" s="71" t="s">
        <v>21</v>
      </c>
      <c r="T309" s="71" t="s">
        <v>21</v>
      </c>
      <c r="V309" s="114">
        <v>1.1177939800000001</v>
      </c>
      <c r="W309" s="72">
        <v>2.7584185400000001</v>
      </c>
      <c r="X309" s="72">
        <v>4.1349065600000001</v>
      </c>
      <c r="Y309" s="72">
        <v>5.2740741200000008</v>
      </c>
      <c r="Z309" s="115">
        <v>6.6379812600000001</v>
      </c>
    </row>
    <row r="310" spans="2:26" x14ac:dyDescent="0.35">
      <c r="B310" s="55" t="s">
        <v>284</v>
      </c>
      <c r="C310" s="53" t="s">
        <v>234</v>
      </c>
      <c r="D310" s="53" t="s">
        <v>197</v>
      </c>
      <c r="E310" s="53" t="s">
        <v>638</v>
      </c>
      <c r="F310" s="73" t="s">
        <v>21</v>
      </c>
      <c r="G310" s="71"/>
      <c r="H310" s="71">
        <v>6.6888242864509589E-2</v>
      </c>
      <c r="I310" s="71" t="s">
        <v>21</v>
      </c>
      <c r="J310" s="63" t="s">
        <v>21</v>
      </c>
      <c r="K310" s="71" t="s">
        <v>21</v>
      </c>
      <c r="L310" s="71"/>
      <c r="M310" s="71">
        <v>3.6731199964509603E-2</v>
      </c>
      <c r="N310" s="71" t="s">
        <v>21</v>
      </c>
      <c r="O310" s="63" t="s">
        <v>21</v>
      </c>
      <c r="P310" s="55" t="s">
        <v>21</v>
      </c>
      <c r="Q310" s="53" t="s">
        <v>21</v>
      </c>
      <c r="R310" s="94" t="s">
        <v>21</v>
      </c>
      <c r="S310" s="71" t="s">
        <v>21</v>
      </c>
      <c r="T310" s="71" t="s">
        <v>21</v>
      </c>
      <c r="V310" s="114">
        <v>1.1208767900000001</v>
      </c>
      <c r="W310" s="72">
        <v>2.78678873</v>
      </c>
      <c r="X310" s="72">
        <v>4.1778065500000006</v>
      </c>
      <c r="Y310" s="72">
        <v>5.2932720699999996</v>
      </c>
      <c r="Z310" s="115">
        <v>6.5370132499999993</v>
      </c>
    </row>
    <row r="311" spans="2:26" x14ac:dyDescent="0.35">
      <c r="B311" s="57" t="s">
        <v>285</v>
      </c>
      <c r="C311" s="53" t="s">
        <v>234</v>
      </c>
      <c r="D311" s="67" t="s">
        <v>197</v>
      </c>
      <c r="E311" s="67" t="s">
        <v>270</v>
      </c>
      <c r="F311" s="74" t="s">
        <v>21</v>
      </c>
      <c r="G311" s="76"/>
      <c r="H311" s="76">
        <v>6.9662462905559663E-2</v>
      </c>
      <c r="I311" s="76" t="s">
        <v>21</v>
      </c>
      <c r="J311" s="64" t="s">
        <v>21</v>
      </c>
      <c r="K311" s="76" t="s">
        <v>21</v>
      </c>
      <c r="L311" s="76"/>
      <c r="M311" s="76">
        <v>3.8582293305559665E-2</v>
      </c>
      <c r="N311" s="76" t="s">
        <v>21</v>
      </c>
      <c r="O311" s="64" t="s">
        <v>21</v>
      </c>
      <c r="P311" s="57" t="s">
        <v>639</v>
      </c>
      <c r="Q311" s="67" t="s">
        <v>640</v>
      </c>
      <c r="R311" s="96">
        <v>47560</v>
      </c>
      <c r="S311" s="76">
        <v>6.5898520000000002E-2</v>
      </c>
      <c r="T311" s="76">
        <v>3.7639429055596613E-3</v>
      </c>
      <c r="V311" s="116">
        <v>1.11216523</v>
      </c>
      <c r="W311" s="108">
        <v>2.7060113800000001</v>
      </c>
      <c r="X311" s="108">
        <v>3.98777669</v>
      </c>
      <c r="Y311" s="108">
        <v>5.0005998500000004</v>
      </c>
      <c r="Z311" s="117">
        <v>6.08251426</v>
      </c>
    </row>
    <row r="312" spans="2:26" x14ac:dyDescent="0.35"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V312" s="66"/>
      <c r="W312" s="66"/>
      <c r="X312" s="66"/>
      <c r="Y312" s="66"/>
      <c r="Z312" s="66"/>
    </row>
    <row r="313" spans="2:26" ht="15.5" x14ac:dyDescent="0.35">
      <c r="B313" s="122" t="s">
        <v>286</v>
      </c>
    </row>
    <row r="314" spans="2:26" x14ac:dyDescent="0.35">
      <c r="B314" s="85" t="s">
        <v>5</v>
      </c>
      <c r="C314" s="84" t="s">
        <v>6</v>
      </c>
      <c r="D314" s="84" t="s">
        <v>7</v>
      </c>
      <c r="E314" s="84" t="s">
        <v>8</v>
      </c>
      <c r="F314" s="83" t="s">
        <v>9</v>
      </c>
      <c r="G314" s="82" t="s">
        <v>10</v>
      </c>
      <c r="H314" s="82" t="s">
        <v>11</v>
      </c>
      <c r="I314" s="82" t="s">
        <v>12</v>
      </c>
      <c r="J314" s="81" t="s">
        <v>13</v>
      </c>
      <c r="K314" s="83" t="s">
        <v>9</v>
      </c>
      <c r="L314" s="82" t="s">
        <v>10</v>
      </c>
      <c r="M314" s="82" t="s">
        <v>11</v>
      </c>
      <c r="N314" s="82" t="s">
        <v>12</v>
      </c>
      <c r="O314" s="81" t="s">
        <v>13</v>
      </c>
      <c r="P314" s="83" t="s">
        <v>14</v>
      </c>
      <c r="Q314" s="82" t="s">
        <v>15</v>
      </c>
      <c r="R314" s="82" t="s">
        <v>16</v>
      </c>
      <c r="S314" s="82" t="s">
        <v>17</v>
      </c>
      <c r="T314" s="82" t="s">
        <v>18</v>
      </c>
      <c r="V314" s="110" t="s">
        <v>9</v>
      </c>
      <c r="W314" s="106" t="s">
        <v>10</v>
      </c>
      <c r="X314" s="106" t="s">
        <v>11</v>
      </c>
      <c r="Y314" s="106" t="s">
        <v>12</v>
      </c>
      <c r="Z314" s="111" t="s">
        <v>13</v>
      </c>
    </row>
    <row r="315" spans="2:26" x14ac:dyDescent="0.35">
      <c r="B315" s="55" t="s">
        <v>641</v>
      </c>
      <c r="C315" s="53" t="s">
        <v>234</v>
      </c>
      <c r="D315" s="53" t="s">
        <v>642</v>
      </c>
      <c r="E315" s="53" t="s">
        <v>643</v>
      </c>
      <c r="F315" s="73">
        <v>2.5540177098444451E-2</v>
      </c>
      <c r="G315" s="71">
        <v>3.3826823543715925E-2</v>
      </c>
      <c r="H315" s="71">
        <v>4.0271195823203654E-2</v>
      </c>
      <c r="I315" s="71">
        <v>4.2884167315889135E-2</v>
      </c>
      <c r="J315" s="63">
        <v>4.5624043207418891E-2</v>
      </c>
      <c r="K315" s="71" t="s">
        <v>21</v>
      </c>
      <c r="L315" s="71">
        <v>5.4515416437159164E-3</v>
      </c>
      <c r="M315" s="71">
        <v>1.1201148423203654E-2</v>
      </c>
      <c r="N315" s="71">
        <v>1.298490211588914E-2</v>
      </c>
      <c r="O315" s="63">
        <v>1.4416303307418891E-2</v>
      </c>
      <c r="P315" s="55" t="s">
        <v>644</v>
      </c>
      <c r="Q315" s="53" t="s">
        <v>645</v>
      </c>
      <c r="R315" s="94">
        <v>47545</v>
      </c>
      <c r="S315" s="71">
        <v>3.2159300000000002E-2</v>
      </c>
      <c r="T315" s="71">
        <v>8.111895823203652E-3</v>
      </c>
      <c r="V315" s="114">
        <v>1.1490652699999999</v>
      </c>
      <c r="W315" s="72">
        <v>2.9345309300000002</v>
      </c>
      <c r="X315" s="72">
        <v>4.5244015499999994</v>
      </c>
      <c r="Y315" s="72">
        <v>5.91154578</v>
      </c>
      <c r="Z315" s="115">
        <v>7.6826451500000008</v>
      </c>
    </row>
    <row r="316" spans="2:26" x14ac:dyDescent="0.35">
      <c r="B316" s="55" t="s">
        <v>646</v>
      </c>
      <c r="C316" s="53" t="e">
        <v>#N/A</v>
      </c>
      <c r="D316" s="53" t="s">
        <v>647</v>
      </c>
      <c r="E316" s="53" t="s">
        <v>266</v>
      </c>
      <c r="F316" s="73">
        <v>2.6275933968004823E-2</v>
      </c>
      <c r="G316" s="71">
        <v>3.4213657027326587E-2</v>
      </c>
      <c r="H316" s="71">
        <v>4.0225807512579419E-2</v>
      </c>
      <c r="I316" s="71">
        <v>4.2690895499271297E-2</v>
      </c>
      <c r="J316" s="63">
        <v>4.5479408703746213E-2</v>
      </c>
      <c r="K316" s="71" t="s">
        <v>21</v>
      </c>
      <c r="L316" s="71">
        <v>5.8264436273265888E-3</v>
      </c>
      <c r="M316" s="71">
        <v>1.1158902812579419E-2</v>
      </c>
      <c r="N316" s="71">
        <v>1.2799384099271296E-2</v>
      </c>
      <c r="O316" s="63">
        <v>1.4274672403746223E-2</v>
      </c>
      <c r="P316" s="55" t="s">
        <v>21</v>
      </c>
      <c r="Q316" s="53" t="s">
        <v>21</v>
      </c>
      <c r="R316" s="94" t="s">
        <v>21</v>
      </c>
      <c r="S316" s="71" t="s">
        <v>21</v>
      </c>
      <c r="T316" s="71" t="s">
        <v>21</v>
      </c>
      <c r="V316" s="114">
        <v>1.14757358</v>
      </c>
      <c r="W316" s="72">
        <v>2.9291124700000002</v>
      </c>
      <c r="X316" s="72">
        <v>4.5185343299999996</v>
      </c>
      <c r="Y316" s="72">
        <v>5.9097292699999997</v>
      </c>
      <c r="Z316" s="115">
        <v>7.6862674100000001</v>
      </c>
    </row>
    <row r="317" spans="2:26" x14ac:dyDescent="0.35">
      <c r="B317" s="55" t="s">
        <v>289</v>
      </c>
      <c r="C317" s="53" t="s">
        <v>234</v>
      </c>
      <c r="D317" s="53" t="s">
        <v>287</v>
      </c>
      <c r="E317" s="53" t="s">
        <v>181</v>
      </c>
      <c r="F317" s="73">
        <v>2.434957753267623E-2</v>
      </c>
      <c r="G317" s="71">
        <v>3.2154315259319485E-2</v>
      </c>
      <c r="H317" s="71">
        <v>3.7569632694555627E-2</v>
      </c>
      <c r="I317" s="71">
        <v>4.0603895257048529E-2</v>
      </c>
      <c r="J317" s="63">
        <v>4.3699045673555606E-2</v>
      </c>
      <c r="K317" s="71" t="s">
        <v>21</v>
      </c>
      <c r="L317" s="71">
        <v>3.8318062593194931E-3</v>
      </c>
      <c r="M317" s="71">
        <v>8.5968215945556245E-3</v>
      </c>
      <c r="N317" s="71">
        <v>1.0789084257048524E-2</v>
      </c>
      <c r="O317" s="63">
        <v>1.2555201473555603E-2</v>
      </c>
      <c r="P317" s="55" t="s">
        <v>648</v>
      </c>
      <c r="Q317" s="53" t="s">
        <v>649</v>
      </c>
      <c r="R317" s="94" t="s">
        <v>32</v>
      </c>
      <c r="S317" s="71">
        <v>3.3295470000000001E-2</v>
      </c>
      <c r="T317" s="71">
        <v>4.2741626945556263E-3</v>
      </c>
      <c r="V317" s="114">
        <v>1.1515076200000001</v>
      </c>
      <c r="W317" s="72">
        <v>2.9504915600000001</v>
      </c>
      <c r="X317" s="72">
        <v>4.5735805900000006</v>
      </c>
      <c r="Y317" s="72">
        <v>5.9965882600000002</v>
      </c>
      <c r="Z317" s="115">
        <v>7.8180318299999998</v>
      </c>
    </row>
    <row r="318" spans="2:26" x14ac:dyDescent="0.35">
      <c r="B318" s="55" t="s">
        <v>650</v>
      </c>
      <c r="C318" s="53" t="s">
        <v>234</v>
      </c>
      <c r="D318" s="53" t="s">
        <v>642</v>
      </c>
      <c r="E318" s="53" t="s">
        <v>651</v>
      </c>
      <c r="F318" s="73">
        <v>2.6061711157894504E-2</v>
      </c>
      <c r="G318" s="71">
        <v>3.5532792170661652E-2</v>
      </c>
      <c r="H318" s="71">
        <v>4.1741408222446139E-2</v>
      </c>
      <c r="I318" s="71">
        <v>4.5179020767461303E-2</v>
      </c>
      <c r="J318" s="63">
        <v>4.9219187069869171E-2</v>
      </c>
      <c r="K318" s="71" t="s">
        <v>21</v>
      </c>
      <c r="L318" s="71">
        <v>7.0918974706616449E-3</v>
      </c>
      <c r="M318" s="71">
        <v>1.2610128722446131E-2</v>
      </c>
      <c r="N318" s="71">
        <v>1.5179386067461307E-2</v>
      </c>
      <c r="O318" s="63">
        <v>1.7871136969869177E-2</v>
      </c>
      <c r="P318" s="55" t="s">
        <v>652</v>
      </c>
      <c r="Q318" s="53" t="s">
        <v>653</v>
      </c>
      <c r="R318" s="94">
        <v>47651</v>
      </c>
      <c r="S318" s="71">
        <v>3.3862830000000003E-2</v>
      </c>
      <c r="T318" s="71">
        <v>7.8785782224461351E-3</v>
      </c>
      <c r="V318" s="114">
        <v>1.1480703800000001</v>
      </c>
      <c r="W318" s="72">
        <v>2.9225072399999998</v>
      </c>
      <c r="X318" s="72">
        <v>4.4936700199999997</v>
      </c>
      <c r="Y318" s="72">
        <v>5.8472730200000003</v>
      </c>
      <c r="Z318" s="115">
        <v>7.522535079999999</v>
      </c>
    </row>
    <row r="319" spans="2:26" x14ac:dyDescent="0.35">
      <c r="B319" s="55" t="s">
        <v>654</v>
      </c>
      <c r="C319" s="53" t="s">
        <v>234</v>
      </c>
      <c r="D319" s="53" t="s">
        <v>642</v>
      </c>
      <c r="E319" s="53" t="s">
        <v>643</v>
      </c>
      <c r="F319" s="73">
        <v>2.6790540399183691E-2</v>
      </c>
      <c r="G319" s="71">
        <v>3.5970771622846218E-2</v>
      </c>
      <c r="H319" s="71">
        <v>4.2452620226086264E-2</v>
      </c>
      <c r="I319" s="71">
        <v>4.5183461615614103E-2</v>
      </c>
      <c r="J319" s="63">
        <v>4.856808152373477E-2</v>
      </c>
      <c r="K319" s="71" t="s">
        <v>21</v>
      </c>
      <c r="L319" s="71">
        <v>7.5167262228462203E-3</v>
      </c>
      <c r="M319" s="71">
        <v>1.3292979926086263E-2</v>
      </c>
      <c r="N319" s="71">
        <v>1.5186118215614108E-2</v>
      </c>
      <c r="O319" s="63">
        <v>1.7245546523734764E-2</v>
      </c>
      <c r="P319" s="55" t="s">
        <v>655</v>
      </c>
      <c r="Q319" s="53" t="s">
        <v>656</v>
      </c>
      <c r="R319" s="94">
        <v>47599</v>
      </c>
      <c r="S319" s="71">
        <v>3.3844739999999998E-2</v>
      </c>
      <c r="T319" s="71">
        <v>8.6078802260862661E-3</v>
      </c>
      <c r="V319" s="114">
        <v>1.1464945600000001</v>
      </c>
      <c r="W319" s="72">
        <v>2.9160166299999997</v>
      </c>
      <c r="X319" s="72">
        <v>4.4789515900000003</v>
      </c>
      <c r="Y319" s="72">
        <v>5.8313157900000006</v>
      </c>
      <c r="Z319" s="115">
        <v>7.5268527299999999</v>
      </c>
    </row>
    <row r="320" spans="2:26" x14ac:dyDescent="0.35">
      <c r="B320" s="57" t="s">
        <v>657</v>
      </c>
      <c r="C320" s="67" t="s">
        <v>234</v>
      </c>
      <c r="D320" s="67" t="s">
        <v>642</v>
      </c>
      <c r="E320" s="67" t="s">
        <v>658</v>
      </c>
      <c r="F320" s="74">
        <v>2.7000172804188281E-2</v>
      </c>
      <c r="G320" s="76">
        <v>3.6793616893545815E-2</v>
      </c>
      <c r="H320" s="76">
        <v>4.2909276872478079E-2</v>
      </c>
      <c r="I320" s="76">
        <v>4.5846968692525712E-2</v>
      </c>
      <c r="J320" s="64">
        <v>4.9092543859912061E-2</v>
      </c>
      <c r="K320" s="76" t="s">
        <v>21</v>
      </c>
      <c r="L320" s="76">
        <v>8.3090643935458102E-3</v>
      </c>
      <c r="M320" s="76">
        <v>1.3730991972478079E-2</v>
      </c>
      <c r="N320" s="76">
        <v>1.5820131892525714E-2</v>
      </c>
      <c r="O320" s="64">
        <v>1.774956635991207E-2</v>
      </c>
      <c r="P320" s="57" t="s">
        <v>659</v>
      </c>
      <c r="Q320" s="67" t="s">
        <v>660</v>
      </c>
      <c r="R320" s="96">
        <v>47490</v>
      </c>
      <c r="S320" s="76">
        <v>3.3710230000000001E-2</v>
      </c>
      <c r="T320" s="76">
        <v>9.1990468724780783E-3</v>
      </c>
      <c r="V320" s="116">
        <v>1.14589596</v>
      </c>
      <c r="W320" s="108">
        <v>2.9096155399999999</v>
      </c>
      <c r="X320" s="108">
        <v>4.4656047599999997</v>
      </c>
      <c r="Y320" s="108">
        <v>5.8085621400000003</v>
      </c>
      <c r="Z320" s="117">
        <v>7.4891050200000002</v>
      </c>
    </row>
  </sheetData>
  <mergeCells count="6">
    <mergeCell ref="V14:Z14"/>
    <mergeCell ref="F3:J3"/>
    <mergeCell ref="K3:O3"/>
    <mergeCell ref="F4:J4"/>
    <mergeCell ref="K4:O4"/>
    <mergeCell ref="V5:Z5"/>
  </mergeCells>
  <conditionalFormatting sqref="F26">
    <cfRule type="colorScale" priority="64">
      <colorScale>
        <cfvo type="min"/>
        <cfvo type="max"/>
        <color rgb="FFFFEF9C"/>
        <color rgb="FF63BE7B"/>
      </colorScale>
    </cfRule>
  </conditionalFormatting>
  <conditionalFormatting sqref="F7:J12">
    <cfRule type="colorScale" priority="68">
      <colorScale>
        <cfvo type="min"/>
        <cfvo type="max"/>
        <color rgb="FFFFEF9C"/>
        <color rgb="FF63BE7B"/>
      </colorScale>
    </cfRule>
  </conditionalFormatting>
  <conditionalFormatting sqref="F16:J21">
    <cfRule type="colorScale" priority="35">
      <colorScale>
        <cfvo type="min"/>
        <cfvo type="max"/>
        <color rgb="FFFFEF9C"/>
        <color rgb="FF63BE7B"/>
      </colorScale>
    </cfRule>
  </conditionalFormatting>
  <conditionalFormatting sqref="F26:J34 F36:J38 F95:J107">
    <cfRule type="cellIs" dxfId="14" priority="67" operator="lessThan">
      <formula>0</formula>
    </cfRule>
  </conditionalFormatting>
  <conditionalFormatting sqref="F26:J105">
    <cfRule type="colorScale" priority="86">
      <colorScale>
        <cfvo type="min"/>
        <cfvo type="max"/>
        <color rgb="FFFFEF9C"/>
        <color rgb="FF63BE7B"/>
      </colorScale>
    </cfRule>
  </conditionalFormatting>
  <conditionalFormatting sqref="F40:J48">
    <cfRule type="cellIs" dxfId="13" priority="66" operator="lessThan">
      <formula>0</formula>
    </cfRule>
  </conditionalFormatting>
  <conditionalFormatting sqref="F46:J46">
    <cfRule type="colorScale" priority="65">
      <colorScale>
        <cfvo type="min"/>
        <cfvo type="max"/>
        <color rgb="FFFFEF9C"/>
        <color rgb="FF63BE7B"/>
      </colorScale>
    </cfRule>
  </conditionalFormatting>
  <conditionalFormatting sqref="F50:J55 F57:J60 F62:J66 F68:J70 F72:J73 F75:J93 F110:J129 F131:J133 F138:J253 F255:J271 F315:J320">
    <cfRule type="cellIs" dxfId="12" priority="69" operator="lessThan">
      <formula>0</formula>
    </cfRule>
  </conditionalFormatting>
  <conditionalFormatting sqref="F74:J74">
    <cfRule type="colorScale" priority="51">
      <colorScale>
        <cfvo type="min"/>
        <cfvo type="max"/>
        <color rgb="FFFFEF9C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  <cfRule type="colorScale" priority="53">
      <colorScale>
        <cfvo type="min"/>
        <cfvo type="max"/>
        <color rgb="FFFFEF9C"/>
        <color rgb="FF63BE7B"/>
      </colorScale>
    </cfRule>
  </conditionalFormatting>
  <conditionalFormatting sqref="F75:J105 F26:J73">
    <cfRule type="colorScale" priority="72">
      <colorScale>
        <cfvo type="min"/>
        <cfvo type="max"/>
        <color rgb="FFFFEF9C"/>
        <color rgb="FF63BE7B"/>
      </colorScale>
    </cfRule>
  </conditionalFormatting>
  <conditionalFormatting sqref="F75:J105 F47:J73 F26:J45">
    <cfRule type="colorScale" priority="71">
      <colorScale>
        <cfvo type="min"/>
        <cfvo type="max"/>
        <color rgb="FFFFEF9C"/>
        <color rgb="FF63BE7B"/>
      </colorScale>
    </cfRule>
  </conditionalFormatting>
  <conditionalFormatting sqref="F75:J129 F26:J73">
    <cfRule type="colorScale" priority="73">
      <colorScale>
        <cfvo type="min"/>
        <cfvo type="max"/>
        <color rgb="FFFFEF9C"/>
        <color rgb="FF63BE7B"/>
      </colorScale>
    </cfRule>
  </conditionalFormatting>
  <conditionalFormatting sqref="F109:J109">
    <cfRule type="colorScale" priority="63">
      <colorScale>
        <cfvo type="min"/>
        <cfvo type="max"/>
        <color rgb="FFFFEF9C"/>
        <color rgb="FF63BE7B"/>
      </colorScale>
    </cfRule>
    <cfRule type="colorScale" priority="62">
      <colorScale>
        <cfvo type="min"/>
        <cfvo type="max"/>
        <color rgb="FFFFEF9C"/>
        <color rgb="FF63BE7B"/>
      </colorScale>
    </cfRule>
  </conditionalFormatting>
  <conditionalFormatting sqref="F110:J129">
    <cfRule type="colorScale" priority="70">
      <colorScale>
        <cfvo type="min"/>
        <cfvo type="max"/>
        <color rgb="FFFFEF9C"/>
        <color rgb="FF63BE7B"/>
      </colorScale>
    </cfRule>
  </conditionalFormatting>
  <conditionalFormatting sqref="F110:J133">
    <cfRule type="colorScale" priority="75">
      <colorScale>
        <cfvo type="min"/>
        <cfvo type="max"/>
        <color rgb="FFFFEF9C"/>
        <color rgb="FF63BE7B"/>
      </colorScale>
    </cfRule>
  </conditionalFormatting>
  <conditionalFormatting sqref="F130:J130">
    <cfRule type="colorScale" priority="60">
      <colorScale>
        <cfvo type="min"/>
        <cfvo type="max"/>
        <color rgb="FFFFEF9C"/>
        <color rgb="FF63BE7B"/>
      </colorScale>
    </cfRule>
    <cfRule type="colorScale" priority="61">
      <colorScale>
        <cfvo type="min"/>
        <cfvo type="max"/>
        <color rgb="FFFFEF9C"/>
        <color rgb="FF63BE7B"/>
      </colorScale>
    </cfRule>
  </conditionalFormatting>
  <conditionalFormatting sqref="F131:J133">
    <cfRule type="colorScale" priority="74">
      <colorScale>
        <cfvo type="min"/>
        <cfvo type="max"/>
        <color rgb="FFFFEF9C"/>
        <color rgb="FF63BE7B"/>
      </colorScale>
    </cfRule>
  </conditionalFormatting>
  <conditionalFormatting sqref="F137:J137">
    <cfRule type="colorScale" priority="59">
      <colorScale>
        <cfvo type="min"/>
        <cfvo type="max"/>
        <color rgb="FFFFEF9C"/>
        <color rgb="FF63BE7B"/>
      </colorScale>
    </cfRule>
    <cfRule type="colorScale" priority="58">
      <colorScale>
        <cfvo type="min"/>
        <cfvo type="max"/>
        <color rgb="FFFFEF9C"/>
        <color rgb="FF63BE7B"/>
      </colorScale>
    </cfRule>
  </conditionalFormatting>
  <conditionalFormatting sqref="F138:J253">
    <cfRule type="colorScale" priority="83">
      <colorScale>
        <cfvo type="min"/>
        <cfvo type="max"/>
        <color rgb="FFFFEF9C"/>
        <color rgb="FF63BE7B"/>
      </colorScale>
    </cfRule>
  </conditionalFormatting>
  <conditionalFormatting sqref="F254:J254">
    <cfRule type="colorScale" priority="57">
      <colorScale>
        <cfvo type="min"/>
        <cfvo type="max"/>
        <color rgb="FFFFEF9C"/>
        <color rgb="FF63BE7B"/>
      </colorScale>
    </cfRule>
    <cfRule type="colorScale" priority="56">
      <colorScale>
        <cfvo type="min"/>
        <cfvo type="max"/>
        <color rgb="FFFFEF9C"/>
        <color rgb="FF63BE7B"/>
      </colorScale>
    </cfRule>
  </conditionalFormatting>
  <conditionalFormatting sqref="F255:J271">
    <cfRule type="colorScale" priority="87">
      <colorScale>
        <cfvo type="min"/>
        <cfvo type="max"/>
        <color rgb="FFFFEF9C"/>
        <color rgb="FF63BE7B"/>
      </colorScale>
    </cfRule>
  </conditionalFormatting>
  <conditionalFormatting sqref="F275:J275 F277:J281">
    <cfRule type="colorScale" priority="55">
      <colorScale>
        <cfvo type="min"/>
        <cfvo type="max"/>
        <color rgb="FFFFEF9C"/>
        <color rgb="FF63BE7B"/>
      </colorScale>
    </cfRule>
  </conditionalFormatting>
  <conditionalFormatting sqref="F275:J281">
    <cfRule type="cellIs" dxfId="11" priority="37" operator="lessThan">
      <formula>0</formula>
    </cfRule>
  </conditionalFormatting>
  <conditionalFormatting sqref="F276:J276">
    <cfRule type="colorScale" priority="38">
      <colorScale>
        <cfvo type="min"/>
        <cfvo type="max"/>
        <color rgb="FFFFEF9C"/>
        <color rgb="FF63BE7B"/>
      </colorScale>
    </cfRule>
  </conditionalFormatting>
  <conditionalFormatting sqref="F285:J294">
    <cfRule type="colorScale" priority="76">
      <colorScale>
        <cfvo type="min"/>
        <cfvo type="max"/>
        <color rgb="FFFFEF9C"/>
        <color rgb="FF63BE7B"/>
      </colorScale>
    </cfRule>
  </conditionalFormatting>
  <conditionalFormatting sqref="F285:J311">
    <cfRule type="cellIs" dxfId="10" priority="31" operator="lessThan">
      <formula>0</formula>
    </cfRule>
  </conditionalFormatting>
  <conditionalFormatting sqref="F295:J298">
    <cfRule type="colorScale" priority="78">
      <colorScale>
        <cfvo type="min"/>
        <cfvo type="max"/>
        <color rgb="FFFFEF9C"/>
        <color rgb="FF63BE7B"/>
      </colorScale>
    </cfRule>
  </conditionalFormatting>
  <conditionalFormatting sqref="F299:J305">
    <cfRule type="colorScale" priority="46">
      <colorScale>
        <cfvo type="min"/>
        <cfvo type="max"/>
        <color rgb="FFFFEF9C"/>
        <color rgb="FF63BE7B"/>
      </colorScale>
    </cfRule>
  </conditionalFormatting>
  <conditionalFormatting sqref="F306:J306">
    <cfRule type="colorScale" priority="32">
      <colorScale>
        <cfvo type="min"/>
        <cfvo type="max"/>
        <color rgb="FFFFEF9C"/>
        <color rgb="FF63BE7B"/>
      </colorScale>
    </cfRule>
  </conditionalFormatting>
  <conditionalFormatting sqref="F307:J310">
    <cfRule type="colorScale" priority="43">
      <colorScale>
        <cfvo type="min"/>
        <cfvo type="max"/>
        <color rgb="FFFFEF9C"/>
        <color rgb="FF63BE7B"/>
      </colorScale>
    </cfRule>
  </conditionalFormatting>
  <conditionalFormatting sqref="F311:J311">
    <cfRule type="colorScale" priority="40">
      <colorScale>
        <cfvo type="min"/>
        <cfvo type="max"/>
        <color rgb="FFFFEF9C"/>
        <color rgb="FF63BE7B"/>
      </colorScale>
    </cfRule>
  </conditionalFormatting>
  <conditionalFormatting sqref="F315:J320">
    <cfRule type="colorScale" priority="80">
      <colorScale>
        <cfvo type="min"/>
        <cfvo type="max"/>
        <color rgb="FFFFEF9C"/>
        <color rgb="FF63BE7B"/>
      </colorScale>
    </cfRule>
  </conditionalFormatting>
  <conditionalFormatting sqref="G285:H311">
    <cfRule type="colorScale" priority="79">
      <colorScale>
        <cfvo type="min"/>
        <cfvo type="max"/>
        <color rgb="FFFFEF9C"/>
        <color rgb="FF63BE7B"/>
      </colorScale>
    </cfRule>
  </conditionalFormatting>
  <conditionalFormatting sqref="G315:H320">
    <cfRule type="colorScale" priority="82">
      <colorScale>
        <cfvo type="min"/>
        <cfvo type="max"/>
        <color rgb="FFFFEF9C"/>
        <color rgb="FF63BE7B"/>
      </colorScale>
    </cfRule>
  </conditionalFormatting>
  <conditionalFormatting sqref="K7:O12">
    <cfRule type="colorScale" priority="50">
      <colorScale>
        <cfvo type="min"/>
        <cfvo type="max"/>
        <color theme="0"/>
        <color theme="8" tint="0.39997558519241921"/>
      </colorScale>
    </cfRule>
  </conditionalFormatting>
  <conditionalFormatting sqref="K16:O21">
    <cfRule type="colorScale" priority="34">
      <colorScale>
        <cfvo type="min"/>
        <cfvo type="max"/>
        <color theme="0"/>
        <color theme="8" tint="0.39997558519241921"/>
      </colorScale>
    </cfRule>
  </conditionalFormatting>
  <conditionalFormatting sqref="K26:O105">
    <cfRule type="colorScale" priority="85">
      <colorScale>
        <cfvo type="min"/>
        <cfvo type="max"/>
        <color theme="0"/>
        <color theme="8" tint="0.39997558519241921"/>
      </colorScale>
    </cfRule>
  </conditionalFormatting>
  <conditionalFormatting sqref="K110:O133">
    <cfRule type="colorScale" priority="49">
      <colorScale>
        <cfvo type="min"/>
        <cfvo type="max"/>
        <color theme="0"/>
        <color theme="8" tint="0.39997558519241921"/>
      </colorScale>
    </cfRule>
  </conditionalFormatting>
  <conditionalFormatting sqref="K138:O253">
    <cfRule type="colorScale" priority="84">
      <colorScale>
        <cfvo type="min"/>
        <cfvo type="max"/>
        <color theme="0"/>
        <color theme="8" tint="0.39997558519241921"/>
      </colorScale>
    </cfRule>
  </conditionalFormatting>
  <conditionalFormatting sqref="K255:O271">
    <cfRule type="colorScale" priority="88">
      <colorScale>
        <cfvo type="min"/>
        <cfvo type="max"/>
        <color theme="0"/>
        <color theme="8" tint="0.39997558519241921"/>
      </colorScale>
    </cfRule>
  </conditionalFormatting>
  <conditionalFormatting sqref="K275:O275 K277:O281">
    <cfRule type="colorScale" priority="48">
      <colorScale>
        <cfvo type="min"/>
        <cfvo type="max"/>
        <color theme="0"/>
        <color theme="8" tint="0.39997558519241921"/>
      </colorScale>
    </cfRule>
  </conditionalFormatting>
  <conditionalFormatting sqref="K276:O276">
    <cfRule type="colorScale" priority="36">
      <colorScale>
        <cfvo type="min"/>
        <cfvo type="max"/>
        <color theme="0"/>
        <color theme="8" tint="0.39997558519241921"/>
      </colorScale>
    </cfRule>
  </conditionalFormatting>
  <conditionalFormatting sqref="K285:O298">
    <cfRule type="colorScale" priority="77">
      <colorScale>
        <cfvo type="min"/>
        <cfvo type="max"/>
        <color theme="0"/>
        <color theme="8" tint="0.39997558519241921"/>
      </colorScale>
    </cfRule>
  </conditionalFormatting>
  <conditionalFormatting sqref="K299:O305">
    <cfRule type="colorScale" priority="47">
      <colorScale>
        <cfvo type="min"/>
        <cfvo type="max"/>
        <color theme="0"/>
        <color theme="8" tint="0.39997558519241921"/>
      </colorScale>
    </cfRule>
  </conditionalFormatting>
  <conditionalFormatting sqref="K306:O306">
    <cfRule type="colorScale" priority="33">
      <colorScale>
        <cfvo type="min"/>
        <cfvo type="max"/>
        <color theme="0"/>
        <color theme="8" tint="0.39997558519241921"/>
      </colorScale>
    </cfRule>
  </conditionalFormatting>
  <conditionalFormatting sqref="K307:O310">
    <cfRule type="colorScale" priority="44">
      <colorScale>
        <cfvo type="min"/>
        <cfvo type="max"/>
        <color theme="0"/>
        <color theme="8" tint="0.39997558519241921"/>
      </colorScale>
    </cfRule>
  </conditionalFormatting>
  <conditionalFormatting sqref="K311:O311">
    <cfRule type="colorScale" priority="41">
      <colorScale>
        <cfvo type="min"/>
        <cfvo type="max"/>
        <color theme="0"/>
        <color theme="8" tint="0.39997558519241921"/>
      </colorScale>
    </cfRule>
  </conditionalFormatting>
  <conditionalFormatting sqref="K315:O320">
    <cfRule type="colorScale" priority="81">
      <colorScale>
        <cfvo type="min"/>
        <cfvo type="max"/>
        <color theme="0"/>
        <color theme="8" tint="0.39997558519241921"/>
      </colorScale>
    </cfRule>
  </conditionalFormatting>
  <conditionalFormatting sqref="T26:T105">
    <cfRule type="colorScale" priority="2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09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0:T133">
    <cfRule type="colorScale" priority="5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1:T12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0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1:T13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4:T13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8:T271">
    <cfRule type="colorScale" priority="30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39:T253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5:T271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5:T281">
    <cfRule type="colorScale" priority="4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6:T311">
    <cfRule type="colorScale" priority="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7:T294 T28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7:T3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5:T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9:T30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7:T31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:T32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2765-69C8-44BA-A919-9C5DD2DB1ECE}">
  <sheetPr codeName="Sheet03"/>
  <dimension ref="B3:Z320"/>
  <sheetViews>
    <sheetView zoomScale="85" zoomScaleNormal="85" workbookViewId="0">
      <selection sqref="A1:XFD1048576"/>
    </sheetView>
  </sheetViews>
  <sheetFormatPr defaultColWidth="9.1796875" defaultRowHeight="14.5" x14ac:dyDescent="0.35"/>
  <cols>
    <col min="1" max="1" width="9.1796875" style="53"/>
    <col min="2" max="2" width="88.08984375" style="53" bestFit="1" customWidth="1"/>
    <col min="3" max="3" width="15" style="53" bestFit="1" customWidth="1"/>
    <col min="4" max="4" width="21.36328125" style="53" bestFit="1" customWidth="1"/>
    <col min="5" max="5" width="18.08984375" style="53" bestFit="1" customWidth="1"/>
    <col min="6" max="7" width="6.1796875" style="53" bestFit="1" customWidth="1"/>
    <col min="8" max="10" width="7.26953125" style="53" bestFit="1" customWidth="1"/>
    <col min="11" max="15" width="6.1796875" style="53" bestFit="1" customWidth="1"/>
    <col min="16" max="16" width="15.08984375" style="53" bestFit="1" customWidth="1"/>
    <col min="17" max="17" width="22.7265625" style="53" bestFit="1" customWidth="1"/>
    <col min="18" max="18" width="13.1796875" style="53" bestFit="1" customWidth="1"/>
    <col min="19" max="19" width="9.1796875" style="53" bestFit="1"/>
    <col min="20" max="20" width="19.08984375" style="53" bestFit="1" customWidth="1"/>
    <col min="21" max="21" width="9.1796875" style="53"/>
    <col min="22" max="31" width="4.7265625" style="53" bestFit="1" customWidth="1"/>
    <col min="32" max="16384" width="9.1796875" style="53"/>
  </cols>
  <sheetData>
    <row r="3" spans="2:26" x14ac:dyDescent="0.35">
      <c r="F3" s="159" t="s">
        <v>222</v>
      </c>
      <c r="G3" s="160"/>
      <c r="H3" s="160"/>
      <c r="I3" s="160"/>
      <c r="J3" s="161"/>
      <c r="K3" s="159" t="s">
        <v>661</v>
      </c>
      <c r="L3" s="160"/>
      <c r="M3" s="160"/>
      <c r="N3" s="160"/>
      <c r="O3" s="161"/>
    </row>
    <row r="4" spans="2:26" x14ac:dyDescent="0.35">
      <c r="F4" s="156" t="s">
        <v>1</v>
      </c>
      <c r="G4" s="157"/>
      <c r="H4" s="157"/>
      <c r="I4" s="157"/>
      <c r="J4" s="158"/>
      <c r="K4" s="156" t="s">
        <v>2</v>
      </c>
      <c r="L4" s="157"/>
      <c r="M4" s="157"/>
      <c r="N4" s="157"/>
      <c r="O4" s="158"/>
    </row>
    <row r="5" spans="2:26" ht="15.5" x14ac:dyDescent="0.35">
      <c r="B5" s="122" t="s">
        <v>224</v>
      </c>
      <c r="C5" s="123"/>
      <c r="D5" s="123"/>
      <c r="E5" s="123"/>
      <c r="F5" s="126"/>
      <c r="G5" s="126"/>
      <c r="H5" s="126"/>
      <c r="I5" s="126"/>
      <c r="J5" s="126"/>
      <c r="K5" s="126"/>
      <c r="L5" s="126"/>
      <c r="M5" s="126"/>
      <c r="N5" s="126"/>
      <c r="O5" s="126"/>
      <c r="Q5" s="126"/>
      <c r="R5" s="126"/>
      <c r="V5" s="156" t="s">
        <v>406</v>
      </c>
      <c r="W5" s="157"/>
      <c r="X5" s="157"/>
      <c r="Y5" s="157"/>
      <c r="Z5" s="158"/>
    </row>
    <row r="6" spans="2:26" x14ac:dyDescent="0.35">
      <c r="B6" s="85" t="s">
        <v>5</v>
      </c>
      <c r="C6" s="84" t="s">
        <v>6</v>
      </c>
      <c r="D6" s="84" t="s">
        <v>7</v>
      </c>
      <c r="E6" s="84" t="s">
        <v>8</v>
      </c>
      <c r="F6" s="83" t="s">
        <v>9</v>
      </c>
      <c r="G6" s="82" t="s">
        <v>10</v>
      </c>
      <c r="H6" s="82" t="s">
        <v>11</v>
      </c>
      <c r="I6" s="82" t="s">
        <v>12</v>
      </c>
      <c r="J6" s="81" t="s">
        <v>13</v>
      </c>
      <c r="K6" s="83" t="s">
        <v>9</v>
      </c>
      <c r="L6" s="82" t="s">
        <v>10</v>
      </c>
      <c r="M6" s="82" t="s">
        <v>11</v>
      </c>
      <c r="N6" s="82" t="s">
        <v>12</v>
      </c>
      <c r="O6" s="81" t="s">
        <v>13</v>
      </c>
      <c r="P6" s="70" t="s">
        <v>14</v>
      </c>
      <c r="Q6" s="58" t="s">
        <v>15</v>
      </c>
      <c r="R6" s="58" t="s">
        <v>16</v>
      </c>
      <c r="S6" s="58" t="s">
        <v>407</v>
      </c>
      <c r="T6" s="58" t="s">
        <v>18</v>
      </c>
      <c r="V6" s="110" t="s">
        <v>9</v>
      </c>
      <c r="W6" s="106" t="s">
        <v>10</v>
      </c>
      <c r="X6" s="106" t="s">
        <v>11</v>
      </c>
      <c r="Y6" s="106" t="s">
        <v>12</v>
      </c>
      <c r="Z6" s="111" t="s">
        <v>13</v>
      </c>
    </row>
    <row r="7" spans="2:26" x14ac:dyDescent="0.35">
      <c r="B7" s="56" t="s">
        <v>19</v>
      </c>
      <c r="C7" s="124"/>
      <c r="D7" s="11" t="s">
        <v>20</v>
      </c>
      <c r="E7" s="124"/>
      <c r="F7" s="75"/>
      <c r="G7" s="80">
        <v>5.0761288044139596E-2</v>
      </c>
      <c r="H7" s="80">
        <v>5.4734032893393257E-2</v>
      </c>
      <c r="I7" s="80">
        <v>5.8055905837971308E-2</v>
      </c>
      <c r="J7" s="62">
        <v>6.2004571178394266E-2</v>
      </c>
      <c r="K7" s="80"/>
      <c r="L7" s="80">
        <v>7.7293979441396031E-3</v>
      </c>
      <c r="M7" s="80">
        <v>1.1627681693393257E-2</v>
      </c>
      <c r="N7" s="80">
        <v>1.4223040237971305E-2</v>
      </c>
      <c r="O7" s="80">
        <v>1.6741153678394273E-2</v>
      </c>
      <c r="P7" s="15"/>
      <c r="Q7" s="133"/>
      <c r="R7" s="133"/>
      <c r="S7" s="133"/>
      <c r="T7" s="16"/>
      <c r="V7" s="17">
        <v>1.1302210700000002</v>
      </c>
      <c r="W7" s="18">
        <v>2.8651184499999998</v>
      </c>
      <c r="X7" s="18">
        <v>4.3861542</v>
      </c>
      <c r="Y7" s="18">
        <v>5.67944373</v>
      </c>
      <c r="Z7" s="19">
        <v>7.2615625000000001</v>
      </c>
    </row>
    <row r="8" spans="2:26" x14ac:dyDescent="0.35">
      <c r="B8" s="55" t="s">
        <v>22</v>
      </c>
      <c r="C8" s="123"/>
      <c r="D8" s="20" t="s">
        <v>23</v>
      </c>
      <c r="E8" s="123"/>
      <c r="F8" s="73">
        <v>4.3897741498684764E-2</v>
      </c>
      <c r="G8" s="71">
        <v>5.1064707783652803E-2</v>
      </c>
      <c r="H8" s="71">
        <v>5.5399308248132523E-2</v>
      </c>
      <c r="I8" s="71">
        <v>5.8717419185902106E-2</v>
      </c>
      <c r="J8" s="63">
        <v>6.2677544940113183E-2</v>
      </c>
      <c r="K8" s="71">
        <v>5.7460229868477094E-4</v>
      </c>
      <c r="L8" s="71">
        <v>8.0092740836528089E-3</v>
      </c>
      <c r="M8" s="71">
        <v>1.2250460448132529E-2</v>
      </c>
      <c r="N8" s="71">
        <v>1.4844642485902108E-2</v>
      </c>
      <c r="O8" s="71">
        <v>1.7378056240113189E-2</v>
      </c>
      <c r="P8" s="24"/>
      <c r="Q8" s="25"/>
      <c r="R8" s="25"/>
      <c r="S8" s="25"/>
      <c r="T8" s="26"/>
      <c r="V8" s="27">
        <v>1.1347345899999999</v>
      </c>
      <c r="W8" s="28">
        <v>2.8691937899999997</v>
      </c>
      <c r="X8" s="28">
        <v>4.3824265599999999</v>
      </c>
      <c r="Y8" s="28">
        <v>5.6657424299999999</v>
      </c>
      <c r="Z8" s="29">
        <v>7.2316057599999999</v>
      </c>
    </row>
    <row r="9" spans="2:26" x14ac:dyDescent="0.35">
      <c r="B9" s="56" t="s">
        <v>24</v>
      </c>
      <c r="C9" s="124"/>
      <c r="D9" s="11" t="s">
        <v>20</v>
      </c>
      <c r="E9" s="124"/>
      <c r="F9" s="75">
        <v>7.0407422603654665E-2</v>
      </c>
      <c r="G9" s="80">
        <v>7.953282561137337E-2</v>
      </c>
      <c r="H9" s="80">
        <v>8.6332846991015427E-2</v>
      </c>
      <c r="I9" s="80"/>
      <c r="J9" s="62"/>
      <c r="K9" s="80">
        <v>2.5797288403654656E-2</v>
      </c>
      <c r="L9" s="80">
        <v>3.4672574011373372E-2</v>
      </c>
      <c r="M9" s="80">
        <v>4.1048756191015431E-2</v>
      </c>
      <c r="N9" s="80"/>
      <c r="O9" s="80"/>
      <c r="P9" s="15"/>
      <c r="Q9" s="133"/>
      <c r="R9" s="133"/>
      <c r="S9" s="133"/>
      <c r="T9" s="16"/>
      <c r="V9" s="17">
        <v>1.0924468999999999</v>
      </c>
      <c r="W9" s="18">
        <v>2.6538738500000001</v>
      </c>
      <c r="X9" s="18">
        <v>3.9055927999999995</v>
      </c>
      <c r="Y9" s="18">
        <v>4.8973240699999998</v>
      </c>
      <c r="Z9" s="19">
        <v>6.0282932300000001</v>
      </c>
    </row>
    <row r="10" spans="2:26" x14ac:dyDescent="0.35">
      <c r="B10" s="57" t="s">
        <v>25</v>
      </c>
      <c r="C10" s="125"/>
      <c r="D10" s="20" t="s">
        <v>23</v>
      </c>
      <c r="E10" s="125"/>
      <c r="F10" s="74">
        <v>6.0645554711871837E-2</v>
      </c>
      <c r="G10" s="76">
        <v>5.4461891684013469E-2</v>
      </c>
      <c r="H10" s="76">
        <v>8.7088696599445029E-2</v>
      </c>
      <c r="I10" s="76">
        <v>9.2131990803475838E-2</v>
      </c>
      <c r="J10" s="64">
        <v>9.8024716945547638E-2</v>
      </c>
      <c r="K10" s="76">
        <v>1.6490997811871855E-2</v>
      </c>
      <c r="L10" s="76">
        <v>1.1230762384013472E-2</v>
      </c>
      <c r="M10" s="76">
        <v>4.144636689944501E-2</v>
      </c>
      <c r="N10" s="76">
        <v>4.5614794503475845E-2</v>
      </c>
      <c r="O10" s="76">
        <v>5.0044552945547646E-2</v>
      </c>
      <c r="P10" s="33"/>
      <c r="Q10" s="134"/>
      <c r="R10" s="134"/>
      <c r="S10" s="134"/>
      <c r="T10" s="34"/>
      <c r="V10" s="27">
        <v>1.12321753</v>
      </c>
      <c r="W10" s="28">
        <v>2.8307361900000001</v>
      </c>
      <c r="X10" s="28">
        <v>4.0301318500000001</v>
      </c>
      <c r="Y10" s="28">
        <v>4.8890289300000003</v>
      </c>
      <c r="Z10" s="29">
        <v>5.7835737900000002</v>
      </c>
    </row>
    <row r="11" spans="2:26" x14ac:dyDescent="0.35">
      <c r="B11" s="55" t="s">
        <v>26</v>
      </c>
      <c r="C11" s="123"/>
      <c r="D11" s="11" t="s">
        <v>23</v>
      </c>
      <c r="E11" s="123"/>
      <c r="F11" s="73">
        <v>4.4308171549483966E-2</v>
      </c>
      <c r="G11" s="71">
        <v>5.146565460310714E-2</v>
      </c>
      <c r="H11" s="71">
        <v>5.6270299438131222E-2</v>
      </c>
      <c r="I11" s="71"/>
      <c r="J11" s="63"/>
      <c r="K11" s="71">
        <v>9.6787604948396586E-4</v>
      </c>
      <c r="L11" s="71">
        <v>8.3971234031071477E-3</v>
      </c>
      <c r="M11" s="71">
        <v>1.3082271638131224E-2</v>
      </c>
      <c r="N11" s="71"/>
      <c r="O11" s="71"/>
      <c r="P11" s="24"/>
      <c r="Q11" s="25"/>
      <c r="R11" s="25"/>
      <c r="S11" s="25"/>
      <c r="T11" s="26"/>
      <c r="V11" s="17">
        <v>1.1232734200000001</v>
      </c>
      <c r="W11" s="18">
        <v>2.83100957</v>
      </c>
      <c r="X11" s="18">
        <v>4.3333909300000002</v>
      </c>
      <c r="Y11" s="18">
        <v>5.5825576199999993</v>
      </c>
      <c r="Z11" s="19">
        <v>7.0621111099999991</v>
      </c>
    </row>
    <row r="12" spans="2:26" x14ac:dyDescent="0.35">
      <c r="B12" s="57" t="s">
        <v>27</v>
      </c>
      <c r="C12" s="125"/>
      <c r="D12" s="35" t="s">
        <v>23</v>
      </c>
      <c r="E12" s="125"/>
      <c r="F12" s="74"/>
      <c r="G12" s="76">
        <v>5.5213993452319018E-2</v>
      </c>
      <c r="H12" s="76">
        <v>6.211643374157616E-2</v>
      </c>
      <c r="I12" s="76"/>
      <c r="J12" s="64">
        <v>7.6486880724930706E-2</v>
      </c>
      <c r="K12" s="76"/>
      <c r="L12" s="76">
        <v>1.2019188852319024E-2</v>
      </c>
      <c r="M12" s="76">
        <v>1.870259134157615E-2</v>
      </c>
      <c r="N12" s="76"/>
      <c r="O12" s="76">
        <v>3.0526293224930695E-2</v>
      </c>
      <c r="P12" s="33"/>
      <c r="Q12" s="134"/>
      <c r="R12" s="134"/>
      <c r="S12" s="134"/>
      <c r="T12" s="34"/>
      <c r="V12" s="36">
        <v>1.1184658700000001</v>
      </c>
      <c r="W12" s="37">
        <v>2.8075566599999999</v>
      </c>
      <c r="X12" s="37">
        <v>4.2815649599999999</v>
      </c>
      <c r="Y12" s="37">
        <v>5.4821660899999998</v>
      </c>
      <c r="Z12" s="38">
        <v>6.8613552300000009</v>
      </c>
    </row>
    <row r="13" spans="2:26" x14ac:dyDescent="0.35">
      <c r="C13" s="123"/>
      <c r="D13" s="123"/>
      <c r="E13" s="123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V13" s="40"/>
      <c r="W13" s="40"/>
      <c r="X13" s="40"/>
      <c r="Y13" s="40"/>
      <c r="Z13" s="40"/>
    </row>
    <row r="14" spans="2:26" ht="15.5" x14ac:dyDescent="0.35">
      <c r="B14" s="122" t="s">
        <v>225</v>
      </c>
      <c r="C14" s="123"/>
      <c r="D14" s="123"/>
      <c r="E14" s="123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Q14" s="126"/>
      <c r="R14" s="126"/>
      <c r="S14" s="126"/>
      <c r="T14" s="126"/>
      <c r="V14" s="156" t="s">
        <v>406</v>
      </c>
      <c r="W14" s="157"/>
      <c r="X14" s="157"/>
      <c r="Y14" s="157"/>
      <c r="Z14" s="158"/>
    </row>
    <row r="15" spans="2:26" x14ac:dyDescent="0.35">
      <c r="B15" s="85" t="s">
        <v>5</v>
      </c>
      <c r="C15" s="84" t="s">
        <v>6</v>
      </c>
      <c r="D15" s="84" t="s">
        <v>7</v>
      </c>
      <c r="E15" s="84" t="s">
        <v>8</v>
      </c>
      <c r="F15" s="83" t="s">
        <v>9</v>
      </c>
      <c r="G15" s="82" t="s">
        <v>10</v>
      </c>
      <c r="H15" s="82" t="s">
        <v>11</v>
      </c>
      <c r="I15" s="82" t="s">
        <v>12</v>
      </c>
      <c r="J15" s="81" t="s">
        <v>13</v>
      </c>
      <c r="K15" s="83" t="s">
        <v>9</v>
      </c>
      <c r="L15" s="82" t="s">
        <v>10</v>
      </c>
      <c r="M15" s="82" t="s">
        <v>11</v>
      </c>
      <c r="N15" s="82" t="s">
        <v>12</v>
      </c>
      <c r="O15" s="81" t="s">
        <v>13</v>
      </c>
      <c r="P15" s="70" t="s">
        <v>14</v>
      </c>
      <c r="Q15" s="58" t="s">
        <v>15</v>
      </c>
      <c r="R15" s="58" t="s">
        <v>16</v>
      </c>
      <c r="S15" s="58" t="s">
        <v>407</v>
      </c>
      <c r="T15" s="58" t="s">
        <v>18</v>
      </c>
      <c r="V15" s="110" t="s">
        <v>9</v>
      </c>
      <c r="W15" s="106" t="s">
        <v>10</v>
      </c>
      <c r="X15" s="106" t="s">
        <v>11</v>
      </c>
      <c r="Y15" s="106" t="s">
        <v>12</v>
      </c>
      <c r="Z15" s="111" t="s">
        <v>13</v>
      </c>
    </row>
    <row r="16" spans="2:26" x14ac:dyDescent="0.35">
      <c r="B16" s="56" t="s">
        <v>19</v>
      </c>
      <c r="C16" s="124"/>
      <c r="D16" s="11" t="s">
        <v>20</v>
      </c>
      <c r="E16" s="124"/>
      <c r="F16" s="75"/>
      <c r="G16" s="80">
        <v>5.3730263129284472E-2</v>
      </c>
      <c r="H16" s="80">
        <v>5.8526935668024749E-2</v>
      </c>
      <c r="I16" s="80">
        <v>6.2434431124257173E-2</v>
      </c>
      <c r="J16" s="62">
        <v>6.6693477996977196E-2</v>
      </c>
      <c r="K16" s="80"/>
      <c r="L16" s="80">
        <v>1.0644108429284474E-2</v>
      </c>
      <c r="M16" s="80">
        <v>1.5343889468024743E-2</v>
      </c>
      <c r="N16" s="80">
        <v>1.8499154424257171E-2</v>
      </c>
      <c r="O16" s="80">
        <v>2.1300214096977209E-2</v>
      </c>
      <c r="P16" s="15"/>
      <c r="Q16" s="133"/>
      <c r="R16" s="133"/>
      <c r="S16" s="133"/>
      <c r="T16" s="16"/>
      <c r="V16" s="17">
        <v>1.1302210700000002</v>
      </c>
      <c r="W16" s="18">
        <v>2.8651184499999998</v>
      </c>
      <c r="X16" s="18">
        <v>4.3861542</v>
      </c>
      <c r="Y16" s="18">
        <v>5.67944373</v>
      </c>
      <c r="Z16" s="19">
        <v>7.2615625000000001</v>
      </c>
    </row>
    <row r="17" spans="2:26" x14ac:dyDescent="0.35">
      <c r="B17" s="55" t="s">
        <v>22</v>
      </c>
      <c r="C17" s="123"/>
      <c r="D17" s="20" t="s">
        <v>23</v>
      </c>
      <c r="E17" s="123"/>
      <c r="F17" s="73">
        <v>4.4977161048504868E-2</v>
      </c>
      <c r="G17" s="71">
        <v>5.4171927736357726E-2</v>
      </c>
      <c r="H17" s="71">
        <v>5.9454427959307186E-2</v>
      </c>
      <c r="I17" s="71">
        <v>6.3328859133580981E-2</v>
      </c>
      <c r="J17" s="63">
        <v>6.7567735223423825E-2</v>
      </c>
      <c r="K17" s="71">
        <v>1.6253396485048756E-3</v>
      </c>
      <c r="L17" s="71">
        <v>1.1057290036357723E-2</v>
      </c>
      <c r="M17" s="71">
        <v>1.6217133859307203E-2</v>
      </c>
      <c r="N17" s="71">
        <v>1.9341086333580983E-2</v>
      </c>
      <c r="O17" s="71">
        <v>2.2125683023423829E-2</v>
      </c>
      <c r="P17" s="24"/>
      <c r="Q17" s="25"/>
      <c r="R17" s="25"/>
      <c r="S17" s="25"/>
      <c r="T17" s="26"/>
      <c r="V17" s="27">
        <v>1.1347345899999999</v>
      </c>
      <c r="W17" s="28">
        <v>2.8691937899999997</v>
      </c>
      <c r="X17" s="28">
        <v>4.3824265599999999</v>
      </c>
      <c r="Y17" s="28">
        <v>5.6657424299999999</v>
      </c>
      <c r="Z17" s="29">
        <v>7.2316057599999999</v>
      </c>
    </row>
    <row r="18" spans="2:26" x14ac:dyDescent="0.35">
      <c r="B18" s="56" t="s">
        <v>24</v>
      </c>
      <c r="C18" s="124"/>
      <c r="D18" s="11" t="s">
        <v>20</v>
      </c>
      <c r="E18" s="124"/>
      <c r="F18" s="75">
        <v>7.7282935317881357E-2</v>
      </c>
      <c r="G18" s="80">
        <v>8.7909254695765354E-2</v>
      </c>
      <c r="H18" s="80">
        <v>9.5208704722599513E-2</v>
      </c>
      <c r="I18" s="80"/>
      <c r="J18" s="62"/>
      <c r="K18" s="80">
        <v>3.2327123717881351E-2</v>
      </c>
      <c r="L18" s="80">
        <v>4.2586469595765349E-2</v>
      </c>
      <c r="M18" s="80">
        <v>4.9376097322599503E-2</v>
      </c>
      <c r="N18" s="80"/>
      <c r="O18" s="80"/>
      <c r="P18" s="15"/>
      <c r="Q18" s="133"/>
      <c r="R18" s="133"/>
      <c r="S18" s="133"/>
      <c r="T18" s="16"/>
      <c r="V18" s="17">
        <v>1.0924468999999999</v>
      </c>
      <c r="W18" s="18">
        <v>2.6538738500000001</v>
      </c>
      <c r="X18" s="18">
        <v>3.9055927999999995</v>
      </c>
      <c r="Y18" s="18">
        <v>4.8973240699999998</v>
      </c>
      <c r="Z18" s="19">
        <v>6.0282932300000001</v>
      </c>
    </row>
    <row r="19" spans="2:26" x14ac:dyDescent="0.35">
      <c r="B19" s="57" t="s">
        <v>25</v>
      </c>
      <c r="C19" s="125"/>
      <c r="D19" s="20" t="s">
        <v>23</v>
      </c>
      <c r="E19" s="125"/>
      <c r="F19" s="74">
        <v>6.7244091841957732E-2</v>
      </c>
      <c r="G19" s="76">
        <v>5.819995736450749E-2</v>
      </c>
      <c r="H19" s="76">
        <v>0.10002877401628091</v>
      </c>
      <c r="I19" s="76">
        <v>0.10456574519756748</v>
      </c>
      <c r="J19" s="64">
        <v>0.10907622233811065</v>
      </c>
      <c r="K19" s="76">
        <v>2.2767701841957748E-2</v>
      </c>
      <c r="L19" s="76">
        <v>1.4856536164507505E-2</v>
      </c>
      <c r="M19" s="76">
        <v>5.3385059516280906E-2</v>
      </c>
      <c r="N19" s="76">
        <v>5.7008151197567469E-2</v>
      </c>
      <c r="O19" s="76">
        <v>6.0056023038110633E-2</v>
      </c>
      <c r="P19" s="33"/>
      <c r="Q19" s="134"/>
      <c r="R19" s="134"/>
      <c r="S19" s="134"/>
      <c r="T19" s="34"/>
      <c r="V19" s="27">
        <v>1.12321753</v>
      </c>
      <c r="W19" s="28">
        <v>2.8307361900000001</v>
      </c>
      <c r="X19" s="28">
        <v>4.0301318500000001</v>
      </c>
      <c r="Y19" s="28">
        <v>4.8890289300000003</v>
      </c>
      <c r="Z19" s="29">
        <v>5.7835737900000002</v>
      </c>
    </row>
    <row r="20" spans="2:26" x14ac:dyDescent="0.35">
      <c r="B20" s="55" t="s">
        <v>26</v>
      </c>
      <c r="C20" s="123"/>
      <c r="D20" s="11" t="s">
        <v>23</v>
      </c>
      <c r="E20" s="123"/>
      <c r="F20" s="73">
        <v>4.5559880847267704E-2</v>
      </c>
      <c r="G20" s="71">
        <v>5.4708229012476524E-2</v>
      </c>
      <c r="H20" s="71">
        <v>6.0532191635413547E-2</v>
      </c>
      <c r="I20" s="71"/>
      <c r="J20" s="63"/>
      <c r="K20" s="71">
        <v>2.1859112472677085E-3</v>
      </c>
      <c r="L20" s="71">
        <v>1.157616961247653E-2</v>
      </c>
      <c r="M20" s="71">
        <v>1.7244855735413556E-2</v>
      </c>
      <c r="N20" s="71"/>
      <c r="O20" s="71"/>
      <c r="P20" s="24"/>
      <c r="Q20" s="25"/>
      <c r="R20" s="25"/>
      <c r="S20" s="25"/>
      <c r="T20" s="26"/>
      <c r="V20" s="17">
        <v>1.1232734200000001</v>
      </c>
      <c r="W20" s="18">
        <v>2.83100957</v>
      </c>
      <c r="X20" s="18">
        <v>4.3333909300000002</v>
      </c>
      <c r="Y20" s="18">
        <v>5.5825576199999993</v>
      </c>
      <c r="Z20" s="19">
        <v>7.0621111099999991</v>
      </c>
    </row>
    <row r="21" spans="2:26" x14ac:dyDescent="0.35">
      <c r="B21" s="57" t="s">
        <v>27</v>
      </c>
      <c r="C21" s="125"/>
      <c r="D21" s="35" t="s">
        <v>23</v>
      </c>
      <c r="E21" s="125"/>
      <c r="F21" s="74"/>
      <c r="G21" s="76">
        <v>5.7557695043605743E-2</v>
      </c>
      <c r="H21" s="76">
        <v>6.5115727086056535E-2</v>
      </c>
      <c r="I21" s="76"/>
      <c r="J21" s="64">
        <v>8.0531146218856223E-2</v>
      </c>
      <c r="K21" s="76"/>
      <c r="L21" s="76">
        <v>1.4319312843605747E-2</v>
      </c>
      <c r="M21" s="76">
        <v>2.1622638286056543E-2</v>
      </c>
      <c r="N21" s="76"/>
      <c r="O21" s="76">
        <v>3.4410725118856227E-2</v>
      </c>
      <c r="P21" s="33"/>
      <c r="Q21" s="134"/>
      <c r="R21" s="134"/>
      <c r="S21" s="134"/>
      <c r="T21" s="34"/>
      <c r="V21" s="36">
        <v>1.1184658700000001</v>
      </c>
      <c r="W21" s="37">
        <v>2.8075566599999999</v>
      </c>
      <c r="X21" s="37">
        <v>4.2815649599999999</v>
      </c>
      <c r="Y21" s="37">
        <v>5.4821660899999998</v>
      </c>
      <c r="Z21" s="38">
        <v>6.8613552300000009</v>
      </c>
    </row>
    <row r="22" spans="2:26" x14ac:dyDescent="0.35">
      <c r="C22" s="123"/>
      <c r="D22" s="123"/>
      <c r="E22" s="123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V22" s="40"/>
      <c r="W22" s="40"/>
      <c r="X22" s="40"/>
      <c r="Y22" s="40"/>
      <c r="Z22" s="40"/>
    </row>
    <row r="23" spans="2:26" ht="15.5" x14ac:dyDescent="0.35">
      <c r="B23" s="122" t="s">
        <v>28</v>
      </c>
      <c r="C23" s="123"/>
      <c r="D23" s="123"/>
      <c r="E23" s="123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V23" s="40"/>
      <c r="W23" s="40"/>
      <c r="X23" s="40"/>
      <c r="Y23" s="40"/>
      <c r="Z23" s="40"/>
    </row>
    <row r="24" spans="2:26" x14ac:dyDescent="0.35">
      <c r="B24" s="85" t="s">
        <v>5</v>
      </c>
      <c r="C24" s="84" t="s">
        <v>6</v>
      </c>
      <c r="D24" s="84" t="s">
        <v>7</v>
      </c>
      <c r="E24" s="84" t="s">
        <v>8</v>
      </c>
      <c r="F24" s="83" t="s">
        <v>9</v>
      </c>
      <c r="G24" s="82" t="s">
        <v>10</v>
      </c>
      <c r="H24" s="82" t="s">
        <v>11</v>
      </c>
      <c r="I24" s="82" t="s">
        <v>12</v>
      </c>
      <c r="J24" s="81" t="s">
        <v>13</v>
      </c>
      <c r="K24" s="83" t="s">
        <v>9</v>
      </c>
      <c r="L24" s="82" t="s">
        <v>10</v>
      </c>
      <c r="M24" s="82" t="s">
        <v>11</v>
      </c>
      <c r="N24" s="82" t="s">
        <v>12</v>
      </c>
      <c r="O24" s="81" t="s">
        <v>13</v>
      </c>
      <c r="P24" s="70" t="s">
        <v>14</v>
      </c>
      <c r="Q24" s="58" t="s">
        <v>15</v>
      </c>
      <c r="R24" s="58" t="s">
        <v>16</v>
      </c>
      <c r="S24" s="58" t="s">
        <v>407</v>
      </c>
      <c r="T24" s="58" t="s">
        <v>18</v>
      </c>
      <c r="V24" s="110" t="s">
        <v>9</v>
      </c>
      <c r="W24" s="106" t="s">
        <v>10</v>
      </c>
      <c r="X24" s="106" t="s">
        <v>11</v>
      </c>
      <c r="Y24" s="106" t="s">
        <v>12</v>
      </c>
      <c r="Z24" s="111" t="s">
        <v>13</v>
      </c>
    </row>
    <row r="25" spans="2:26" x14ac:dyDescent="0.35">
      <c r="B25" s="79" t="s">
        <v>410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9"/>
      <c r="Q25" s="78"/>
      <c r="R25" s="78"/>
      <c r="S25" s="78"/>
      <c r="T25" s="77"/>
      <c r="V25" s="112"/>
      <c r="W25" s="107"/>
      <c r="X25" s="107"/>
      <c r="Y25" s="107"/>
      <c r="Z25" s="113"/>
    </row>
    <row r="26" spans="2:26" x14ac:dyDescent="0.35">
      <c r="B26" s="56" t="s">
        <v>29</v>
      </c>
      <c r="C26" s="53" t="s">
        <v>30</v>
      </c>
      <c r="D26" s="53" t="s">
        <v>31</v>
      </c>
      <c r="E26" s="53" t="s">
        <v>411</v>
      </c>
      <c r="F26" s="75">
        <v>4.2321202172234618E-2</v>
      </c>
      <c r="G26" s="71">
        <v>4.7949717354119237E-2</v>
      </c>
      <c r="H26" s="71">
        <v>5.2167579309114163E-2</v>
      </c>
      <c r="I26" s="71">
        <v>5.452847172001056E-2</v>
      </c>
      <c r="J26" s="63">
        <v>5.7265283223687416E-2</v>
      </c>
      <c r="K26" s="71" t="s">
        <v>21</v>
      </c>
      <c r="L26" s="71">
        <v>5.0077757541192331E-3</v>
      </c>
      <c r="M26" s="71">
        <v>9.1815240091141608E-3</v>
      </c>
      <c r="N26" s="71">
        <v>1.0844976320010569E-2</v>
      </c>
      <c r="O26" s="71">
        <v>1.2170233023687395E-2</v>
      </c>
      <c r="P26" s="55" t="s">
        <v>412</v>
      </c>
      <c r="Q26" s="53" t="s">
        <v>413</v>
      </c>
      <c r="R26" s="94" t="s">
        <v>32</v>
      </c>
      <c r="S26" s="71">
        <v>5.5842219999999998E-2</v>
      </c>
      <c r="T26" s="63">
        <v>-3.6746406908858345E-3</v>
      </c>
      <c r="V26" s="114">
        <v>1.1360858899999999</v>
      </c>
      <c r="W26" s="72">
        <v>2.8869602099999998</v>
      </c>
      <c r="X26" s="72">
        <v>4.4352298699999997</v>
      </c>
      <c r="Y26" s="72">
        <v>5.7695796599999998</v>
      </c>
      <c r="Z26" s="115">
        <v>7.4380211700000007</v>
      </c>
    </row>
    <row r="27" spans="2:26" x14ac:dyDescent="0.35">
      <c r="B27" s="55" t="s">
        <v>29</v>
      </c>
      <c r="C27" s="53" t="s">
        <v>33</v>
      </c>
      <c r="D27" s="53" t="s">
        <v>31</v>
      </c>
      <c r="E27" s="53" t="s">
        <v>34</v>
      </c>
      <c r="F27" s="73">
        <v>4.2734163267908361E-2</v>
      </c>
      <c r="G27" s="71">
        <v>4.9929378387913718E-2</v>
      </c>
      <c r="H27" s="71">
        <v>5.5587269832704192E-2</v>
      </c>
      <c r="I27" s="71">
        <v>5.8813353553725391E-2</v>
      </c>
      <c r="J27" s="63">
        <v>6.2088646431163394E-2</v>
      </c>
      <c r="K27" s="71" t="s">
        <v>21</v>
      </c>
      <c r="L27" s="71">
        <v>6.880194987913724E-3</v>
      </c>
      <c r="M27" s="71">
        <v>1.2411783932704194E-2</v>
      </c>
      <c r="N27" s="71">
        <v>1.4892636853725395E-2</v>
      </c>
      <c r="O27" s="71">
        <v>1.6754744131163391E-2</v>
      </c>
      <c r="P27" s="55" t="s">
        <v>21</v>
      </c>
      <c r="Q27" s="53" t="s">
        <v>21</v>
      </c>
      <c r="R27" s="94" t="s">
        <v>21</v>
      </c>
      <c r="S27" s="71">
        <v>0</v>
      </c>
      <c r="T27" s="63">
        <v>5.5587269832704192E-2</v>
      </c>
      <c r="V27" s="114">
        <v>1.13532246</v>
      </c>
      <c r="W27" s="72">
        <v>2.8734499200000001</v>
      </c>
      <c r="X27" s="72">
        <v>4.3845833000000001</v>
      </c>
      <c r="Y27" s="72">
        <v>5.65710376</v>
      </c>
      <c r="Z27" s="115">
        <v>7.2068122900000002</v>
      </c>
    </row>
    <row r="28" spans="2:26" x14ac:dyDescent="0.35">
      <c r="B28" s="57" t="s">
        <v>29</v>
      </c>
      <c r="C28" s="67" t="s">
        <v>35</v>
      </c>
      <c r="D28" s="67" t="s">
        <v>31</v>
      </c>
      <c r="E28" s="67" t="s">
        <v>339</v>
      </c>
      <c r="F28" s="74">
        <v>4.3736215970341524E-2</v>
      </c>
      <c r="G28" s="76">
        <v>5.2628092579745871E-2</v>
      </c>
      <c r="H28" s="76">
        <v>5.9895922928033404E-2</v>
      </c>
      <c r="I28" s="76">
        <v>6.4077251291030021E-2</v>
      </c>
      <c r="J28" s="64">
        <v>6.81468212375093E-2</v>
      </c>
      <c r="K28" s="71">
        <v>3.7686547034152494E-4</v>
      </c>
      <c r="L28" s="71">
        <v>9.4903267797458758E-3</v>
      </c>
      <c r="M28" s="71">
        <v>1.6568673528033404E-2</v>
      </c>
      <c r="N28" s="71">
        <v>1.9956823891030026E-2</v>
      </c>
      <c r="O28" s="71">
        <v>2.2580062237509305E-2</v>
      </c>
      <c r="P28" s="55" t="s">
        <v>21</v>
      </c>
      <c r="Q28" s="53" t="s">
        <v>21</v>
      </c>
      <c r="R28" s="94" t="s">
        <v>21</v>
      </c>
      <c r="S28" s="71">
        <v>0</v>
      </c>
      <c r="T28" s="63">
        <v>5.9895922928033404E-2</v>
      </c>
      <c r="V28" s="116">
        <v>1.13501853</v>
      </c>
      <c r="W28" s="108">
        <v>2.8674930500000002</v>
      </c>
      <c r="X28" s="108">
        <v>4.3626366599999997</v>
      </c>
      <c r="Y28" s="108">
        <v>5.6091325999999997</v>
      </c>
      <c r="Z28" s="117">
        <v>7.1052651100000004</v>
      </c>
    </row>
    <row r="29" spans="2:26" x14ac:dyDescent="0.35">
      <c r="B29" s="55" t="s">
        <v>37</v>
      </c>
      <c r="C29" s="53" t="s">
        <v>30</v>
      </c>
      <c r="D29" s="53" t="s">
        <v>31</v>
      </c>
      <c r="E29" s="53" t="s">
        <v>339</v>
      </c>
      <c r="F29" s="73">
        <v>4.2775814687094765E-2</v>
      </c>
      <c r="G29" s="71">
        <v>4.8832803447222475E-2</v>
      </c>
      <c r="H29" s="71">
        <v>5.2722616983683093E-2</v>
      </c>
      <c r="I29" s="71">
        <v>5.512166576064953E-2</v>
      </c>
      <c r="J29" s="63">
        <v>5.7823778898600173E-2</v>
      </c>
      <c r="K29" s="71" t="s">
        <v>21</v>
      </c>
      <c r="L29" s="71">
        <v>5.8444166472224803E-3</v>
      </c>
      <c r="M29" s="71">
        <v>9.7067879836830878E-3</v>
      </c>
      <c r="N29" s="71">
        <v>1.1406244460649532E-2</v>
      </c>
      <c r="O29" s="71">
        <v>1.2701150698600158E-2</v>
      </c>
      <c r="P29" s="56" t="s">
        <v>21</v>
      </c>
      <c r="Q29" s="66" t="s">
        <v>21</v>
      </c>
      <c r="R29" s="100" t="s">
        <v>21</v>
      </c>
      <c r="S29" s="80">
        <v>0</v>
      </c>
      <c r="T29" s="62">
        <v>5.2722616983683093E-2</v>
      </c>
      <c r="V29" s="114">
        <v>1.13522324</v>
      </c>
      <c r="W29" s="72">
        <v>2.8800280099999997</v>
      </c>
      <c r="X29" s="72">
        <v>4.42134743</v>
      </c>
      <c r="Y29" s="72">
        <v>5.7477102699999998</v>
      </c>
      <c r="Z29" s="115">
        <v>7.4031288099999992</v>
      </c>
    </row>
    <row r="30" spans="2:26" x14ac:dyDescent="0.35">
      <c r="B30" s="55" t="s">
        <v>37</v>
      </c>
      <c r="C30" s="53" t="s">
        <v>33</v>
      </c>
      <c r="D30" s="53" t="s">
        <v>31</v>
      </c>
      <c r="E30" s="53" t="s">
        <v>38</v>
      </c>
      <c r="F30" s="73">
        <v>4.3217018931321446E-2</v>
      </c>
      <c r="G30" s="71">
        <v>5.0111866982409256E-2</v>
      </c>
      <c r="H30" s="71">
        <v>5.5699342834951884E-2</v>
      </c>
      <c r="I30" s="71">
        <v>5.8829165873079202E-2</v>
      </c>
      <c r="J30" s="63">
        <v>6.2192795868929521E-2</v>
      </c>
      <c r="K30" s="71" t="s">
        <v>21</v>
      </c>
      <c r="L30" s="71">
        <v>7.0553505824092633E-3</v>
      </c>
      <c r="M30" s="71">
        <v>1.2519256734951882E-2</v>
      </c>
      <c r="N30" s="71">
        <v>1.4908666373079209E-2</v>
      </c>
      <c r="O30" s="71">
        <v>1.6852866168929524E-2</v>
      </c>
      <c r="P30" s="55" t="s">
        <v>21</v>
      </c>
      <c r="Q30" s="53" t="s">
        <v>21</v>
      </c>
      <c r="R30" s="94" t="s">
        <v>21</v>
      </c>
      <c r="S30" s="71">
        <v>0</v>
      </c>
      <c r="T30" s="63">
        <v>5.5699342834951884E-2</v>
      </c>
      <c r="V30" s="114">
        <v>1.1343734700000001</v>
      </c>
      <c r="W30" s="72">
        <v>2.8707009999999999</v>
      </c>
      <c r="X30" s="72">
        <v>4.3805735300000004</v>
      </c>
      <c r="Y30" s="72">
        <v>5.6530423500000007</v>
      </c>
      <c r="Z30" s="115">
        <v>7.2012387100000002</v>
      </c>
    </row>
    <row r="31" spans="2:26" x14ac:dyDescent="0.35">
      <c r="B31" s="57" t="s">
        <v>37</v>
      </c>
      <c r="C31" s="67" t="s">
        <v>35</v>
      </c>
      <c r="D31" s="67" t="s">
        <v>31</v>
      </c>
      <c r="E31" s="67" t="s">
        <v>39</v>
      </c>
      <c r="F31" s="74">
        <v>4.3798859358143531E-2</v>
      </c>
      <c r="G31" s="76">
        <v>5.2865698861611576E-2</v>
      </c>
      <c r="H31" s="76">
        <v>6.0087424611796905E-2</v>
      </c>
      <c r="I31" s="76">
        <v>6.4179839176643036E-2</v>
      </c>
      <c r="J31" s="64">
        <v>6.833500189338286E-2</v>
      </c>
      <c r="K31" s="76">
        <v>4.5376625814353734E-4</v>
      </c>
      <c r="L31" s="76">
        <v>9.7242690616115672E-3</v>
      </c>
      <c r="M31" s="76">
        <v>1.6755010811796887E-2</v>
      </c>
      <c r="N31" s="76">
        <v>2.0057829876643049E-2</v>
      </c>
      <c r="O31" s="76">
        <v>2.2760606193382854E-2</v>
      </c>
      <c r="P31" s="57" t="s">
        <v>21</v>
      </c>
      <c r="Q31" s="67" t="s">
        <v>21</v>
      </c>
      <c r="R31" s="96" t="s">
        <v>21</v>
      </c>
      <c r="S31" s="76">
        <v>0</v>
      </c>
      <c r="T31" s="64">
        <v>6.0087424611796905E-2</v>
      </c>
      <c r="V31" s="116">
        <v>1.13484064</v>
      </c>
      <c r="W31" s="108">
        <v>2.8660492799999999</v>
      </c>
      <c r="X31" s="108">
        <v>4.3593371999999997</v>
      </c>
      <c r="Y31" s="108">
        <v>5.6046469800000001</v>
      </c>
      <c r="Z31" s="117">
        <v>7.0978521200000007</v>
      </c>
    </row>
    <row r="32" spans="2:26" x14ac:dyDescent="0.35">
      <c r="B32" s="55" t="s">
        <v>40</v>
      </c>
      <c r="C32" s="53" t="s">
        <v>30</v>
      </c>
      <c r="D32" s="53" t="s">
        <v>31</v>
      </c>
      <c r="E32" s="53" t="s">
        <v>21</v>
      </c>
      <c r="F32" s="73">
        <v>4.3238684972571009E-2</v>
      </c>
      <c r="G32" s="71">
        <v>4.9032307856653426E-2</v>
      </c>
      <c r="H32" s="71">
        <v>5.3248304678761488E-2</v>
      </c>
      <c r="I32" s="71">
        <v>5.6026182074417188E-2</v>
      </c>
      <c r="J32" s="63">
        <v>5.9220068212645458E-2</v>
      </c>
      <c r="K32" s="71" t="s">
        <v>21</v>
      </c>
      <c r="L32" s="71">
        <v>6.0334561566534233E-3</v>
      </c>
      <c r="M32" s="71">
        <v>1.0204415578761488E-2</v>
      </c>
      <c r="N32" s="71">
        <v>1.2262840574417185E-2</v>
      </c>
      <c r="O32" s="71">
        <v>1.4031651312645454E-2</v>
      </c>
      <c r="P32" s="55" t="s">
        <v>21</v>
      </c>
      <c r="Q32" s="53" t="s">
        <v>21</v>
      </c>
      <c r="R32" s="94" t="s">
        <v>21</v>
      </c>
      <c r="S32" s="71">
        <v>0</v>
      </c>
      <c r="T32" s="63">
        <v>5.3248304678761488E-2</v>
      </c>
      <c r="V32" s="114">
        <v>1.1343449999999999</v>
      </c>
      <c r="W32" s="72">
        <v>2.87729912</v>
      </c>
      <c r="X32" s="72">
        <v>4.4132162900000003</v>
      </c>
      <c r="Y32" s="72">
        <v>5.7266928899999998</v>
      </c>
      <c r="Z32" s="115">
        <v>7.3475267999999998</v>
      </c>
    </row>
    <row r="33" spans="2:26" x14ac:dyDescent="0.35">
      <c r="B33" s="55" t="s">
        <v>40</v>
      </c>
      <c r="C33" s="53" t="s">
        <v>33</v>
      </c>
      <c r="D33" s="53" t="s">
        <v>31</v>
      </c>
      <c r="E33" s="53" t="s">
        <v>41</v>
      </c>
      <c r="F33" s="73">
        <v>4.3544954215322625E-2</v>
      </c>
      <c r="G33" s="71">
        <v>5.087934870493984E-2</v>
      </c>
      <c r="H33" s="71">
        <v>5.6962736444903864E-2</v>
      </c>
      <c r="I33" s="71">
        <v>6.063878742482031E-2</v>
      </c>
      <c r="J33" s="63">
        <v>6.4414913088887804E-2</v>
      </c>
      <c r="K33" s="71">
        <v>1.819074153226307E-4</v>
      </c>
      <c r="L33" s="71">
        <v>7.7783105049398418E-3</v>
      </c>
      <c r="M33" s="71">
        <v>1.3707193144903849E-2</v>
      </c>
      <c r="N33" s="71">
        <v>1.6606552324820306E-2</v>
      </c>
      <c r="O33" s="71">
        <v>1.8948555688887803E-2</v>
      </c>
      <c r="P33" s="55" t="s">
        <v>414</v>
      </c>
      <c r="Q33" s="53" t="s">
        <v>415</v>
      </c>
      <c r="R33" s="94">
        <v>47729</v>
      </c>
      <c r="S33" s="71">
        <v>5.3598569999999998E-2</v>
      </c>
      <c r="T33" s="63">
        <v>3.3641664449038655E-3</v>
      </c>
      <c r="V33" s="114">
        <v>1.13377876</v>
      </c>
      <c r="W33" s="72">
        <v>2.8649943600000003</v>
      </c>
      <c r="X33" s="72">
        <v>4.36136035</v>
      </c>
      <c r="Y33" s="72">
        <v>5.60869763</v>
      </c>
      <c r="Z33" s="115">
        <v>7.1042834700000004</v>
      </c>
    </row>
    <row r="34" spans="2:26" x14ac:dyDescent="0.35">
      <c r="B34" s="57" t="s">
        <v>40</v>
      </c>
      <c r="C34" s="67" t="s">
        <v>35</v>
      </c>
      <c r="D34" s="67" t="s">
        <v>31</v>
      </c>
      <c r="E34" s="67" t="s">
        <v>21</v>
      </c>
      <c r="F34" s="74">
        <v>4.4134582281553383E-2</v>
      </c>
      <c r="G34" s="76">
        <v>5.3733021130305481E-2</v>
      </c>
      <c r="H34" s="76">
        <v>6.1658479062820161E-2</v>
      </c>
      <c r="I34" s="76">
        <v>6.6560172937244214E-2</v>
      </c>
      <c r="J34" s="64">
        <v>7.1234507606533382E-2</v>
      </c>
      <c r="K34" s="71">
        <v>7.7209248155338684E-4</v>
      </c>
      <c r="L34" s="71">
        <v>1.0547577930305491E-2</v>
      </c>
      <c r="M34" s="71">
        <v>1.8234694362820152E-2</v>
      </c>
      <c r="N34" s="71">
        <v>2.2294274237244227E-2</v>
      </c>
      <c r="O34" s="71">
        <v>2.5492442906533373E-2</v>
      </c>
      <c r="P34" s="55" t="s">
        <v>21</v>
      </c>
      <c r="Q34" s="53" t="s">
        <v>21</v>
      </c>
      <c r="R34" s="94" t="s">
        <v>21</v>
      </c>
      <c r="S34" s="71"/>
      <c r="T34" s="63"/>
      <c r="V34" s="116">
        <v>1.1343801099999999</v>
      </c>
      <c r="W34" s="108">
        <v>2.8612147800000001</v>
      </c>
      <c r="X34" s="108">
        <v>4.3413930699999996</v>
      </c>
      <c r="Y34" s="108">
        <v>5.5612516100000002</v>
      </c>
      <c r="Z34" s="117">
        <v>7.0010489300000005</v>
      </c>
    </row>
    <row r="35" spans="2:26" x14ac:dyDescent="0.35">
      <c r="B35" s="79" t="s">
        <v>416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9"/>
      <c r="Q35" s="78"/>
      <c r="R35" s="95"/>
      <c r="S35" s="78"/>
      <c r="T35" s="77"/>
      <c r="V35" s="112"/>
      <c r="W35" s="107"/>
      <c r="X35" s="107"/>
      <c r="Y35" s="107"/>
      <c r="Z35" s="113"/>
    </row>
    <row r="36" spans="2:26" x14ac:dyDescent="0.35">
      <c r="B36" s="55" t="s">
        <v>42</v>
      </c>
      <c r="C36" s="53" t="s">
        <v>30</v>
      </c>
      <c r="D36" s="53" t="s">
        <v>43</v>
      </c>
      <c r="E36" s="53" t="s">
        <v>417</v>
      </c>
      <c r="F36" s="73">
        <v>4.2910120830460786E-2</v>
      </c>
      <c r="G36" s="71">
        <v>4.8886433533171986E-2</v>
      </c>
      <c r="H36" s="71">
        <v>5.3445444867505701E-2</v>
      </c>
      <c r="I36" s="71">
        <v>5.6174361649971159E-2</v>
      </c>
      <c r="J36" s="63">
        <v>5.9142682289215841E-2</v>
      </c>
      <c r="K36" s="71" t="s">
        <v>21</v>
      </c>
      <c r="L36" s="71">
        <v>5.894463733171991E-3</v>
      </c>
      <c r="M36" s="71">
        <v>1.0390365367505702E-2</v>
      </c>
      <c r="N36" s="71">
        <v>1.240308804997115E-2</v>
      </c>
      <c r="O36" s="71">
        <v>1.3959132689215836E-2</v>
      </c>
      <c r="P36" s="55" t="s">
        <v>418</v>
      </c>
      <c r="Q36" s="53" t="s">
        <v>419</v>
      </c>
      <c r="R36" s="94" t="s">
        <v>32</v>
      </c>
      <c r="S36" s="71">
        <v>5.3029239999999998E-2</v>
      </c>
      <c r="T36" s="63">
        <v>4.1620486750570257E-4</v>
      </c>
      <c r="V36" s="114">
        <v>1.13497877</v>
      </c>
      <c r="W36" s="72">
        <v>2.8792841</v>
      </c>
      <c r="X36" s="72">
        <v>4.4134024900000002</v>
      </c>
      <c r="Y36" s="72">
        <v>5.7241902400000004</v>
      </c>
      <c r="Z36" s="115">
        <v>7.3460438799999999</v>
      </c>
    </row>
    <row r="37" spans="2:26" x14ac:dyDescent="0.35">
      <c r="B37" s="55" t="s">
        <v>42</v>
      </c>
      <c r="C37" s="53" t="s">
        <v>33</v>
      </c>
      <c r="D37" s="53" t="s">
        <v>43</v>
      </c>
      <c r="E37" s="53" t="s">
        <v>420</v>
      </c>
      <c r="F37" s="73">
        <v>4.2837694191375793E-2</v>
      </c>
      <c r="G37" s="71">
        <v>5.1087611869430179E-2</v>
      </c>
      <c r="H37" s="71">
        <v>5.7265768854821555E-2</v>
      </c>
      <c r="I37" s="71">
        <v>6.1171906477368532E-2</v>
      </c>
      <c r="J37" s="63">
        <v>6.4922848645207282E-2</v>
      </c>
      <c r="K37" s="71" t="s">
        <v>21</v>
      </c>
      <c r="L37" s="71">
        <v>7.9785713694301846E-3</v>
      </c>
      <c r="M37" s="71">
        <v>1.3994555954821556E-2</v>
      </c>
      <c r="N37" s="71">
        <v>1.7108262377368524E-2</v>
      </c>
      <c r="O37" s="71">
        <v>1.9429770445207304E-2</v>
      </c>
      <c r="P37" s="55" t="s">
        <v>421</v>
      </c>
      <c r="Q37" s="53" t="s">
        <v>422</v>
      </c>
      <c r="R37" s="94" t="s">
        <v>32</v>
      </c>
      <c r="S37" s="71">
        <v>5.6898400000000002E-2</v>
      </c>
      <c r="T37" s="63">
        <v>3.6736885482155368E-4</v>
      </c>
      <c r="V37" s="114">
        <v>1.1350689199999999</v>
      </c>
      <c r="W37" s="72">
        <v>2.8658863999999999</v>
      </c>
      <c r="X37" s="72">
        <v>4.3586406100000001</v>
      </c>
      <c r="Y37" s="72">
        <v>5.59841766</v>
      </c>
      <c r="Z37" s="115">
        <v>7.08119576</v>
      </c>
    </row>
    <row r="38" spans="2:26" x14ac:dyDescent="0.35">
      <c r="B38" s="55" t="s">
        <v>42</v>
      </c>
      <c r="C38" s="53" t="s">
        <v>35</v>
      </c>
      <c r="D38" s="53" t="s">
        <v>43</v>
      </c>
      <c r="E38" s="53" t="s">
        <v>423</v>
      </c>
      <c r="F38" s="73">
        <v>4.4486434836216865E-2</v>
      </c>
      <c r="G38" s="71">
        <v>5.460874205933141E-2</v>
      </c>
      <c r="H38" s="71">
        <v>6.3037634978123758E-2</v>
      </c>
      <c r="I38" s="71">
        <v>6.8113725269196901E-2</v>
      </c>
      <c r="J38" s="63">
        <v>7.3287419112578661E-2</v>
      </c>
      <c r="K38" s="71">
        <v>1.1035484362168606E-3</v>
      </c>
      <c r="L38" s="71">
        <v>1.1377052859331414E-2</v>
      </c>
      <c r="M38" s="71">
        <v>1.9529069178123755E-2</v>
      </c>
      <c r="N38" s="71">
        <v>2.3747771269196895E-2</v>
      </c>
      <c r="O38" s="71">
        <v>2.7417593712578649E-2</v>
      </c>
      <c r="P38" s="55" t="s">
        <v>21</v>
      </c>
      <c r="Q38" s="53" t="s">
        <v>21</v>
      </c>
      <c r="R38" s="94" t="s">
        <v>21</v>
      </c>
      <c r="S38" s="71">
        <v>0</v>
      </c>
      <c r="T38" s="63">
        <v>6.3037634978123758E-2</v>
      </c>
      <c r="V38" s="114">
        <v>1.1339082300000001</v>
      </c>
      <c r="W38" s="72">
        <v>2.8563367900000003</v>
      </c>
      <c r="X38" s="72">
        <v>4.3249538300000001</v>
      </c>
      <c r="Y38" s="72">
        <v>5.5281515699999995</v>
      </c>
      <c r="Z38" s="115">
        <v>6.9324200399999993</v>
      </c>
    </row>
    <row r="39" spans="2:26" x14ac:dyDescent="0.35">
      <c r="B39" s="79" t="s">
        <v>45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9"/>
      <c r="Q39" s="78"/>
      <c r="R39" s="95"/>
      <c r="S39" s="78"/>
      <c r="T39" s="77"/>
      <c r="V39" s="112"/>
      <c r="W39" s="107"/>
      <c r="X39" s="107"/>
      <c r="Y39" s="107"/>
      <c r="Z39" s="113"/>
    </row>
    <row r="40" spans="2:26" x14ac:dyDescent="0.35">
      <c r="B40" s="56" t="s">
        <v>46</v>
      </c>
      <c r="C40" s="66" t="s">
        <v>30</v>
      </c>
      <c r="D40" s="66" t="s">
        <v>47</v>
      </c>
      <c r="E40" s="66" t="s">
        <v>424</v>
      </c>
      <c r="F40" s="75">
        <v>4.222445847407659E-2</v>
      </c>
      <c r="G40" s="80">
        <v>4.8558610639050225E-2</v>
      </c>
      <c r="H40" s="80">
        <v>5.3016494760313476E-2</v>
      </c>
      <c r="I40" s="80">
        <v>5.6086677135647703E-2</v>
      </c>
      <c r="J40" s="62">
        <v>5.9472262185270956E-2</v>
      </c>
      <c r="K40" s="71" t="s">
        <v>21</v>
      </c>
      <c r="L40" s="71">
        <v>5.5831311390502208E-3</v>
      </c>
      <c r="M40" s="71">
        <v>9.9840183603134829E-3</v>
      </c>
      <c r="N40" s="71">
        <v>1.2320004935647704E-2</v>
      </c>
      <c r="O40" s="71">
        <v>1.4273818285270959E-2</v>
      </c>
      <c r="P40" s="55" t="s">
        <v>425</v>
      </c>
      <c r="Q40" s="53" t="s">
        <v>426</v>
      </c>
      <c r="R40" s="94" t="s">
        <v>32</v>
      </c>
      <c r="S40" s="71">
        <v>5.0189979999999995E-2</v>
      </c>
      <c r="T40" s="63">
        <v>2.826514760313481E-3</v>
      </c>
      <c r="V40" s="118">
        <v>1.1362903099999999</v>
      </c>
      <c r="W40" s="61">
        <v>2.88355118</v>
      </c>
      <c r="X40" s="61">
        <v>4.4222701500000001</v>
      </c>
      <c r="Y40" s="61">
        <v>5.7345174200000004</v>
      </c>
      <c r="Z40" s="119">
        <v>7.3475124200000002</v>
      </c>
    </row>
    <row r="41" spans="2:26" x14ac:dyDescent="0.35">
      <c r="B41" s="55" t="s">
        <v>46</v>
      </c>
      <c r="C41" s="53" t="s">
        <v>33</v>
      </c>
      <c r="D41" s="53" t="s">
        <v>47</v>
      </c>
      <c r="E41" s="53" t="s">
        <v>427</v>
      </c>
      <c r="F41" s="73">
        <v>4.3006828124580385E-2</v>
      </c>
      <c r="G41" s="71">
        <v>5.0646799487029784E-2</v>
      </c>
      <c r="H41" s="71">
        <v>5.6895867190016818E-2</v>
      </c>
      <c r="I41" s="71">
        <v>6.0574033992299652E-2</v>
      </c>
      <c r="J41" s="63">
        <v>6.4083718638512713E-2</v>
      </c>
      <c r="K41" s="71" t="s">
        <v>21</v>
      </c>
      <c r="L41" s="71">
        <v>7.5576128870297804E-3</v>
      </c>
      <c r="M41" s="71">
        <v>1.3643626090016819E-2</v>
      </c>
      <c r="N41" s="71">
        <v>1.6545742092299642E-2</v>
      </c>
      <c r="O41" s="71">
        <v>1.8638131938512714E-2</v>
      </c>
      <c r="P41" s="55" t="s">
        <v>21</v>
      </c>
      <c r="Q41" s="53" t="s">
        <v>21</v>
      </c>
      <c r="R41" s="94" t="s">
        <v>21</v>
      </c>
      <c r="S41" s="71">
        <v>0</v>
      </c>
      <c r="T41" s="63">
        <v>5.6895867190016818E-2</v>
      </c>
      <c r="V41" s="114">
        <v>1.13481107</v>
      </c>
      <c r="W41" s="72">
        <v>2.8681767000000002</v>
      </c>
      <c r="X41" s="72">
        <v>4.3653911299999999</v>
      </c>
      <c r="Y41" s="72">
        <v>5.6132126600000003</v>
      </c>
      <c r="Z41" s="115">
        <v>7.1153858300000001</v>
      </c>
    </row>
    <row r="42" spans="2:26" x14ac:dyDescent="0.35">
      <c r="B42" s="57" t="s">
        <v>46</v>
      </c>
      <c r="C42" s="67" t="s">
        <v>35</v>
      </c>
      <c r="D42" s="67" t="s">
        <v>47</v>
      </c>
      <c r="E42" s="67" t="s">
        <v>21</v>
      </c>
      <c r="F42" s="74">
        <v>4.4236281861538884E-2</v>
      </c>
      <c r="G42" s="76">
        <v>5.3908138091320938E-2</v>
      </c>
      <c r="H42" s="76">
        <v>6.2157264845199303E-2</v>
      </c>
      <c r="I42" s="76">
        <v>6.7237101275663985E-2</v>
      </c>
      <c r="J42" s="64">
        <v>7.157910602043234E-2</v>
      </c>
      <c r="K42" s="71">
        <v>8.5231356153888434E-4</v>
      </c>
      <c r="L42" s="71">
        <v>1.0705930191320935E-2</v>
      </c>
      <c r="M42" s="71">
        <v>1.8698108845199311E-2</v>
      </c>
      <c r="N42" s="71">
        <v>2.292400957566398E-2</v>
      </c>
      <c r="O42" s="71">
        <v>2.5813305720432344E-2</v>
      </c>
      <c r="P42" s="55" t="s">
        <v>21</v>
      </c>
      <c r="Q42" s="53" t="s">
        <v>21</v>
      </c>
      <c r="R42" s="94" t="s">
        <v>21</v>
      </c>
      <c r="S42" s="71">
        <v>0</v>
      </c>
      <c r="T42" s="63">
        <v>6.2157264845199303E-2</v>
      </c>
      <c r="V42" s="116">
        <v>1.1343249099999999</v>
      </c>
      <c r="W42" s="108">
        <v>2.8603323500000002</v>
      </c>
      <c r="X42" s="108">
        <v>4.3365684900000003</v>
      </c>
      <c r="Y42" s="108">
        <v>5.5491561899999997</v>
      </c>
      <c r="Z42" s="117">
        <v>6.9818319399999993</v>
      </c>
    </row>
    <row r="43" spans="2:26" x14ac:dyDescent="0.35">
      <c r="B43" s="55" t="s">
        <v>49</v>
      </c>
      <c r="C43" s="53" t="s">
        <v>30</v>
      </c>
      <c r="D43" s="53" t="s">
        <v>47</v>
      </c>
      <c r="E43" s="53" t="s">
        <v>356</v>
      </c>
      <c r="F43" s="73">
        <v>4.2013774005941577E-2</v>
      </c>
      <c r="G43" s="71">
        <v>4.7905118462256063E-2</v>
      </c>
      <c r="H43" s="71">
        <v>5.226753735677523E-2</v>
      </c>
      <c r="I43" s="71">
        <v>5.4772498621043261E-2</v>
      </c>
      <c r="J43" s="63">
        <v>5.8260567132181862E-2</v>
      </c>
      <c r="K43" s="71" t="s">
        <v>21</v>
      </c>
      <c r="L43" s="71">
        <v>4.9644384622560649E-3</v>
      </c>
      <c r="M43" s="71">
        <v>9.2755242567752316E-3</v>
      </c>
      <c r="N43" s="71">
        <v>1.1076089821043258E-2</v>
      </c>
      <c r="O43" s="71">
        <v>1.3118795532181857E-2</v>
      </c>
      <c r="P43" s="56" t="s">
        <v>428</v>
      </c>
      <c r="Q43" s="66" t="s">
        <v>429</v>
      </c>
      <c r="R43" s="100" t="s">
        <v>32</v>
      </c>
      <c r="S43" s="80">
        <v>5.1759090000000001E-2</v>
      </c>
      <c r="T43" s="62">
        <v>5.0844735677522956E-4</v>
      </c>
      <c r="V43" s="114">
        <v>1.13668342</v>
      </c>
      <c r="W43" s="72">
        <v>2.8882641600000003</v>
      </c>
      <c r="X43" s="72">
        <v>4.4355240499999997</v>
      </c>
      <c r="Y43" s="72">
        <v>5.7662111999999999</v>
      </c>
      <c r="Z43" s="115">
        <v>7.4108874800000004</v>
      </c>
    </row>
    <row r="44" spans="2:26" x14ac:dyDescent="0.35">
      <c r="B44" s="55" t="s">
        <v>49</v>
      </c>
      <c r="C44" s="53" t="s">
        <v>33</v>
      </c>
      <c r="D44" s="53" t="s">
        <v>47</v>
      </c>
      <c r="E44" s="53" t="s">
        <v>276</v>
      </c>
      <c r="F44" s="73">
        <v>4.2513214924323521E-2</v>
      </c>
      <c r="G44" s="71">
        <v>5.0143846595155521E-2</v>
      </c>
      <c r="H44" s="71">
        <v>5.5997813256880968E-2</v>
      </c>
      <c r="I44" s="71">
        <v>5.9408305893525248E-2</v>
      </c>
      <c r="J44" s="63">
        <v>6.319737619298231E-2</v>
      </c>
      <c r="K44" s="71" t="s">
        <v>21</v>
      </c>
      <c r="L44" s="71">
        <v>7.086712995155519E-3</v>
      </c>
      <c r="M44" s="71">
        <v>1.280134275688097E-2</v>
      </c>
      <c r="N44" s="71">
        <v>1.5454368593525246E-2</v>
      </c>
      <c r="O44" s="71">
        <v>1.7803521092982319E-2</v>
      </c>
      <c r="P44" s="55" t="s">
        <v>430</v>
      </c>
      <c r="Q44" s="53" t="s">
        <v>431</v>
      </c>
      <c r="R44" s="94" t="s">
        <v>32</v>
      </c>
      <c r="S44" s="71">
        <v>5.6466299999999997E-2</v>
      </c>
      <c r="T44" s="63">
        <v>-4.6848674311902871E-4</v>
      </c>
      <c r="V44" s="114">
        <v>1.13569071</v>
      </c>
      <c r="W44" s="72">
        <v>2.8727368100000001</v>
      </c>
      <c r="X44" s="72">
        <v>4.37935243</v>
      </c>
      <c r="Y44" s="72">
        <v>5.64337029</v>
      </c>
      <c r="Z44" s="115">
        <v>7.16718454</v>
      </c>
    </row>
    <row r="45" spans="2:26" x14ac:dyDescent="0.35">
      <c r="B45" s="57" t="s">
        <v>49</v>
      </c>
      <c r="C45" s="67" t="s">
        <v>35</v>
      </c>
      <c r="D45" s="67" t="s">
        <v>47</v>
      </c>
      <c r="E45" s="67" t="s">
        <v>21</v>
      </c>
      <c r="F45" s="74">
        <v>4.3874838053686395E-2</v>
      </c>
      <c r="G45" s="76">
        <v>5.2932183399245172E-2</v>
      </c>
      <c r="H45" s="76">
        <v>6.0582361975005973E-2</v>
      </c>
      <c r="I45" s="76">
        <v>6.548502530584778E-2</v>
      </c>
      <c r="J45" s="64">
        <v>7.0072673048233669E-2</v>
      </c>
      <c r="K45" s="76">
        <v>5.052005536864022E-4</v>
      </c>
      <c r="L45" s="76">
        <v>9.7775561992451722E-3</v>
      </c>
      <c r="M45" s="76">
        <v>1.7214957475005985E-2</v>
      </c>
      <c r="N45" s="76">
        <v>2.1280441305847782E-2</v>
      </c>
      <c r="O45" s="76">
        <v>2.4396472948233671E-2</v>
      </c>
      <c r="P45" s="57" t="s">
        <v>21</v>
      </c>
      <c r="Q45" s="67" t="s">
        <v>21</v>
      </c>
      <c r="R45" s="96" t="s">
        <v>21</v>
      </c>
      <c r="S45" s="76">
        <v>0</v>
      </c>
      <c r="T45" s="64">
        <v>6.0582361975005973E-2</v>
      </c>
      <c r="V45" s="116">
        <v>1.1348445299999999</v>
      </c>
      <c r="W45" s="108">
        <v>2.8657793099999997</v>
      </c>
      <c r="X45" s="108">
        <v>4.3552907899999997</v>
      </c>
      <c r="Y45" s="108">
        <v>5.5868856999999998</v>
      </c>
      <c r="Z45" s="117">
        <v>7.0469977700000008</v>
      </c>
    </row>
    <row r="46" spans="2:26" x14ac:dyDescent="0.35">
      <c r="B46" s="56" t="s">
        <v>50</v>
      </c>
      <c r="C46" s="66" t="s">
        <v>30</v>
      </c>
      <c r="D46" s="66" t="s">
        <v>47</v>
      </c>
      <c r="E46" s="66" t="s">
        <v>181</v>
      </c>
      <c r="F46" s="75">
        <v>4.1819549418272227E-2</v>
      </c>
      <c r="G46" s="80">
        <v>4.7963572730263186E-2</v>
      </c>
      <c r="H46" s="80">
        <v>5.2575688422330055E-2</v>
      </c>
      <c r="I46" s="80">
        <v>5.5366510304915934E-2</v>
      </c>
      <c r="J46" s="62">
        <v>5.8688039082212318E-2</v>
      </c>
      <c r="K46" s="71" t="s">
        <v>21</v>
      </c>
      <c r="L46" s="71">
        <v>5.0205312302631817E-3</v>
      </c>
      <c r="M46" s="71">
        <v>9.5678785223300492E-3</v>
      </c>
      <c r="N46" s="71">
        <v>1.1639669904915936E-2</v>
      </c>
      <c r="O46" s="71">
        <v>1.3528656882212324E-2</v>
      </c>
      <c r="P46" s="55" t="s">
        <v>432</v>
      </c>
      <c r="Q46" s="53" t="s">
        <v>433</v>
      </c>
      <c r="R46" s="94" t="s">
        <v>32</v>
      </c>
      <c r="S46" s="71">
        <v>5.0864560000000003E-2</v>
      </c>
      <c r="T46" s="63">
        <v>1.7111284223300521E-3</v>
      </c>
      <c r="V46" s="118">
        <v>1.1370425900000001</v>
      </c>
      <c r="W46" s="61">
        <v>2.88851236</v>
      </c>
      <c r="X46" s="61">
        <v>4.43252238</v>
      </c>
      <c r="Y46" s="61">
        <v>5.7545214300000005</v>
      </c>
      <c r="Z46" s="119">
        <v>7.3868866199999994</v>
      </c>
    </row>
    <row r="47" spans="2:26" x14ac:dyDescent="0.35">
      <c r="B47" s="55" t="s">
        <v>50</v>
      </c>
      <c r="C47" s="53" t="s">
        <v>33</v>
      </c>
      <c r="D47" s="53" t="s">
        <v>47</v>
      </c>
      <c r="E47" s="53" t="s">
        <v>133</v>
      </c>
      <c r="F47" s="73">
        <v>4.2765561174006692E-2</v>
      </c>
      <c r="G47" s="71">
        <v>5.0367515931517767E-2</v>
      </c>
      <c r="H47" s="71">
        <v>5.6422600689525093E-2</v>
      </c>
      <c r="I47" s="71">
        <v>6.020150711607114E-2</v>
      </c>
      <c r="J47" s="63">
        <v>6.3703272027425484E-2</v>
      </c>
      <c r="K47" s="71" t="s">
        <v>21</v>
      </c>
      <c r="L47" s="71">
        <v>7.2939862315177717E-3</v>
      </c>
      <c r="M47" s="71">
        <v>1.3198503389525091E-2</v>
      </c>
      <c r="N47" s="71">
        <v>1.6196687016071128E-2</v>
      </c>
      <c r="O47" s="71">
        <v>1.8280734927425497E-2</v>
      </c>
      <c r="P47" s="55" t="s">
        <v>434</v>
      </c>
      <c r="Q47" s="53" t="s">
        <v>435</v>
      </c>
      <c r="R47" s="94" t="s">
        <v>32</v>
      </c>
      <c r="S47" s="71">
        <v>5.1435829999999995E-2</v>
      </c>
      <c r="T47" s="63">
        <v>4.9867706895250982E-3</v>
      </c>
      <c r="V47" s="114">
        <v>1.1352658899999999</v>
      </c>
      <c r="W47" s="72">
        <v>2.87066219</v>
      </c>
      <c r="X47" s="72">
        <v>4.3728783299999998</v>
      </c>
      <c r="Y47" s="72">
        <v>5.6260445199999998</v>
      </c>
      <c r="Z47" s="115">
        <v>7.1363910399999995</v>
      </c>
    </row>
    <row r="48" spans="2:26" x14ac:dyDescent="0.35">
      <c r="B48" s="57" t="s">
        <v>50</v>
      </c>
      <c r="C48" s="67" t="s">
        <v>35</v>
      </c>
      <c r="D48" s="67" t="s">
        <v>47</v>
      </c>
      <c r="E48" s="67" t="s">
        <v>21</v>
      </c>
      <c r="F48" s="74">
        <v>4.421575924073496E-2</v>
      </c>
      <c r="G48" s="76">
        <v>5.3725189399603614E-2</v>
      </c>
      <c r="H48" s="76">
        <v>6.1859482300942313E-2</v>
      </c>
      <c r="I48" s="76">
        <v>6.6758918769473485E-2</v>
      </c>
      <c r="J48" s="64">
        <v>7.1349250200650416E-2</v>
      </c>
      <c r="K48" s="71">
        <v>8.3358764073495316E-4</v>
      </c>
      <c r="L48" s="71">
        <v>1.0532462099603613E-2</v>
      </c>
      <c r="M48" s="71">
        <v>1.8418358600942313E-2</v>
      </c>
      <c r="N48" s="71">
        <v>2.247609966947349E-2</v>
      </c>
      <c r="O48" s="71">
        <v>2.5596688000650434E-2</v>
      </c>
      <c r="P48" s="55" t="s">
        <v>21</v>
      </c>
      <c r="Q48" s="53" t="s">
        <v>21</v>
      </c>
      <c r="R48" s="94" t="s">
        <v>21</v>
      </c>
      <c r="S48" s="71"/>
      <c r="T48" s="63"/>
      <c r="V48" s="116">
        <v>1.1343492900000001</v>
      </c>
      <c r="W48" s="108">
        <v>2.8612243500000001</v>
      </c>
      <c r="X48" s="108">
        <v>4.3399690099999999</v>
      </c>
      <c r="Y48" s="108">
        <v>5.5575987799999993</v>
      </c>
      <c r="Z48" s="117">
        <v>6.9951914200000003</v>
      </c>
    </row>
    <row r="49" spans="2:26" x14ac:dyDescent="0.35">
      <c r="B49" s="79" t="s">
        <v>51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9"/>
      <c r="Q49" s="78"/>
      <c r="R49" s="95"/>
      <c r="S49" s="78"/>
      <c r="T49" s="77"/>
      <c r="V49" s="112"/>
      <c r="W49" s="107"/>
      <c r="X49" s="107"/>
      <c r="Y49" s="107"/>
      <c r="Z49" s="113"/>
    </row>
    <row r="50" spans="2:26" x14ac:dyDescent="0.35">
      <c r="B50" s="56" t="s">
        <v>52</v>
      </c>
      <c r="C50" s="66" t="s">
        <v>30</v>
      </c>
      <c r="D50" s="66" t="s">
        <v>53</v>
      </c>
      <c r="E50" s="66" t="s">
        <v>57</v>
      </c>
      <c r="F50" s="75">
        <v>4.3023879375792877E-2</v>
      </c>
      <c r="G50" s="80">
        <v>4.8793392400513474E-2</v>
      </c>
      <c r="H50" s="80">
        <v>5.2826770550503145E-2</v>
      </c>
      <c r="I50" s="80">
        <v>5.5321219250498835E-2</v>
      </c>
      <c r="J50" s="62">
        <v>5.8308907454419405E-2</v>
      </c>
      <c r="K50" s="71" t="s">
        <v>21</v>
      </c>
      <c r="L50" s="71">
        <v>5.8061677005134781E-3</v>
      </c>
      <c r="M50" s="71">
        <v>9.8048139505031405E-3</v>
      </c>
      <c r="N50" s="71">
        <v>1.1594880350498835E-2</v>
      </c>
      <c r="O50" s="71">
        <v>1.3163088254419399E-2</v>
      </c>
      <c r="P50" s="55" t="s">
        <v>436</v>
      </c>
      <c r="Q50" s="53" t="s">
        <v>437</v>
      </c>
      <c r="R50" s="94" t="s">
        <v>32</v>
      </c>
      <c r="S50" s="71">
        <v>4.9760689999999996E-2</v>
      </c>
      <c r="T50" s="63">
        <v>3.0660805505031488E-3</v>
      </c>
      <c r="V50" s="118">
        <v>1.1347665</v>
      </c>
      <c r="W50" s="61">
        <v>2.8794971499999997</v>
      </c>
      <c r="X50" s="61">
        <v>4.4199530200000003</v>
      </c>
      <c r="Y50" s="61">
        <v>5.7434459700000007</v>
      </c>
      <c r="Z50" s="119">
        <v>7.3871535899999996</v>
      </c>
    </row>
    <row r="51" spans="2:26" x14ac:dyDescent="0.35">
      <c r="B51" s="55" t="s">
        <v>52</v>
      </c>
      <c r="C51" s="53" t="s">
        <v>33</v>
      </c>
      <c r="D51" s="53" t="s">
        <v>53</v>
      </c>
      <c r="E51" s="53" t="s">
        <v>58</v>
      </c>
      <c r="F51" s="73">
        <v>4.347794131135102E-2</v>
      </c>
      <c r="G51" s="71">
        <v>5.0384115170426992E-2</v>
      </c>
      <c r="H51" s="71">
        <v>5.6227309596958347E-2</v>
      </c>
      <c r="I51" s="71">
        <v>5.953829161198286E-2</v>
      </c>
      <c r="J51" s="63">
        <v>6.3012684022305143E-2</v>
      </c>
      <c r="K51" s="71">
        <v>1.1619551135102699E-4</v>
      </c>
      <c r="L51" s="71">
        <v>7.3097721704269928E-3</v>
      </c>
      <c r="M51" s="71">
        <v>1.3014662896958346E-2</v>
      </c>
      <c r="N51" s="71">
        <v>1.5573653511982859E-2</v>
      </c>
      <c r="O51" s="71">
        <v>1.7626223722305143E-2</v>
      </c>
      <c r="P51" s="55" t="s">
        <v>438</v>
      </c>
      <c r="Q51" s="53" t="s">
        <v>439</v>
      </c>
      <c r="R51" s="94" t="s">
        <v>32</v>
      </c>
      <c r="S51" s="71">
        <v>5.2173030000000002E-2</v>
      </c>
      <c r="T51" s="63">
        <v>4.0542795969583448E-3</v>
      </c>
      <c r="V51" s="114">
        <v>1.1339169499999999</v>
      </c>
      <c r="W51" s="72">
        <v>2.86826911</v>
      </c>
      <c r="X51" s="72">
        <v>4.3726359700000001</v>
      </c>
      <c r="Y51" s="72">
        <v>5.63517885</v>
      </c>
      <c r="Z51" s="115">
        <v>7.1638384400000001</v>
      </c>
    </row>
    <row r="52" spans="2:26" x14ac:dyDescent="0.35">
      <c r="B52" s="57" t="s">
        <v>52</v>
      </c>
      <c r="C52" s="67" t="s">
        <v>35</v>
      </c>
      <c r="D52" s="67" t="s">
        <v>53</v>
      </c>
      <c r="E52" s="67" t="s">
        <v>351</v>
      </c>
      <c r="F52" s="74">
        <v>4.4217256306390403E-2</v>
      </c>
      <c r="G52" s="76">
        <v>5.3748336788796314E-2</v>
      </c>
      <c r="H52" s="76">
        <v>6.1668787566274863E-2</v>
      </c>
      <c r="I52" s="76">
        <v>6.6568359592275889E-2</v>
      </c>
      <c r="J52" s="64">
        <v>7.0906977080435876E-2</v>
      </c>
      <c r="K52" s="71">
        <v>8.3666840639040358E-4</v>
      </c>
      <c r="L52" s="71">
        <v>1.0555239888796312E-2</v>
      </c>
      <c r="M52" s="71">
        <v>1.8239349366274863E-2</v>
      </c>
      <c r="N52" s="71">
        <v>2.2297697492275882E-2</v>
      </c>
      <c r="O52" s="71">
        <v>2.5181288680435877E-2</v>
      </c>
      <c r="P52" s="55" t="s">
        <v>21</v>
      </c>
      <c r="Q52" s="53" t="s">
        <v>21</v>
      </c>
      <c r="R52" s="94" t="s">
        <v>21</v>
      </c>
      <c r="S52" s="71">
        <v>0</v>
      </c>
      <c r="T52" s="63">
        <v>6.1668787566274863E-2</v>
      </c>
      <c r="V52" s="116">
        <v>1.1343385799999999</v>
      </c>
      <c r="W52" s="108">
        <v>2.8610954300000002</v>
      </c>
      <c r="X52" s="108">
        <v>4.3412581100000001</v>
      </c>
      <c r="Y52" s="108">
        <v>5.5611031200000003</v>
      </c>
      <c r="Z52" s="117">
        <v>7.0062999900000005</v>
      </c>
    </row>
    <row r="53" spans="2:26" x14ac:dyDescent="0.35">
      <c r="B53" s="55" t="s">
        <v>56</v>
      </c>
      <c r="C53" s="53" t="s">
        <v>30</v>
      </c>
      <c r="D53" s="53" t="s">
        <v>53</v>
      </c>
      <c r="E53" s="53" t="s">
        <v>440</v>
      </c>
      <c r="F53" s="73">
        <v>4.2625418949418577E-2</v>
      </c>
      <c r="G53" s="71">
        <v>4.8727054897729973E-2</v>
      </c>
      <c r="H53" s="71">
        <v>5.2820779240056494E-2</v>
      </c>
      <c r="I53" s="71">
        <v>5.5508356716546629E-2</v>
      </c>
      <c r="J53" s="63">
        <v>5.8318737852837407E-2</v>
      </c>
      <c r="K53" s="71" t="s">
        <v>21</v>
      </c>
      <c r="L53" s="71">
        <v>5.7433781977299734E-3</v>
      </c>
      <c r="M53" s="71">
        <v>9.7991653400564902E-3</v>
      </c>
      <c r="N53" s="71">
        <v>1.177237681654663E-2</v>
      </c>
      <c r="O53" s="71">
        <v>1.3174436052837402E-2</v>
      </c>
      <c r="P53" s="56" t="s">
        <v>441</v>
      </c>
      <c r="Q53" s="66" t="s">
        <v>442</v>
      </c>
      <c r="R53" s="100" t="s">
        <v>32</v>
      </c>
      <c r="S53" s="80">
        <v>5.7617620000000001E-2</v>
      </c>
      <c r="T53" s="62">
        <v>-4.7968407599435076E-3</v>
      </c>
      <c r="V53" s="114">
        <v>1.1355204299999999</v>
      </c>
      <c r="W53" s="72">
        <v>2.8811926899999998</v>
      </c>
      <c r="X53" s="72">
        <v>4.4216855200000005</v>
      </c>
      <c r="Y53" s="72">
        <v>5.7424612899999996</v>
      </c>
      <c r="Z53" s="115">
        <v>7.3845018499999995</v>
      </c>
    </row>
    <row r="54" spans="2:26" x14ac:dyDescent="0.35">
      <c r="B54" s="55" t="s">
        <v>56</v>
      </c>
      <c r="C54" s="53" t="s">
        <v>33</v>
      </c>
      <c r="D54" s="53" t="s">
        <v>53</v>
      </c>
      <c r="E54" s="53" t="s">
        <v>443</v>
      </c>
      <c r="F54" s="73">
        <v>4.3434135444776117E-2</v>
      </c>
      <c r="G54" s="71">
        <v>5.0328769962051587E-2</v>
      </c>
      <c r="H54" s="71">
        <v>5.6021509951731739E-2</v>
      </c>
      <c r="I54" s="71">
        <v>5.9193193092612797E-2</v>
      </c>
      <c r="J54" s="63">
        <v>6.2565752495613983E-2</v>
      </c>
      <c r="K54" s="71">
        <v>7.3163944776121273E-5</v>
      </c>
      <c r="L54" s="71">
        <v>7.2568769620515831E-3</v>
      </c>
      <c r="M54" s="71">
        <v>1.2820352351731741E-2</v>
      </c>
      <c r="N54" s="71">
        <v>1.5248893392612796E-2</v>
      </c>
      <c r="O54" s="71">
        <v>1.720342589561397E-2</v>
      </c>
      <c r="P54" s="55" t="s">
        <v>444</v>
      </c>
      <c r="Q54" s="53" t="s">
        <v>445</v>
      </c>
      <c r="R54" s="94" t="s">
        <v>32</v>
      </c>
      <c r="S54" s="71">
        <v>5.2849279999999998E-2</v>
      </c>
      <c r="T54" s="63">
        <v>3.1722299517317407E-3</v>
      </c>
      <c r="V54" s="114">
        <v>1.1340077400000002</v>
      </c>
      <c r="W54" s="72">
        <v>2.8687660899999998</v>
      </c>
      <c r="X54" s="72">
        <v>4.3752310200000002</v>
      </c>
      <c r="Y54" s="72">
        <v>5.6426427500000003</v>
      </c>
      <c r="Z54" s="115">
        <v>7.1821636499999997</v>
      </c>
    </row>
    <row r="55" spans="2:26" x14ac:dyDescent="0.35">
      <c r="B55" s="55" t="s">
        <v>56</v>
      </c>
      <c r="C55" s="53" t="s">
        <v>35</v>
      </c>
      <c r="D55" s="53" t="s">
        <v>53</v>
      </c>
      <c r="E55" s="53" t="s">
        <v>54</v>
      </c>
      <c r="F55" s="73">
        <v>4.3865786812742662E-2</v>
      </c>
      <c r="G55" s="71">
        <v>5.2937680095868314E-2</v>
      </c>
      <c r="H55" s="71">
        <v>6.0387695054824803E-2</v>
      </c>
      <c r="I55" s="71">
        <v>6.5020800306607035E-2</v>
      </c>
      <c r="J55" s="63">
        <v>6.9436526722525857E-2</v>
      </c>
      <c r="K55" s="71">
        <v>5.022969127426646E-4</v>
      </c>
      <c r="L55" s="71">
        <v>9.7854743958683127E-3</v>
      </c>
      <c r="M55" s="71">
        <v>1.7033192354824811E-2</v>
      </c>
      <c r="N55" s="71">
        <v>2.0845382106607031E-2</v>
      </c>
      <c r="O55" s="71">
        <v>2.3797614822525848E-2</v>
      </c>
      <c r="P55" s="57" t="s">
        <v>446</v>
      </c>
      <c r="Q55" s="67" t="s">
        <v>447</v>
      </c>
      <c r="R55" s="96" t="s">
        <v>32</v>
      </c>
      <c r="S55" s="76">
        <v>5.7704820000000004E-2</v>
      </c>
      <c r="T55" s="64">
        <v>2.6828750548247987E-3</v>
      </c>
      <c r="V55" s="114">
        <v>1.13482718</v>
      </c>
      <c r="W55" s="72">
        <v>2.8657146099999999</v>
      </c>
      <c r="X55" s="72">
        <v>4.3566841600000004</v>
      </c>
      <c r="Y55" s="72">
        <v>5.5932182699999995</v>
      </c>
      <c r="Z55" s="115">
        <v>7.0653616700000006</v>
      </c>
    </row>
    <row r="56" spans="2:26" x14ac:dyDescent="0.35">
      <c r="B56" s="79" t="s">
        <v>59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9"/>
      <c r="Q56" s="78"/>
      <c r="R56" s="95"/>
      <c r="S56" s="78"/>
      <c r="T56" s="77"/>
      <c r="V56" s="112"/>
      <c r="W56" s="107"/>
      <c r="X56" s="107"/>
      <c r="Y56" s="107"/>
      <c r="Z56" s="113"/>
    </row>
    <row r="57" spans="2:26" x14ac:dyDescent="0.35">
      <c r="B57" s="56" t="s">
        <v>60</v>
      </c>
      <c r="C57" s="66" t="s">
        <v>61</v>
      </c>
      <c r="D57" s="66" t="s">
        <v>62</v>
      </c>
      <c r="E57" s="66" t="s">
        <v>181</v>
      </c>
      <c r="F57" s="75">
        <v>4.3396763383610308E-2</v>
      </c>
      <c r="G57" s="80">
        <v>4.9060444169903163E-2</v>
      </c>
      <c r="H57" s="80">
        <v>5.324931523078226E-2</v>
      </c>
      <c r="I57" s="80">
        <v>5.5594753299961913E-2</v>
      </c>
      <c r="J57" s="62">
        <v>5.8540961539549449E-2</v>
      </c>
      <c r="K57" s="71">
        <v>4.5838883610315427E-5</v>
      </c>
      <c r="L57" s="71">
        <v>6.0612894699031625E-3</v>
      </c>
      <c r="M57" s="71">
        <v>1.0206198430782255E-2</v>
      </c>
      <c r="N57" s="71">
        <v>1.1855048599961903E-2</v>
      </c>
      <c r="O57" s="71">
        <v>1.3384064139549425E-2</v>
      </c>
      <c r="P57" s="55" t="s">
        <v>448</v>
      </c>
      <c r="Q57" s="53" t="s">
        <v>449</v>
      </c>
      <c r="R57" s="94" t="s">
        <v>32</v>
      </c>
      <c r="S57" s="71">
        <v>0</v>
      </c>
      <c r="T57" s="63">
        <v>5.324931523078226E-2</v>
      </c>
      <c r="V57" s="118">
        <v>1.13403012</v>
      </c>
      <c r="W57" s="61">
        <v>2.8765824799999997</v>
      </c>
      <c r="X57" s="61">
        <v>4.4124822100000003</v>
      </c>
      <c r="Y57" s="61">
        <v>5.7318186299999994</v>
      </c>
      <c r="Z57" s="119">
        <v>7.3704630600000005</v>
      </c>
    </row>
    <row r="58" spans="2:26" x14ac:dyDescent="0.35">
      <c r="B58" s="57" t="s">
        <v>60</v>
      </c>
      <c r="C58" s="67" t="s">
        <v>63</v>
      </c>
      <c r="D58" s="67" t="s">
        <v>62</v>
      </c>
      <c r="E58" s="67" t="s">
        <v>21</v>
      </c>
      <c r="F58" s="74">
        <v>4.5338184071737106E-2</v>
      </c>
      <c r="G58" s="76">
        <v>5.2623408142910187E-2</v>
      </c>
      <c r="H58" s="76">
        <v>5.8222362501967904E-2</v>
      </c>
      <c r="I58" s="76">
        <v>6.1564801066677347E-2</v>
      </c>
      <c r="J58" s="64">
        <v>6.4571582304648892E-2</v>
      </c>
      <c r="K58" s="71">
        <v>1.9299679717371043E-3</v>
      </c>
      <c r="L58" s="71">
        <v>9.4979823429101797E-3</v>
      </c>
      <c r="M58" s="71">
        <v>1.4993765201967912E-2</v>
      </c>
      <c r="N58" s="71">
        <v>1.758957396667734E-2</v>
      </c>
      <c r="O58" s="71">
        <v>1.9195164704648889E-2</v>
      </c>
      <c r="P58" s="55" t="s">
        <v>21</v>
      </c>
      <c r="Q58" s="53" t="s">
        <v>21</v>
      </c>
      <c r="R58" s="94" t="s">
        <v>21</v>
      </c>
      <c r="S58" s="71">
        <v>0</v>
      </c>
      <c r="T58" s="63">
        <v>5.8222362501967904E-2</v>
      </c>
      <c r="V58" s="116">
        <v>1.1322801199999999</v>
      </c>
      <c r="W58" s="108">
        <v>2.8628361400000002</v>
      </c>
      <c r="X58" s="108">
        <v>4.3711791299999998</v>
      </c>
      <c r="Y58" s="108">
        <v>5.6461647500000005</v>
      </c>
      <c r="Z58" s="117">
        <v>7.2103712700000004</v>
      </c>
    </row>
    <row r="59" spans="2:26" x14ac:dyDescent="0.35">
      <c r="B59" s="56" t="s">
        <v>64</v>
      </c>
      <c r="C59" s="66" t="s">
        <v>65</v>
      </c>
      <c r="D59" s="66" t="s">
        <v>62</v>
      </c>
      <c r="E59" s="66" t="s">
        <v>181</v>
      </c>
      <c r="F59" s="75">
        <v>4.2693859174548703E-2</v>
      </c>
      <c r="G59" s="80">
        <v>4.945944011723237E-2</v>
      </c>
      <c r="H59" s="80">
        <v>5.4852452540822209E-2</v>
      </c>
      <c r="I59" s="80">
        <v>5.7756177333288139E-2</v>
      </c>
      <c r="J59" s="62">
        <v>6.0725119631840588E-2</v>
      </c>
      <c r="K59" s="80" t="s">
        <v>21</v>
      </c>
      <c r="L59" s="80">
        <v>6.4348157172323655E-3</v>
      </c>
      <c r="M59" s="80">
        <v>1.1718143740822206E-2</v>
      </c>
      <c r="N59" s="80">
        <v>1.3896443433288143E-2</v>
      </c>
      <c r="O59" s="80">
        <v>1.546281973184058E-2</v>
      </c>
      <c r="P59" s="56" t="s">
        <v>21</v>
      </c>
      <c r="Q59" s="66" t="s">
        <v>21</v>
      </c>
      <c r="R59" s="100" t="s">
        <v>21</v>
      </c>
      <c r="S59" s="80">
        <v>0</v>
      </c>
      <c r="T59" s="62">
        <v>5.4852452540822209E-2</v>
      </c>
      <c r="V59" s="118">
        <v>1.13541263</v>
      </c>
      <c r="W59" s="61">
        <v>2.87650133</v>
      </c>
      <c r="X59" s="61">
        <v>4.3956661800000001</v>
      </c>
      <c r="Y59" s="61">
        <v>5.6830768799999998</v>
      </c>
      <c r="Z59" s="119">
        <v>7.2656387499999999</v>
      </c>
    </row>
    <row r="60" spans="2:26" x14ac:dyDescent="0.35">
      <c r="B60" s="57" t="s">
        <v>64</v>
      </c>
      <c r="C60" s="67" t="s">
        <v>66</v>
      </c>
      <c r="D60" s="67" t="s">
        <v>62</v>
      </c>
      <c r="E60" s="67" t="s">
        <v>21</v>
      </c>
      <c r="F60" s="74">
        <v>4.3941668609583144E-2</v>
      </c>
      <c r="G60" s="76">
        <v>5.2311300015725509E-2</v>
      </c>
      <c r="H60" s="76">
        <v>5.9400383160021906E-2</v>
      </c>
      <c r="I60" s="76">
        <v>6.2672148943045014E-2</v>
      </c>
      <c r="J60" s="64">
        <v>6.655775182533108E-2</v>
      </c>
      <c r="K60" s="76">
        <v>5.8222240958314027E-4</v>
      </c>
      <c r="L60" s="76">
        <v>9.192570515725515E-3</v>
      </c>
      <c r="M60" s="76">
        <v>1.6103349460021923E-2</v>
      </c>
      <c r="N60" s="76">
        <v>1.8633349043045005E-2</v>
      </c>
      <c r="O60" s="76">
        <v>2.1076736925331078E-2</v>
      </c>
      <c r="P60" s="57" t="s">
        <v>21</v>
      </c>
      <c r="Q60" s="67" t="s">
        <v>21</v>
      </c>
      <c r="R60" s="96" t="s">
        <v>21</v>
      </c>
      <c r="S60" s="76"/>
      <c r="T60" s="64"/>
      <c r="V60" s="116">
        <v>1.1346812100000001</v>
      </c>
      <c r="W60" s="108">
        <v>2.8683825699999996</v>
      </c>
      <c r="X60" s="108">
        <v>4.3677909499999998</v>
      </c>
      <c r="Y60" s="108">
        <v>5.6289785000000006</v>
      </c>
      <c r="Z60" s="117">
        <v>7.1564950500000002</v>
      </c>
    </row>
    <row r="61" spans="2:26" x14ac:dyDescent="0.35">
      <c r="B61" s="79" t="s">
        <v>228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9"/>
      <c r="Q61" s="78"/>
      <c r="R61" s="95"/>
      <c r="S61" s="78"/>
      <c r="T61" s="77"/>
      <c r="V61" s="112"/>
      <c r="W61" s="107"/>
      <c r="X61" s="107"/>
      <c r="Y61" s="107"/>
      <c r="Z61" s="113"/>
    </row>
    <row r="62" spans="2:26" x14ac:dyDescent="0.35">
      <c r="B62" s="56" t="s">
        <v>229</v>
      </c>
      <c r="C62" s="66" t="s">
        <v>61</v>
      </c>
      <c r="D62" s="66" t="s">
        <v>97</v>
      </c>
      <c r="E62" s="66" t="s">
        <v>21</v>
      </c>
      <c r="F62" s="75">
        <v>4.1689642519552324E-2</v>
      </c>
      <c r="G62" s="80">
        <v>4.7109262544376328E-2</v>
      </c>
      <c r="H62" s="80">
        <v>5.0688942701199266E-2</v>
      </c>
      <c r="I62" s="80">
        <v>5.2628805031741527E-2</v>
      </c>
      <c r="J62" s="62">
        <v>5.4695794213903935E-2</v>
      </c>
      <c r="K62" s="71" t="s">
        <v>21</v>
      </c>
      <c r="L62" s="71">
        <v>4.2088796443763305E-3</v>
      </c>
      <c r="M62" s="71">
        <v>7.7779057011992669E-3</v>
      </c>
      <c r="N62" s="71">
        <v>9.039503931741532E-3</v>
      </c>
      <c r="O62" s="71">
        <v>9.7106081139039322E-3</v>
      </c>
      <c r="P62" s="55" t="s">
        <v>21</v>
      </c>
      <c r="Q62" s="53" t="s">
        <v>21</v>
      </c>
      <c r="R62" s="94" t="s">
        <v>21</v>
      </c>
      <c r="S62" s="71"/>
      <c r="T62" s="63"/>
      <c r="V62" s="118">
        <v>1.1373086699999999</v>
      </c>
      <c r="W62" s="61">
        <v>2.8942767000000003</v>
      </c>
      <c r="X62" s="61">
        <v>4.4586669199999998</v>
      </c>
      <c r="Y62" s="61">
        <v>5.82096401</v>
      </c>
      <c r="Z62" s="119">
        <v>7.5541239499999993</v>
      </c>
    </row>
    <row r="63" spans="2:26" x14ac:dyDescent="0.35">
      <c r="B63" s="57" t="s">
        <v>229</v>
      </c>
      <c r="C63" s="67" t="s">
        <v>63</v>
      </c>
      <c r="D63" s="67" t="s">
        <v>97</v>
      </c>
      <c r="E63" s="67" t="s">
        <v>21</v>
      </c>
      <c r="F63" s="74">
        <v>4.3137350609051411E-2</v>
      </c>
      <c r="G63" s="76">
        <v>5.0039527439965537E-2</v>
      </c>
      <c r="H63" s="76">
        <v>5.5013559753875216E-2</v>
      </c>
      <c r="I63" s="76">
        <v>5.792109518424314E-2</v>
      </c>
      <c r="J63" s="64">
        <v>6.0587173735003767E-2</v>
      </c>
      <c r="K63" s="71" t="s">
        <v>21</v>
      </c>
      <c r="L63" s="71">
        <v>7.0285138399655382E-3</v>
      </c>
      <c r="M63" s="71">
        <v>1.1938422053875221E-2</v>
      </c>
      <c r="N63" s="71">
        <v>1.4128911284243142E-2</v>
      </c>
      <c r="O63" s="71">
        <v>1.5397906835003765E-2</v>
      </c>
      <c r="P63" s="55" t="s">
        <v>21</v>
      </c>
      <c r="Q63" s="53" t="s">
        <v>21</v>
      </c>
      <c r="R63" s="94" t="s">
        <v>21</v>
      </c>
      <c r="S63" s="71"/>
      <c r="T63" s="63"/>
      <c r="V63" s="116">
        <v>1.13581321</v>
      </c>
      <c r="W63" s="72">
        <v>2.8809180799999998</v>
      </c>
      <c r="X63" s="108">
        <v>4.4163519600000001</v>
      </c>
      <c r="Y63" s="108">
        <v>5.7315758699999995</v>
      </c>
      <c r="Z63" s="117">
        <v>7.3715504400000009</v>
      </c>
    </row>
    <row r="64" spans="2:26" x14ac:dyDescent="0.35">
      <c r="B64" s="56" t="s">
        <v>230</v>
      </c>
      <c r="C64" s="66" t="s">
        <v>65</v>
      </c>
      <c r="D64" s="66" t="s">
        <v>97</v>
      </c>
      <c r="E64" s="66" t="s">
        <v>21</v>
      </c>
      <c r="F64" s="75">
        <v>4.2547096491388894E-2</v>
      </c>
      <c r="G64" s="80">
        <v>4.9454709939125707E-2</v>
      </c>
      <c r="H64" s="80">
        <v>5.4900323711799641E-2</v>
      </c>
      <c r="I64" s="80">
        <v>5.7756615850343737E-2</v>
      </c>
      <c r="J64" s="62">
        <v>6.1090050139408499E-2</v>
      </c>
      <c r="K64" s="80" t="s">
        <v>21</v>
      </c>
      <c r="L64" s="80">
        <v>6.4316069391257159E-3</v>
      </c>
      <c r="M64" s="80">
        <v>1.1764217911799638E-2</v>
      </c>
      <c r="N64" s="80">
        <v>1.3897686450343743E-2</v>
      </c>
      <c r="O64" s="80">
        <v>1.5808437339408517E-2</v>
      </c>
      <c r="P64" s="56" t="s">
        <v>21</v>
      </c>
      <c r="Q64" s="66" t="s">
        <v>21</v>
      </c>
      <c r="R64" s="100" t="s">
        <v>21</v>
      </c>
      <c r="S64" s="80">
        <v>0</v>
      </c>
      <c r="T64" s="62">
        <v>5.4900323711799641E-2</v>
      </c>
      <c r="V64" s="118">
        <v>1.1356737800000001</v>
      </c>
      <c r="W64" s="61">
        <v>2.8769683099999996</v>
      </c>
      <c r="X64" s="61">
        <v>4.39560175</v>
      </c>
      <c r="Y64" s="61">
        <v>5.68284023</v>
      </c>
      <c r="Z64" s="119">
        <v>7.2574691499999995</v>
      </c>
    </row>
    <row r="65" spans="2:26" x14ac:dyDescent="0.35">
      <c r="B65" s="57" t="s">
        <v>230</v>
      </c>
      <c r="C65" s="67" t="s">
        <v>66</v>
      </c>
      <c r="D65" s="67" t="s">
        <v>97</v>
      </c>
      <c r="E65" s="67" t="s">
        <v>21</v>
      </c>
      <c r="F65" s="74">
        <v>4.3934863519645741E-2</v>
      </c>
      <c r="G65" s="76">
        <v>5.3119989413685745E-2</v>
      </c>
      <c r="H65" s="76">
        <v>6.0680351155285479E-2</v>
      </c>
      <c r="I65" s="76">
        <v>6.4952304339389005E-2</v>
      </c>
      <c r="J65" s="64">
        <v>6.8856830584780496E-2</v>
      </c>
      <c r="K65" s="76">
        <v>5.7260351964574449E-4</v>
      </c>
      <c r="L65" s="76">
        <v>9.9608163136857414E-3</v>
      </c>
      <c r="M65" s="76">
        <v>1.7310571555285481E-2</v>
      </c>
      <c r="N65" s="76">
        <v>2.0781812339388996E-2</v>
      </c>
      <c r="O65" s="76">
        <v>2.3251175584780483E-2</v>
      </c>
      <c r="P65" s="57" t="s">
        <v>21</v>
      </c>
      <c r="Q65" s="67" t="s">
        <v>21</v>
      </c>
      <c r="R65" s="96" t="s">
        <v>21</v>
      </c>
      <c r="S65" s="76">
        <v>0</v>
      </c>
      <c r="T65" s="64">
        <v>6.0680351155285479E-2</v>
      </c>
      <c r="V65" s="114">
        <v>1.13470713</v>
      </c>
      <c r="W65" s="72">
        <v>2.86465003</v>
      </c>
      <c r="X65" s="108">
        <v>4.3531262100000001</v>
      </c>
      <c r="Y65" s="108">
        <v>5.5900187299999997</v>
      </c>
      <c r="Z65" s="115">
        <v>7.0728084200000003</v>
      </c>
    </row>
    <row r="66" spans="2:26" x14ac:dyDescent="0.35">
      <c r="B66" s="57" t="s">
        <v>308</v>
      </c>
      <c r="C66" s="67" t="s">
        <v>61</v>
      </c>
      <c r="D66" s="67" t="s">
        <v>97</v>
      </c>
      <c r="E66" s="67" t="s">
        <v>21</v>
      </c>
      <c r="F66" s="74">
        <v>4.1389135934041858E-2</v>
      </c>
      <c r="G66" s="76">
        <v>4.6861930155517581E-2</v>
      </c>
      <c r="H66" s="76">
        <v>5.0418184608437014E-2</v>
      </c>
      <c r="I66" s="76">
        <v>5.2459410669020795E-2</v>
      </c>
      <c r="J66" s="64">
        <v>5.4809331611333029E-2</v>
      </c>
      <c r="K66" s="76" t="s">
        <v>21</v>
      </c>
      <c r="L66" s="76">
        <v>3.9749096555175816E-3</v>
      </c>
      <c r="M66" s="76">
        <v>7.5213482084370165E-3</v>
      </c>
      <c r="N66" s="76">
        <v>8.8789729690207965E-3</v>
      </c>
      <c r="O66" s="76">
        <v>9.8202238113330297E-3</v>
      </c>
      <c r="P66" s="57" t="s">
        <v>21</v>
      </c>
      <c r="Q66" s="67" t="s">
        <v>21</v>
      </c>
      <c r="R66" s="96" t="s">
        <v>21</v>
      </c>
      <c r="S66" s="76">
        <v>0</v>
      </c>
      <c r="T66" s="64">
        <v>5.0418184608437014E-2</v>
      </c>
      <c r="V66" s="118">
        <v>1.1378683999999999</v>
      </c>
      <c r="W66" s="61">
        <v>2.8967697600000002</v>
      </c>
      <c r="X66" s="61">
        <v>4.4642253099999998</v>
      </c>
      <c r="Y66" s="61">
        <v>5.8290651100000002</v>
      </c>
      <c r="Z66" s="119">
        <v>7.5594730799999992</v>
      </c>
    </row>
    <row r="67" spans="2:26" x14ac:dyDescent="0.35">
      <c r="B67" s="79" t="s">
        <v>303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9"/>
      <c r="Q67" s="78"/>
      <c r="R67" s="95"/>
      <c r="S67" s="78"/>
      <c r="T67" s="77"/>
      <c r="V67" s="112"/>
      <c r="W67" s="107"/>
      <c r="X67" s="107"/>
      <c r="Y67" s="107"/>
      <c r="Z67" s="113"/>
    </row>
    <row r="68" spans="2:26" x14ac:dyDescent="0.35">
      <c r="B68" s="56" t="s">
        <v>305</v>
      </c>
      <c r="C68" s="66" t="s">
        <v>30</v>
      </c>
      <c r="D68" s="66" t="s">
        <v>306</v>
      </c>
      <c r="E68" s="66" t="s">
        <v>21</v>
      </c>
      <c r="F68" s="75">
        <v>4.1773813371598613E-2</v>
      </c>
      <c r="G68" s="80">
        <v>4.7540863828269941E-2</v>
      </c>
      <c r="H68" s="80">
        <v>5.1324952187264954E-2</v>
      </c>
      <c r="I68" s="80">
        <v>5.3888788500996654E-2</v>
      </c>
      <c r="J68" s="62">
        <v>5.6798519719473389E-2</v>
      </c>
      <c r="K68" s="71" t="s">
        <v>21</v>
      </c>
      <c r="L68" s="71">
        <v>4.6188483282699399E-3</v>
      </c>
      <c r="M68" s="71">
        <v>8.3817897872649552E-3</v>
      </c>
      <c r="N68" s="71">
        <v>1.0237264300996652E-2</v>
      </c>
      <c r="O68" s="71">
        <v>1.1724652519473404E-2</v>
      </c>
      <c r="P68" s="55" t="s">
        <v>21</v>
      </c>
      <c r="Q68" s="53" t="s">
        <v>21</v>
      </c>
      <c r="R68" s="94" t="s">
        <v>21</v>
      </c>
      <c r="S68" s="71">
        <v>0</v>
      </c>
      <c r="T68" s="63">
        <v>5.1324952187264954E-2</v>
      </c>
      <c r="V68" s="118">
        <v>1.13714179</v>
      </c>
      <c r="W68" s="61">
        <v>2.8913080599999996</v>
      </c>
      <c r="X68" s="61">
        <v>4.4485568799999999</v>
      </c>
      <c r="Y68" s="61">
        <v>5.7927868399999998</v>
      </c>
      <c r="Z68" s="119">
        <v>7.4725114300000008</v>
      </c>
    </row>
    <row r="69" spans="2:26" x14ac:dyDescent="0.35">
      <c r="B69" s="55" t="s">
        <v>305</v>
      </c>
      <c r="C69" s="67" t="s">
        <v>35</v>
      </c>
      <c r="D69" s="53" t="s">
        <v>306</v>
      </c>
      <c r="E69" s="53" t="s">
        <v>21</v>
      </c>
      <c r="F69" s="73">
        <v>4.4167986105064963E-2</v>
      </c>
      <c r="G69" s="71">
        <v>5.3625531390477245E-2</v>
      </c>
      <c r="H69" s="71">
        <v>6.1473081683513495E-2</v>
      </c>
      <c r="I69" s="71">
        <v>6.6103440102184149E-2</v>
      </c>
      <c r="J69" s="63">
        <v>6.967894122888886E-2</v>
      </c>
      <c r="K69" s="71">
        <v>7.8796400506496878E-4</v>
      </c>
      <c r="L69" s="71">
        <v>1.0437796190477248E-2</v>
      </c>
      <c r="M69" s="71">
        <v>1.8054659583513492E-2</v>
      </c>
      <c r="N69" s="71">
        <v>2.1860999002184148E-2</v>
      </c>
      <c r="O69" s="71">
        <v>2.4025265728888856E-2</v>
      </c>
      <c r="P69" s="55" t="s">
        <v>21</v>
      </c>
      <c r="Q69" s="53" t="s">
        <v>21</v>
      </c>
      <c r="R69" s="94" t="s">
        <v>21</v>
      </c>
      <c r="S69" s="71">
        <v>0</v>
      </c>
      <c r="T69" s="63">
        <v>6.1473081683513495E-2</v>
      </c>
      <c r="V69" s="114">
        <v>1.1344166500000001</v>
      </c>
      <c r="W69" s="72">
        <v>2.86180441</v>
      </c>
      <c r="X69" s="72">
        <v>4.34362154</v>
      </c>
      <c r="Y69" s="72">
        <v>5.5682817599999996</v>
      </c>
      <c r="Z69" s="115">
        <v>7.0348914699999998</v>
      </c>
    </row>
    <row r="70" spans="2:26" x14ac:dyDescent="0.35">
      <c r="B70" s="57" t="s">
        <v>305</v>
      </c>
      <c r="C70" s="53" t="s">
        <v>33</v>
      </c>
      <c r="D70" s="67" t="s">
        <v>306</v>
      </c>
      <c r="E70" s="54" t="s">
        <v>21</v>
      </c>
      <c r="F70" s="74">
        <v>4.2610547260014765E-2</v>
      </c>
      <c r="G70" s="76">
        <v>5.0235788535065884E-2</v>
      </c>
      <c r="H70" s="76">
        <v>5.6004792274127448E-2</v>
      </c>
      <c r="I70" s="76">
        <v>5.9367186265158238E-2</v>
      </c>
      <c r="J70" s="64">
        <v>6.2839780432477024E-2</v>
      </c>
      <c r="K70" s="71" t="s">
        <v>21</v>
      </c>
      <c r="L70" s="71">
        <v>7.1723779350658882E-3</v>
      </c>
      <c r="M70" s="71">
        <v>1.2806985274127445E-2</v>
      </c>
      <c r="N70" s="71">
        <v>1.5414819065158234E-2</v>
      </c>
      <c r="O70" s="71">
        <v>1.7465592132476997E-2</v>
      </c>
      <c r="P70" s="55" t="s">
        <v>21</v>
      </c>
      <c r="Q70" s="53" t="s">
        <v>21</v>
      </c>
      <c r="R70" s="94" t="s">
        <v>21</v>
      </c>
      <c r="S70" s="71">
        <v>0</v>
      </c>
      <c r="T70" s="63">
        <v>5.6004792274127448E-2</v>
      </c>
      <c r="V70" s="116">
        <v>1.1355222599999999</v>
      </c>
      <c r="W70" s="72">
        <v>2.8718919000000001</v>
      </c>
      <c r="X70" s="108">
        <v>4.3783324700000001</v>
      </c>
      <c r="Y70" s="108">
        <v>5.6430435000000001</v>
      </c>
      <c r="Z70" s="117">
        <v>7.1750410900000006</v>
      </c>
    </row>
    <row r="71" spans="2:26" x14ac:dyDescent="0.35">
      <c r="B71" s="79" t="s">
        <v>304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9"/>
      <c r="Q71" s="78"/>
      <c r="R71" s="95"/>
      <c r="S71" s="78"/>
      <c r="T71" s="77"/>
      <c r="V71" s="112"/>
      <c r="W71" s="107"/>
      <c r="X71" s="107"/>
      <c r="Y71" s="107"/>
      <c r="Z71" s="113"/>
    </row>
    <row r="72" spans="2:26" x14ac:dyDescent="0.35">
      <c r="B72" s="56" t="s">
        <v>307</v>
      </c>
      <c r="C72" s="66" t="s">
        <v>30</v>
      </c>
      <c r="D72" s="66" t="s">
        <v>131</v>
      </c>
      <c r="E72" s="66" t="s">
        <v>21</v>
      </c>
      <c r="F72" s="75">
        <v>4.1889893989657014E-2</v>
      </c>
      <c r="G72" s="80">
        <v>4.7584224884849334E-2</v>
      </c>
      <c r="H72" s="80">
        <v>5.143028559964781E-2</v>
      </c>
      <c r="I72" s="80">
        <v>5.3750784851582092E-2</v>
      </c>
      <c r="J72" s="62">
        <v>5.6231891748979704E-2</v>
      </c>
      <c r="K72" s="80" t="s">
        <v>21</v>
      </c>
      <c r="L72" s="80">
        <v>4.6601768848493364E-3</v>
      </c>
      <c r="M72" s="80">
        <v>8.4818590996478069E-3</v>
      </c>
      <c r="N72" s="80">
        <v>1.0106318951582097E-2</v>
      </c>
      <c r="O72" s="80">
        <v>1.1182766248979709E-2</v>
      </c>
      <c r="P72" s="56" t="s">
        <v>21</v>
      </c>
      <c r="Q72" s="66" t="s">
        <v>21</v>
      </c>
      <c r="R72" s="100" t="s">
        <v>21</v>
      </c>
      <c r="S72" s="80">
        <v>0</v>
      </c>
      <c r="T72" s="62">
        <v>5.143028559964781E-2</v>
      </c>
      <c r="V72" s="118">
        <v>1.1369186200000001</v>
      </c>
      <c r="W72" s="61">
        <v>2.8906558700000002</v>
      </c>
      <c r="X72" s="61">
        <v>4.4468098700000001</v>
      </c>
      <c r="Y72" s="61">
        <v>5.7927665299999997</v>
      </c>
      <c r="Z72" s="119">
        <v>7.4865999099999998</v>
      </c>
    </row>
    <row r="73" spans="2:26" x14ac:dyDescent="0.35">
      <c r="B73" s="57" t="s">
        <v>307</v>
      </c>
      <c r="C73" s="67" t="s">
        <v>35</v>
      </c>
      <c r="D73" s="67" t="s">
        <v>131</v>
      </c>
      <c r="E73" s="67" t="s">
        <v>21</v>
      </c>
      <c r="F73" s="74">
        <v>4.4184744077727295E-2</v>
      </c>
      <c r="G73" s="76">
        <v>5.3632182939854091E-2</v>
      </c>
      <c r="H73" s="76">
        <v>6.1477480286820992E-2</v>
      </c>
      <c r="I73" s="76">
        <v>6.6106891436090526E-2</v>
      </c>
      <c r="J73" s="64">
        <v>7.0019529453427515E-2</v>
      </c>
      <c r="K73" s="76">
        <v>7.9749107772729508E-4</v>
      </c>
      <c r="L73" s="76">
        <v>1.0441057239854093E-2</v>
      </c>
      <c r="M73" s="76">
        <v>1.8056560586820987E-2</v>
      </c>
      <c r="N73" s="76">
        <v>2.1862364536090518E-2</v>
      </c>
      <c r="O73" s="76">
        <v>2.4343994553427523E-2</v>
      </c>
      <c r="P73" s="57" t="s">
        <v>21</v>
      </c>
      <c r="Q73" s="67" t="s">
        <v>21</v>
      </c>
      <c r="R73" s="96" t="s">
        <v>21</v>
      </c>
      <c r="S73" s="76">
        <v>0</v>
      </c>
      <c r="T73" s="64">
        <v>6.1477480286820992E-2</v>
      </c>
      <c r="V73" s="114">
        <v>1.1344267800000001</v>
      </c>
      <c r="W73" s="72">
        <v>2.8618011000000001</v>
      </c>
      <c r="X73" s="108">
        <v>4.3436077500000003</v>
      </c>
      <c r="Y73" s="108">
        <v>5.5682588700000002</v>
      </c>
      <c r="Z73" s="115">
        <v>7.0293645099999997</v>
      </c>
    </row>
    <row r="74" spans="2:26" x14ac:dyDescent="0.35">
      <c r="B74" s="79" t="s">
        <v>67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9"/>
      <c r="Q74" s="78"/>
      <c r="R74" s="95"/>
      <c r="S74" s="78"/>
      <c r="T74" s="77"/>
      <c r="V74" s="112"/>
      <c r="W74" s="107"/>
      <c r="X74" s="107"/>
      <c r="Y74" s="107"/>
      <c r="Z74" s="113"/>
    </row>
    <row r="75" spans="2:26" x14ac:dyDescent="0.35">
      <c r="B75" s="56" t="s">
        <v>68</v>
      </c>
      <c r="C75" s="66" t="s">
        <v>61</v>
      </c>
      <c r="D75" s="66" t="s">
        <v>69</v>
      </c>
      <c r="E75" s="66" t="s">
        <v>21</v>
      </c>
      <c r="F75" s="75">
        <v>4.469607457962594E-2</v>
      </c>
      <c r="G75" s="80">
        <v>5.0737873812534688E-2</v>
      </c>
      <c r="H75" s="80">
        <v>5.549077640501611E-2</v>
      </c>
      <c r="I75" s="80">
        <v>5.8094483106493802E-2</v>
      </c>
      <c r="J75" s="62">
        <v>6.1058924658946322E-2</v>
      </c>
      <c r="K75" s="80">
        <v>1.2767435796259413E-3</v>
      </c>
      <c r="L75" s="80">
        <v>7.6451829125346949E-3</v>
      </c>
      <c r="M75" s="80">
        <v>1.2321169205016101E-2</v>
      </c>
      <c r="N75" s="80">
        <v>1.4214222206493795E-2</v>
      </c>
      <c r="O75" s="80">
        <v>1.5773488058946326E-2</v>
      </c>
      <c r="P75" s="56" t="s">
        <v>21</v>
      </c>
      <c r="Q75" s="66" t="s">
        <v>21</v>
      </c>
      <c r="R75" s="100" t="s">
        <v>21</v>
      </c>
      <c r="S75" s="80">
        <v>0</v>
      </c>
      <c r="T75" s="62">
        <v>5.549077640501611E-2</v>
      </c>
      <c r="V75" s="118">
        <v>1.1315980300000001</v>
      </c>
      <c r="W75" s="61">
        <v>2.8621592299999996</v>
      </c>
      <c r="X75" s="61">
        <v>4.3735715500000003</v>
      </c>
      <c r="Y75" s="61">
        <v>5.6574965200000005</v>
      </c>
      <c r="Z75" s="119">
        <v>7.2356661500000001</v>
      </c>
    </row>
    <row r="76" spans="2:26" x14ac:dyDescent="0.35">
      <c r="B76" s="57" t="s">
        <v>68</v>
      </c>
      <c r="C76" s="67" t="s">
        <v>63</v>
      </c>
      <c r="D76" s="67" t="s">
        <v>69</v>
      </c>
      <c r="E76" s="67" t="s">
        <v>81</v>
      </c>
      <c r="F76" s="74">
        <v>4.631856955611155E-2</v>
      </c>
      <c r="G76" s="76">
        <v>5.3648615602142062E-2</v>
      </c>
      <c r="H76" s="76">
        <v>5.8964721966746687E-2</v>
      </c>
      <c r="I76" s="76">
        <v>6.1855743675276326E-2</v>
      </c>
      <c r="J76" s="64">
        <v>6.4765981420625493E-2</v>
      </c>
      <c r="K76" s="76">
        <v>2.8357421561115504E-3</v>
      </c>
      <c r="L76" s="76">
        <v>1.0464170202142064E-2</v>
      </c>
      <c r="M76" s="76">
        <v>1.5689603166746693E-2</v>
      </c>
      <c r="N76" s="76">
        <v>1.7857974875276329E-2</v>
      </c>
      <c r="O76" s="76">
        <v>1.9371191620625498E-2</v>
      </c>
      <c r="P76" s="57" t="s">
        <v>21</v>
      </c>
      <c r="Q76" s="67" t="s">
        <v>21</v>
      </c>
      <c r="R76" s="96" t="s">
        <v>21</v>
      </c>
      <c r="S76" s="76">
        <v>0</v>
      </c>
      <c r="T76" s="64">
        <v>5.8964721966746687E-2</v>
      </c>
      <c r="V76" s="116">
        <v>1.13058178</v>
      </c>
      <c r="W76" s="108">
        <v>2.85507249</v>
      </c>
      <c r="X76" s="108">
        <v>4.3566872700000001</v>
      </c>
      <c r="Y76" s="108">
        <v>5.6286827800000001</v>
      </c>
      <c r="Z76" s="117">
        <v>7.1914171700000002</v>
      </c>
    </row>
    <row r="77" spans="2:26" x14ac:dyDescent="0.35">
      <c r="B77" s="56" t="s">
        <v>70</v>
      </c>
      <c r="C77" s="66" t="s">
        <v>65</v>
      </c>
      <c r="D77" s="66" t="s">
        <v>69</v>
      </c>
      <c r="E77" s="66" t="s">
        <v>231</v>
      </c>
      <c r="F77" s="75">
        <v>4.4982326258161197E-2</v>
      </c>
      <c r="G77" s="80">
        <v>5.165190078427026E-2</v>
      </c>
      <c r="H77" s="80">
        <v>5.67094950113783E-2</v>
      </c>
      <c r="I77" s="80">
        <v>5.9818925596590702E-2</v>
      </c>
      <c r="J77" s="62">
        <v>6.310853443287151E-2</v>
      </c>
      <c r="K77" s="71">
        <v>1.5497324581611946E-3</v>
      </c>
      <c r="L77" s="71">
        <v>8.5102102842702608E-3</v>
      </c>
      <c r="M77" s="71">
        <v>1.3470555411378281E-2</v>
      </c>
      <c r="N77" s="71">
        <v>1.5837012396590692E-2</v>
      </c>
      <c r="O77" s="71">
        <v>1.7712709032871515E-2</v>
      </c>
      <c r="P77" s="55" t="s">
        <v>450</v>
      </c>
      <c r="Q77" s="53" t="s">
        <v>451</v>
      </c>
      <c r="R77" s="94">
        <v>47371</v>
      </c>
      <c r="S77" s="71">
        <v>5.4605029999999999E-2</v>
      </c>
      <c r="T77" s="63">
        <v>2.1044650113783009E-3</v>
      </c>
      <c r="V77" s="118">
        <v>1.1308549699999999</v>
      </c>
      <c r="W77" s="61">
        <v>2.8553059799999998</v>
      </c>
      <c r="X77" s="61">
        <v>4.35339528</v>
      </c>
      <c r="Y77" s="61">
        <v>5.6134922600000001</v>
      </c>
      <c r="Z77" s="119">
        <v>7.1428033399999995</v>
      </c>
    </row>
    <row r="78" spans="2:26" x14ac:dyDescent="0.35">
      <c r="B78" s="55" t="s">
        <v>70</v>
      </c>
      <c r="C78" s="53" t="s">
        <v>66</v>
      </c>
      <c r="D78" s="53" t="s">
        <v>69</v>
      </c>
      <c r="E78" s="53" t="s">
        <v>81</v>
      </c>
      <c r="F78" s="73">
        <v>4.6462930676378897E-2</v>
      </c>
      <c r="G78" s="71">
        <v>5.5155647657512311E-2</v>
      </c>
      <c r="H78" s="71">
        <v>6.242155362963233E-2</v>
      </c>
      <c r="I78" s="71">
        <v>6.6956641235373676E-2</v>
      </c>
      <c r="J78" s="63">
        <v>7.0697508245880086E-2</v>
      </c>
      <c r="K78" s="71">
        <v>2.968120276378907E-3</v>
      </c>
      <c r="L78" s="71">
        <v>1.1894218457512307E-2</v>
      </c>
      <c r="M78" s="71">
        <v>1.8948035829632344E-2</v>
      </c>
      <c r="N78" s="71">
        <v>2.2660317935373681E-2</v>
      </c>
      <c r="O78" s="71">
        <v>2.4979533345880107E-2</v>
      </c>
      <c r="P78" s="55" t="s">
        <v>21</v>
      </c>
      <c r="Q78" s="53" t="s">
        <v>21</v>
      </c>
      <c r="R78" s="94" t="s">
        <v>21</v>
      </c>
      <c r="S78" s="71">
        <v>0</v>
      </c>
      <c r="T78" s="63">
        <v>6.242155362963233E-2</v>
      </c>
      <c r="V78" s="116">
        <v>1.1303371099999999</v>
      </c>
      <c r="W78" s="108">
        <v>2.84769812</v>
      </c>
      <c r="X78" s="108">
        <v>4.3209481799999994</v>
      </c>
      <c r="Y78" s="108">
        <v>5.5376963999999997</v>
      </c>
      <c r="Z78" s="117">
        <v>6.9888267899999992</v>
      </c>
    </row>
    <row r="79" spans="2:26" x14ac:dyDescent="0.35">
      <c r="B79" s="56" t="s">
        <v>71</v>
      </c>
      <c r="C79" s="66" t="s">
        <v>61</v>
      </c>
      <c r="D79" s="66" t="s">
        <v>69</v>
      </c>
      <c r="E79" s="66" t="s">
        <v>21</v>
      </c>
      <c r="F79" s="75">
        <v>4.2620444817840171E-2</v>
      </c>
      <c r="G79" s="80">
        <v>4.8127220691249729E-2</v>
      </c>
      <c r="H79" s="80">
        <v>5.1711677727478186E-2</v>
      </c>
      <c r="I79" s="80">
        <v>5.3881665780284117E-2</v>
      </c>
      <c r="J79" s="62">
        <v>5.6267752077767866E-2</v>
      </c>
      <c r="K79" s="80" t="s">
        <v>21</v>
      </c>
      <c r="L79" s="80">
        <v>5.1777761912497246E-3</v>
      </c>
      <c r="M79" s="80">
        <v>8.7503985274781943E-3</v>
      </c>
      <c r="N79" s="80">
        <v>1.0231227580284118E-2</v>
      </c>
      <c r="O79" s="80">
        <v>1.1215753377767869E-2</v>
      </c>
      <c r="P79" s="56" t="s">
        <v>21</v>
      </c>
      <c r="Q79" s="66" t="s">
        <v>21</v>
      </c>
      <c r="R79" s="100" t="s">
        <v>21</v>
      </c>
      <c r="S79" s="80">
        <v>0</v>
      </c>
      <c r="T79" s="62">
        <v>5.1711677727478186E-2</v>
      </c>
      <c r="V79" s="118">
        <v>1.1354947900000001</v>
      </c>
      <c r="W79" s="61">
        <v>2.8848414299999998</v>
      </c>
      <c r="X79" s="61">
        <v>4.43741319</v>
      </c>
      <c r="Y79" s="61">
        <v>5.7818266600000001</v>
      </c>
      <c r="Z79" s="119">
        <v>7.4759395199999998</v>
      </c>
    </row>
    <row r="80" spans="2:26" x14ac:dyDescent="0.35">
      <c r="B80" s="57" t="s">
        <v>71</v>
      </c>
      <c r="C80" s="67" t="s">
        <v>63</v>
      </c>
      <c r="D80" s="67" t="s">
        <v>69</v>
      </c>
      <c r="E80" s="67" t="s">
        <v>21</v>
      </c>
      <c r="F80" s="74">
        <v>4.4078133165397347E-2</v>
      </c>
      <c r="G80" s="76">
        <v>5.0360536196229676E-2</v>
      </c>
      <c r="H80" s="76">
        <v>5.4637397046741878E-2</v>
      </c>
      <c r="I80" s="76">
        <v>5.7325822231276864E-2</v>
      </c>
      <c r="J80" s="64">
        <v>5.9836108353341223E-2</v>
      </c>
      <c r="K80" s="76">
        <v>7.2235436539733883E-4</v>
      </c>
      <c r="L80" s="76">
        <v>7.3373881962296777E-3</v>
      </c>
      <c r="M80" s="76">
        <v>1.1581120446741871E-2</v>
      </c>
      <c r="N80" s="76">
        <v>1.356221723127686E-2</v>
      </c>
      <c r="O80" s="76">
        <v>1.4677978053341218E-2</v>
      </c>
      <c r="P80" s="57" t="s">
        <v>21</v>
      </c>
      <c r="Q80" s="67" t="s">
        <v>21</v>
      </c>
      <c r="R80" s="96" t="s">
        <v>21</v>
      </c>
      <c r="S80" s="76">
        <v>0</v>
      </c>
      <c r="T80" s="64">
        <v>5.4637397046741878E-2</v>
      </c>
      <c r="V80" s="116">
        <v>1.1344378100000001</v>
      </c>
      <c r="W80" s="108">
        <v>2.8773007400000004</v>
      </c>
      <c r="X80" s="108">
        <v>4.4159953999999999</v>
      </c>
      <c r="Y80" s="108">
        <v>5.7383420100000002</v>
      </c>
      <c r="Z80" s="117">
        <v>7.3939833299999993</v>
      </c>
    </row>
    <row r="81" spans="2:26" x14ac:dyDescent="0.35">
      <c r="B81" s="55" t="s">
        <v>72</v>
      </c>
      <c r="C81" s="53" t="s">
        <v>65</v>
      </c>
      <c r="D81" s="53" t="s">
        <v>69</v>
      </c>
      <c r="E81" s="53" t="s">
        <v>34</v>
      </c>
      <c r="F81" s="73">
        <v>4.2565092977630115E-2</v>
      </c>
      <c r="G81" s="71">
        <v>4.9030590260034465E-2</v>
      </c>
      <c r="H81" s="71">
        <v>5.4167087824268982E-2</v>
      </c>
      <c r="I81" s="71">
        <v>5.6984315563884155E-2</v>
      </c>
      <c r="J81" s="63">
        <v>6.0343310365229524E-2</v>
      </c>
      <c r="K81" s="71" t="s">
        <v>21</v>
      </c>
      <c r="L81" s="71">
        <v>6.029598960034464E-3</v>
      </c>
      <c r="M81" s="71">
        <v>1.1071560024268977E-2</v>
      </c>
      <c r="N81" s="71">
        <v>1.3168524063884149E-2</v>
      </c>
      <c r="O81" s="71">
        <v>1.5099928465229513E-2</v>
      </c>
      <c r="P81" s="55" t="s">
        <v>21</v>
      </c>
      <c r="Q81" s="53" t="s">
        <v>21</v>
      </c>
      <c r="R81" s="94" t="s">
        <v>21</v>
      </c>
      <c r="S81" s="71">
        <v>0</v>
      </c>
      <c r="T81" s="63">
        <v>5.4167087824268982E-2</v>
      </c>
      <c r="V81" s="118">
        <v>1.1356495799999999</v>
      </c>
      <c r="W81" s="61">
        <v>2.8795457399999997</v>
      </c>
      <c r="X81" s="61">
        <v>4.4061651799999995</v>
      </c>
      <c r="Y81" s="61">
        <v>5.7046785699999996</v>
      </c>
      <c r="Z81" s="119">
        <v>7.2973741900000002</v>
      </c>
    </row>
    <row r="82" spans="2:26" x14ac:dyDescent="0.35">
      <c r="B82" s="57" t="s">
        <v>72</v>
      </c>
      <c r="C82" s="67" t="s">
        <v>66</v>
      </c>
      <c r="D82" s="67" t="s">
        <v>69</v>
      </c>
      <c r="E82" s="67" t="s">
        <v>36</v>
      </c>
      <c r="F82" s="74">
        <v>4.3768325515611335E-2</v>
      </c>
      <c r="G82" s="76">
        <v>5.2684736047588041E-2</v>
      </c>
      <c r="H82" s="76">
        <v>5.9797404327996871E-2</v>
      </c>
      <c r="I82" s="76">
        <v>6.3934186634857545E-2</v>
      </c>
      <c r="J82" s="64">
        <v>6.7533606345565989E-2</v>
      </c>
      <c r="K82" s="76">
        <v>4.1627501561133842E-4</v>
      </c>
      <c r="L82" s="76">
        <v>9.548229047588043E-3</v>
      </c>
      <c r="M82" s="76">
        <v>1.6478418627996864E-2</v>
      </c>
      <c r="N82" s="76">
        <v>1.982421193485755E-2</v>
      </c>
      <c r="O82" s="76">
        <v>2.2002952245566001E-2</v>
      </c>
      <c r="P82" s="57" t="s">
        <v>21</v>
      </c>
      <c r="Q82" s="67" t="s">
        <v>21</v>
      </c>
      <c r="R82" s="96" t="s">
        <v>21</v>
      </c>
      <c r="S82" s="76">
        <v>0</v>
      </c>
      <c r="T82" s="64">
        <v>5.9797404327996871E-2</v>
      </c>
      <c r="V82" s="116">
        <v>1.1349273900000001</v>
      </c>
      <c r="W82" s="108">
        <v>2.8670576999999997</v>
      </c>
      <c r="X82" s="108">
        <v>4.3628506300000005</v>
      </c>
      <c r="Y82" s="108">
        <v>5.6109749799999999</v>
      </c>
      <c r="Z82" s="117">
        <v>7.1176998199999995</v>
      </c>
    </row>
    <row r="83" spans="2:26" x14ac:dyDescent="0.35">
      <c r="B83" s="57" t="s">
        <v>74</v>
      </c>
      <c r="C83" s="67" t="s">
        <v>61</v>
      </c>
      <c r="D83" s="67" t="s">
        <v>69</v>
      </c>
      <c r="E83" s="67" t="s">
        <v>314</v>
      </c>
      <c r="F83" s="74">
        <v>4.3485715931250883E-2</v>
      </c>
      <c r="G83" s="76">
        <v>4.9722004329461347E-2</v>
      </c>
      <c r="H83" s="76">
        <v>5.4305793059780366E-2</v>
      </c>
      <c r="I83" s="76">
        <v>5.7117667278641523E-2</v>
      </c>
      <c r="J83" s="64">
        <v>6.0155209930464498E-2</v>
      </c>
      <c r="K83" s="76">
        <v>1.2897883125089285E-4</v>
      </c>
      <c r="L83" s="76">
        <v>6.6864435294613448E-3</v>
      </c>
      <c r="M83" s="76">
        <v>1.1204105859780364E-2</v>
      </c>
      <c r="N83" s="76">
        <v>1.329459117864154E-2</v>
      </c>
      <c r="O83" s="76">
        <v>1.4920333330464487E-2</v>
      </c>
      <c r="P83" s="57" t="s">
        <v>21</v>
      </c>
      <c r="Q83" s="67" t="s">
        <v>21</v>
      </c>
      <c r="R83" s="96" t="s">
        <v>21</v>
      </c>
      <c r="S83" s="76">
        <v>0</v>
      </c>
      <c r="T83" s="64">
        <v>5.4305793059780366E-2</v>
      </c>
      <c r="V83" s="118">
        <v>1.13387069</v>
      </c>
      <c r="W83" s="61">
        <v>2.8722435900000001</v>
      </c>
      <c r="X83" s="61">
        <v>4.3965873899999997</v>
      </c>
      <c r="Y83" s="61">
        <v>5.69419509</v>
      </c>
      <c r="Z83" s="119">
        <v>7.2921679800000003</v>
      </c>
    </row>
    <row r="84" spans="2:26" x14ac:dyDescent="0.35">
      <c r="B84" s="55" t="s">
        <v>76</v>
      </c>
      <c r="C84" s="53" t="s">
        <v>65</v>
      </c>
      <c r="D84" s="53" t="s">
        <v>69</v>
      </c>
      <c r="E84" s="53" t="s">
        <v>34</v>
      </c>
      <c r="F84" s="73">
        <v>4.3693693716652257E-2</v>
      </c>
      <c r="G84" s="71">
        <v>5.0425015818286893E-2</v>
      </c>
      <c r="H84" s="71">
        <v>5.6278656112538551E-2</v>
      </c>
      <c r="I84" s="71">
        <v>5.9401088689422905E-2</v>
      </c>
      <c r="J84" s="63">
        <v>6.2689127145312079E-2</v>
      </c>
      <c r="K84" s="71">
        <v>3.2819661665225985E-4</v>
      </c>
      <c r="L84" s="71">
        <v>7.3514622182869003E-3</v>
      </c>
      <c r="M84" s="71">
        <v>1.3065200512538552E-2</v>
      </c>
      <c r="N84" s="71">
        <v>1.5446396889422911E-2</v>
      </c>
      <c r="O84" s="71">
        <v>1.7321497545312068E-2</v>
      </c>
      <c r="P84" s="55" t="s">
        <v>21</v>
      </c>
      <c r="Q84" s="53" t="s">
        <v>21</v>
      </c>
      <c r="R84" s="94" t="s">
        <v>21</v>
      </c>
      <c r="S84" s="71">
        <v>0</v>
      </c>
      <c r="T84" s="63">
        <v>5.6278656112538551E-2</v>
      </c>
      <c r="V84" s="118">
        <v>1.1334696</v>
      </c>
      <c r="W84" s="61">
        <v>2.8672426099999999</v>
      </c>
      <c r="X84" s="61">
        <v>4.3710863900000003</v>
      </c>
      <c r="Y84" s="61">
        <v>5.6354362599999996</v>
      </c>
      <c r="Z84" s="119">
        <v>7.172136430000001</v>
      </c>
    </row>
    <row r="85" spans="2:26" x14ac:dyDescent="0.35">
      <c r="B85" s="57" t="s">
        <v>76</v>
      </c>
      <c r="C85" s="67" t="s">
        <v>66</v>
      </c>
      <c r="D85" s="67" t="s">
        <v>69</v>
      </c>
      <c r="E85" s="67" t="s">
        <v>21</v>
      </c>
      <c r="F85" s="74">
        <v>4.4771041407765749E-2</v>
      </c>
      <c r="G85" s="76">
        <v>5.3976671170181213E-2</v>
      </c>
      <c r="H85" s="76">
        <v>6.2050845968737361E-2</v>
      </c>
      <c r="I85" s="76">
        <v>6.6414394856871825E-2</v>
      </c>
      <c r="J85" s="64">
        <v>6.9906005180147751E-2</v>
      </c>
      <c r="K85" s="76">
        <v>1.3903244077657492E-3</v>
      </c>
      <c r="L85" s="76">
        <v>1.0783758070181214E-2</v>
      </c>
      <c r="M85" s="76">
        <v>1.8607259868737361E-2</v>
      </c>
      <c r="N85" s="76">
        <v>2.2159729256871836E-2</v>
      </c>
      <c r="O85" s="76">
        <v>2.424350418014776E-2</v>
      </c>
      <c r="P85" s="57" t="s">
        <v>21</v>
      </c>
      <c r="Q85" s="67" t="s">
        <v>21</v>
      </c>
      <c r="R85" s="96" t="s">
        <v>21</v>
      </c>
      <c r="S85" s="76">
        <v>0</v>
      </c>
      <c r="T85" s="64">
        <v>6.2050845968737361E-2</v>
      </c>
      <c r="V85" s="116">
        <v>1.13335936</v>
      </c>
      <c r="W85" s="108">
        <v>2.85831452</v>
      </c>
      <c r="X85" s="108">
        <v>4.3353060699999997</v>
      </c>
      <c r="Y85" s="108">
        <v>5.5563278700000005</v>
      </c>
      <c r="Z85" s="117">
        <v>7.0196384099999998</v>
      </c>
    </row>
    <row r="86" spans="2:26" x14ac:dyDescent="0.35">
      <c r="B86" s="55" t="s">
        <v>77</v>
      </c>
      <c r="C86" s="53" t="s">
        <v>61</v>
      </c>
      <c r="D86" s="53" t="s">
        <v>69</v>
      </c>
      <c r="E86" s="53" t="s">
        <v>21</v>
      </c>
      <c r="F86" s="73">
        <v>4.2745031126640513E-2</v>
      </c>
      <c r="G86" s="71">
        <v>4.844433698195473E-2</v>
      </c>
      <c r="H86" s="71">
        <v>5.2192135120136304E-2</v>
      </c>
      <c r="I86" s="71">
        <v>5.4597771787216018E-2</v>
      </c>
      <c r="J86" s="63">
        <v>5.7005811119849953E-2</v>
      </c>
      <c r="K86" s="71" t="s">
        <v>21</v>
      </c>
      <c r="L86" s="71">
        <v>5.4760218819547282E-3</v>
      </c>
      <c r="M86" s="71">
        <v>9.2041715201363009E-3</v>
      </c>
      <c r="N86" s="71">
        <v>1.0909471787216013E-2</v>
      </c>
      <c r="O86" s="71">
        <v>1.1921158919849958E-2</v>
      </c>
      <c r="P86" s="55" t="s">
        <v>21</v>
      </c>
      <c r="Q86" s="53" t="s">
        <v>21</v>
      </c>
      <c r="R86" s="94" t="s">
        <v>21</v>
      </c>
      <c r="S86" s="71">
        <v>0</v>
      </c>
      <c r="T86" s="63">
        <v>5.2192135120136304E-2</v>
      </c>
      <c r="V86" s="118">
        <v>1.13528885</v>
      </c>
      <c r="W86" s="61">
        <v>2.8825414199999999</v>
      </c>
      <c r="X86" s="61">
        <v>4.42982415</v>
      </c>
      <c r="Y86" s="61">
        <v>5.7639303599999998</v>
      </c>
      <c r="Z86" s="119">
        <v>7.4388129200000002</v>
      </c>
    </row>
    <row r="87" spans="2:26" x14ac:dyDescent="0.35">
      <c r="B87" s="57" t="s">
        <v>77</v>
      </c>
      <c r="C87" s="67" t="s">
        <v>63</v>
      </c>
      <c r="D87" s="67" t="s">
        <v>69</v>
      </c>
      <c r="E87" s="67" t="s">
        <v>21</v>
      </c>
      <c r="F87" s="74">
        <v>4.4584866809315712E-2</v>
      </c>
      <c r="G87" s="76">
        <v>5.0923358453896984E-2</v>
      </c>
      <c r="H87" s="76">
        <v>5.5731130758236186E-2</v>
      </c>
      <c r="I87" s="76">
        <v>5.8148219470223236E-2</v>
      </c>
      <c r="J87" s="64">
        <v>6.0401592303088045E-2</v>
      </c>
      <c r="K87" s="76">
        <v>1.2034239093157116E-3</v>
      </c>
      <c r="L87" s="76">
        <v>7.8720734538969949E-3</v>
      </c>
      <c r="M87" s="76">
        <v>1.262210485823618E-2</v>
      </c>
      <c r="N87" s="76">
        <v>1.4343996570223224E-2</v>
      </c>
      <c r="O87" s="76">
        <v>1.5216928703088044E-2</v>
      </c>
      <c r="P87" s="57" t="s">
        <v>21</v>
      </c>
      <c r="Q87" s="67" t="s">
        <v>21</v>
      </c>
      <c r="R87" s="96" t="s">
        <v>21</v>
      </c>
      <c r="S87" s="76">
        <v>0</v>
      </c>
      <c r="T87" s="64">
        <v>5.5731130758236186E-2</v>
      </c>
      <c r="V87" s="116">
        <v>1.13373916</v>
      </c>
      <c r="W87" s="108">
        <v>2.8732238300000001</v>
      </c>
      <c r="X87" s="108">
        <v>4.4023817899999997</v>
      </c>
      <c r="Y87" s="108">
        <v>5.7149847899999999</v>
      </c>
      <c r="Z87" s="117">
        <v>7.3597037399999996</v>
      </c>
    </row>
    <row r="88" spans="2:26" x14ac:dyDescent="0.35">
      <c r="B88" s="55" t="s">
        <v>78</v>
      </c>
      <c r="C88" s="53" t="s">
        <v>65</v>
      </c>
      <c r="D88" s="53" t="s">
        <v>69</v>
      </c>
      <c r="E88" s="53" t="s">
        <v>79</v>
      </c>
      <c r="F88" s="73">
        <v>4.2841191203667042E-2</v>
      </c>
      <c r="G88" s="71">
        <v>4.9706468169495394E-2</v>
      </c>
      <c r="H88" s="71">
        <v>5.5268667089252183E-2</v>
      </c>
      <c r="I88" s="71">
        <v>5.8310542660770265E-2</v>
      </c>
      <c r="J88" s="63">
        <v>6.170623774296783E-2</v>
      </c>
      <c r="K88" s="71" t="s">
        <v>21</v>
      </c>
      <c r="L88" s="71">
        <v>6.6722218694953862E-3</v>
      </c>
      <c r="M88" s="71">
        <v>1.2113428289252184E-2</v>
      </c>
      <c r="N88" s="71">
        <v>1.4420957060770276E-2</v>
      </c>
      <c r="O88" s="71">
        <v>1.6393284742967831E-2</v>
      </c>
      <c r="P88" s="55" t="s">
        <v>21</v>
      </c>
      <c r="Q88" s="53" t="s">
        <v>21</v>
      </c>
      <c r="R88" s="94" t="s">
        <v>21</v>
      </c>
      <c r="S88" s="71">
        <v>0</v>
      </c>
      <c r="T88" s="63">
        <v>5.5268667089252183E-2</v>
      </c>
      <c r="V88" s="118">
        <v>1.1350832900000001</v>
      </c>
      <c r="W88" s="61">
        <v>2.8743997000000001</v>
      </c>
      <c r="X88" s="61">
        <v>4.3890549299999995</v>
      </c>
      <c r="Y88" s="61">
        <v>5.6685958200000002</v>
      </c>
      <c r="Z88" s="119">
        <v>7.2281944599999992</v>
      </c>
    </row>
    <row r="89" spans="2:26" x14ac:dyDescent="0.35">
      <c r="B89" s="57" t="s">
        <v>78</v>
      </c>
      <c r="C89" s="67" t="s">
        <v>66</v>
      </c>
      <c r="D89" s="67" t="s">
        <v>69</v>
      </c>
      <c r="E89" s="67" t="s">
        <v>133</v>
      </c>
      <c r="F89" s="74">
        <v>4.4264997378786461E-2</v>
      </c>
      <c r="G89" s="76">
        <v>5.3721885569510422E-2</v>
      </c>
      <c r="H89" s="76">
        <v>6.1857534274354115E-2</v>
      </c>
      <c r="I89" s="76">
        <v>6.6218806573134892E-2</v>
      </c>
      <c r="J89" s="64">
        <v>7.0046188385420691E-2</v>
      </c>
      <c r="K89" s="76">
        <v>8.8450607878646191E-4</v>
      </c>
      <c r="L89" s="76">
        <v>1.053105976951042E-2</v>
      </c>
      <c r="M89" s="76">
        <v>1.8417807274354107E-2</v>
      </c>
      <c r="N89" s="76">
        <v>2.1970244073134901E-2</v>
      </c>
      <c r="O89" s="76">
        <v>2.4370704485420693E-2</v>
      </c>
      <c r="P89" s="57" t="s">
        <v>21</v>
      </c>
      <c r="Q89" s="67" t="s">
        <v>21</v>
      </c>
      <c r="R89" s="96" t="s">
        <v>21</v>
      </c>
      <c r="S89" s="76">
        <v>0</v>
      </c>
      <c r="T89" s="64">
        <v>6.1857534274354115E-2</v>
      </c>
      <c r="V89" s="116">
        <v>1.1342596</v>
      </c>
      <c r="W89" s="108">
        <v>2.8610801299999999</v>
      </c>
      <c r="X89" s="108">
        <v>4.3398411400000008</v>
      </c>
      <c r="Y89" s="108">
        <v>5.5628243900000003</v>
      </c>
      <c r="Z89" s="117">
        <v>7.0239117100000001</v>
      </c>
    </row>
    <row r="90" spans="2:26" x14ac:dyDescent="0.35">
      <c r="B90" s="55" t="s">
        <v>80</v>
      </c>
      <c r="C90" s="53" t="s">
        <v>61</v>
      </c>
      <c r="D90" s="53" t="s">
        <v>69</v>
      </c>
      <c r="E90" s="53" t="s">
        <v>21</v>
      </c>
      <c r="F90" s="73">
        <v>4.2274175833273822E-2</v>
      </c>
      <c r="G90" s="71">
        <v>4.8085148523374026E-2</v>
      </c>
      <c r="H90" s="71">
        <v>5.2581881432959721E-2</v>
      </c>
      <c r="I90" s="71">
        <v>5.4939282479483764E-2</v>
      </c>
      <c r="J90" s="63">
        <v>5.7734418610806137E-2</v>
      </c>
      <c r="K90" s="71" t="s">
        <v>21</v>
      </c>
      <c r="L90" s="71">
        <v>5.1377421233740356E-3</v>
      </c>
      <c r="M90" s="71">
        <v>9.5750685329597188E-3</v>
      </c>
      <c r="N90" s="71">
        <v>1.1235588679483766E-2</v>
      </c>
      <c r="O90" s="71">
        <v>1.2618978010806144E-2</v>
      </c>
      <c r="P90" s="55" t="s">
        <v>21</v>
      </c>
      <c r="Q90" s="53" t="s">
        <v>21</v>
      </c>
      <c r="R90" s="94" t="s">
        <v>21</v>
      </c>
      <c r="S90" s="71">
        <v>0</v>
      </c>
      <c r="T90" s="63">
        <v>5.2581881432959721E-2</v>
      </c>
      <c r="V90" s="118">
        <v>1.1361530200000001</v>
      </c>
      <c r="W90" s="61">
        <v>2.8862277000000001</v>
      </c>
      <c r="X90" s="61">
        <v>4.4300940099999995</v>
      </c>
      <c r="Y90" s="61">
        <v>5.75812144</v>
      </c>
      <c r="Z90" s="119">
        <v>7.41483325</v>
      </c>
    </row>
    <row r="91" spans="2:26" x14ac:dyDescent="0.35">
      <c r="B91" s="55" t="s">
        <v>80</v>
      </c>
      <c r="C91" s="53" t="s">
        <v>63</v>
      </c>
      <c r="D91" s="53" t="s">
        <v>69</v>
      </c>
      <c r="E91" s="53" t="s">
        <v>36</v>
      </c>
      <c r="F91" s="73">
        <v>4.4438694349414942E-2</v>
      </c>
      <c r="G91" s="71">
        <v>5.1053191794106757E-2</v>
      </c>
      <c r="H91" s="71">
        <v>5.5787322779444024E-2</v>
      </c>
      <c r="I91" s="71">
        <v>5.8779864710223541E-2</v>
      </c>
      <c r="J91" s="63">
        <v>6.1812166806114892E-2</v>
      </c>
      <c r="K91" s="71">
        <v>1.0631897494149476E-3</v>
      </c>
      <c r="L91" s="71">
        <v>7.9958173941067565E-3</v>
      </c>
      <c r="M91" s="71">
        <v>1.2675535379444023E-2</v>
      </c>
      <c r="N91" s="71">
        <v>1.4945176410223542E-2</v>
      </c>
      <c r="O91" s="71">
        <v>1.6565855106114913E-2</v>
      </c>
      <c r="P91" s="55" t="s">
        <v>21</v>
      </c>
      <c r="Q91" s="53" t="s">
        <v>21</v>
      </c>
      <c r="R91" s="94" t="s">
        <v>21</v>
      </c>
      <c r="S91" s="71">
        <v>0</v>
      </c>
      <c r="T91" s="63">
        <v>5.5787322779444024E-2</v>
      </c>
      <c r="V91" s="116">
        <v>1.1339483699999999</v>
      </c>
      <c r="W91" s="108">
        <v>2.8729515800000001</v>
      </c>
      <c r="X91" s="108">
        <v>4.4023436700000005</v>
      </c>
      <c r="Y91" s="108">
        <v>5.70834727</v>
      </c>
      <c r="Z91" s="117">
        <v>7.3258604099999998</v>
      </c>
    </row>
    <row r="92" spans="2:26" x14ac:dyDescent="0.35">
      <c r="B92" s="56" t="s">
        <v>82</v>
      </c>
      <c r="C92" s="66" t="s">
        <v>65</v>
      </c>
      <c r="D92" s="66" t="s">
        <v>69</v>
      </c>
      <c r="E92" s="66" t="s">
        <v>34</v>
      </c>
      <c r="F92" s="75">
        <v>4.3276631285870441E-2</v>
      </c>
      <c r="G92" s="80">
        <v>5.0361800945164924E-2</v>
      </c>
      <c r="H92" s="80">
        <v>5.6323745855319893E-2</v>
      </c>
      <c r="I92" s="80">
        <v>5.9446165353860367E-2</v>
      </c>
      <c r="J92" s="62">
        <v>6.2781367618532577E-2</v>
      </c>
      <c r="K92" s="80" t="s">
        <v>21</v>
      </c>
      <c r="L92" s="80">
        <v>7.2903960451649319E-3</v>
      </c>
      <c r="M92" s="80">
        <v>1.3106730355319871E-2</v>
      </c>
      <c r="N92" s="80">
        <v>1.5488279353860364E-2</v>
      </c>
      <c r="O92" s="80">
        <v>1.7408569618532578E-2</v>
      </c>
      <c r="P92" s="56" t="s">
        <v>21</v>
      </c>
      <c r="Q92" s="66" t="s">
        <v>21</v>
      </c>
      <c r="R92" s="100" t="s">
        <v>21</v>
      </c>
      <c r="S92" s="80">
        <v>0</v>
      </c>
      <c r="T92" s="62">
        <v>5.6323745855319893E-2</v>
      </c>
      <c r="V92" s="114">
        <v>1.13427521</v>
      </c>
      <c r="W92" s="72">
        <v>2.8690054599999999</v>
      </c>
      <c r="X92" s="72">
        <v>4.3723723100000003</v>
      </c>
      <c r="Y92" s="72">
        <v>5.6358218500000001</v>
      </c>
      <c r="Z92" s="115">
        <v>7.1701267400000006</v>
      </c>
    </row>
    <row r="93" spans="2:26" x14ac:dyDescent="0.35">
      <c r="B93" s="57" t="s">
        <v>82</v>
      </c>
      <c r="C93" s="67" t="s">
        <v>66</v>
      </c>
      <c r="D93" s="67" t="s">
        <v>69</v>
      </c>
      <c r="E93" s="67" t="s">
        <v>21</v>
      </c>
      <c r="F93" s="74">
        <v>4.4324543945473124E-2</v>
      </c>
      <c r="G93" s="76">
        <v>5.4049029603418515E-2</v>
      </c>
      <c r="H93" s="76">
        <v>6.2153669047968471E-2</v>
      </c>
      <c r="I93" s="76">
        <v>6.6605046413686544E-2</v>
      </c>
      <c r="J93" s="64">
        <v>7.0435649711770312E-2</v>
      </c>
      <c r="K93" s="76">
        <v>9.4942204547312451E-4</v>
      </c>
      <c r="L93" s="76">
        <v>1.0845718703418512E-2</v>
      </c>
      <c r="M93" s="76">
        <v>1.8698898347968465E-2</v>
      </c>
      <c r="N93" s="76">
        <v>2.2334544613686558E-2</v>
      </c>
      <c r="O93" s="76">
        <v>2.4738852211770315E-2</v>
      </c>
      <c r="P93" s="57" t="s">
        <v>21</v>
      </c>
      <c r="Q93" s="67" t="s">
        <v>21</v>
      </c>
      <c r="R93" s="96" t="s">
        <v>21</v>
      </c>
      <c r="S93" s="76">
        <v>0</v>
      </c>
      <c r="T93" s="64">
        <v>6.2153669047968471E-2</v>
      </c>
      <c r="V93" s="114">
        <v>1.1341338400000001</v>
      </c>
      <c r="W93" s="72">
        <v>2.8593272600000001</v>
      </c>
      <c r="X93" s="72">
        <v>4.3353718899999993</v>
      </c>
      <c r="Y93" s="72">
        <v>5.5543291899999998</v>
      </c>
      <c r="Z93" s="115">
        <v>7.0084088700000002</v>
      </c>
    </row>
    <row r="94" spans="2:26" x14ac:dyDescent="0.35">
      <c r="B94" s="79" t="s">
        <v>452</v>
      </c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9"/>
      <c r="Q94" s="78"/>
      <c r="R94" s="95"/>
      <c r="S94" s="78"/>
      <c r="T94" s="77"/>
      <c r="V94" s="112"/>
      <c r="W94" s="107"/>
      <c r="X94" s="107"/>
      <c r="Y94" s="107"/>
      <c r="Z94" s="113"/>
    </row>
    <row r="95" spans="2:26" x14ac:dyDescent="0.35">
      <c r="B95" s="55" t="s">
        <v>84</v>
      </c>
      <c r="C95" s="53" t="s">
        <v>85</v>
      </c>
      <c r="D95" s="53" t="s">
        <v>20</v>
      </c>
      <c r="E95" s="53" t="s">
        <v>453</v>
      </c>
      <c r="F95" s="73">
        <v>4.468501268221392E-2</v>
      </c>
      <c r="G95" s="71">
        <v>5.0539450079672844E-2</v>
      </c>
      <c r="H95" s="71">
        <v>5.5081674503555125E-2</v>
      </c>
      <c r="I95" s="71">
        <v>5.7599808746537237E-2</v>
      </c>
      <c r="J95" s="63">
        <v>6.0306776307617244E-2</v>
      </c>
      <c r="K95" s="71">
        <v>1.265885282213928E-3</v>
      </c>
      <c r="L95" s="71">
        <v>7.4576066796728487E-3</v>
      </c>
      <c r="M95" s="71">
        <v>1.1935306703555124E-2</v>
      </c>
      <c r="N95" s="71">
        <v>1.3748327046537223E-2</v>
      </c>
      <c r="O95" s="71">
        <v>1.5061740107617252E-2</v>
      </c>
      <c r="P95" s="55" t="s">
        <v>21</v>
      </c>
      <c r="Q95" s="53" t="s">
        <v>21</v>
      </c>
      <c r="R95" s="94" t="s">
        <v>21</v>
      </c>
      <c r="S95" s="71">
        <v>0</v>
      </c>
      <c r="T95" s="63">
        <v>5.5081674503555125E-2</v>
      </c>
      <c r="V95" s="114">
        <v>1.1316808700000001</v>
      </c>
      <c r="W95" s="72">
        <v>2.8634681799999999</v>
      </c>
      <c r="X95" s="72">
        <v>4.38032194</v>
      </c>
      <c r="Y95" s="72">
        <v>5.67056366</v>
      </c>
      <c r="Z95" s="115">
        <v>7.2654849400000003</v>
      </c>
    </row>
    <row r="96" spans="2:26" x14ac:dyDescent="0.35">
      <c r="B96" s="55" t="s">
        <v>86</v>
      </c>
      <c r="C96" s="53" t="s">
        <v>85</v>
      </c>
      <c r="D96" s="53" t="s">
        <v>20</v>
      </c>
      <c r="E96" s="53" t="s">
        <v>453</v>
      </c>
      <c r="F96" s="73">
        <v>4.4737804965175224E-2</v>
      </c>
      <c r="G96" s="71">
        <v>5.0793597445640284E-2</v>
      </c>
      <c r="H96" s="71">
        <v>5.5201450304529893E-2</v>
      </c>
      <c r="I96" s="71">
        <v>5.7725634000072225E-2</v>
      </c>
      <c r="J96" s="63">
        <v>6.0516219752760322E-2</v>
      </c>
      <c r="K96" s="71">
        <v>1.3169354651752247E-3</v>
      </c>
      <c r="L96" s="71">
        <v>7.6982443456402837E-3</v>
      </c>
      <c r="M96" s="71">
        <v>1.2048559404529903E-2</v>
      </c>
      <c r="N96" s="71">
        <v>1.3867552200072211E-2</v>
      </c>
      <c r="O96" s="71">
        <v>1.5260116652760339E-2</v>
      </c>
      <c r="P96" s="55" t="s">
        <v>21</v>
      </c>
      <c r="Q96" s="53" t="s">
        <v>21</v>
      </c>
      <c r="R96" s="94" t="s">
        <v>21</v>
      </c>
      <c r="S96" s="71">
        <v>0</v>
      </c>
      <c r="T96" s="63">
        <v>5.5201450304529893E-2</v>
      </c>
      <c r="V96" s="114">
        <v>1.13156703</v>
      </c>
      <c r="W96" s="72">
        <v>2.8624252299999999</v>
      </c>
      <c r="X96" s="72">
        <v>4.3781770099999999</v>
      </c>
      <c r="Y96" s="72">
        <v>5.6654493600000002</v>
      </c>
      <c r="Z96" s="115">
        <v>7.2560251199999994</v>
      </c>
    </row>
    <row r="97" spans="2:26" x14ac:dyDescent="0.35">
      <c r="B97" s="55" t="s">
        <v>87</v>
      </c>
      <c r="C97" s="53" t="s">
        <v>85</v>
      </c>
      <c r="D97" s="53" t="s">
        <v>20</v>
      </c>
      <c r="E97" s="53" t="s">
        <v>88</v>
      </c>
      <c r="F97" s="73">
        <v>4.4536168636394806E-2</v>
      </c>
      <c r="G97" s="71">
        <v>5.0647044572153271E-2</v>
      </c>
      <c r="H97" s="71">
        <v>5.535547011337718E-2</v>
      </c>
      <c r="I97" s="71">
        <v>5.7604013123048775E-2</v>
      </c>
      <c r="J97" s="63">
        <v>6.0360514947566453E-2</v>
      </c>
      <c r="K97" s="71">
        <v>1.1273542363948105E-3</v>
      </c>
      <c r="L97" s="71">
        <v>7.5604434721532662E-3</v>
      </c>
      <c r="M97" s="71">
        <v>1.2194408913377183E-2</v>
      </c>
      <c r="N97" s="71">
        <v>1.3752405223048767E-2</v>
      </c>
      <c r="O97" s="71">
        <v>1.5112585447566447E-2</v>
      </c>
      <c r="P97" s="55" t="s">
        <v>21</v>
      </c>
      <c r="Q97" s="53" t="s">
        <v>21</v>
      </c>
      <c r="R97" s="94" t="s">
        <v>21</v>
      </c>
      <c r="S97" s="71">
        <v>0</v>
      </c>
      <c r="T97" s="63">
        <v>5.535547011337718E-2</v>
      </c>
      <c r="V97" s="114">
        <v>1.1319305399999999</v>
      </c>
      <c r="W97" s="72">
        <v>2.8628021299999999</v>
      </c>
      <c r="X97" s="72">
        <v>4.3772478399999999</v>
      </c>
      <c r="Y97" s="72">
        <v>5.6692708000000005</v>
      </c>
      <c r="Z97" s="115">
        <v>7.2626330799999996</v>
      </c>
    </row>
    <row r="98" spans="2:26" x14ac:dyDescent="0.35">
      <c r="B98" s="55" t="s">
        <v>89</v>
      </c>
      <c r="C98" s="53" t="s">
        <v>85</v>
      </c>
      <c r="D98" s="53" t="s">
        <v>20</v>
      </c>
      <c r="E98" s="53" t="s">
        <v>314</v>
      </c>
      <c r="F98" s="73">
        <v>4.3261353029952203E-2</v>
      </c>
      <c r="G98" s="71">
        <v>4.9133298412533472E-2</v>
      </c>
      <c r="H98" s="71">
        <v>5.307423080940183E-2</v>
      </c>
      <c r="I98" s="71">
        <v>5.5494838801915615E-2</v>
      </c>
      <c r="J98" s="63">
        <v>5.8144820927126445E-2</v>
      </c>
      <c r="K98" s="71" t="s">
        <v>21</v>
      </c>
      <c r="L98" s="71">
        <v>6.1280164125334735E-3</v>
      </c>
      <c r="M98" s="71">
        <v>1.0038961109401827E-2</v>
      </c>
      <c r="N98" s="71">
        <v>1.1759310701915618E-2</v>
      </c>
      <c r="O98" s="71">
        <v>1.3006481127126445E-2</v>
      </c>
      <c r="P98" s="55" t="s">
        <v>21</v>
      </c>
      <c r="Q98" s="53" t="s">
        <v>21</v>
      </c>
      <c r="R98" s="94" t="s">
        <v>21</v>
      </c>
      <c r="S98" s="71">
        <v>0</v>
      </c>
      <c r="T98" s="63">
        <v>5.307423080940183E-2</v>
      </c>
      <c r="V98" s="114">
        <v>1.1343102900000002</v>
      </c>
      <c r="W98" s="72">
        <v>2.8763871600000002</v>
      </c>
      <c r="X98" s="72">
        <v>4.4145518600000004</v>
      </c>
      <c r="Y98" s="72">
        <v>5.7352806100000002</v>
      </c>
      <c r="Z98" s="115">
        <v>7.3832117700000008</v>
      </c>
    </row>
    <row r="99" spans="2:26" x14ac:dyDescent="0.35">
      <c r="B99" s="55" t="s">
        <v>90</v>
      </c>
      <c r="C99" s="53" t="s">
        <v>85</v>
      </c>
      <c r="D99" s="53" t="s">
        <v>20</v>
      </c>
      <c r="E99" s="53" t="s">
        <v>75</v>
      </c>
      <c r="F99" s="73">
        <v>4.4619716189504686E-2</v>
      </c>
      <c r="G99" s="71">
        <v>5.0916483400984501E-2</v>
      </c>
      <c r="H99" s="71">
        <v>5.5656496183442275E-2</v>
      </c>
      <c r="I99" s="71">
        <v>5.8271369054669508E-2</v>
      </c>
      <c r="J99" s="63">
        <v>6.0901762879904509E-2</v>
      </c>
      <c r="K99" s="71">
        <v>1.1991743895046758E-3</v>
      </c>
      <c r="L99" s="71">
        <v>7.8115175009845069E-3</v>
      </c>
      <c r="M99" s="71">
        <v>1.2475729283442274E-2</v>
      </c>
      <c r="N99" s="71">
        <v>1.4380112854669509E-2</v>
      </c>
      <c r="O99" s="71">
        <v>1.5625563979904524E-2</v>
      </c>
      <c r="P99" s="55" t="s">
        <v>21</v>
      </c>
      <c r="Q99" s="53" t="s">
        <v>21</v>
      </c>
      <c r="R99" s="94" t="s">
        <v>21</v>
      </c>
      <c r="S99" s="71">
        <v>0</v>
      </c>
      <c r="T99" s="63">
        <v>5.5656496183442275E-2</v>
      </c>
      <c r="V99" s="114">
        <v>1.1317806500000001</v>
      </c>
      <c r="W99" s="72">
        <v>2.8619732299999998</v>
      </c>
      <c r="X99" s="72">
        <v>4.37232603</v>
      </c>
      <c r="Y99" s="72">
        <v>5.6529125000000002</v>
      </c>
      <c r="Z99" s="115">
        <v>7.2332486999999999</v>
      </c>
    </row>
    <row r="100" spans="2:26" x14ac:dyDescent="0.35">
      <c r="B100" s="55" t="s">
        <v>91</v>
      </c>
      <c r="C100" s="53" t="s">
        <v>85</v>
      </c>
      <c r="D100" s="53" t="s">
        <v>20</v>
      </c>
      <c r="E100" s="53" t="s">
        <v>92</v>
      </c>
      <c r="F100" s="73">
        <v>4.3907870243223117E-2</v>
      </c>
      <c r="G100" s="71">
        <v>4.9856100799152404E-2</v>
      </c>
      <c r="H100" s="71">
        <v>5.4400785601578253E-2</v>
      </c>
      <c r="I100" s="71">
        <v>5.6824192048493975E-2</v>
      </c>
      <c r="J100" s="63">
        <v>5.9537414556299177E-2</v>
      </c>
      <c r="K100" s="71">
        <v>5.2253814322312468E-4</v>
      </c>
      <c r="L100" s="71">
        <v>6.8097450991524075E-3</v>
      </c>
      <c r="M100" s="71">
        <v>1.1291401401578253E-2</v>
      </c>
      <c r="N100" s="71">
        <v>1.3016021648493976E-2</v>
      </c>
      <c r="O100" s="71">
        <v>1.4331627256299169E-2</v>
      </c>
      <c r="P100" s="55" t="s">
        <v>21</v>
      </c>
      <c r="Q100" s="53" t="s">
        <v>21</v>
      </c>
      <c r="R100" s="94" t="s">
        <v>21</v>
      </c>
      <c r="S100" s="71">
        <v>0</v>
      </c>
      <c r="T100" s="63">
        <v>5.4400785601578253E-2</v>
      </c>
      <c r="V100" s="114">
        <v>1.1331249700000001</v>
      </c>
      <c r="W100" s="72">
        <v>2.8703326200000001</v>
      </c>
      <c r="X100" s="72">
        <v>4.3942344599999998</v>
      </c>
      <c r="Y100" s="72">
        <v>5.69422593</v>
      </c>
      <c r="Z100" s="115">
        <v>7.3069576999999999</v>
      </c>
    </row>
    <row r="101" spans="2:26" x14ac:dyDescent="0.35">
      <c r="B101" s="55" t="s">
        <v>309</v>
      </c>
      <c r="C101" s="53" t="s">
        <v>85</v>
      </c>
      <c r="D101" s="53" t="s">
        <v>20</v>
      </c>
      <c r="E101" s="53" t="s">
        <v>315</v>
      </c>
      <c r="F101" s="73">
        <v>4.1961510693535597E-2</v>
      </c>
      <c r="G101" s="71">
        <v>4.8136948061042753E-2</v>
      </c>
      <c r="H101" s="71">
        <v>5.2370573639773522E-2</v>
      </c>
      <c r="I101" s="71">
        <v>5.479782000241059E-2</v>
      </c>
      <c r="J101" s="63">
        <v>5.7485678242286321E-2</v>
      </c>
      <c r="K101" s="71" t="s">
        <v>21</v>
      </c>
      <c r="L101" s="71">
        <v>5.1815732610427517E-3</v>
      </c>
      <c r="M101" s="71">
        <v>9.371220039773526E-3</v>
      </c>
      <c r="N101" s="71">
        <v>1.1098915602410588E-2</v>
      </c>
      <c r="O101" s="71">
        <v>1.2381931742286327E-2</v>
      </c>
      <c r="P101" s="55" t="s">
        <v>21</v>
      </c>
      <c r="Q101" s="53" t="s">
        <v>21</v>
      </c>
      <c r="R101" s="94" t="s">
        <v>21</v>
      </c>
      <c r="S101" s="71">
        <v>0</v>
      </c>
      <c r="T101" s="63">
        <v>5.2370573639773522E-2</v>
      </c>
      <c r="V101" s="114">
        <v>1.1368211099999999</v>
      </c>
      <c r="W101" s="72">
        <v>2.8872195199999999</v>
      </c>
      <c r="X101" s="72">
        <v>4.4337217999999998</v>
      </c>
      <c r="Y101" s="72">
        <v>5.7632832199999999</v>
      </c>
      <c r="Z101" s="115">
        <v>7.4230155000000009</v>
      </c>
    </row>
    <row r="102" spans="2:26" x14ac:dyDescent="0.35">
      <c r="B102" s="55" t="s">
        <v>310</v>
      </c>
      <c r="C102" s="53" t="s">
        <v>85</v>
      </c>
      <c r="D102" s="53" t="s">
        <v>20</v>
      </c>
      <c r="E102" s="53" t="s">
        <v>73</v>
      </c>
      <c r="F102" s="73">
        <v>4.4479010798306656E-2</v>
      </c>
      <c r="G102" s="71">
        <v>5.2103908462183053E-2</v>
      </c>
      <c r="H102" s="71">
        <v>5.8554852096821021E-2</v>
      </c>
      <c r="I102" s="71">
        <v>6.1611520583790533E-2</v>
      </c>
      <c r="J102" s="63">
        <v>6.5246136116905037E-2</v>
      </c>
      <c r="K102" s="71">
        <v>1.0635509983066525E-3</v>
      </c>
      <c r="L102" s="71">
        <v>8.9305335621830545E-3</v>
      </c>
      <c r="M102" s="71">
        <v>1.5198459996821024E-2</v>
      </c>
      <c r="N102" s="71">
        <v>1.7515661483790534E-2</v>
      </c>
      <c r="O102" s="71">
        <v>1.9728678316905036E-2</v>
      </c>
      <c r="P102" s="55" t="s">
        <v>21</v>
      </c>
      <c r="Q102" s="53" t="s">
        <v>21</v>
      </c>
      <c r="R102" s="94" t="s">
        <v>21</v>
      </c>
      <c r="S102" s="71">
        <v>0</v>
      </c>
      <c r="T102" s="63">
        <v>5.8554852096821021E-2</v>
      </c>
      <c r="V102" s="114">
        <v>1.1320520299999999</v>
      </c>
      <c r="W102" s="72">
        <v>2.85503295</v>
      </c>
      <c r="X102" s="72">
        <v>4.3346488699999997</v>
      </c>
      <c r="Y102" s="72">
        <v>5.5662403100000004</v>
      </c>
      <c r="Z102" s="115">
        <v>7.0402192299999999</v>
      </c>
    </row>
    <row r="103" spans="2:26" x14ac:dyDescent="0.35">
      <c r="B103" s="55" t="s">
        <v>311</v>
      </c>
      <c r="C103" s="53" t="s">
        <v>85</v>
      </c>
      <c r="D103" s="53" t="s">
        <v>20</v>
      </c>
      <c r="E103" s="53" t="s">
        <v>48</v>
      </c>
      <c r="F103" s="73">
        <v>4.6433130434801496E-2</v>
      </c>
      <c r="G103" s="71">
        <v>5.7988392145124759E-2</v>
      </c>
      <c r="H103" s="71">
        <v>6.7052932040176025E-2</v>
      </c>
      <c r="I103" s="71">
        <v>7.2626641884357593E-2</v>
      </c>
      <c r="J103" s="63">
        <v>7.6629814297178245E-2</v>
      </c>
      <c r="K103" s="71">
        <v>2.8885725348015041E-3</v>
      </c>
      <c r="L103" s="71">
        <v>1.4443351345124752E-2</v>
      </c>
      <c r="M103" s="71">
        <v>2.3079565140176023E-2</v>
      </c>
      <c r="N103" s="71">
        <v>2.7713175284357596E-2</v>
      </c>
      <c r="O103" s="71">
        <v>3.0311727797178244E-2</v>
      </c>
      <c r="P103" s="55" t="s">
        <v>21</v>
      </c>
      <c r="Q103" s="53" t="s">
        <v>21</v>
      </c>
      <c r="R103" s="94" t="s">
        <v>21</v>
      </c>
      <c r="S103" s="71">
        <v>0</v>
      </c>
      <c r="T103" s="63">
        <v>6.7052932040176025E-2</v>
      </c>
      <c r="V103" s="114">
        <v>1.12739254</v>
      </c>
      <c r="W103" s="72">
        <v>2.8101363300000002</v>
      </c>
      <c r="X103" s="72">
        <v>4.2005800000000004</v>
      </c>
      <c r="Y103" s="72">
        <v>5.2892384000000003</v>
      </c>
      <c r="Z103" s="115">
        <v>6.5336790599999999</v>
      </c>
    </row>
    <row r="104" spans="2:26" x14ac:dyDescent="0.35">
      <c r="B104" s="55" t="s">
        <v>312</v>
      </c>
      <c r="C104" s="53" t="s">
        <v>85</v>
      </c>
      <c r="D104" s="53" t="s">
        <v>20</v>
      </c>
      <c r="E104" s="53" t="s">
        <v>161</v>
      </c>
      <c r="F104" s="73">
        <v>4.2079774915828247E-2</v>
      </c>
      <c r="G104" s="71">
        <v>4.8546427157395565E-2</v>
      </c>
      <c r="H104" s="71">
        <v>5.2929001232449896E-2</v>
      </c>
      <c r="I104" s="71">
        <v>5.641783058471251E-2</v>
      </c>
      <c r="J104" s="63">
        <v>5.8781121043072274E-2</v>
      </c>
      <c r="K104" s="71" t="s">
        <v>21</v>
      </c>
      <c r="L104" s="71">
        <v>5.5715252573955718E-3</v>
      </c>
      <c r="M104" s="71">
        <v>9.9011977324498894E-3</v>
      </c>
      <c r="N104" s="71">
        <v>1.2633951784712515E-2</v>
      </c>
      <c r="O104" s="71">
        <v>1.362172844307228E-2</v>
      </c>
      <c r="P104" s="55" t="s">
        <v>316</v>
      </c>
      <c r="Q104" s="53" t="s">
        <v>317</v>
      </c>
      <c r="R104" s="94">
        <v>47788</v>
      </c>
      <c r="S104" s="71">
        <v>5.192546E-2</v>
      </c>
      <c r="T104" s="63">
        <v>1.0035412324498963E-3</v>
      </c>
      <c r="V104" s="114">
        <v>1.1365703700000001</v>
      </c>
      <c r="W104" s="72">
        <v>2.8840141699999999</v>
      </c>
      <c r="X104" s="72">
        <v>4.4234610299999995</v>
      </c>
      <c r="Y104" s="72">
        <v>5.7298921299999996</v>
      </c>
      <c r="Z104" s="115">
        <v>7.3551936100000006</v>
      </c>
    </row>
    <row r="105" spans="2:26" x14ac:dyDescent="0.35">
      <c r="B105" s="57" t="s">
        <v>313</v>
      </c>
      <c r="C105" s="53" t="s">
        <v>85</v>
      </c>
      <c r="D105" s="67" t="s">
        <v>20</v>
      </c>
      <c r="E105" s="67" t="s">
        <v>276</v>
      </c>
      <c r="F105" s="74">
        <v>4.3230924147371348E-2</v>
      </c>
      <c r="G105" s="76">
        <v>5.0452015741060313E-2</v>
      </c>
      <c r="H105" s="76">
        <v>5.6711821691062411E-2</v>
      </c>
      <c r="I105" s="76">
        <v>6.0660518949756881E-2</v>
      </c>
      <c r="J105" s="64">
        <v>6.4380413884721668E-2</v>
      </c>
      <c r="K105" s="76" t="s">
        <v>21</v>
      </c>
      <c r="L105" s="76">
        <v>7.375048941060309E-3</v>
      </c>
      <c r="M105" s="76">
        <v>1.3471750391062406E-2</v>
      </c>
      <c r="N105" s="76">
        <v>1.6628780849756875E-2</v>
      </c>
      <c r="O105" s="76">
        <v>1.8921487284721664E-2</v>
      </c>
      <c r="P105" s="57" t="s">
        <v>21</v>
      </c>
      <c r="Q105" s="67" t="s">
        <v>21</v>
      </c>
      <c r="R105" s="96" t="s">
        <v>21</v>
      </c>
      <c r="S105" s="76">
        <v>0</v>
      </c>
      <c r="T105" s="64">
        <v>5.6711821691062411E-2</v>
      </c>
      <c r="V105" s="116">
        <v>1.1343715699999999</v>
      </c>
      <c r="W105" s="108">
        <v>2.8686275299999999</v>
      </c>
      <c r="X105" s="108">
        <v>4.3681145400000005</v>
      </c>
      <c r="Y105" s="108">
        <v>5.6133336300000005</v>
      </c>
      <c r="Z105" s="117">
        <v>7.1056686199999994</v>
      </c>
    </row>
    <row r="106" spans="2:26" x14ac:dyDescent="0.35">
      <c r="B106" s="53" t="s">
        <v>21</v>
      </c>
      <c r="C106" s="53" t="s">
        <v>21</v>
      </c>
      <c r="E106" s="53" t="s">
        <v>21</v>
      </c>
      <c r="F106" s="71" t="s">
        <v>21</v>
      </c>
      <c r="G106" s="71"/>
      <c r="H106" s="71" t="s">
        <v>21</v>
      </c>
      <c r="I106" s="71"/>
      <c r="J106" s="71" t="s">
        <v>21</v>
      </c>
      <c r="K106" s="71" t="s">
        <v>21</v>
      </c>
      <c r="L106" s="71"/>
      <c r="M106" s="71" t="s">
        <v>21</v>
      </c>
      <c r="N106" s="71"/>
      <c r="O106" s="71" t="s">
        <v>21</v>
      </c>
      <c r="R106" s="94"/>
      <c r="V106" s="72"/>
      <c r="W106" s="72"/>
      <c r="X106" s="72"/>
      <c r="Y106" s="72"/>
      <c r="Z106" s="72"/>
    </row>
    <row r="107" spans="2:26" ht="15.5" x14ac:dyDescent="0.35">
      <c r="B107" s="122" t="s">
        <v>93</v>
      </c>
      <c r="C107" s="53" t="s">
        <v>21</v>
      </c>
      <c r="E107" s="53" t="s">
        <v>21</v>
      </c>
      <c r="F107" s="71" t="s">
        <v>21</v>
      </c>
      <c r="G107" s="71"/>
      <c r="H107" s="71" t="s">
        <v>21</v>
      </c>
      <c r="I107" s="71"/>
      <c r="J107" s="71" t="s">
        <v>21</v>
      </c>
      <c r="K107" s="71" t="s">
        <v>21</v>
      </c>
      <c r="L107" s="71"/>
      <c r="M107" s="71" t="s">
        <v>21</v>
      </c>
      <c r="N107" s="71"/>
      <c r="O107" s="71" t="s">
        <v>21</v>
      </c>
      <c r="R107" s="94"/>
      <c r="V107" s="72"/>
      <c r="W107" s="72"/>
      <c r="X107" s="72"/>
      <c r="Y107" s="72"/>
      <c r="Z107" s="72"/>
    </row>
    <row r="108" spans="2:26" x14ac:dyDescent="0.35">
      <c r="B108" s="85" t="s">
        <v>5</v>
      </c>
      <c r="C108" s="84" t="s">
        <v>6</v>
      </c>
      <c r="D108" s="84" t="s">
        <v>7</v>
      </c>
      <c r="E108" s="84" t="s">
        <v>8</v>
      </c>
      <c r="F108" s="83" t="s">
        <v>9</v>
      </c>
      <c r="G108" s="82" t="s">
        <v>10</v>
      </c>
      <c r="H108" s="82" t="s">
        <v>11</v>
      </c>
      <c r="I108" s="82" t="s">
        <v>12</v>
      </c>
      <c r="J108" s="81" t="s">
        <v>13</v>
      </c>
      <c r="K108" s="58" t="s">
        <v>9</v>
      </c>
      <c r="L108" s="58" t="s">
        <v>10</v>
      </c>
      <c r="M108" s="58" t="s">
        <v>11</v>
      </c>
      <c r="N108" s="58" t="s">
        <v>12</v>
      </c>
      <c r="O108" s="58" t="s">
        <v>13</v>
      </c>
      <c r="P108" s="70" t="s">
        <v>14</v>
      </c>
      <c r="Q108" s="58" t="s">
        <v>15</v>
      </c>
      <c r="R108" s="58" t="s">
        <v>16</v>
      </c>
      <c r="S108" s="58" t="s">
        <v>407</v>
      </c>
      <c r="T108" s="58" t="s">
        <v>18</v>
      </c>
      <c r="V108" s="110" t="s">
        <v>9</v>
      </c>
      <c r="W108" s="106" t="s">
        <v>10</v>
      </c>
      <c r="X108" s="106" t="s">
        <v>11</v>
      </c>
      <c r="Y108" s="106" t="s">
        <v>12</v>
      </c>
      <c r="Z108" s="111" t="s">
        <v>13</v>
      </c>
    </row>
    <row r="109" spans="2:26" x14ac:dyDescent="0.35">
      <c r="B109" s="79" t="s">
        <v>94</v>
      </c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9"/>
      <c r="Q109" s="78"/>
      <c r="R109" s="95"/>
      <c r="S109" s="78"/>
      <c r="T109" s="77"/>
      <c r="V109" s="112"/>
      <c r="W109" s="107"/>
      <c r="X109" s="107"/>
      <c r="Y109" s="107"/>
      <c r="Z109" s="113"/>
    </row>
    <row r="110" spans="2:26" x14ac:dyDescent="0.35">
      <c r="B110" s="56" t="s">
        <v>95</v>
      </c>
      <c r="C110" s="66" t="s">
        <v>85</v>
      </c>
      <c r="D110" s="66" t="s">
        <v>43</v>
      </c>
      <c r="E110" s="66" t="s">
        <v>232</v>
      </c>
      <c r="F110" s="75">
        <v>4.2064069642776494E-2</v>
      </c>
      <c r="G110" s="80">
        <v>4.8561965004629809E-2</v>
      </c>
      <c r="H110" s="80">
        <v>5.3372151718524809E-2</v>
      </c>
      <c r="I110" s="80">
        <v>5.576860981311392E-2</v>
      </c>
      <c r="J110" s="62">
        <v>5.8353720599557853E-2</v>
      </c>
      <c r="K110" s="80" t="s">
        <v>21</v>
      </c>
      <c r="L110" s="80">
        <v>5.5878009046298194E-3</v>
      </c>
      <c r="M110" s="80">
        <v>1.0321596418524809E-2</v>
      </c>
      <c r="N110" s="80">
        <v>1.202024821311393E-2</v>
      </c>
      <c r="O110" s="80">
        <v>1.3209412799557856E-2</v>
      </c>
      <c r="P110" s="56" t="s">
        <v>21</v>
      </c>
      <c r="Q110" s="66" t="s">
        <v>21</v>
      </c>
      <c r="R110" s="100" t="s">
        <v>21</v>
      </c>
      <c r="S110" s="80">
        <v>0</v>
      </c>
      <c r="T110" s="63">
        <v>5.3372151718524809E-2</v>
      </c>
      <c r="V110" s="118">
        <v>1.13657425</v>
      </c>
      <c r="W110" s="61">
        <v>2.88400692</v>
      </c>
      <c r="X110" s="61">
        <v>4.4191181300000002</v>
      </c>
      <c r="Y110" s="61">
        <v>5.7348116099999995</v>
      </c>
      <c r="Z110" s="119">
        <v>7.3755387399999996</v>
      </c>
    </row>
    <row r="111" spans="2:26" x14ac:dyDescent="0.35">
      <c r="B111" s="57" t="s">
        <v>95</v>
      </c>
      <c r="C111" s="67" t="s">
        <v>35</v>
      </c>
      <c r="D111" s="67" t="s">
        <v>43</v>
      </c>
      <c r="E111" s="67" t="s">
        <v>233</v>
      </c>
      <c r="F111" s="74">
        <v>4.3537583738048384E-2</v>
      </c>
      <c r="G111" s="76">
        <v>5.2187822584302657E-2</v>
      </c>
      <c r="H111" s="76">
        <v>5.9202464880200714E-2</v>
      </c>
      <c r="I111" s="76">
        <v>6.2564909237619523E-2</v>
      </c>
      <c r="J111" s="64">
        <v>6.593341601636353E-2</v>
      </c>
      <c r="K111" s="76">
        <v>1.9137863804838395E-4</v>
      </c>
      <c r="L111" s="76">
        <v>9.0735261843026514E-3</v>
      </c>
      <c r="M111" s="76">
        <v>1.5915170380200721E-2</v>
      </c>
      <c r="N111" s="76">
        <v>1.8531376837619507E-2</v>
      </c>
      <c r="O111" s="76">
        <v>2.048615961636352E-2</v>
      </c>
      <c r="P111" s="57" t="s">
        <v>21</v>
      </c>
      <c r="Q111" s="67" t="s">
        <v>21</v>
      </c>
      <c r="R111" s="96" t="s">
        <v>21</v>
      </c>
      <c r="S111" s="76">
        <v>0</v>
      </c>
      <c r="T111" s="64">
        <v>5.9202464880200714E-2</v>
      </c>
      <c r="V111" s="116">
        <v>1.13527606</v>
      </c>
      <c r="W111" s="108">
        <v>2.8699890400000001</v>
      </c>
      <c r="X111" s="108">
        <v>4.3710068800000004</v>
      </c>
      <c r="Y111" s="108">
        <v>5.6334259800000002</v>
      </c>
      <c r="Z111" s="117">
        <v>7.1711440099999999</v>
      </c>
    </row>
    <row r="112" spans="2:26" x14ac:dyDescent="0.35">
      <c r="B112" s="55" t="s">
        <v>96</v>
      </c>
      <c r="C112" s="53" t="s">
        <v>85</v>
      </c>
      <c r="D112" s="53" t="s">
        <v>97</v>
      </c>
      <c r="E112" s="53" t="s">
        <v>21</v>
      </c>
      <c r="F112" s="73">
        <v>4.2474537890068505E-2</v>
      </c>
      <c r="G112" s="71">
        <v>4.8909428190146251E-2</v>
      </c>
      <c r="H112" s="71">
        <v>5.3644998544893047E-2</v>
      </c>
      <c r="I112" s="71">
        <v>5.6420529810103204E-2</v>
      </c>
      <c r="J112" s="63">
        <v>5.9259257182297964E-2</v>
      </c>
      <c r="K112" s="71" t="s">
        <v>21</v>
      </c>
      <c r="L112" s="71">
        <v>5.9166538901462545E-3</v>
      </c>
      <c r="M112" s="71">
        <v>1.0579346344893034E-2</v>
      </c>
      <c r="N112" s="71">
        <v>1.2636527310103196E-2</v>
      </c>
      <c r="O112" s="71">
        <v>1.4071642782297958E-2</v>
      </c>
      <c r="P112" s="55" t="s">
        <v>21</v>
      </c>
      <c r="Q112" s="53" t="s">
        <v>21</v>
      </c>
      <c r="R112" s="94" t="s">
        <v>21</v>
      </c>
      <c r="S112" s="71">
        <v>0</v>
      </c>
      <c r="T112" s="63">
        <v>5.3644998544893047E-2</v>
      </c>
      <c r="V112" s="114">
        <v>1.1357976999999999</v>
      </c>
      <c r="W112" s="72">
        <v>2.8803722199999999</v>
      </c>
      <c r="X112" s="72">
        <v>4.4129119799999996</v>
      </c>
      <c r="Y112" s="72">
        <v>5.71979068</v>
      </c>
      <c r="Z112" s="115">
        <v>7.3379060200000001</v>
      </c>
    </row>
    <row r="113" spans="2:26" x14ac:dyDescent="0.35">
      <c r="B113" s="57" t="s">
        <v>96</v>
      </c>
      <c r="C113" s="67" t="s">
        <v>35</v>
      </c>
      <c r="D113" s="67" t="s">
        <v>97</v>
      </c>
      <c r="E113" s="67" t="s">
        <v>44</v>
      </c>
      <c r="F113" s="74">
        <v>4.4796376758618861E-2</v>
      </c>
      <c r="G113" s="76">
        <v>5.2419712670206293E-2</v>
      </c>
      <c r="H113" s="76">
        <v>5.8833013831298242E-2</v>
      </c>
      <c r="I113" s="76">
        <v>6.2833282867080481E-2</v>
      </c>
      <c r="J113" s="64">
        <v>6.6121469303269495E-2</v>
      </c>
      <c r="K113" s="76">
        <v>1.4038249586188628E-3</v>
      </c>
      <c r="L113" s="76">
        <v>9.2975181702062981E-3</v>
      </c>
      <c r="M113" s="76">
        <v>1.5567738631298242E-2</v>
      </c>
      <c r="N113" s="76">
        <v>1.8786050367080493E-2</v>
      </c>
      <c r="O113" s="76">
        <v>2.0666335403269492E-2</v>
      </c>
      <c r="P113" s="57" t="s">
        <v>21</v>
      </c>
      <c r="Q113" s="67" t="s">
        <v>21</v>
      </c>
      <c r="R113" s="96" t="s">
        <v>21</v>
      </c>
      <c r="S113" s="76">
        <v>0</v>
      </c>
      <c r="T113" s="64">
        <v>5.8833013831298242E-2</v>
      </c>
      <c r="V113" s="116">
        <v>1.1333796899999999</v>
      </c>
      <c r="W113" s="108">
        <v>2.8653693699999998</v>
      </c>
      <c r="X113" s="108">
        <v>4.3694561399999996</v>
      </c>
      <c r="Y113" s="108">
        <v>5.6303060399999998</v>
      </c>
      <c r="Z113" s="117">
        <v>7.1635287600000002</v>
      </c>
    </row>
    <row r="114" spans="2:26" x14ac:dyDescent="0.35">
      <c r="B114" s="55" t="s">
        <v>98</v>
      </c>
      <c r="C114" s="53" t="s">
        <v>85</v>
      </c>
      <c r="D114" s="53" t="s">
        <v>47</v>
      </c>
      <c r="E114" s="53" t="s">
        <v>21</v>
      </c>
      <c r="F114" s="73">
        <v>4.2697568827259821E-2</v>
      </c>
      <c r="G114" s="71">
        <v>4.9451678677553602E-2</v>
      </c>
      <c r="H114" s="71">
        <v>5.4847422416568432E-2</v>
      </c>
      <c r="I114" s="71">
        <v>5.7657225701316844E-2</v>
      </c>
      <c r="J114" s="63">
        <v>6.0668557032599109E-2</v>
      </c>
      <c r="K114" s="71" t="s">
        <v>21</v>
      </c>
      <c r="L114" s="71">
        <v>6.4313000775536111E-3</v>
      </c>
      <c r="M114" s="71">
        <v>1.1716107816568438E-2</v>
      </c>
      <c r="N114" s="71">
        <v>1.3805313901316847E-2</v>
      </c>
      <c r="O114" s="71">
        <v>1.5410407232599115E-2</v>
      </c>
      <c r="P114" s="55" t="s">
        <v>21</v>
      </c>
      <c r="Q114" s="53" t="s">
        <v>21</v>
      </c>
      <c r="R114" s="94" t="s">
        <v>21</v>
      </c>
      <c r="S114" s="71">
        <v>0</v>
      </c>
      <c r="T114" s="63">
        <v>5.4847422416568432E-2</v>
      </c>
      <c r="V114" s="114">
        <v>1.1353546699999999</v>
      </c>
      <c r="W114" s="72">
        <v>2.87642993</v>
      </c>
      <c r="X114" s="72">
        <v>4.3956163799999999</v>
      </c>
      <c r="Y114" s="72">
        <v>5.6843087799999994</v>
      </c>
      <c r="Z114" s="115">
        <v>7.2686230199999997</v>
      </c>
    </row>
    <row r="115" spans="2:26" x14ac:dyDescent="0.35">
      <c r="B115" s="57" t="s">
        <v>98</v>
      </c>
      <c r="C115" s="67" t="s">
        <v>35</v>
      </c>
      <c r="D115" s="67" t="s">
        <v>47</v>
      </c>
      <c r="E115" s="67" t="s">
        <v>454</v>
      </c>
      <c r="F115" s="74">
        <v>4.4345066608090525E-2</v>
      </c>
      <c r="G115" s="76">
        <v>5.2987740644356199E-2</v>
      </c>
      <c r="H115" s="76">
        <v>6.0480015751773294E-2</v>
      </c>
      <c r="I115" s="76">
        <v>6.4844203166551997E-2</v>
      </c>
      <c r="J115" s="64">
        <v>6.8580246952435267E-2</v>
      </c>
      <c r="K115" s="76">
        <v>9.7737970809052936E-4</v>
      </c>
      <c r="L115" s="76">
        <v>9.8402589443561915E-3</v>
      </c>
      <c r="M115" s="76">
        <v>1.7125509351773274E-2</v>
      </c>
      <c r="N115" s="76">
        <v>2.0683297166551977E-2</v>
      </c>
      <c r="O115" s="76">
        <v>2.2993281752435278E-2</v>
      </c>
      <c r="P115" s="57" t="s">
        <v>455</v>
      </c>
      <c r="Q115" s="67" t="s">
        <v>456</v>
      </c>
      <c r="R115" s="96" t="s">
        <v>32</v>
      </c>
      <c r="S115" s="76">
        <v>5.3233839999999998E-2</v>
      </c>
      <c r="T115" s="64">
        <v>7.2461757517732969E-3</v>
      </c>
      <c r="V115" s="116">
        <v>1.1340615199999999</v>
      </c>
      <c r="W115" s="108">
        <v>2.86414138</v>
      </c>
      <c r="X115" s="108">
        <v>4.3543891800000001</v>
      </c>
      <c r="Y115" s="108">
        <v>5.5926408099999998</v>
      </c>
      <c r="Z115" s="117">
        <v>7.0799602300000002</v>
      </c>
    </row>
    <row r="116" spans="2:26" x14ac:dyDescent="0.35">
      <c r="B116" s="55" t="s">
        <v>99</v>
      </c>
      <c r="C116" s="53" t="s">
        <v>85</v>
      </c>
      <c r="D116" s="53" t="s">
        <v>69</v>
      </c>
      <c r="E116" s="53" t="s">
        <v>100</v>
      </c>
      <c r="F116" s="73">
        <v>4.2439551835518272E-2</v>
      </c>
      <c r="G116" s="71">
        <v>4.9983594600635999E-2</v>
      </c>
      <c r="H116" s="71">
        <v>5.5734264757518061E-2</v>
      </c>
      <c r="I116" s="71">
        <v>5.8771090681770721E-2</v>
      </c>
      <c r="J116" s="63">
        <v>6.2134129998941516E-2</v>
      </c>
      <c r="K116" s="71" t="s">
        <v>21</v>
      </c>
      <c r="L116" s="71">
        <v>6.9359124006360068E-3</v>
      </c>
      <c r="M116" s="71">
        <v>1.2553499257518062E-2</v>
      </c>
      <c r="N116" s="71">
        <v>1.4855593881770726E-2</v>
      </c>
      <c r="O116" s="71">
        <v>1.6799084898941524E-2</v>
      </c>
      <c r="P116" s="55" t="s">
        <v>21</v>
      </c>
      <c r="Q116" s="53" t="s">
        <v>21</v>
      </c>
      <c r="R116" s="94" t="s">
        <v>21</v>
      </c>
      <c r="S116" s="71">
        <v>0</v>
      </c>
      <c r="T116" s="63">
        <v>5.5734264757518061E-2</v>
      </c>
      <c r="V116" s="114">
        <v>1.1358216399999999</v>
      </c>
      <c r="W116" s="72">
        <v>2.87394135</v>
      </c>
      <c r="X116" s="72">
        <v>4.3833800200000006</v>
      </c>
      <c r="Y116" s="72">
        <v>5.6560914900000006</v>
      </c>
      <c r="Z116" s="115">
        <v>7.2054019600000005</v>
      </c>
    </row>
    <row r="117" spans="2:26" x14ac:dyDescent="0.35">
      <c r="B117" s="57" t="s">
        <v>99</v>
      </c>
      <c r="C117" s="67" t="s">
        <v>35</v>
      </c>
      <c r="D117" s="67" t="s">
        <v>69</v>
      </c>
      <c r="E117" s="67" t="s">
        <v>226</v>
      </c>
      <c r="F117" s="74">
        <v>4.3227704031723713E-2</v>
      </c>
      <c r="G117" s="76">
        <v>5.3023159662941369E-2</v>
      </c>
      <c r="H117" s="76">
        <v>6.0668568730325348E-2</v>
      </c>
      <c r="I117" s="76">
        <v>6.5122002274769483E-2</v>
      </c>
      <c r="J117" s="64">
        <v>6.8563617608971103E-2</v>
      </c>
      <c r="K117" s="76" t="s">
        <v>21</v>
      </c>
      <c r="L117" s="76">
        <v>9.8700723629413685E-3</v>
      </c>
      <c r="M117" s="76">
        <v>1.7300497630325339E-2</v>
      </c>
      <c r="N117" s="76">
        <v>2.0942659074769488E-2</v>
      </c>
      <c r="O117" s="76">
        <v>2.2977351008971102E-2</v>
      </c>
      <c r="P117" s="57" t="s">
        <v>457</v>
      </c>
      <c r="Q117" s="67" t="s">
        <v>458</v>
      </c>
      <c r="R117" s="96" t="s">
        <v>32</v>
      </c>
      <c r="S117" s="76">
        <v>5.6815069999999995E-2</v>
      </c>
      <c r="T117" s="64">
        <v>3.8534987303253526E-3</v>
      </c>
      <c r="V117" s="116">
        <v>1.13570379</v>
      </c>
      <c r="W117" s="108">
        <v>2.8668090100000003</v>
      </c>
      <c r="X117" s="108">
        <v>4.3553156800000004</v>
      </c>
      <c r="Y117" s="108">
        <v>5.5902637400000001</v>
      </c>
      <c r="Z117" s="117">
        <v>7.0766962200000005</v>
      </c>
    </row>
    <row r="118" spans="2:26" x14ac:dyDescent="0.35">
      <c r="B118" s="55" t="s">
        <v>101</v>
      </c>
      <c r="C118" s="53" t="s">
        <v>85</v>
      </c>
      <c r="D118" s="53" t="s">
        <v>31</v>
      </c>
      <c r="E118" s="53" t="s">
        <v>21</v>
      </c>
      <c r="F118" s="73">
        <v>4.2070814071984007E-2</v>
      </c>
      <c r="G118" s="71">
        <v>4.9229097039442442E-2</v>
      </c>
      <c r="H118" s="71">
        <v>5.447740123921592E-2</v>
      </c>
      <c r="I118" s="71">
        <v>5.743406081914363E-2</v>
      </c>
      <c r="J118" s="63">
        <v>6.057886520480929E-2</v>
      </c>
      <c r="K118" s="71" t="s">
        <v>21</v>
      </c>
      <c r="L118" s="71">
        <v>6.2181855394424397E-3</v>
      </c>
      <c r="M118" s="71">
        <v>1.1365037139215927E-2</v>
      </c>
      <c r="N118" s="71">
        <v>1.3593598019143633E-2</v>
      </c>
      <c r="O118" s="71">
        <v>1.5325297404809292E-2</v>
      </c>
      <c r="P118" s="55" t="s">
        <v>21</v>
      </c>
      <c r="Q118" s="53" t="s">
        <v>21</v>
      </c>
      <c r="R118" s="94" t="s">
        <v>21</v>
      </c>
      <c r="S118" s="71">
        <v>0</v>
      </c>
      <c r="T118" s="63">
        <v>5.447740123921592E-2</v>
      </c>
      <c r="V118" s="114">
        <v>1.1365766799999999</v>
      </c>
      <c r="W118" s="72">
        <v>2.87989696</v>
      </c>
      <c r="X118" s="72">
        <v>4.4029166600000007</v>
      </c>
      <c r="Y118" s="72">
        <v>5.6948656399999997</v>
      </c>
      <c r="Z118" s="115">
        <v>7.2807419799999993</v>
      </c>
    </row>
    <row r="119" spans="2:26" x14ac:dyDescent="0.35">
      <c r="B119" s="57" t="s">
        <v>101</v>
      </c>
      <c r="C119" s="67" t="s">
        <v>35</v>
      </c>
      <c r="D119" s="67" t="s">
        <v>31</v>
      </c>
      <c r="E119" s="67" t="s">
        <v>21</v>
      </c>
      <c r="F119" s="74">
        <v>4.3511114627512087E-2</v>
      </c>
      <c r="G119" s="76">
        <v>5.2125680756102667E-2</v>
      </c>
      <c r="H119" s="76">
        <v>5.9103852294249956E-2</v>
      </c>
      <c r="I119" s="76">
        <v>6.2740169023497133E-2</v>
      </c>
      <c r="J119" s="64">
        <v>6.6026314225304819E-2</v>
      </c>
      <c r="K119" s="76">
        <v>1.6597042751208789E-4</v>
      </c>
      <c r="L119" s="76">
        <v>9.0143437561026711E-3</v>
      </c>
      <c r="M119" s="76">
        <v>1.5821934794249939E-2</v>
      </c>
      <c r="N119" s="76">
        <v>1.8697069523497131E-2</v>
      </c>
      <c r="O119" s="76">
        <v>2.0575393825304822E-2</v>
      </c>
      <c r="P119" s="57" t="s">
        <v>21</v>
      </c>
      <c r="Q119" s="67" t="s">
        <v>21</v>
      </c>
      <c r="R119" s="96" t="s">
        <v>21</v>
      </c>
      <c r="S119" s="76">
        <v>0</v>
      </c>
      <c r="T119" s="64">
        <v>5.9103852294249956E-2</v>
      </c>
      <c r="V119" s="116">
        <v>1.1353139999999999</v>
      </c>
      <c r="W119" s="108">
        <v>2.8703454900000001</v>
      </c>
      <c r="X119" s="108">
        <v>4.3722032000000004</v>
      </c>
      <c r="Y119" s="108">
        <v>5.6329710500000001</v>
      </c>
      <c r="Z119" s="117">
        <v>7.1680343300000002</v>
      </c>
    </row>
    <row r="120" spans="2:26" x14ac:dyDescent="0.35">
      <c r="B120" s="55" t="s">
        <v>102</v>
      </c>
      <c r="C120" s="53" t="s">
        <v>85</v>
      </c>
      <c r="D120" s="53" t="s">
        <v>69</v>
      </c>
      <c r="E120" s="53" t="s">
        <v>459</v>
      </c>
      <c r="F120" s="73">
        <v>4.3015700995079335E-2</v>
      </c>
      <c r="G120" s="71">
        <v>4.9995013067881205E-2</v>
      </c>
      <c r="H120" s="71">
        <v>5.5743559992158305E-2</v>
      </c>
      <c r="I120" s="71">
        <v>5.8826400952103938E-2</v>
      </c>
      <c r="J120" s="63">
        <v>6.2009502997970277E-2</v>
      </c>
      <c r="K120" s="71" t="s">
        <v>21</v>
      </c>
      <c r="L120" s="71">
        <v>6.9440850678812033E-3</v>
      </c>
      <c r="M120" s="71">
        <v>1.2560437492158294E-2</v>
      </c>
      <c r="N120" s="71">
        <v>1.4905915352103925E-2</v>
      </c>
      <c r="O120" s="71">
        <v>1.6680071897970286E-2</v>
      </c>
      <c r="P120" s="55" t="s">
        <v>21</v>
      </c>
      <c r="Q120" s="53" t="s">
        <v>21</v>
      </c>
      <c r="R120" s="94" t="s">
        <v>21</v>
      </c>
      <c r="S120" s="71">
        <v>0</v>
      </c>
      <c r="T120" s="63">
        <v>5.5743559992158305E-2</v>
      </c>
      <c r="V120" s="114">
        <v>1.1347651300000001</v>
      </c>
      <c r="W120" s="72">
        <v>2.8720890400000001</v>
      </c>
      <c r="X120" s="72">
        <v>4.3816615199999998</v>
      </c>
      <c r="Y120" s="72">
        <v>5.6538637300000003</v>
      </c>
      <c r="Z120" s="115">
        <v>7.2059015500000001</v>
      </c>
    </row>
    <row r="121" spans="2:26" x14ac:dyDescent="0.35">
      <c r="B121" s="57" t="s">
        <v>102</v>
      </c>
      <c r="C121" s="67" t="s">
        <v>35</v>
      </c>
      <c r="D121" s="67" t="s">
        <v>69</v>
      </c>
      <c r="E121" s="67" t="s">
        <v>161</v>
      </c>
      <c r="F121" s="74">
        <v>4.3923876677864265E-2</v>
      </c>
      <c r="G121" s="76">
        <v>5.3026982352902804E-2</v>
      </c>
      <c r="H121" s="76">
        <v>6.0673750004300656E-2</v>
      </c>
      <c r="I121" s="76">
        <v>6.4765853244414737E-2</v>
      </c>
      <c r="J121" s="64">
        <v>6.8498349660638724E-2</v>
      </c>
      <c r="K121" s="76">
        <v>5.6633267786426484E-4</v>
      </c>
      <c r="L121" s="76">
        <v>9.8743157529028007E-3</v>
      </c>
      <c r="M121" s="76">
        <v>1.7305880504300646E-2</v>
      </c>
      <c r="N121" s="76">
        <v>2.0607661144414733E-2</v>
      </c>
      <c r="O121" s="76">
        <v>2.2913802360638738E-2</v>
      </c>
      <c r="P121" s="57" t="s">
        <v>21</v>
      </c>
      <c r="Q121" s="67" t="s">
        <v>21</v>
      </c>
      <c r="R121" s="96" t="s">
        <v>21</v>
      </c>
      <c r="S121" s="76">
        <v>0</v>
      </c>
      <c r="T121" s="64">
        <v>6.0673750004300656E-2</v>
      </c>
      <c r="V121" s="114">
        <v>1.1347004900000002</v>
      </c>
      <c r="W121" s="72">
        <v>2.8650664300000002</v>
      </c>
      <c r="X121" s="72">
        <v>4.3536993199999996</v>
      </c>
      <c r="Y121" s="72">
        <v>5.5923624700000003</v>
      </c>
      <c r="Z121" s="115">
        <v>7.0817247900000009</v>
      </c>
    </row>
    <row r="122" spans="2:26" x14ac:dyDescent="0.35">
      <c r="B122" s="56" t="s">
        <v>104</v>
      </c>
      <c r="C122" s="66" t="s">
        <v>85</v>
      </c>
      <c r="D122" s="66" t="s">
        <v>43</v>
      </c>
      <c r="E122" s="65" t="s">
        <v>417</v>
      </c>
      <c r="F122" s="80">
        <v>4.2092695813974373E-2</v>
      </c>
      <c r="G122" s="80">
        <v>4.8441711200055089E-2</v>
      </c>
      <c r="H122" s="80">
        <v>5.3367597649327733E-2</v>
      </c>
      <c r="I122" s="80">
        <v>5.57646440457992E-2</v>
      </c>
      <c r="J122" s="62">
        <v>5.8396743128073463E-2</v>
      </c>
      <c r="K122" s="80" t="s">
        <v>21</v>
      </c>
      <c r="L122" s="80">
        <v>5.4723452000551001E-3</v>
      </c>
      <c r="M122" s="80">
        <v>1.0316274449327732E-2</v>
      </c>
      <c r="N122" s="80">
        <v>1.2015842445799192E-2</v>
      </c>
      <c r="O122" s="80">
        <v>1.3250049628073465E-2</v>
      </c>
      <c r="P122" s="56" t="s">
        <v>21</v>
      </c>
      <c r="Q122" s="66" t="s">
        <v>21</v>
      </c>
      <c r="R122" s="100" t="s">
        <v>21</v>
      </c>
      <c r="S122" s="80">
        <v>0</v>
      </c>
      <c r="T122" s="62">
        <v>5.3367597649327733E-2</v>
      </c>
      <c r="V122" s="118">
        <v>1.1365415300000001</v>
      </c>
      <c r="W122" s="61">
        <v>2.8851571499999999</v>
      </c>
      <c r="X122" s="61">
        <v>4.4203189599999995</v>
      </c>
      <c r="Y122" s="61">
        <v>5.7359154300000004</v>
      </c>
      <c r="Z122" s="119">
        <v>7.3754876999999999</v>
      </c>
    </row>
    <row r="123" spans="2:26" x14ac:dyDescent="0.35">
      <c r="B123" s="57" t="s">
        <v>104</v>
      </c>
      <c r="C123" s="67" t="s">
        <v>35</v>
      </c>
      <c r="D123" s="67" t="s">
        <v>43</v>
      </c>
      <c r="E123" s="54" t="s">
        <v>417</v>
      </c>
      <c r="F123" s="76">
        <v>4.3810621526345427E-2</v>
      </c>
      <c r="G123" s="76">
        <v>5.281252387416302E-2</v>
      </c>
      <c r="H123" s="76">
        <v>6.0190147952602656E-2</v>
      </c>
      <c r="I123" s="76">
        <v>6.3826975244980169E-2</v>
      </c>
      <c r="J123" s="64">
        <v>6.7033599121268855E-2</v>
      </c>
      <c r="K123" s="76">
        <v>4.5022122634543523E-4</v>
      </c>
      <c r="L123" s="76">
        <v>9.6667692741630191E-3</v>
      </c>
      <c r="M123" s="76">
        <v>1.6847100352602645E-2</v>
      </c>
      <c r="N123" s="76">
        <v>1.9721164244980174E-2</v>
      </c>
      <c r="O123" s="76">
        <v>2.1527504921268856E-2</v>
      </c>
      <c r="P123" s="67" t="s">
        <v>21</v>
      </c>
      <c r="Q123" s="67" t="s">
        <v>21</v>
      </c>
      <c r="R123" s="96" t="s">
        <v>21</v>
      </c>
      <c r="S123" s="76">
        <v>0</v>
      </c>
      <c r="T123" s="64">
        <v>6.0190147952602656E-2</v>
      </c>
      <c r="V123" s="116">
        <v>1.1349016999999999</v>
      </c>
      <c r="W123" s="108">
        <v>2.8664264500000001</v>
      </c>
      <c r="X123" s="108">
        <v>4.3590663000000003</v>
      </c>
      <c r="Y123" s="108">
        <v>5.6077389599999998</v>
      </c>
      <c r="Z123" s="117">
        <v>7.1242159200000001</v>
      </c>
    </row>
    <row r="124" spans="2:26" x14ac:dyDescent="0.35">
      <c r="B124" s="55" t="s">
        <v>105</v>
      </c>
      <c r="C124" s="53" t="s">
        <v>85</v>
      </c>
      <c r="D124" s="53" t="s">
        <v>43</v>
      </c>
      <c r="E124" s="53" t="s">
        <v>417</v>
      </c>
      <c r="F124" s="73">
        <v>4.204427353708666E-2</v>
      </c>
      <c r="G124" s="71">
        <v>4.8499124759764409E-2</v>
      </c>
      <c r="H124" s="71">
        <v>5.3267193948180698E-2</v>
      </c>
      <c r="I124" s="71">
        <v>5.5664708631519975E-2</v>
      </c>
      <c r="J124" s="63">
        <v>5.8200409134154855E-2</v>
      </c>
      <c r="K124" s="71" t="s">
        <v>21</v>
      </c>
      <c r="L124" s="71">
        <v>5.5279609597644035E-3</v>
      </c>
      <c r="M124" s="71">
        <v>1.0222114648180699E-2</v>
      </c>
      <c r="N124" s="71">
        <v>1.1921720531519986E-2</v>
      </c>
      <c r="O124" s="71">
        <v>1.3063345034154867E-2</v>
      </c>
      <c r="P124" s="55" t="s">
        <v>21</v>
      </c>
      <c r="Q124" s="53" t="s">
        <v>21</v>
      </c>
      <c r="R124" s="94" t="s">
        <v>21</v>
      </c>
      <c r="S124" s="71">
        <v>0</v>
      </c>
      <c r="T124" s="63">
        <v>5.3267193948180698E-2</v>
      </c>
      <c r="V124" s="114">
        <v>1.1366162000000002</v>
      </c>
      <c r="W124" s="72">
        <v>2.8844688600000001</v>
      </c>
      <c r="X124" s="72">
        <v>4.4207292899999997</v>
      </c>
      <c r="Y124" s="72">
        <v>5.7379618200000007</v>
      </c>
      <c r="Z124" s="115">
        <v>7.3823320999999993</v>
      </c>
    </row>
    <row r="125" spans="2:26" x14ac:dyDescent="0.35">
      <c r="B125" s="57" t="s">
        <v>105</v>
      </c>
      <c r="C125" s="67" t="s">
        <v>35</v>
      </c>
      <c r="D125" s="67" t="s">
        <v>43</v>
      </c>
      <c r="E125" s="67" t="s">
        <v>21</v>
      </c>
      <c r="F125" s="74">
        <v>4.3720176475283375E-2</v>
      </c>
      <c r="G125" s="76">
        <v>5.262173567095544E-2</v>
      </c>
      <c r="H125" s="76">
        <v>5.9891731270830403E-2</v>
      </c>
      <c r="I125" s="76">
        <v>6.3437826435201586E-2</v>
      </c>
      <c r="J125" s="64">
        <v>6.6727364785297727E-2</v>
      </c>
      <c r="K125" s="76">
        <v>3.6768507528338063E-4</v>
      </c>
      <c r="L125" s="76">
        <v>9.4871553709554388E-3</v>
      </c>
      <c r="M125" s="76">
        <v>1.6566802570830395E-2</v>
      </c>
      <c r="N125" s="76">
        <v>1.9355473535201596E-2</v>
      </c>
      <c r="O125" s="76">
        <v>2.1238526685297729E-2</v>
      </c>
      <c r="P125" s="57" t="s">
        <v>21</v>
      </c>
      <c r="Q125" s="67" t="s">
        <v>21</v>
      </c>
      <c r="R125" s="96" t="s">
        <v>21</v>
      </c>
      <c r="S125" s="76">
        <v>0</v>
      </c>
      <c r="T125" s="64">
        <v>5.9891731270830403E-2</v>
      </c>
      <c r="V125" s="114">
        <v>1.1350088300000001</v>
      </c>
      <c r="W125" s="72">
        <v>2.86749622</v>
      </c>
      <c r="X125" s="72">
        <v>4.3626498600000003</v>
      </c>
      <c r="Y125" s="72">
        <v>5.6155271899999999</v>
      </c>
      <c r="Z125" s="115">
        <v>7.1379788799999995</v>
      </c>
    </row>
    <row r="126" spans="2:26" x14ac:dyDescent="0.35">
      <c r="B126" s="56" t="s">
        <v>106</v>
      </c>
      <c r="C126" s="66" t="s">
        <v>85</v>
      </c>
      <c r="D126" s="66" t="s">
        <v>62</v>
      </c>
      <c r="E126" s="66" t="s">
        <v>460</v>
      </c>
      <c r="F126" s="75">
        <v>4.2468327973979238E-2</v>
      </c>
      <c r="G126" s="80">
        <v>4.9389226967113328E-2</v>
      </c>
      <c r="H126" s="80">
        <v>5.4742303700647157E-2</v>
      </c>
      <c r="I126" s="80">
        <v>5.7505485350746281E-2</v>
      </c>
      <c r="J126" s="62">
        <v>6.0374587528294152E-2</v>
      </c>
      <c r="K126" s="80" t="s">
        <v>21</v>
      </c>
      <c r="L126" s="80">
        <v>6.3706777671133329E-3</v>
      </c>
      <c r="M126" s="80">
        <v>1.1615803100647153E-2</v>
      </c>
      <c r="N126" s="80">
        <v>1.3661386750746272E-2</v>
      </c>
      <c r="O126" s="80">
        <v>1.513121622829415E-2</v>
      </c>
      <c r="P126" s="56" t="s">
        <v>461</v>
      </c>
      <c r="Q126" s="66" t="s">
        <v>462</v>
      </c>
      <c r="R126" s="100" t="s">
        <v>32</v>
      </c>
      <c r="S126" s="80">
        <v>5.3478199999999997E-2</v>
      </c>
      <c r="T126" s="62">
        <v>1.2641037006471609E-3</v>
      </c>
      <c r="V126" s="118">
        <v>1.1358095500000001</v>
      </c>
      <c r="W126" s="61">
        <v>2.8775975599999999</v>
      </c>
      <c r="X126" s="61">
        <v>4.3978608799999996</v>
      </c>
      <c r="Y126" s="61">
        <v>5.6886428000000002</v>
      </c>
      <c r="Z126" s="119">
        <v>7.2797914500000003</v>
      </c>
    </row>
    <row r="127" spans="2:26" x14ac:dyDescent="0.35">
      <c r="B127" s="57" t="s">
        <v>106</v>
      </c>
      <c r="C127" s="67" t="s">
        <v>35</v>
      </c>
      <c r="D127" s="67" t="s">
        <v>62</v>
      </c>
      <c r="E127" s="67" t="s">
        <v>463</v>
      </c>
      <c r="F127" s="74">
        <v>4.3794390832898586E-2</v>
      </c>
      <c r="G127" s="76">
        <v>5.3054094202640664E-2</v>
      </c>
      <c r="H127" s="76">
        <v>6.0579029601133413E-2</v>
      </c>
      <c r="I127" s="76">
        <v>6.41264545773194E-2</v>
      </c>
      <c r="J127" s="64">
        <v>6.7677953151974266E-2</v>
      </c>
      <c r="K127" s="76">
        <v>4.4075203289858748E-4</v>
      </c>
      <c r="L127" s="76">
        <v>9.8994740026406691E-3</v>
      </c>
      <c r="M127" s="76">
        <v>1.7215996901133415E-2</v>
      </c>
      <c r="N127" s="76">
        <v>2.0004926577319407E-2</v>
      </c>
      <c r="O127" s="76">
        <v>2.2136976951974252E-2</v>
      </c>
      <c r="P127" s="67" t="s">
        <v>21</v>
      </c>
      <c r="Q127" s="67" t="s">
        <v>21</v>
      </c>
      <c r="R127" s="96" t="s">
        <v>21</v>
      </c>
      <c r="S127" s="76">
        <v>0</v>
      </c>
      <c r="T127" s="76">
        <v>6.0579029601133413E-2</v>
      </c>
      <c r="V127" s="116">
        <v>1.13489288</v>
      </c>
      <c r="W127" s="108">
        <v>2.86527222</v>
      </c>
      <c r="X127" s="108">
        <v>4.3545670100000002</v>
      </c>
      <c r="Y127" s="108">
        <v>5.5997699800000005</v>
      </c>
      <c r="Z127" s="117">
        <v>7.1053187599999994</v>
      </c>
    </row>
    <row r="128" spans="2:26" x14ac:dyDescent="0.35">
      <c r="B128" s="55" t="s">
        <v>107</v>
      </c>
      <c r="C128" s="53" t="s">
        <v>85</v>
      </c>
      <c r="D128" s="53" t="s">
        <v>62</v>
      </c>
      <c r="E128" s="53" t="s">
        <v>266</v>
      </c>
      <c r="F128" s="73">
        <v>4.2664279124619765E-2</v>
      </c>
      <c r="G128" s="71">
        <v>4.9327923689732815E-2</v>
      </c>
      <c r="H128" s="71">
        <v>5.4639187511865875E-2</v>
      </c>
      <c r="I128" s="71">
        <v>5.7546200272090342E-2</v>
      </c>
      <c r="J128" s="63">
        <v>6.0372760450873759E-2</v>
      </c>
      <c r="K128" s="71" t="s">
        <v>21</v>
      </c>
      <c r="L128" s="71">
        <v>6.3126582897328094E-3</v>
      </c>
      <c r="M128" s="71">
        <v>1.1518486611865875E-2</v>
      </c>
      <c r="N128" s="71">
        <v>1.3699721272090338E-2</v>
      </c>
      <c r="O128" s="71">
        <v>1.5130107050873776E-2</v>
      </c>
      <c r="P128" s="55" t="s">
        <v>21</v>
      </c>
      <c r="Q128" s="53" t="s">
        <v>21</v>
      </c>
      <c r="R128" s="94" t="s">
        <v>21</v>
      </c>
      <c r="S128" s="71">
        <v>0</v>
      </c>
      <c r="T128" s="63">
        <v>5.4639187511865875E-2</v>
      </c>
      <c r="V128" s="114">
        <v>1.1354387000000001</v>
      </c>
      <c r="W128" s="72">
        <v>2.87734391</v>
      </c>
      <c r="X128" s="72">
        <v>4.3988023399999996</v>
      </c>
      <c r="Y128" s="72">
        <v>5.6892450099999996</v>
      </c>
      <c r="Z128" s="115">
        <v>7.2798787899999997</v>
      </c>
    </row>
    <row r="129" spans="2:26" x14ac:dyDescent="0.35">
      <c r="B129" s="55" t="s">
        <v>107</v>
      </c>
      <c r="C129" s="53" t="s">
        <v>35</v>
      </c>
      <c r="D129" s="53" t="s">
        <v>62</v>
      </c>
      <c r="E129" s="53" t="s">
        <v>291</v>
      </c>
      <c r="F129" s="73">
        <v>4.3721155086172678E-2</v>
      </c>
      <c r="G129" s="71">
        <v>5.2372218106969737E-2</v>
      </c>
      <c r="H129" s="71">
        <v>5.9497290199167767E-2</v>
      </c>
      <c r="I129" s="71">
        <v>6.2769277741681881E-2</v>
      </c>
      <c r="J129" s="63">
        <v>6.6310797506075603E-2</v>
      </c>
      <c r="K129" s="71">
        <v>3.7025288617267577E-4</v>
      </c>
      <c r="L129" s="71">
        <v>9.2503748069697293E-3</v>
      </c>
      <c r="M129" s="71">
        <v>1.6194777199167759E-2</v>
      </c>
      <c r="N129" s="71">
        <v>1.8724986441681857E-2</v>
      </c>
      <c r="O129" s="71">
        <v>2.0843401506075599E-2</v>
      </c>
      <c r="P129" s="55" t="s">
        <v>21</v>
      </c>
      <c r="Q129" s="53" t="s">
        <v>21</v>
      </c>
      <c r="R129" s="94" t="s">
        <v>21</v>
      </c>
      <c r="S129" s="71">
        <v>0</v>
      </c>
      <c r="T129" s="63">
        <v>5.9497290199167767E-2</v>
      </c>
      <c r="V129" s="114">
        <v>1.1349988600000001</v>
      </c>
      <c r="W129" s="72">
        <v>2.8686443100000001</v>
      </c>
      <c r="X129" s="72">
        <v>4.3671695100000001</v>
      </c>
      <c r="Y129" s="72">
        <v>5.6272142199999999</v>
      </c>
      <c r="Z129" s="115">
        <v>7.1585758900000007</v>
      </c>
    </row>
    <row r="130" spans="2:26" x14ac:dyDescent="0.35">
      <c r="B130" s="97" t="s">
        <v>83</v>
      </c>
      <c r="C130" s="98"/>
      <c r="D130" s="98"/>
      <c r="E130" s="98"/>
      <c r="F130" s="78"/>
      <c r="G130" s="78"/>
      <c r="H130" s="78"/>
      <c r="I130" s="78"/>
      <c r="J130" s="78"/>
      <c r="K130" s="98"/>
      <c r="L130" s="98"/>
      <c r="M130" s="98"/>
      <c r="N130" s="98"/>
      <c r="O130" s="98"/>
      <c r="P130" s="97"/>
      <c r="Q130" s="98"/>
      <c r="R130" s="101"/>
      <c r="S130" s="98"/>
      <c r="T130" s="99"/>
      <c r="V130" s="120"/>
      <c r="W130" s="109"/>
      <c r="X130" s="109"/>
      <c r="Y130" s="109"/>
      <c r="Z130" s="121"/>
    </row>
    <row r="131" spans="2:26" x14ac:dyDescent="0.35">
      <c r="B131" s="56" t="s">
        <v>108</v>
      </c>
      <c r="C131" s="66" t="s">
        <v>85</v>
      </c>
      <c r="D131" s="66" t="s">
        <v>20</v>
      </c>
      <c r="E131" s="65" t="s">
        <v>58</v>
      </c>
      <c r="F131" s="80">
        <v>4.2690621491025801E-2</v>
      </c>
      <c r="G131" s="80">
        <v>4.9283159056526811E-2</v>
      </c>
      <c r="H131" s="80">
        <v>5.4189543939075449E-2</v>
      </c>
      <c r="I131" s="80">
        <v>5.7849332279782832E-2</v>
      </c>
      <c r="J131" s="62">
        <v>6.1024144723707277E-2</v>
      </c>
      <c r="K131" s="80" t="s">
        <v>21</v>
      </c>
      <c r="L131" s="80">
        <v>6.2710100565268132E-3</v>
      </c>
      <c r="M131" s="80">
        <v>1.1094339339075448E-2</v>
      </c>
      <c r="N131" s="80">
        <v>1.3986591279782825E-2</v>
      </c>
      <c r="O131" s="80">
        <v>1.5751578523707271E-2</v>
      </c>
      <c r="P131" s="56" t="s">
        <v>464</v>
      </c>
      <c r="Q131" s="66" t="s">
        <v>465</v>
      </c>
      <c r="R131" s="100">
        <v>47580</v>
      </c>
      <c r="S131" s="80">
        <v>5.2708350000000001E-2</v>
      </c>
      <c r="T131" s="62">
        <v>1.4811939390754481E-3</v>
      </c>
      <c r="V131" s="118">
        <v>1.1353629299999999</v>
      </c>
      <c r="W131" s="61">
        <v>2.8777989699999997</v>
      </c>
      <c r="X131" s="61">
        <v>4.4047388400000003</v>
      </c>
      <c r="Y131" s="61">
        <v>5.6906208500000002</v>
      </c>
      <c r="Z131" s="119">
        <v>7.2631784699999997</v>
      </c>
    </row>
    <row r="132" spans="2:26" x14ac:dyDescent="0.35">
      <c r="B132" s="55" t="s">
        <v>109</v>
      </c>
      <c r="C132" s="53" t="s">
        <v>85</v>
      </c>
      <c r="D132" s="53" t="s">
        <v>20</v>
      </c>
      <c r="E132" s="59" t="s">
        <v>54</v>
      </c>
      <c r="F132" s="71">
        <v>4.5622033916075749E-2</v>
      </c>
      <c r="G132" s="71">
        <v>5.5679732359294035E-2</v>
      </c>
      <c r="H132" s="71">
        <v>6.4841458144293859E-2</v>
      </c>
      <c r="I132" s="71">
        <v>7.0712761088543338E-2</v>
      </c>
      <c r="J132" s="63">
        <v>7.2699324269404772E-2</v>
      </c>
      <c r="K132" s="71">
        <v>2.1614297160757441E-3</v>
      </c>
      <c r="L132" s="71">
        <v>1.2305027559294031E-2</v>
      </c>
      <c r="M132" s="71">
        <v>2.1048485544293862E-2</v>
      </c>
      <c r="N132" s="71">
        <v>2.5959659688543347E-2</v>
      </c>
      <c r="O132" s="71">
        <v>2.668859486940478E-2</v>
      </c>
      <c r="P132" s="55" t="s">
        <v>466</v>
      </c>
      <c r="Q132" s="53" t="s">
        <v>467</v>
      </c>
      <c r="R132" s="94">
        <v>47618</v>
      </c>
      <c r="S132" s="71">
        <v>5.5835100000000006E-2</v>
      </c>
      <c r="T132" s="63">
        <v>9.0063581442938537E-3</v>
      </c>
      <c r="V132" s="114">
        <v>1.1292266400000002</v>
      </c>
      <c r="W132" s="72">
        <v>2.82973454</v>
      </c>
      <c r="X132" s="72">
        <v>4.2418307400000002</v>
      </c>
      <c r="Y132" s="72">
        <v>5.3534508699999996</v>
      </c>
      <c r="Z132" s="115">
        <v>6.6752797899999994</v>
      </c>
    </row>
    <row r="133" spans="2:26" x14ac:dyDescent="0.35">
      <c r="B133" s="57" t="s">
        <v>111</v>
      </c>
      <c r="C133" s="67" t="s">
        <v>85</v>
      </c>
      <c r="D133" s="67" t="s">
        <v>20</v>
      </c>
      <c r="E133" s="54" t="s">
        <v>112</v>
      </c>
      <c r="F133" s="76">
        <v>4.3777599518429251E-2</v>
      </c>
      <c r="G133" s="76">
        <v>5.1573306211570337E-2</v>
      </c>
      <c r="H133" s="76">
        <v>5.7344575186910836E-2</v>
      </c>
      <c r="I133" s="76">
        <v>6.0469707776980276E-2</v>
      </c>
      <c r="J133" s="64">
        <v>6.3681018303844344E-2</v>
      </c>
      <c r="K133" s="76">
        <v>3.9892071842925324E-4</v>
      </c>
      <c r="L133" s="76">
        <v>8.4312009115703329E-3</v>
      </c>
      <c r="M133" s="76">
        <v>1.4064388586910833E-2</v>
      </c>
      <c r="N133" s="76">
        <v>1.6446813676980282E-2</v>
      </c>
      <c r="O133" s="76">
        <v>1.8257731003844348E-2</v>
      </c>
      <c r="P133" s="57" t="s">
        <v>21</v>
      </c>
      <c r="Q133" s="67" t="s">
        <v>21</v>
      </c>
      <c r="R133" s="96" t="s">
        <v>21</v>
      </c>
      <c r="S133" s="76">
        <v>0</v>
      </c>
      <c r="T133" s="64">
        <v>5.7344575186910836E-2</v>
      </c>
      <c r="V133" s="116">
        <v>1.1333823200000002</v>
      </c>
      <c r="W133" s="108">
        <v>2.8604907900000001</v>
      </c>
      <c r="X133" s="108">
        <v>4.3534214599999999</v>
      </c>
      <c r="Y133" s="108">
        <v>5.6022445100000002</v>
      </c>
      <c r="Z133" s="117">
        <v>7.1115494699999999</v>
      </c>
    </row>
    <row r="134" spans="2:26" x14ac:dyDescent="0.35">
      <c r="P134" s="128"/>
      <c r="Q134" s="128"/>
      <c r="R134" s="44"/>
      <c r="S134" s="128"/>
      <c r="T134" s="128"/>
      <c r="V134" s="72"/>
      <c r="W134" s="72"/>
      <c r="X134" s="72"/>
      <c r="Y134" s="72"/>
      <c r="Z134" s="72"/>
    </row>
    <row r="135" spans="2:26" ht="15.5" x14ac:dyDescent="0.35">
      <c r="B135" s="122" t="s">
        <v>113</v>
      </c>
      <c r="R135" s="94"/>
      <c r="S135" s="71"/>
      <c r="T135" s="71"/>
      <c r="V135" s="72"/>
      <c r="W135" s="72"/>
      <c r="X135" s="72"/>
      <c r="Y135" s="72"/>
      <c r="Z135" s="72"/>
    </row>
    <row r="136" spans="2:26" x14ac:dyDescent="0.35">
      <c r="B136" s="85" t="s">
        <v>5</v>
      </c>
      <c r="C136" s="84" t="s">
        <v>6</v>
      </c>
      <c r="D136" s="84" t="s">
        <v>7</v>
      </c>
      <c r="E136" s="84" t="s">
        <v>8</v>
      </c>
      <c r="F136" s="83" t="s">
        <v>9</v>
      </c>
      <c r="G136" s="82" t="s">
        <v>10</v>
      </c>
      <c r="H136" s="82" t="s">
        <v>11</v>
      </c>
      <c r="I136" s="82" t="s">
        <v>12</v>
      </c>
      <c r="J136" s="81" t="s">
        <v>13</v>
      </c>
      <c r="K136" s="58" t="s">
        <v>9</v>
      </c>
      <c r="L136" s="58" t="s">
        <v>10</v>
      </c>
      <c r="M136" s="58" t="s">
        <v>11</v>
      </c>
      <c r="N136" s="58" t="s">
        <v>12</v>
      </c>
      <c r="O136" s="58" t="s">
        <v>13</v>
      </c>
      <c r="P136" s="70" t="s">
        <v>14</v>
      </c>
      <c r="Q136" s="58" t="s">
        <v>15</v>
      </c>
      <c r="R136" s="58" t="s">
        <v>16</v>
      </c>
      <c r="S136" s="58" t="s">
        <v>407</v>
      </c>
      <c r="T136" s="58" t="s">
        <v>18</v>
      </c>
      <c r="V136" s="110" t="s">
        <v>9</v>
      </c>
      <c r="W136" s="106" t="s">
        <v>10</v>
      </c>
      <c r="X136" s="106" t="s">
        <v>11</v>
      </c>
      <c r="Y136" s="106" t="s">
        <v>12</v>
      </c>
      <c r="Z136" s="111" t="s">
        <v>13</v>
      </c>
    </row>
    <row r="137" spans="2:26" x14ac:dyDescent="0.35">
      <c r="B137" s="79" t="s">
        <v>114</v>
      </c>
      <c r="C137" s="9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9"/>
      <c r="Q137" s="78"/>
      <c r="R137" s="95"/>
      <c r="S137" s="78"/>
      <c r="T137" s="77"/>
      <c r="V137" s="112"/>
      <c r="W137" s="107"/>
      <c r="X137" s="107"/>
      <c r="Y137" s="107"/>
      <c r="Z137" s="113"/>
    </row>
    <row r="138" spans="2:26" x14ac:dyDescent="0.35">
      <c r="B138" s="56" t="s">
        <v>319</v>
      </c>
      <c r="C138" s="66" t="s">
        <v>234</v>
      </c>
      <c r="D138" s="66" t="s">
        <v>20</v>
      </c>
      <c r="E138" s="66" t="s">
        <v>21</v>
      </c>
      <c r="F138" s="80">
        <v>4.5250004781428245E-2</v>
      </c>
      <c r="G138" s="80">
        <v>5.7836779851320394E-2</v>
      </c>
      <c r="H138" s="80">
        <v>7.2363240182049343E-2</v>
      </c>
      <c r="I138" s="80">
        <v>7.8590269108136657E-2</v>
      </c>
      <c r="J138" s="62">
        <v>8.3575762999723205E-2</v>
      </c>
      <c r="K138" s="80">
        <v>1.782922481428242E-3</v>
      </c>
      <c r="L138" s="80">
        <v>1.4301734351320381E-2</v>
      </c>
      <c r="M138" s="80">
        <v>2.7955545982049315E-2</v>
      </c>
      <c r="N138" s="80">
        <v>3.317345820813665E-2</v>
      </c>
      <c r="O138" s="62">
        <v>3.6705622899723192E-2</v>
      </c>
      <c r="P138" s="56" t="s">
        <v>21</v>
      </c>
      <c r="Q138" s="66" t="s">
        <v>21</v>
      </c>
      <c r="R138" s="100" t="s">
        <v>21</v>
      </c>
      <c r="S138" s="80">
        <v>0</v>
      </c>
      <c r="T138" s="62">
        <v>7.2363240182049343E-2</v>
      </c>
      <c r="V138" s="114">
        <v>1.1303779999999999</v>
      </c>
      <c r="W138" s="72">
        <v>2.8180332900000002</v>
      </c>
      <c r="X138" s="72">
        <v>4.1571210999999995</v>
      </c>
      <c r="Y138" s="72">
        <v>5.1655365900000003</v>
      </c>
      <c r="Z138" s="115">
        <v>6.2650035600000002</v>
      </c>
    </row>
    <row r="139" spans="2:26" x14ac:dyDescent="0.35">
      <c r="B139" s="55" t="s">
        <v>177</v>
      </c>
      <c r="C139" s="53" t="s">
        <v>234</v>
      </c>
      <c r="D139" s="53" t="s">
        <v>43</v>
      </c>
      <c r="E139" s="53" t="s">
        <v>21</v>
      </c>
      <c r="F139" s="71">
        <v>4.4879169756602715E-2</v>
      </c>
      <c r="G139" s="71">
        <v>5.8554046116517475E-2</v>
      </c>
      <c r="H139" s="71">
        <v>7.06285789717402E-2</v>
      </c>
      <c r="I139" s="71">
        <v>7.8727475726531021E-2</v>
      </c>
      <c r="J139" s="63">
        <v>8.2970391866956886E-2</v>
      </c>
      <c r="K139" s="71">
        <v>1.4443852566027194E-3</v>
      </c>
      <c r="L139" s="71">
        <v>1.4971825516517469E-2</v>
      </c>
      <c r="M139" s="71">
        <v>2.6367496671740192E-2</v>
      </c>
      <c r="N139" s="71">
        <v>3.3296654126531017E-2</v>
      </c>
      <c r="O139" s="63">
        <v>3.615591806695688E-2</v>
      </c>
      <c r="P139" s="55" t="s">
        <v>21</v>
      </c>
      <c r="Q139" s="53" t="s">
        <v>21</v>
      </c>
      <c r="R139" s="94" t="s">
        <v>21</v>
      </c>
      <c r="S139" s="71">
        <v>0</v>
      </c>
      <c r="T139" s="63">
        <v>7.06285789717402E-2</v>
      </c>
      <c r="V139" s="114">
        <v>1.13118765</v>
      </c>
      <c r="W139" s="72">
        <v>2.8131027199999998</v>
      </c>
      <c r="X139" s="72">
        <v>4.1664763599999999</v>
      </c>
      <c r="Y139" s="72">
        <v>5.1800011899999996</v>
      </c>
      <c r="Z139" s="115">
        <v>6.28845718</v>
      </c>
    </row>
    <row r="140" spans="2:26" x14ac:dyDescent="0.35">
      <c r="B140" s="55" t="s">
        <v>122</v>
      </c>
      <c r="C140" s="53" t="s">
        <v>234</v>
      </c>
      <c r="D140" s="53" t="s">
        <v>97</v>
      </c>
      <c r="E140" s="53" t="s">
        <v>269</v>
      </c>
      <c r="F140" s="71">
        <v>4.4363807367003752E-2</v>
      </c>
      <c r="G140" s="71">
        <v>5.8033984806702021E-2</v>
      </c>
      <c r="H140" s="71">
        <v>6.97780333715671E-2</v>
      </c>
      <c r="I140" s="71">
        <v>7.767570367708751E-2</v>
      </c>
      <c r="J140" s="63">
        <v>8.4098819531560343E-2</v>
      </c>
      <c r="K140" s="71">
        <v>9.6676466700376055E-4</v>
      </c>
      <c r="L140" s="71">
        <v>1.4493772906702016E-2</v>
      </c>
      <c r="M140" s="71">
        <v>2.5591606071567095E-2</v>
      </c>
      <c r="N140" s="71">
        <v>3.2342300477087513E-2</v>
      </c>
      <c r="O140" s="63">
        <v>3.7187721231560347E-2</v>
      </c>
      <c r="P140" s="55" t="s">
        <v>21</v>
      </c>
      <c r="Q140" s="53" t="s">
        <v>21</v>
      </c>
      <c r="R140" s="94" t="s">
        <v>21</v>
      </c>
      <c r="S140" s="71">
        <v>0</v>
      </c>
      <c r="T140" s="63">
        <v>6.97780333715671E-2</v>
      </c>
      <c r="V140" s="114">
        <v>1.1321964600000001</v>
      </c>
      <c r="W140" s="72">
        <v>2.8185774600000002</v>
      </c>
      <c r="X140" s="72">
        <v>4.1803059300000003</v>
      </c>
      <c r="Y140" s="72">
        <v>5.2061840900000007</v>
      </c>
      <c r="Z140" s="115">
        <v>6.2935759100000004</v>
      </c>
    </row>
    <row r="141" spans="2:26" x14ac:dyDescent="0.35">
      <c r="B141" s="55" t="s">
        <v>170</v>
      </c>
      <c r="C141" s="53" t="s">
        <v>234</v>
      </c>
      <c r="D141" s="53" t="s">
        <v>20</v>
      </c>
      <c r="E141" s="53" t="s">
        <v>21</v>
      </c>
      <c r="F141" s="71">
        <v>4.7625034300441231E-2</v>
      </c>
      <c r="G141" s="71">
        <v>5.8557066731395213E-2</v>
      </c>
      <c r="H141" s="71">
        <v>6.8624562045957405E-2</v>
      </c>
      <c r="I141" s="71">
        <v>7.340897431675468E-2</v>
      </c>
      <c r="J141" s="63">
        <v>7.8195469886236574E-2</v>
      </c>
      <c r="K141" s="71">
        <v>4.0168906004412292E-3</v>
      </c>
      <c r="L141" s="71">
        <v>1.4981106431395219E-2</v>
      </c>
      <c r="M141" s="71">
        <v>2.4533290545957417E-2</v>
      </c>
      <c r="N141" s="71">
        <v>2.8439522216754692E-2</v>
      </c>
      <c r="O141" s="63">
        <v>3.1760102186236573E-2</v>
      </c>
      <c r="P141" s="55" t="s">
        <v>468</v>
      </c>
      <c r="Q141" s="53" t="s">
        <v>469</v>
      </c>
      <c r="R141" s="94">
        <v>47505</v>
      </c>
      <c r="S141" s="71">
        <v>6.2761090000000005E-2</v>
      </c>
      <c r="T141" s="63">
        <v>5.8634720459573991E-3</v>
      </c>
      <c r="V141" s="114">
        <v>1.12436837</v>
      </c>
      <c r="W141" s="72">
        <v>2.8022332800000003</v>
      </c>
      <c r="X141" s="72">
        <v>4.1801492599999994</v>
      </c>
      <c r="Y141" s="72">
        <v>5.2506876099999999</v>
      </c>
      <c r="Z141" s="115">
        <v>6.4616041200000005</v>
      </c>
    </row>
    <row r="142" spans="2:26" x14ac:dyDescent="0.35">
      <c r="B142" s="55" t="s">
        <v>153</v>
      </c>
      <c r="C142" s="53" t="s">
        <v>234</v>
      </c>
      <c r="D142" s="53" t="s">
        <v>20</v>
      </c>
      <c r="E142" s="53" t="s">
        <v>123</v>
      </c>
      <c r="F142" s="71">
        <v>4.6883242547009714E-2</v>
      </c>
      <c r="G142" s="71">
        <v>6.0399183795596612E-2</v>
      </c>
      <c r="H142" s="71">
        <v>6.8002741663308997E-2</v>
      </c>
      <c r="I142" s="71">
        <v>7.277652407175611E-2</v>
      </c>
      <c r="J142" s="63">
        <v>7.6228722666582038E-2</v>
      </c>
      <c r="K142" s="71">
        <v>3.3205427470097146E-3</v>
      </c>
      <c r="L142" s="71">
        <v>1.6684261495596611E-2</v>
      </c>
      <c r="M142" s="71">
        <v>2.3952386363309014E-2</v>
      </c>
      <c r="N142" s="71">
        <v>2.7844458871756114E-2</v>
      </c>
      <c r="O142" s="63">
        <v>2.9931936866582035E-2</v>
      </c>
      <c r="P142" s="55" t="s">
        <v>470</v>
      </c>
      <c r="Q142" s="53" t="s">
        <v>471</v>
      </c>
      <c r="R142" s="94">
        <v>47484</v>
      </c>
      <c r="S142" s="71">
        <v>5.9648589999999994E-2</v>
      </c>
      <c r="T142" s="63">
        <v>8.3541516633090021E-3</v>
      </c>
      <c r="V142" s="114">
        <v>1.12620126</v>
      </c>
      <c r="W142" s="72">
        <v>2.79433065</v>
      </c>
      <c r="X142" s="72">
        <v>4.1722306299999996</v>
      </c>
      <c r="Y142" s="72">
        <v>5.2590751300000003</v>
      </c>
      <c r="Z142" s="115">
        <v>6.5118469999999995</v>
      </c>
    </row>
    <row r="143" spans="2:26" x14ac:dyDescent="0.35">
      <c r="B143" s="55" t="s">
        <v>176</v>
      </c>
      <c r="C143" s="53" t="s">
        <v>234</v>
      </c>
      <c r="D143" s="53" t="s">
        <v>47</v>
      </c>
      <c r="E143" s="53" t="s">
        <v>21</v>
      </c>
      <c r="F143" s="71">
        <v>4.7350647031175884E-2</v>
      </c>
      <c r="G143" s="71">
        <v>5.6540862222603308E-2</v>
      </c>
      <c r="H143" s="71">
        <v>6.4729249172422315E-2</v>
      </c>
      <c r="I143" s="71">
        <v>6.7848873643783295E-2</v>
      </c>
      <c r="J143" s="63">
        <v>7.1080983480022286E-2</v>
      </c>
      <c r="K143" s="71">
        <v>3.7447275311758834E-3</v>
      </c>
      <c r="L143" s="71">
        <v>1.3096027022603308E-2</v>
      </c>
      <c r="M143" s="71">
        <v>2.093415707242231E-2</v>
      </c>
      <c r="N143" s="71">
        <v>2.330695114378329E-2</v>
      </c>
      <c r="O143" s="63">
        <v>2.5164577780022269E-2</v>
      </c>
      <c r="P143" s="55" t="s">
        <v>21</v>
      </c>
      <c r="Q143" s="53" t="s">
        <v>21</v>
      </c>
      <c r="R143" s="94" t="s">
        <v>21</v>
      </c>
      <c r="S143" s="71">
        <v>0</v>
      </c>
      <c r="T143" s="63">
        <v>6.4729249172422315E-2</v>
      </c>
      <c r="V143" s="114">
        <v>1.1251501400000001</v>
      </c>
      <c r="W143" s="72">
        <v>2.8177444400000002</v>
      </c>
      <c r="X143" s="72">
        <v>4.2305739300000003</v>
      </c>
      <c r="Y143" s="72">
        <v>5.3811282499999997</v>
      </c>
      <c r="Z143" s="115">
        <v>6.7385911399999996</v>
      </c>
    </row>
    <row r="144" spans="2:26" x14ac:dyDescent="0.35">
      <c r="B144" s="55" t="s">
        <v>325</v>
      </c>
      <c r="C144" s="53" t="s">
        <v>234</v>
      </c>
      <c r="D144" s="53" t="s">
        <v>69</v>
      </c>
      <c r="E144" s="53" t="s">
        <v>116</v>
      </c>
      <c r="F144" s="71">
        <v>4.4728302444908573E-2</v>
      </c>
      <c r="G144" s="71">
        <v>5.4504585861071077E-2</v>
      </c>
      <c r="H144" s="71">
        <v>6.4357409455262832E-2</v>
      </c>
      <c r="I144" s="71">
        <v>6.9755303416961054E-2</v>
      </c>
      <c r="J144" s="63">
        <v>7.4409448433342601E-2</v>
      </c>
      <c r="K144" s="71">
        <v>1.3070783449085684E-3</v>
      </c>
      <c r="L144" s="71">
        <v>1.1192647561071068E-2</v>
      </c>
      <c r="M144" s="71">
        <v>2.059435205526285E-2</v>
      </c>
      <c r="N144" s="71">
        <v>2.5072393616961057E-2</v>
      </c>
      <c r="O144" s="63">
        <v>2.8269229733342598E-2</v>
      </c>
      <c r="P144" s="55" t="s">
        <v>376</v>
      </c>
      <c r="Q144" s="53" t="s">
        <v>377</v>
      </c>
      <c r="R144" s="94" t="s">
        <v>32</v>
      </c>
      <c r="S144" s="71">
        <v>5.5257019999999997E-2</v>
      </c>
      <c r="T144" s="63">
        <v>9.1003894552628348E-3</v>
      </c>
      <c r="V144" s="114">
        <v>1.1315172499999999</v>
      </c>
      <c r="W144" s="72">
        <v>2.8391164799999999</v>
      </c>
      <c r="X144" s="72">
        <v>4.2573699700000001</v>
      </c>
      <c r="Y144" s="72">
        <v>5.3806467900000001</v>
      </c>
      <c r="Z144" s="115">
        <v>6.6565967500000003</v>
      </c>
    </row>
    <row r="145" spans="2:26" x14ac:dyDescent="0.35">
      <c r="B145" s="55" t="s">
        <v>173</v>
      </c>
      <c r="C145" s="53" t="s">
        <v>234</v>
      </c>
      <c r="D145" s="53" t="s">
        <v>20</v>
      </c>
      <c r="E145" s="53" t="s">
        <v>290</v>
      </c>
      <c r="F145" s="71">
        <v>4.5849290165448614E-2</v>
      </c>
      <c r="G145" s="71">
        <v>5.5091814476115587E-2</v>
      </c>
      <c r="H145" s="71">
        <v>6.3202519271620225E-2</v>
      </c>
      <c r="I145" s="71">
        <v>6.7470174144544676E-2</v>
      </c>
      <c r="J145" s="63">
        <v>7.1830954848333753E-2</v>
      </c>
      <c r="K145" s="71">
        <v>2.3511049654486131E-3</v>
      </c>
      <c r="L145" s="71">
        <v>1.1743563076115588E-2</v>
      </c>
      <c r="M145" s="71">
        <v>1.9528029571620226E-2</v>
      </c>
      <c r="N145" s="71">
        <v>2.2966685744544676E-2</v>
      </c>
      <c r="O145" s="63">
        <v>2.5878176948333758E-2</v>
      </c>
      <c r="P145" s="55" t="s">
        <v>472</v>
      </c>
      <c r="Q145" s="53" t="s">
        <v>473</v>
      </c>
      <c r="R145" s="94">
        <v>47644</v>
      </c>
      <c r="S145" s="71">
        <v>5.6692819999999998E-2</v>
      </c>
      <c r="T145" s="63">
        <v>6.509699271620227E-3</v>
      </c>
      <c r="V145" s="114">
        <v>1.12875415</v>
      </c>
      <c r="W145" s="72">
        <v>2.8332497999999999</v>
      </c>
      <c r="X145" s="72">
        <v>4.2627296699999997</v>
      </c>
      <c r="Y145" s="72">
        <v>5.4149534399999997</v>
      </c>
      <c r="Z145" s="115">
        <v>6.7498256400000001</v>
      </c>
    </row>
    <row r="146" spans="2:26" x14ac:dyDescent="0.35">
      <c r="B146" s="55" t="s">
        <v>130</v>
      </c>
      <c r="C146" s="53" t="s">
        <v>234</v>
      </c>
      <c r="D146" s="53" t="s">
        <v>131</v>
      </c>
      <c r="E146" s="53" t="s">
        <v>21</v>
      </c>
      <c r="F146" s="71">
        <v>4.4325855088754321E-2</v>
      </c>
      <c r="G146" s="71">
        <v>5.3876771042543653E-2</v>
      </c>
      <c r="H146" s="71">
        <v>6.2484731874490086E-2</v>
      </c>
      <c r="I146" s="71">
        <v>6.8305131673417632E-2</v>
      </c>
      <c r="J146" s="63">
        <v>7.2675334972785569E-2</v>
      </c>
      <c r="K146" s="71">
        <v>9.2042058875431779E-4</v>
      </c>
      <c r="L146" s="71">
        <v>1.0600298742543646E-2</v>
      </c>
      <c r="M146" s="71">
        <v>1.885903167449008E-2</v>
      </c>
      <c r="N146" s="71">
        <v>2.373310057341764E-2</v>
      </c>
      <c r="O146" s="63">
        <v>2.6664840872785561E-2</v>
      </c>
      <c r="P146" s="55" t="s">
        <v>474</v>
      </c>
      <c r="Q146" s="53" t="s">
        <v>475</v>
      </c>
      <c r="R146" s="94">
        <v>47532</v>
      </c>
      <c r="S146" s="71">
        <v>5.4633209999999995E-2</v>
      </c>
      <c r="T146" s="63">
        <v>7.8515218744900916E-3</v>
      </c>
      <c r="V146" s="114">
        <v>1.1323271100000001</v>
      </c>
      <c r="W146" s="72">
        <v>2.8442887399999996</v>
      </c>
      <c r="X146" s="72">
        <v>4.2816477200000005</v>
      </c>
      <c r="Y146" s="72">
        <v>5.4250483699999998</v>
      </c>
      <c r="Z146" s="115">
        <v>6.7345447000000007</v>
      </c>
    </row>
    <row r="147" spans="2:26" x14ac:dyDescent="0.35">
      <c r="B147" s="55" t="s">
        <v>118</v>
      </c>
      <c r="C147" s="53" t="s">
        <v>234</v>
      </c>
      <c r="D147" s="53" t="s">
        <v>20</v>
      </c>
      <c r="E147" s="53" t="s">
        <v>21</v>
      </c>
      <c r="F147" s="71">
        <v>4.4607046911876239E-2</v>
      </c>
      <c r="G147" s="71">
        <v>5.3865597322446793E-2</v>
      </c>
      <c r="H147" s="71">
        <v>6.2212477849726798E-2</v>
      </c>
      <c r="I147" s="71">
        <v>6.7184520138165546E-2</v>
      </c>
      <c r="J147" s="63">
        <v>7.0879676106534006E-2</v>
      </c>
      <c r="K147" s="71">
        <v>1.1901935118762376E-3</v>
      </c>
      <c r="L147" s="71">
        <v>1.0591447222446794E-2</v>
      </c>
      <c r="M147" s="71">
        <v>1.861081314972679E-2</v>
      </c>
      <c r="N147" s="71">
        <v>2.2703415038165548E-2</v>
      </c>
      <c r="O147" s="63">
        <v>2.5000965306534024E-2</v>
      </c>
      <c r="P147" s="55" t="s">
        <v>476</v>
      </c>
      <c r="Q147" s="53" t="s">
        <v>477</v>
      </c>
      <c r="R147" s="94">
        <v>47557</v>
      </c>
      <c r="S147" s="71">
        <v>5.4977989999999997E-2</v>
      </c>
      <c r="T147" s="63">
        <v>7.2344878497268006E-3</v>
      </c>
      <c r="V147" s="114">
        <v>1.13177891</v>
      </c>
      <c r="W147" s="72">
        <v>2.8435007400000001</v>
      </c>
      <c r="X147" s="72">
        <v>4.2835521199999995</v>
      </c>
      <c r="Y147" s="72">
        <v>5.4451148199999997</v>
      </c>
      <c r="Z147" s="115">
        <v>6.7968113199999998</v>
      </c>
    </row>
    <row r="148" spans="2:26" x14ac:dyDescent="0.35">
      <c r="B148" s="55" t="s">
        <v>320</v>
      </c>
      <c r="C148" s="53" t="s">
        <v>234</v>
      </c>
      <c r="D148" s="53" t="s">
        <v>20</v>
      </c>
      <c r="E148" s="53" t="s">
        <v>123</v>
      </c>
      <c r="F148" s="71">
        <v>4.455636126197994E-2</v>
      </c>
      <c r="G148" s="71">
        <v>5.4063583666421118E-2</v>
      </c>
      <c r="H148" s="71">
        <v>6.1339664203524533E-2</v>
      </c>
      <c r="I148" s="71">
        <v>6.517209406052811E-2</v>
      </c>
      <c r="J148" s="63">
        <v>6.8634079506632056E-2</v>
      </c>
      <c r="K148" s="71">
        <v>1.1437390619799407E-3</v>
      </c>
      <c r="L148" s="71">
        <v>1.0777884166421121E-2</v>
      </c>
      <c r="M148" s="71">
        <v>1.7797132403524547E-2</v>
      </c>
      <c r="N148" s="71">
        <v>2.0834087360528136E-2</v>
      </c>
      <c r="O148" s="63">
        <v>2.2899297206632051E-2</v>
      </c>
      <c r="P148" s="55" t="s">
        <v>21</v>
      </c>
      <c r="Q148" s="53" t="s">
        <v>21</v>
      </c>
      <c r="R148" s="94" t="s">
        <v>21</v>
      </c>
      <c r="S148" s="71">
        <v>0</v>
      </c>
      <c r="T148" s="63">
        <v>6.1339664203524533E-2</v>
      </c>
      <c r="V148" s="114">
        <v>1.1318656300000001</v>
      </c>
      <c r="W148" s="72">
        <v>2.8411414699999997</v>
      </c>
      <c r="X148" s="72">
        <v>4.2900409100000001</v>
      </c>
      <c r="Y148" s="72">
        <v>5.4740115200000004</v>
      </c>
      <c r="Z148" s="115">
        <v>6.8759333199999997</v>
      </c>
    </row>
    <row r="149" spans="2:26" x14ac:dyDescent="0.35">
      <c r="B149" s="55" t="s">
        <v>334</v>
      </c>
      <c r="C149" s="53" t="s">
        <v>234</v>
      </c>
      <c r="D149" s="53" t="s">
        <v>20</v>
      </c>
      <c r="E149" s="53" t="s">
        <v>318</v>
      </c>
      <c r="F149" s="71">
        <v>4.3834081391187753E-2</v>
      </c>
      <c r="G149" s="71">
        <v>5.2332330799333415E-2</v>
      </c>
      <c r="H149" s="71">
        <v>6.0954053421453235E-2</v>
      </c>
      <c r="I149" s="71">
        <v>6.4934458939600773E-2</v>
      </c>
      <c r="J149" s="63">
        <v>6.9075734528325647E-2</v>
      </c>
      <c r="K149" s="71">
        <v>4.4917479118775083E-4</v>
      </c>
      <c r="L149" s="71">
        <v>9.144942899333413E-3</v>
      </c>
      <c r="M149" s="71">
        <v>1.7437046121453227E-2</v>
      </c>
      <c r="N149" s="71">
        <v>2.0615467239600782E-2</v>
      </c>
      <c r="O149" s="63">
        <v>2.3314913928325649E-2</v>
      </c>
      <c r="P149" s="55" t="s">
        <v>21</v>
      </c>
      <c r="Q149" s="53" t="s">
        <v>21</v>
      </c>
      <c r="R149" s="94" t="s">
        <v>21</v>
      </c>
      <c r="S149" s="71">
        <v>0</v>
      </c>
      <c r="T149" s="63">
        <v>6.0954053421453235E-2</v>
      </c>
      <c r="V149" s="114">
        <v>1.13333817</v>
      </c>
      <c r="W149" s="72">
        <v>2.8541833999999997</v>
      </c>
      <c r="X149" s="72">
        <v>4.3096629900000005</v>
      </c>
      <c r="Y149" s="72">
        <v>5.49166022</v>
      </c>
      <c r="Z149" s="115">
        <v>6.8820372399999998</v>
      </c>
    </row>
    <row r="150" spans="2:26" x14ac:dyDescent="0.35">
      <c r="B150" s="55" t="s">
        <v>119</v>
      </c>
      <c r="C150" s="53" t="s">
        <v>234</v>
      </c>
      <c r="D150" s="53" t="s">
        <v>120</v>
      </c>
      <c r="E150" s="53" t="s">
        <v>21</v>
      </c>
      <c r="F150" s="71">
        <v>4.2993723979465492E-2</v>
      </c>
      <c r="G150" s="71">
        <v>5.2263662900080513E-2</v>
      </c>
      <c r="H150" s="71">
        <v>6.031493626876102E-2</v>
      </c>
      <c r="I150" s="71">
        <v>6.5632661976791573E-2</v>
      </c>
      <c r="J150" s="63">
        <v>7.1441559184514503E-2</v>
      </c>
      <c r="K150" s="71" t="s">
        <v>21</v>
      </c>
      <c r="L150" s="71">
        <v>9.084765100080508E-3</v>
      </c>
      <c r="M150" s="71">
        <v>1.6847035668761019E-2</v>
      </c>
      <c r="N150" s="71">
        <v>2.1269218776791575E-2</v>
      </c>
      <c r="O150" s="63">
        <v>2.5527124184514506E-2</v>
      </c>
      <c r="P150" s="55" t="s">
        <v>21</v>
      </c>
      <c r="Q150" s="53" t="s">
        <v>21</v>
      </c>
      <c r="R150" s="94" t="s">
        <v>21</v>
      </c>
      <c r="S150" s="71">
        <v>0</v>
      </c>
      <c r="T150" s="63">
        <v>6.031493626876102E-2</v>
      </c>
      <c r="V150" s="114">
        <v>1.13481626</v>
      </c>
      <c r="W150" s="72">
        <v>2.8593452699999999</v>
      </c>
      <c r="X150" s="72">
        <v>4.3204034600000005</v>
      </c>
      <c r="Y150" s="72">
        <v>5.49957092</v>
      </c>
      <c r="Z150" s="115">
        <v>6.8383557799999997</v>
      </c>
    </row>
    <row r="151" spans="2:26" x14ac:dyDescent="0.35">
      <c r="B151" s="55" t="s">
        <v>321</v>
      </c>
      <c r="C151" s="53" t="s">
        <v>234</v>
      </c>
      <c r="D151" s="53" t="s">
        <v>97</v>
      </c>
      <c r="E151" s="53" t="s">
        <v>21</v>
      </c>
      <c r="F151" s="71">
        <v>4.3536569963962227E-2</v>
      </c>
      <c r="G151" s="71">
        <v>5.2159132554527574E-2</v>
      </c>
      <c r="H151" s="71">
        <v>6.0089547952877909E-2</v>
      </c>
      <c r="I151" s="71">
        <v>6.4983039427998421E-2</v>
      </c>
      <c r="J151" s="63">
        <v>7.0696894008978509E-2</v>
      </c>
      <c r="K151" s="71">
        <v>1.7682066396223529E-4</v>
      </c>
      <c r="L151" s="71">
        <v>8.9870410545275763E-3</v>
      </c>
      <c r="M151" s="71">
        <v>1.6637529352877916E-2</v>
      </c>
      <c r="N151" s="71">
        <v>2.0665959227998427E-2</v>
      </c>
      <c r="O151" s="63">
        <v>2.4832354908978505E-2</v>
      </c>
      <c r="P151" s="55" t="s">
        <v>21</v>
      </c>
      <c r="Q151" s="53" t="s">
        <v>21</v>
      </c>
      <c r="R151" s="94" t="s">
        <v>21</v>
      </c>
      <c r="S151" s="71">
        <v>0</v>
      </c>
      <c r="T151" s="63">
        <v>6.0089547952877909E-2</v>
      </c>
      <c r="V151" s="114">
        <v>1.1337777099999999</v>
      </c>
      <c r="W151" s="72">
        <v>2.8572559200000001</v>
      </c>
      <c r="X151" s="72">
        <v>4.32105008</v>
      </c>
      <c r="Y151" s="72">
        <v>5.5090530600000003</v>
      </c>
      <c r="Z151" s="115">
        <v>6.8655834600000007</v>
      </c>
    </row>
    <row r="152" spans="2:26" x14ac:dyDescent="0.35">
      <c r="B152" s="55" t="s">
        <v>115</v>
      </c>
      <c r="C152" s="53" t="s">
        <v>234</v>
      </c>
      <c r="D152" s="53" t="s">
        <v>31</v>
      </c>
      <c r="E152" s="53" t="s">
        <v>36</v>
      </c>
      <c r="F152" s="71">
        <v>4.3538502398574104E-2</v>
      </c>
      <c r="G152" s="71">
        <v>5.1683237637270563E-2</v>
      </c>
      <c r="H152" s="71">
        <v>5.9816218826643439E-2</v>
      </c>
      <c r="I152" s="71">
        <v>6.4712392700482194E-2</v>
      </c>
      <c r="J152" s="63">
        <v>6.9824428714533635E-2</v>
      </c>
      <c r="K152" s="71">
        <v>1.8073609857410973E-4</v>
      </c>
      <c r="L152" s="71">
        <v>8.5390617372705681E-3</v>
      </c>
      <c r="M152" s="71">
        <v>1.6380930026643446E-2</v>
      </c>
      <c r="N152" s="71">
        <v>2.0411055300482185E-2</v>
      </c>
      <c r="O152" s="63">
        <v>2.4016968914533643E-2</v>
      </c>
      <c r="P152" s="55" t="s">
        <v>478</v>
      </c>
      <c r="Q152" s="53" t="s">
        <v>479</v>
      </c>
      <c r="R152" s="94">
        <v>47492</v>
      </c>
      <c r="S152" s="71">
        <v>5.2489590000000003E-2</v>
      </c>
      <c r="T152" s="63">
        <v>7.326628826643436E-3</v>
      </c>
      <c r="V152" s="114">
        <v>1.13376191</v>
      </c>
      <c r="W152" s="72">
        <v>2.8603256699999999</v>
      </c>
      <c r="X152" s="72">
        <v>4.3270334400000001</v>
      </c>
      <c r="Y152" s="72">
        <v>5.5172395300000003</v>
      </c>
      <c r="Z152" s="115">
        <v>6.8885579099999994</v>
      </c>
    </row>
    <row r="153" spans="2:26" x14ac:dyDescent="0.35">
      <c r="B153" s="55" t="s">
        <v>328</v>
      </c>
      <c r="C153" s="53" t="s">
        <v>234</v>
      </c>
      <c r="D153" s="53" t="s">
        <v>257</v>
      </c>
      <c r="E153" s="53" t="s">
        <v>480</v>
      </c>
      <c r="F153" s="71">
        <v>4.4491750710368282E-2</v>
      </c>
      <c r="G153" s="71">
        <v>5.250449213738121E-2</v>
      </c>
      <c r="H153" s="71">
        <v>5.9390509368838038E-2</v>
      </c>
      <c r="I153" s="71">
        <v>6.2797423404206992E-2</v>
      </c>
      <c r="J153" s="63">
        <v>6.6532795688109339E-2</v>
      </c>
      <c r="K153" s="71">
        <v>1.0831264103682795E-3</v>
      </c>
      <c r="L153" s="71">
        <v>9.3112922373812176E-3</v>
      </c>
      <c r="M153" s="71">
        <v>1.5981591168838034E-2</v>
      </c>
      <c r="N153" s="71">
        <v>1.8624334104207007E-2</v>
      </c>
      <c r="O153" s="63">
        <v>2.0933313788109337E-2</v>
      </c>
      <c r="P153" s="55" t="s">
        <v>21</v>
      </c>
      <c r="Q153" s="53" t="s">
        <v>21</v>
      </c>
      <c r="R153" s="94" t="s">
        <v>21</v>
      </c>
      <c r="S153" s="71">
        <v>0</v>
      </c>
      <c r="T153" s="63">
        <v>5.9390509368838038E-2</v>
      </c>
      <c r="V153" s="114">
        <v>1.13198518</v>
      </c>
      <c r="W153" s="72">
        <v>2.8520357299999999</v>
      </c>
      <c r="X153" s="72">
        <v>4.3221281899999999</v>
      </c>
      <c r="Y153" s="72">
        <v>5.5393112699999998</v>
      </c>
      <c r="Z153" s="115">
        <v>6.9894084800000007</v>
      </c>
    </row>
    <row r="154" spans="2:26" x14ac:dyDescent="0.35">
      <c r="B154" s="55" t="s">
        <v>134</v>
      </c>
      <c r="C154" s="53" t="s">
        <v>234</v>
      </c>
      <c r="D154" s="53" t="s">
        <v>43</v>
      </c>
      <c r="E154" s="53" t="s">
        <v>21</v>
      </c>
      <c r="F154" s="71">
        <v>4.3272338366867544E-2</v>
      </c>
      <c r="G154" s="71">
        <v>5.1576888894765617E-2</v>
      </c>
      <c r="H154" s="71">
        <v>5.9216773290308999E-2</v>
      </c>
      <c r="I154" s="71">
        <v>6.3922671332032582E-2</v>
      </c>
      <c r="J154" s="63">
        <v>6.926983604854936E-2</v>
      </c>
      <c r="K154" s="71" t="s">
        <v>21</v>
      </c>
      <c r="L154" s="71">
        <v>8.4422323947656117E-3</v>
      </c>
      <c r="M154" s="71">
        <v>1.5823711990308995E-2</v>
      </c>
      <c r="N154" s="71">
        <v>1.9678414632032581E-2</v>
      </c>
      <c r="O154" s="63">
        <v>2.3500490348549369E-2</v>
      </c>
      <c r="P154" s="55" t="s">
        <v>481</v>
      </c>
      <c r="Q154" s="53" t="s">
        <v>482</v>
      </c>
      <c r="R154" s="94" t="s">
        <v>32</v>
      </c>
      <c r="S154" s="71">
        <v>5.5592200000000001E-2</v>
      </c>
      <c r="T154" s="63">
        <v>3.6245732903089981E-3</v>
      </c>
      <c r="V154" s="114">
        <v>1.13422106</v>
      </c>
      <c r="W154" s="72">
        <v>2.8620106199999999</v>
      </c>
      <c r="X154" s="72">
        <v>4.3346712400000005</v>
      </c>
      <c r="Y154" s="72">
        <v>5.5358105799999997</v>
      </c>
      <c r="Z154" s="115">
        <v>6.9201164899999998</v>
      </c>
    </row>
    <row r="155" spans="2:26" x14ac:dyDescent="0.35">
      <c r="B155" s="55" t="s">
        <v>132</v>
      </c>
      <c r="C155" s="53" t="s">
        <v>234</v>
      </c>
      <c r="D155" s="53" t="s">
        <v>20</v>
      </c>
      <c r="E155" s="53" t="s">
        <v>21</v>
      </c>
      <c r="F155" s="71">
        <v>4.3466321039482066E-2</v>
      </c>
      <c r="G155" s="71">
        <v>5.2463056942897553E-2</v>
      </c>
      <c r="H155" s="71">
        <v>5.9570167683163019E-2</v>
      </c>
      <c r="I155" s="71">
        <v>6.2532523735877726E-2</v>
      </c>
      <c r="J155" s="63">
        <v>6.6337065593338823E-2</v>
      </c>
      <c r="K155" s="71">
        <v>1.0269103948206716E-4</v>
      </c>
      <c r="L155" s="71">
        <v>9.2697432428975567E-3</v>
      </c>
      <c r="M155" s="71">
        <v>1.614775308316304E-2</v>
      </c>
      <c r="N155" s="71">
        <v>1.8378428035877713E-2</v>
      </c>
      <c r="O155" s="63">
        <v>2.0750178393338835E-2</v>
      </c>
      <c r="P155" s="55" t="s">
        <v>483</v>
      </c>
      <c r="Q155" s="53" t="s">
        <v>484</v>
      </c>
      <c r="R155" s="94">
        <v>47567</v>
      </c>
      <c r="S155" s="71">
        <v>5.4921970000000001E-2</v>
      </c>
      <c r="T155" s="63">
        <v>4.648197683163019E-3</v>
      </c>
      <c r="V155" s="114">
        <v>1.1339950700000001</v>
      </c>
      <c r="W155" s="72">
        <v>2.8563053200000001</v>
      </c>
      <c r="X155" s="72">
        <v>4.3240433700000001</v>
      </c>
      <c r="Y155" s="72">
        <v>5.5386772899999999</v>
      </c>
      <c r="Z155" s="115">
        <v>6.9929437299999995</v>
      </c>
    </row>
    <row r="156" spans="2:26" x14ac:dyDescent="0.35">
      <c r="B156" s="55" t="s">
        <v>335</v>
      </c>
      <c r="C156" s="53" t="s">
        <v>234</v>
      </c>
      <c r="D156" s="53" t="s">
        <v>20</v>
      </c>
      <c r="E156" s="53" t="s">
        <v>133</v>
      </c>
      <c r="F156" s="71">
        <v>4.3792674894113301E-2</v>
      </c>
      <c r="G156" s="71">
        <v>5.2101154691235045E-2</v>
      </c>
      <c r="H156" s="71">
        <v>5.9502273580556243E-2</v>
      </c>
      <c r="I156" s="71">
        <v>6.2792060354642923E-2</v>
      </c>
      <c r="J156" s="63">
        <v>6.6228808693372526E-2</v>
      </c>
      <c r="K156" s="71">
        <v>4.2636589411330309E-4</v>
      </c>
      <c r="L156" s="71">
        <v>8.9349331912350512E-3</v>
      </c>
      <c r="M156" s="71">
        <v>1.6089185280556247E-2</v>
      </c>
      <c r="N156" s="71">
        <v>1.8623935554642923E-2</v>
      </c>
      <c r="O156" s="63">
        <v>2.0655525293372522E-2</v>
      </c>
      <c r="P156" s="55" t="s">
        <v>21</v>
      </c>
      <c r="Q156" s="53" t="s">
        <v>21</v>
      </c>
      <c r="R156" s="94" t="s">
        <v>21</v>
      </c>
      <c r="S156" s="71">
        <v>0</v>
      </c>
      <c r="T156" s="63">
        <v>5.9502273580556243E-2</v>
      </c>
      <c r="V156" s="114">
        <v>1.1332734900000001</v>
      </c>
      <c r="W156" s="72">
        <v>2.85783436</v>
      </c>
      <c r="X156" s="72">
        <v>4.32794217</v>
      </c>
      <c r="Y156" s="72">
        <v>5.5421735399999994</v>
      </c>
      <c r="Z156" s="115">
        <v>6.9958292100000001</v>
      </c>
    </row>
    <row r="157" spans="2:26" x14ac:dyDescent="0.35">
      <c r="B157" s="55" t="s">
        <v>126</v>
      </c>
      <c r="C157" s="53" t="s">
        <v>234</v>
      </c>
      <c r="D157" s="53" t="s">
        <v>69</v>
      </c>
      <c r="E157" s="53" t="s">
        <v>135</v>
      </c>
      <c r="F157" s="71">
        <v>4.2544569307928305E-2</v>
      </c>
      <c r="G157" s="71">
        <v>5.1455477938827716E-2</v>
      </c>
      <c r="H157" s="71">
        <v>5.8924048416673369E-2</v>
      </c>
      <c r="I157" s="71">
        <v>6.3593949266613742E-2</v>
      </c>
      <c r="J157" s="63">
        <v>6.908072125941557E-2</v>
      </c>
      <c r="K157" s="71" t="s">
        <v>21</v>
      </c>
      <c r="L157" s="71">
        <v>8.3247074388277213E-3</v>
      </c>
      <c r="M157" s="71">
        <v>1.554999981667337E-2</v>
      </c>
      <c r="N157" s="71">
        <v>1.9374869966613743E-2</v>
      </c>
      <c r="O157" s="63">
        <v>2.3329373659415582E-2</v>
      </c>
      <c r="P157" s="55" t="s">
        <v>485</v>
      </c>
      <c r="Q157" s="53" t="s">
        <v>486</v>
      </c>
      <c r="R157" s="94">
        <v>47484</v>
      </c>
      <c r="S157" s="71">
        <v>5.4053829999999997E-2</v>
      </c>
      <c r="T157" s="63">
        <v>4.870218416673372E-3</v>
      </c>
      <c r="V157" s="114">
        <v>1.1356446900000001</v>
      </c>
      <c r="W157" s="72">
        <v>2.8672132100000001</v>
      </c>
      <c r="X157" s="72">
        <v>4.3429136399999999</v>
      </c>
      <c r="Y157" s="72">
        <v>5.5491206100000001</v>
      </c>
      <c r="Z157" s="115">
        <v>6.9396741500000001</v>
      </c>
    </row>
    <row r="158" spans="2:26" x14ac:dyDescent="0.35">
      <c r="B158" s="55" t="s">
        <v>127</v>
      </c>
      <c r="C158" s="53" t="s">
        <v>234</v>
      </c>
      <c r="D158" s="53" t="s">
        <v>62</v>
      </c>
      <c r="E158" s="53" t="s">
        <v>487</v>
      </c>
      <c r="F158" s="71">
        <v>4.3350853565688879E-2</v>
      </c>
      <c r="G158" s="71">
        <v>5.1362995411669714E-2</v>
      </c>
      <c r="H158" s="71">
        <v>5.8691309009563493E-2</v>
      </c>
      <c r="I158" s="71">
        <v>6.3044940911136632E-2</v>
      </c>
      <c r="J158" s="63">
        <v>6.7895844772100616E-2</v>
      </c>
      <c r="K158" s="71">
        <v>6.9850656888789664E-6</v>
      </c>
      <c r="L158" s="71">
        <v>8.2396206116697075E-3</v>
      </c>
      <c r="M158" s="71">
        <v>1.5333934509563489E-2</v>
      </c>
      <c r="N158" s="71">
        <v>1.8863652811136639E-2</v>
      </c>
      <c r="O158" s="63">
        <v>2.2222347172100615E-2</v>
      </c>
      <c r="P158" s="55" t="s">
        <v>488</v>
      </c>
      <c r="Q158" s="53" t="s">
        <v>489</v>
      </c>
      <c r="R158" s="94">
        <v>47635</v>
      </c>
      <c r="S158" s="71">
        <v>5.3819369999999998E-2</v>
      </c>
      <c r="T158" s="63">
        <v>4.8719390095634946E-3</v>
      </c>
      <c r="V158" s="114">
        <v>1.1340885599999999</v>
      </c>
      <c r="W158" s="72">
        <v>2.8643679</v>
      </c>
      <c r="X158" s="72">
        <v>4.34291669</v>
      </c>
      <c r="Y158" s="72">
        <v>5.5568531800000001</v>
      </c>
      <c r="Z158" s="115">
        <v>6.9742173300000001</v>
      </c>
    </row>
    <row r="159" spans="2:26" x14ac:dyDescent="0.35">
      <c r="B159" s="55" t="s">
        <v>330</v>
      </c>
      <c r="C159" s="53" t="s">
        <v>234</v>
      </c>
      <c r="D159" s="53" t="s">
        <v>31</v>
      </c>
      <c r="E159" s="53" t="s">
        <v>21</v>
      </c>
      <c r="F159" s="71">
        <v>4.3324174667250012E-2</v>
      </c>
      <c r="G159" s="71">
        <v>5.1818614614592515E-2</v>
      </c>
      <c r="H159" s="71">
        <v>5.8410675490913652E-2</v>
      </c>
      <c r="I159" s="71">
        <v>6.2267886888403054E-2</v>
      </c>
      <c r="J159" s="63">
        <v>6.6438977392776086E-2</v>
      </c>
      <c r="K159" s="71" t="s">
        <v>21</v>
      </c>
      <c r="L159" s="71">
        <v>8.663905314592513E-3</v>
      </c>
      <c r="M159" s="71">
        <v>1.5065062590913647E-2</v>
      </c>
      <c r="N159" s="71">
        <v>1.8130159988403057E-2</v>
      </c>
      <c r="O159" s="63">
        <v>2.0848149292776081E-2</v>
      </c>
      <c r="P159" s="55" t="s">
        <v>21</v>
      </c>
      <c r="Q159" s="53" t="s">
        <v>21</v>
      </c>
      <c r="R159" s="94" t="s">
        <v>21</v>
      </c>
      <c r="S159" s="71">
        <v>0</v>
      </c>
      <c r="T159" s="63">
        <v>5.8410675490913652E-2</v>
      </c>
      <c r="V159" s="114">
        <v>1.1342024399999999</v>
      </c>
      <c r="W159" s="72">
        <v>2.85996893</v>
      </c>
      <c r="X159" s="72">
        <v>4.3404659199999998</v>
      </c>
      <c r="Y159" s="72">
        <v>5.5649963900000001</v>
      </c>
      <c r="Z159" s="115">
        <v>7.0149651899999999</v>
      </c>
    </row>
    <row r="160" spans="2:26" x14ac:dyDescent="0.35">
      <c r="B160" s="55" t="s">
        <v>332</v>
      </c>
      <c r="C160" s="53" t="s">
        <v>234</v>
      </c>
      <c r="D160" s="53" t="s">
        <v>97</v>
      </c>
      <c r="E160" s="53" t="s">
        <v>21</v>
      </c>
      <c r="F160" s="71">
        <v>4.40783200698718E-2</v>
      </c>
      <c r="G160" s="71">
        <v>5.1392174938698909E-2</v>
      </c>
      <c r="H160" s="71">
        <v>5.8339140303763477E-2</v>
      </c>
      <c r="I160" s="71">
        <v>6.1827247388450329E-2</v>
      </c>
      <c r="J160" s="63">
        <v>6.4924551841105585E-2</v>
      </c>
      <c r="K160" s="71">
        <v>6.9035526987179779E-4</v>
      </c>
      <c r="L160" s="71">
        <v>8.2629211386989129E-3</v>
      </c>
      <c r="M160" s="71">
        <v>1.4999310403763478E-2</v>
      </c>
      <c r="N160" s="71">
        <v>1.7719655288450327E-2</v>
      </c>
      <c r="O160" s="63">
        <v>1.9429221141105582E-2</v>
      </c>
      <c r="P160" s="55" t="s">
        <v>380</v>
      </c>
      <c r="Q160" s="53" t="s">
        <v>381</v>
      </c>
      <c r="R160" s="94">
        <v>47497</v>
      </c>
      <c r="S160" s="71">
        <v>5.3321790000000001E-2</v>
      </c>
      <c r="T160" s="63">
        <v>5.0173503037634765E-3</v>
      </c>
      <c r="V160" s="114">
        <v>1.13276413</v>
      </c>
      <c r="W160" s="72">
        <v>2.8612214699999998</v>
      </c>
      <c r="X160" s="72">
        <v>4.3432335899999996</v>
      </c>
      <c r="Y160" s="72">
        <v>5.5731552400000002</v>
      </c>
      <c r="Z160" s="115">
        <v>7.0566325999999995</v>
      </c>
    </row>
    <row r="161" spans="2:26" x14ac:dyDescent="0.35">
      <c r="B161" s="55" t="s">
        <v>121</v>
      </c>
      <c r="C161" s="53" t="s">
        <v>234</v>
      </c>
      <c r="D161" s="53" t="s">
        <v>69</v>
      </c>
      <c r="E161" s="53" t="s">
        <v>133</v>
      </c>
      <c r="F161" s="71">
        <v>4.2803981800400882E-2</v>
      </c>
      <c r="G161" s="71">
        <v>5.0751548785641969E-2</v>
      </c>
      <c r="H161" s="71">
        <v>5.8224142640085616E-2</v>
      </c>
      <c r="I161" s="71">
        <v>6.3664456610783668E-2</v>
      </c>
      <c r="J161" s="63">
        <v>6.8051858117434791E-2</v>
      </c>
      <c r="K161" s="71" t="s">
        <v>21</v>
      </c>
      <c r="L161" s="71">
        <v>7.6571524856419697E-3</v>
      </c>
      <c r="M161" s="71">
        <v>1.4892995040085615E-2</v>
      </c>
      <c r="N161" s="71">
        <v>1.9439574110783672E-2</v>
      </c>
      <c r="O161" s="63">
        <v>2.2373159217434799E-2</v>
      </c>
      <c r="P161" s="55" t="s">
        <v>21</v>
      </c>
      <c r="Q161" s="53" t="s">
        <v>21</v>
      </c>
      <c r="R161" s="94" t="s">
        <v>21</v>
      </c>
      <c r="S161" s="71">
        <v>0</v>
      </c>
      <c r="T161" s="63">
        <v>5.8224142640085616E-2</v>
      </c>
      <c r="V161" s="114">
        <v>1.1351903400000001</v>
      </c>
      <c r="W161" s="72">
        <v>2.8682548299999997</v>
      </c>
      <c r="X161" s="72">
        <v>4.3525406599999998</v>
      </c>
      <c r="Y161" s="72">
        <v>5.5587244499999997</v>
      </c>
      <c r="Z161" s="115">
        <v>6.96738195</v>
      </c>
    </row>
    <row r="162" spans="2:26" x14ac:dyDescent="0.35">
      <c r="B162" s="55" t="s">
        <v>333</v>
      </c>
      <c r="C162" s="53" t="s">
        <v>234</v>
      </c>
      <c r="D162" s="53" t="s">
        <v>20</v>
      </c>
      <c r="E162" s="53" t="s">
        <v>238</v>
      </c>
      <c r="F162" s="71">
        <v>4.3121735602792317E-2</v>
      </c>
      <c r="G162" s="71">
        <v>5.1339410964688741E-2</v>
      </c>
      <c r="H162" s="71">
        <v>5.8470005366131096E-2</v>
      </c>
      <c r="I162" s="71">
        <v>6.23049773199583E-2</v>
      </c>
      <c r="J162" s="63">
        <v>6.5707388536699371E-2</v>
      </c>
      <c r="K162" s="71" t="s">
        <v>21</v>
      </c>
      <c r="L162" s="71">
        <v>8.2113153646887413E-3</v>
      </c>
      <c r="M162" s="71">
        <v>1.5120735766131084E-2</v>
      </c>
      <c r="N162" s="71">
        <v>1.8166564019958288E-2</v>
      </c>
      <c r="O162" s="63">
        <v>2.0167777036699374E-2</v>
      </c>
      <c r="P162" s="55" t="s">
        <v>21</v>
      </c>
      <c r="Q162" s="53" t="s">
        <v>21</v>
      </c>
      <c r="R162" s="94" t="s">
        <v>21</v>
      </c>
      <c r="S162" s="71">
        <v>0</v>
      </c>
      <c r="T162" s="63">
        <v>5.8470005366131096E-2</v>
      </c>
      <c r="V162" s="114">
        <v>1.13459668</v>
      </c>
      <c r="W162" s="72">
        <v>2.8641988899999999</v>
      </c>
      <c r="X162" s="72">
        <v>4.3447537199999999</v>
      </c>
      <c r="Y162" s="72">
        <v>5.5662547700000005</v>
      </c>
      <c r="Z162" s="115">
        <v>7.0289061500000001</v>
      </c>
    </row>
    <row r="163" spans="2:26" x14ac:dyDescent="0.35">
      <c r="B163" s="55" t="s">
        <v>329</v>
      </c>
      <c r="C163" s="53" t="s">
        <v>234</v>
      </c>
      <c r="D163" s="53" t="s">
        <v>43</v>
      </c>
      <c r="E163" s="53" t="s">
        <v>21</v>
      </c>
      <c r="F163" s="71">
        <v>4.3129322186863842E-2</v>
      </c>
      <c r="G163" s="71">
        <v>5.0966167900394252E-2</v>
      </c>
      <c r="H163" s="71">
        <v>5.7653598328719045E-2</v>
      </c>
      <c r="I163" s="71">
        <v>6.1815482928688117E-2</v>
      </c>
      <c r="J163" s="63">
        <v>6.611581513576309E-2</v>
      </c>
      <c r="K163" s="71" t="s">
        <v>21</v>
      </c>
      <c r="L163" s="71">
        <v>7.8599024003942562E-3</v>
      </c>
      <c r="M163" s="71">
        <v>1.4357059028719039E-2</v>
      </c>
      <c r="N163" s="71">
        <v>1.7711670728688123E-2</v>
      </c>
      <c r="O163" s="63">
        <v>2.0552394835763085E-2</v>
      </c>
      <c r="P163" s="55" t="s">
        <v>21</v>
      </c>
      <c r="Q163" s="53" t="s">
        <v>21</v>
      </c>
      <c r="R163" s="94" t="s">
        <v>21</v>
      </c>
      <c r="S163" s="71">
        <v>0</v>
      </c>
      <c r="T163" s="63">
        <v>5.7653598328719045E-2</v>
      </c>
      <c r="V163" s="114">
        <v>1.1345725900000001</v>
      </c>
      <c r="W163" s="72">
        <v>2.8658893500000002</v>
      </c>
      <c r="X163" s="72">
        <v>4.3554622399999996</v>
      </c>
      <c r="Y163" s="72">
        <v>5.5868829299999998</v>
      </c>
      <c r="Z163" s="115">
        <v>7.0441042899999999</v>
      </c>
    </row>
    <row r="164" spans="2:26" x14ac:dyDescent="0.35">
      <c r="B164" s="55" t="s">
        <v>242</v>
      </c>
      <c r="C164" s="53" t="s">
        <v>234</v>
      </c>
      <c r="D164" s="53" t="s">
        <v>20</v>
      </c>
      <c r="E164" s="53" t="s">
        <v>21</v>
      </c>
      <c r="F164" s="71">
        <v>4.251152883703524E-2</v>
      </c>
      <c r="G164" s="71">
        <v>5.0442680388832574E-2</v>
      </c>
      <c r="H164" s="71">
        <v>5.7973506225966115E-2</v>
      </c>
      <c r="I164" s="71">
        <v>6.1286310481462408E-2</v>
      </c>
      <c r="J164" s="63">
        <v>6.5057053148146651E-2</v>
      </c>
      <c r="K164" s="71" t="s">
        <v>21</v>
      </c>
      <c r="L164" s="71">
        <v>7.3661687888325784E-3</v>
      </c>
      <c r="M164" s="71">
        <v>1.4657474425966103E-2</v>
      </c>
      <c r="N164" s="71">
        <v>1.7216450181462409E-2</v>
      </c>
      <c r="O164" s="63">
        <v>1.9558277248146641E-2</v>
      </c>
      <c r="P164" s="55" t="s">
        <v>21</v>
      </c>
      <c r="Q164" s="53" t="s">
        <v>21</v>
      </c>
      <c r="R164" s="94" t="s">
        <v>21</v>
      </c>
      <c r="S164" s="71">
        <v>0</v>
      </c>
      <c r="T164" s="63">
        <v>5.7973506225966115E-2</v>
      </c>
      <c r="V164" s="114">
        <v>1.13573075</v>
      </c>
      <c r="W164" s="72">
        <v>2.8715843599999999</v>
      </c>
      <c r="X164" s="72">
        <v>4.3594592199999997</v>
      </c>
      <c r="Y164" s="72">
        <v>5.5938678899999994</v>
      </c>
      <c r="Z164" s="115">
        <v>7.0714054200000005</v>
      </c>
    </row>
    <row r="165" spans="2:26" x14ac:dyDescent="0.35">
      <c r="B165" s="55" t="s">
        <v>237</v>
      </c>
      <c r="C165" s="53" t="s">
        <v>234</v>
      </c>
      <c r="D165" s="53" t="s">
        <v>31</v>
      </c>
      <c r="E165" s="53" t="s">
        <v>143</v>
      </c>
      <c r="F165" s="71">
        <v>4.2792829764603385E-2</v>
      </c>
      <c r="G165" s="71">
        <v>5.106483864403176E-2</v>
      </c>
      <c r="H165" s="71">
        <v>5.7473183075559812E-2</v>
      </c>
      <c r="I165" s="71">
        <v>6.1886298281004559E-2</v>
      </c>
      <c r="J165" s="63">
        <v>6.6755823108225254E-2</v>
      </c>
      <c r="K165" s="71" t="s">
        <v>21</v>
      </c>
      <c r="L165" s="71">
        <v>7.9494203440317567E-3</v>
      </c>
      <c r="M165" s="71">
        <v>1.4183990875559802E-2</v>
      </c>
      <c r="N165" s="71">
        <v>1.7772340581004555E-2</v>
      </c>
      <c r="O165" s="63">
        <v>2.1146178808225238E-2</v>
      </c>
      <c r="P165" s="55" t="s">
        <v>21</v>
      </c>
      <c r="Q165" s="53" t="s">
        <v>21</v>
      </c>
      <c r="R165" s="94" t="s">
        <v>21</v>
      </c>
      <c r="S165" s="71">
        <v>0</v>
      </c>
      <c r="T165" s="63">
        <v>5.7473183075559812E-2</v>
      </c>
      <c r="V165" s="114">
        <v>1.1352531100000001</v>
      </c>
      <c r="W165" s="72">
        <v>2.8667864700000001</v>
      </c>
      <c r="X165" s="72">
        <v>4.3575574000000001</v>
      </c>
      <c r="Y165" s="72">
        <v>5.5875775900000004</v>
      </c>
      <c r="Z165" s="115">
        <v>7.0282589199999999</v>
      </c>
    </row>
    <row r="166" spans="2:26" x14ac:dyDescent="0.35">
      <c r="B166" s="55" t="s">
        <v>237</v>
      </c>
      <c r="C166" s="53" t="s">
        <v>234</v>
      </c>
      <c r="D166" s="53" t="s">
        <v>31</v>
      </c>
      <c r="E166" s="53" t="s">
        <v>21</v>
      </c>
      <c r="F166" s="71">
        <v>4.2792829764603385E-2</v>
      </c>
      <c r="G166" s="71">
        <v>5.106483864403176E-2</v>
      </c>
      <c r="H166" s="71">
        <v>5.7473183075559812E-2</v>
      </c>
      <c r="I166" s="71">
        <v>6.1886298281004559E-2</v>
      </c>
      <c r="J166" s="63">
        <v>6.6755823108225254E-2</v>
      </c>
      <c r="K166" s="71" t="s">
        <v>21</v>
      </c>
      <c r="L166" s="71">
        <v>7.9494203440317567E-3</v>
      </c>
      <c r="M166" s="71">
        <v>1.4183990875559802E-2</v>
      </c>
      <c r="N166" s="71">
        <v>1.7772340581004555E-2</v>
      </c>
      <c r="O166" s="63">
        <v>2.1146178808225238E-2</v>
      </c>
      <c r="P166" s="55" t="s">
        <v>21</v>
      </c>
      <c r="Q166" s="53" t="s">
        <v>21</v>
      </c>
      <c r="R166" s="94" t="s">
        <v>21</v>
      </c>
      <c r="S166" s="71">
        <v>0</v>
      </c>
      <c r="T166" s="63">
        <v>5.7473183075559812E-2</v>
      </c>
      <c r="V166" s="114">
        <v>1.1352531100000001</v>
      </c>
      <c r="W166" s="72">
        <v>2.8667864700000001</v>
      </c>
      <c r="X166" s="72">
        <v>4.3575574000000001</v>
      </c>
      <c r="Y166" s="72">
        <v>5.5875775900000004</v>
      </c>
      <c r="Z166" s="115">
        <v>7.0282589199999999</v>
      </c>
    </row>
    <row r="167" spans="2:26" x14ac:dyDescent="0.35">
      <c r="B167" s="55" t="s">
        <v>239</v>
      </c>
      <c r="C167" s="53" t="s">
        <v>234</v>
      </c>
      <c r="D167" s="53" t="s">
        <v>43</v>
      </c>
      <c r="E167" s="53" t="s">
        <v>110</v>
      </c>
      <c r="F167" s="71">
        <v>4.2688017857158304E-2</v>
      </c>
      <c r="G167" s="71">
        <v>5.0751063269483733E-2</v>
      </c>
      <c r="H167" s="71">
        <v>5.7303098973903899E-2</v>
      </c>
      <c r="I167" s="71">
        <v>6.1349190410229376E-2</v>
      </c>
      <c r="J167" s="63">
        <v>6.5329590541692892E-2</v>
      </c>
      <c r="K167" s="71" t="s">
        <v>21</v>
      </c>
      <c r="L167" s="71">
        <v>7.6559651694837342E-3</v>
      </c>
      <c r="M167" s="71">
        <v>1.4026393173903881E-2</v>
      </c>
      <c r="N167" s="71">
        <v>1.7272028510229367E-2</v>
      </c>
      <c r="O167" s="63">
        <v>1.9811120241692886E-2</v>
      </c>
      <c r="P167" s="55" t="s">
        <v>21</v>
      </c>
      <c r="Q167" s="53" t="s">
        <v>21</v>
      </c>
      <c r="R167" s="94" t="s">
        <v>21</v>
      </c>
      <c r="S167" s="71">
        <v>0</v>
      </c>
      <c r="T167" s="63">
        <v>5.7303098973903899E-2</v>
      </c>
      <c r="V167" s="114">
        <v>1.1354159500000001</v>
      </c>
      <c r="W167" s="72">
        <v>2.86856372</v>
      </c>
      <c r="X167" s="72">
        <v>4.3615093700000003</v>
      </c>
      <c r="Y167" s="72">
        <v>5.5984370300000004</v>
      </c>
      <c r="Z167" s="115">
        <v>7.0711223599999995</v>
      </c>
    </row>
    <row r="168" spans="2:26" x14ac:dyDescent="0.35">
      <c r="B168" s="55" t="s">
        <v>331</v>
      </c>
      <c r="C168" s="53" t="s">
        <v>234</v>
      </c>
      <c r="D168" s="53" t="s">
        <v>62</v>
      </c>
      <c r="E168" s="53" t="s">
        <v>21</v>
      </c>
      <c r="F168" s="71">
        <v>4.3019475105133903E-2</v>
      </c>
      <c r="G168" s="71">
        <v>5.0585728824443961E-2</v>
      </c>
      <c r="H168" s="71">
        <v>5.709580971565522E-2</v>
      </c>
      <c r="I168" s="71">
        <v>6.0807601533626895E-2</v>
      </c>
      <c r="J168" s="63">
        <v>6.5338652083874849E-2</v>
      </c>
      <c r="K168" s="71" t="s">
        <v>21</v>
      </c>
      <c r="L168" s="71">
        <v>7.4996669244439661E-3</v>
      </c>
      <c r="M168" s="71">
        <v>1.3831555815655205E-2</v>
      </c>
      <c r="N168" s="71">
        <v>1.6766970133626893E-2</v>
      </c>
      <c r="O168" s="63">
        <v>1.9835321383874858E-2</v>
      </c>
      <c r="P168" s="55" t="s">
        <v>21</v>
      </c>
      <c r="Q168" s="53" t="s">
        <v>21</v>
      </c>
      <c r="R168" s="94" t="s">
        <v>21</v>
      </c>
      <c r="S168" s="71">
        <v>0</v>
      </c>
      <c r="T168" s="63">
        <v>5.709580971565522E-2</v>
      </c>
      <c r="V168" s="114">
        <v>1.13479072</v>
      </c>
      <c r="W168" s="72">
        <v>2.86851828</v>
      </c>
      <c r="X168" s="72">
        <v>4.3638913500000003</v>
      </c>
      <c r="Y168" s="72">
        <v>5.601648</v>
      </c>
      <c r="Z168" s="115">
        <v>7.0504043200000002</v>
      </c>
    </row>
    <row r="169" spans="2:26" x14ac:dyDescent="0.35">
      <c r="B169" s="55" t="s">
        <v>373</v>
      </c>
      <c r="C169" s="53" t="s">
        <v>234</v>
      </c>
      <c r="D169" s="53" t="s">
        <v>20</v>
      </c>
      <c r="E169" s="53" t="s">
        <v>21</v>
      </c>
      <c r="F169" s="71">
        <v>4.139777228491235E-2</v>
      </c>
      <c r="G169" s="71">
        <v>4.6727589873256058E-2</v>
      </c>
      <c r="H169" s="71">
        <v>5.0069575830776696E-2</v>
      </c>
      <c r="I169" s="71">
        <v>5.1995405478294697E-2</v>
      </c>
      <c r="J169" s="63">
        <v>5.4229858678536191E-2</v>
      </c>
      <c r="K169" s="71" t="s">
        <v>21</v>
      </c>
      <c r="L169" s="71">
        <v>3.8467771732560632E-3</v>
      </c>
      <c r="M169" s="71">
        <v>7.1896915307767002E-3</v>
      </c>
      <c r="N169" s="71">
        <v>8.4367496782946898E-3</v>
      </c>
      <c r="O169" s="63">
        <v>9.2644032785361968E-3</v>
      </c>
      <c r="P169" s="55" t="s">
        <v>21</v>
      </c>
      <c r="Q169" s="53" t="s">
        <v>21</v>
      </c>
      <c r="R169" s="94" t="s">
        <v>21</v>
      </c>
      <c r="S169" s="71">
        <v>0</v>
      </c>
      <c r="T169" s="63">
        <v>5.0069575830776696E-2</v>
      </c>
      <c r="V169" s="114">
        <v>1.13785892</v>
      </c>
      <c r="W169" s="72">
        <v>2.8975174999999997</v>
      </c>
      <c r="X169" s="72">
        <v>4.4687574699999999</v>
      </c>
      <c r="Y169" s="72">
        <v>5.8407679799999999</v>
      </c>
      <c r="Z169" s="115">
        <v>7.585059750000001</v>
      </c>
    </row>
    <row r="170" spans="2:26" x14ac:dyDescent="0.35">
      <c r="B170" s="55" t="s">
        <v>137</v>
      </c>
      <c r="C170" s="53" t="s">
        <v>234</v>
      </c>
      <c r="D170" s="53" t="s">
        <v>31</v>
      </c>
      <c r="E170" s="53" t="s">
        <v>81</v>
      </c>
      <c r="F170" s="71">
        <v>4.2780234333868308E-2</v>
      </c>
      <c r="G170" s="71">
        <v>4.9731944176075377E-2</v>
      </c>
      <c r="H170" s="71">
        <v>5.5725862256672011E-2</v>
      </c>
      <c r="I170" s="71">
        <v>5.9047283061276372E-2</v>
      </c>
      <c r="J170" s="63">
        <v>6.3230013896980977E-2</v>
      </c>
      <c r="K170" s="71" t="s">
        <v>21</v>
      </c>
      <c r="L170" s="71">
        <v>6.6974645760753768E-3</v>
      </c>
      <c r="M170" s="71">
        <v>1.2545432656672021E-2</v>
      </c>
      <c r="N170" s="71">
        <v>1.5115461961276373E-2</v>
      </c>
      <c r="O170" s="63">
        <v>1.783375309698098E-2</v>
      </c>
      <c r="P170" s="55" t="s">
        <v>490</v>
      </c>
      <c r="Q170" s="53" t="s">
        <v>491</v>
      </c>
      <c r="R170" s="94" t="s">
        <v>32</v>
      </c>
      <c r="S170" s="71">
        <v>5.1266199999999998E-2</v>
      </c>
      <c r="T170" s="63">
        <v>4.4596622566720132E-3</v>
      </c>
      <c r="V170" s="114">
        <v>1.1351834000000001</v>
      </c>
      <c r="W170" s="72">
        <v>2.8744071099999999</v>
      </c>
      <c r="X170" s="72">
        <v>4.3844922500000001</v>
      </c>
      <c r="Y170" s="72">
        <v>5.6533703900000001</v>
      </c>
      <c r="Z170" s="115">
        <v>7.17709829</v>
      </c>
    </row>
    <row r="171" spans="2:26" x14ac:dyDescent="0.35">
      <c r="B171" s="55" t="s">
        <v>242</v>
      </c>
      <c r="C171" s="53" t="s">
        <v>234</v>
      </c>
      <c r="D171" s="53" t="s">
        <v>20</v>
      </c>
      <c r="E171" s="53" t="s">
        <v>21</v>
      </c>
      <c r="F171" s="71">
        <v>4.251152883703524E-2</v>
      </c>
      <c r="G171" s="71">
        <v>5.0442680388832574E-2</v>
      </c>
      <c r="H171" s="71">
        <v>5.7973506225966115E-2</v>
      </c>
      <c r="I171" s="71">
        <v>6.1286310481462408E-2</v>
      </c>
      <c r="J171" s="63">
        <v>6.5057053148146651E-2</v>
      </c>
      <c r="K171" s="71" t="s">
        <v>21</v>
      </c>
      <c r="L171" s="71">
        <v>7.3661687888325784E-3</v>
      </c>
      <c r="M171" s="71">
        <v>1.4657474425966103E-2</v>
      </c>
      <c r="N171" s="71">
        <v>1.7216450181462409E-2</v>
      </c>
      <c r="O171" s="63">
        <v>1.9558277248146641E-2</v>
      </c>
      <c r="P171" s="55" t="s">
        <v>21</v>
      </c>
      <c r="Q171" s="53" t="s">
        <v>21</v>
      </c>
      <c r="R171" s="94" t="s">
        <v>21</v>
      </c>
      <c r="S171" s="71">
        <v>0</v>
      </c>
      <c r="T171" s="63">
        <v>5.7973506225966115E-2</v>
      </c>
      <c r="V171" s="114">
        <v>1.13573075</v>
      </c>
      <c r="W171" s="72">
        <v>2.8715843599999999</v>
      </c>
      <c r="X171" s="72">
        <v>4.3594592199999997</v>
      </c>
      <c r="Y171" s="72">
        <v>5.5938678899999994</v>
      </c>
      <c r="Z171" s="115">
        <v>7.0714054200000005</v>
      </c>
    </row>
    <row r="172" spans="2:26" x14ac:dyDescent="0.35">
      <c r="B172" s="55" t="s">
        <v>151</v>
      </c>
      <c r="C172" s="53" t="s">
        <v>234</v>
      </c>
      <c r="D172" s="53" t="s">
        <v>43</v>
      </c>
      <c r="E172" s="53" t="s">
        <v>21</v>
      </c>
      <c r="F172" s="71">
        <v>4.300676150411422E-2</v>
      </c>
      <c r="G172" s="71">
        <v>4.9890033732839623E-2</v>
      </c>
      <c r="H172" s="71">
        <v>5.5438825286027109E-2</v>
      </c>
      <c r="I172" s="71">
        <v>5.8948948956921196E-2</v>
      </c>
      <c r="J172" s="63">
        <v>6.3661682952171908E-2</v>
      </c>
      <c r="K172" s="71" t="s">
        <v>21</v>
      </c>
      <c r="L172" s="71">
        <v>6.8400525328396189E-3</v>
      </c>
      <c r="M172" s="71">
        <v>1.2269750186027105E-2</v>
      </c>
      <c r="N172" s="71">
        <v>1.5018342256921204E-2</v>
      </c>
      <c r="O172" s="63">
        <v>1.8235883752171916E-2</v>
      </c>
      <c r="P172" s="55" t="s">
        <v>21</v>
      </c>
      <c r="Q172" s="53" t="s">
        <v>21</v>
      </c>
      <c r="R172" s="94" t="s">
        <v>21</v>
      </c>
      <c r="S172" s="71">
        <v>0</v>
      </c>
      <c r="T172" s="63">
        <v>5.5438825286027109E-2</v>
      </c>
      <c r="V172" s="114">
        <v>1.13484539</v>
      </c>
      <c r="W172" s="72">
        <v>2.8728963699999999</v>
      </c>
      <c r="X172" s="72">
        <v>4.38568873</v>
      </c>
      <c r="Y172" s="72">
        <v>5.6567845600000002</v>
      </c>
      <c r="Z172" s="115">
        <v>7.1712881300000006</v>
      </c>
    </row>
    <row r="173" spans="2:26" x14ac:dyDescent="0.35">
      <c r="B173" s="55" t="s">
        <v>142</v>
      </c>
      <c r="C173" s="53" t="s">
        <v>234</v>
      </c>
      <c r="D173" s="53" t="s">
        <v>53</v>
      </c>
      <c r="E173" s="53" t="s">
        <v>123</v>
      </c>
      <c r="F173" s="71">
        <v>4.2412668916701132E-2</v>
      </c>
      <c r="G173" s="71">
        <v>4.9733533775393517E-2</v>
      </c>
      <c r="H173" s="71">
        <v>5.5372433036604218E-2</v>
      </c>
      <c r="I173" s="71">
        <v>5.8979557926120162E-2</v>
      </c>
      <c r="J173" s="63">
        <v>6.3518483914749943E-2</v>
      </c>
      <c r="K173" s="71" t="s">
        <v>21</v>
      </c>
      <c r="L173" s="71">
        <v>6.6968436753935094E-3</v>
      </c>
      <c r="M173" s="71">
        <v>1.2210600336604214E-2</v>
      </c>
      <c r="N173" s="71">
        <v>1.5050267126120148E-2</v>
      </c>
      <c r="O173" s="63">
        <v>1.8104909114749934E-2</v>
      </c>
      <c r="P173" s="55" t="s">
        <v>492</v>
      </c>
      <c r="Q173" s="53" t="s">
        <v>493</v>
      </c>
      <c r="R173" s="94" t="s">
        <v>32</v>
      </c>
      <c r="S173" s="71">
        <v>5.6607869999999998E-2</v>
      </c>
      <c r="T173" s="63">
        <v>-1.2354369633957793E-3</v>
      </c>
      <c r="V173" s="114">
        <v>1.1359073000000002</v>
      </c>
      <c r="W173" s="72">
        <v>2.8750062700000001</v>
      </c>
      <c r="X173" s="72">
        <v>4.3885433000000003</v>
      </c>
      <c r="Y173" s="72">
        <v>5.6590019600000003</v>
      </c>
      <c r="Z173" s="115">
        <v>7.1757583700000005</v>
      </c>
    </row>
    <row r="174" spans="2:26" x14ac:dyDescent="0.35">
      <c r="B174" s="55" t="s">
        <v>341</v>
      </c>
      <c r="C174" s="53" t="s">
        <v>234</v>
      </c>
      <c r="D174" s="53" t="s">
        <v>69</v>
      </c>
      <c r="E174" s="53" t="s">
        <v>21</v>
      </c>
      <c r="F174" s="71">
        <v>4.2398522426664358E-2</v>
      </c>
      <c r="G174" s="71">
        <v>4.9690760415384824E-2</v>
      </c>
      <c r="H174" s="71">
        <v>5.5322204370344685E-2</v>
      </c>
      <c r="I174" s="71">
        <v>5.8362292381242478E-2</v>
      </c>
      <c r="J174" s="63">
        <v>6.2434419058232167E-2</v>
      </c>
      <c r="K174" s="71" t="s">
        <v>21</v>
      </c>
      <c r="L174" s="71">
        <v>6.6512014153848244E-3</v>
      </c>
      <c r="M174" s="71">
        <v>1.2159528670344684E-2</v>
      </c>
      <c r="N174" s="71">
        <v>1.4466388081242471E-2</v>
      </c>
      <c r="O174" s="63">
        <v>1.7077873558232166E-2</v>
      </c>
      <c r="P174" s="55" t="s">
        <v>494</v>
      </c>
      <c r="Q174" s="53" t="s">
        <v>495</v>
      </c>
      <c r="R174" s="94" t="s">
        <v>32</v>
      </c>
      <c r="S174" s="71">
        <v>5.3774930000000006E-2</v>
      </c>
      <c r="T174" s="63">
        <v>1.5472743703446798E-3</v>
      </c>
      <c r="V174" s="114">
        <v>1.1360036</v>
      </c>
      <c r="W174" s="72">
        <v>2.8760951299999999</v>
      </c>
      <c r="X174" s="72">
        <v>4.390155</v>
      </c>
      <c r="Y174" s="72">
        <v>5.6687826299999999</v>
      </c>
      <c r="Z174" s="115">
        <v>7.2122277600000011</v>
      </c>
    </row>
    <row r="175" spans="2:26" x14ac:dyDescent="0.35">
      <c r="B175" s="55" t="s">
        <v>343</v>
      </c>
      <c r="C175" s="53" t="s">
        <v>234</v>
      </c>
      <c r="D175" s="53" t="s">
        <v>20</v>
      </c>
      <c r="E175" s="53" t="s">
        <v>339</v>
      </c>
      <c r="F175" s="71">
        <v>4.2614000611648752E-2</v>
      </c>
      <c r="G175" s="71">
        <v>4.9847508241643967E-2</v>
      </c>
      <c r="H175" s="71">
        <v>5.5616734030639985E-2</v>
      </c>
      <c r="I175" s="71">
        <v>5.886224296942405E-2</v>
      </c>
      <c r="J175" s="63">
        <v>6.2936587197686633E-2</v>
      </c>
      <c r="K175" s="71" t="s">
        <v>21</v>
      </c>
      <c r="L175" s="71">
        <v>6.8058673416439711E-3</v>
      </c>
      <c r="M175" s="71">
        <v>1.2441901930639985E-2</v>
      </c>
      <c r="N175" s="71">
        <v>1.4941505169424052E-2</v>
      </c>
      <c r="O175" s="63">
        <v>1.7556555397686635E-2</v>
      </c>
      <c r="P175" s="55" t="s">
        <v>21</v>
      </c>
      <c r="Q175" s="53" t="s">
        <v>21</v>
      </c>
      <c r="R175" s="94" t="s">
        <v>21</v>
      </c>
      <c r="S175" s="71">
        <v>0</v>
      </c>
      <c r="T175" s="63">
        <v>5.5616734030639985E-2</v>
      </c>
      <c r="V175" s="114">
        <v>1.1355156399999999</v>
      </c>
      <c r="W175" s="72">
        <v>2.8742153199999998</v>
      </c>
      <c r="X175" s="72">
        <v>4.3859233700000004</v>
      </c>
      <c r="Y175" s="72">
        <v>5.6562450100000001</v>
      </c>
      <c r="Z175" s="115">
        <v>7.1877151799999996</v>
      </c>
    </row>
    <row r="176" spans="2:26" x14ac:dyDescent="0.35">
      <c r="B176" s="55" t="s">
        <v>150</v>
      </c>
      <c r="C176" s="53" t="s">
        <v>234</v>
      </c>
      <c r="D176" s="53" t="s">
        <v>53</v>
      </c>
      <c r="E176" s="53" t="s">
        <v>21</v>
      </c>
      <c r="F176" s="71">
        <v>4.280096819585387E-2</v>
      </c>
      <c r="G176" s="71">
        <v>4.9694500321531609E-2</v>
      </c>
      <c r="H176" s="71">
        <v>5.5066477049955417E-2</v>
      </c>
      <c r="I176" s="71">
        <v>5.839388438491773E-2</v>
      </c>
      <c r="J176" s="63">
        <v>6.2470213375041786E-2</v>
      </c>
      <c r="K176" s="71" t="s">
        <v>21</v>
      </c>
      <c r="L176" s="71">
        <v>6.6587982215316113E-3</v>
      </c>
      <c r="M176" s="71">
        <v>1.1921160149955423E-2</v>
      </c>
      <c r="N176" s="71">
        <v>1.4498090084917733E-2</v>
      </c>
      <c r="O176" s="63">
        <v>1.7114127075041792E-2</v>
      </c>
      <c r="P176" s="55" t="s">
        <v>496</v>
      </c>
      <c r="Q176" s="53" t="s">
        <v>497</v>
      </c>
      <c r="R176" s="94">
        <v>47498</v>
      </c>
      <c r="S176" s="71">
        <v>4.9827429999999999E-2</v>
      </c>
      <c r="T176" s="63">
        <v>5.2390470499554184E-3</v>
      </c>
      <c r="V176" s="114">
        <v>1.13518735</v>
      </c>
      <c r="W176" s="72">
        <v>2.8746616400000002</v>
      </c>
      <c r="X176" s="72">
        <v>4.3913338500000005</v>
      </c>
      <c r="Y176" s="72">
        <v>5.6701693799999999</v>
      </c>
      <c r="Z176" s="115">
        <v>7.2120445500000008</v>
      </c>
    </row>
    <row r="177" spans="2:26" x14ac:dyDescent="0.35">
      <c r="B177" s="55" t="s">
        <v>138</v>
      </c>
      <c r="C177" s="53" t="s">
        <v>234</v>
      </c>
      <c r="D177" s="53" t="s">
        <v>20</v>
      </c>
      <c r="E177" s="53" t="s">
        <v>21</v>
      </c>
      <c r="F177" s="71">
        <v>4.3802967085075625E-2</v>
      </c>
      <c r="G177" s="71">
        <v>5.070246456397786E-2</v>
      </c>
      <c r="H177" s="71">
        <v>5.5572551657085134E-2</v>
      </c>
      <c r="I177" s="71">
        <v>5.8117030626270626E-2</v>
      </c>
      <c r="J177" s="63">
        <v>6.1168796088271381E-2</v>
      </c>
      <c r="K177" s="71">
        <v>4.2666638507562939E-4</v>
      </c>
      <c r="L177" s="71">
        <v>7.6110657639778551E-3</v>
      </c>
      <c r="M177" s="71">
        <v>1.2397813757085145E-2</v>
      </c>
      <c r="N177" s="71">
        <v>1.4236962226270635E-2</v>
      </c>
      <c r="O177" s="63">
        <v>1.588857578827137E-2</v>
      </c>
      <c r="P177" s="55" t="s">
        <v>498</v>
      </c>
      <c r="Q177" s="53" t="s">
        <v>499</v>
      </c>
      <c r="R177" s="94">
        <v>47423</v>
      </c>
      <c r="S177" s="71">
        <v>5.2746890000000005E-2</v>
      </c>
      <c r="T177" s="63">
        <v>2.8256616570851295E-3</v>
      </c>
      <c r="V177" s="114">
        <v>1.1333136500000001</v>
      </c>
      <c r="W177" s="72">
        <v>2.8654048899999998</v>
      </c>
      <c r="X177" s="72">
        <v>4.3772923800000001</v>
      </c>
      <c r="Y177" s="72">
        <v>5.6572557899999998</v>
      </c>
      <c r="Z177" s="115">
        <v>7.2180935000000002</v>
      </c>
    </row>
    <row r="178" spans="2:26" x14ac:dyDescent="0.35">
      <c r="B178" s="55" t="s">
        <v>159</v>
      </c>
      <c r="C178" s="53" t="s">
        <v>234</v>
      </c>
      <c r="D178" s="53" t="s">
        <v>20</v>
      </c>
      <c r="E178" s="53" t="s">
        <v>290</v>
      </c>
      <c r="F178" s="71">
        <v>4.3122617932438982E-2</v>
      </c>
      <c r="G178" s="71">
        <v>5.0263632882167029E-2</v>
      </c>
      <c r="H178" s="71">
        <v>5.5548891622804498E-2</v>
      </c>
      <c r="I178" s="71">
        <v>5.8126003450174976E-2</v>
      </c>
      <c r="J178" s="63">
        <v>6.1207693872614481E-2</v>
      </c>
      <c r="K178" s="71" t="s">
        <v>21</v>
      </c>
      <c r="L178" s="71">
        <v>7.1958087821670262E-3</v>
      </c>
      <c r="M178" s="71">
        <v>1.2375222122804496E-2</v>
      </c>
      <c r="N178" s="71">
        <v>1.4246521150174975E-2</v>
      </c>
      <c r="O178" s="63">
        <v>1.5918801772614483E-2</v>
      </c>
      <c r="P178" s="55" t="s">
        <v>500</v>
      </c>
      <c r="Q178" s="53" t="s">
        <v>501</v>
      </c>
      <c r="R178" s="94">
        <v>47543</v>
      </c>
      <c r="S178" s="71">
        <v>5.3156689999999999E-2</v>
      </c>
      <c r="T178" s="63">
        <v>2.392201622804499E-3</v>
      </c>
      <c r="V178" s="114">
        <v>1.1346028500000001</v>
      </c>
      <c r="W178" s="72">
        <v>2.87082389</v>
      </c>
      <c r="X178" s="72">
        <v>4.3829177399999999</v>
      </c>
      <c r="Y178" s="72">
        <v>5.6603899499999999</v>
      </c>
      <c r="Z178" s="115">
        <v>7.2325411600000002</v>
      </c>
    </row>
    <row r="179" spans="2:26" x14ac:dyDescent="0.35">
      <c r="B179" s="55" t="s">
        <v>367</v>
      </c>
      <c r="C179" s="53" t="s">
        <v>234</v>
      </c>
      <c r="D179" s="53" t="s">
        <v>20</v>
      </c>
      <c r="E179" s="53" t="s">
        <v>21</v>
      </c>
      <c r="F179" s="71">
        <v>4.227596199929267E-2</v>
      </c>
      <c r="G179" s="71">
        <v>4.8002231770992193E-2</v>
      </c>
      <c r="H179" s="71">
        <v>5.1771147672733081E-2</v>
      </c>
      <c r="I179" s="71">
        <v>5.3868206180971628E-2</v>
      </c>
      <c r="J179" s="63">
        <v>5.6170843083115068E-2</v>
      </c>
      <c r="K179" s="71" t="s">
        <v>21</v>
      </c>
      <c r="L179" s="71">
        <v>5.0561426709921937E-3</v>
      </c>
      <c r="M179" s="71">
        <v>8.8046964727330826E-3</v>
      </c>
      <c r="N179" s="71">
        <v>1.0217556580971626E-2</v>
      </c>
      <c r="O179" s="63">
        <v>1.1123624883115074E-2</v>
      </c>
      <c r="P179" s="55" t="s">
        <v>394</v>
      </c>
      <c r="Q179" s="53" t="s">
        <v>395</v>
      </c>
      <c r="R179" s="94">
        <v>47270</v>
      </c>
      <c r="S179" s="71">
        <v>4.8289200000000004E-2</v>
      </c>
      <c r="T179" s="63">
        <v>3.4819476727330767E-3</v>
      </c>
      <c r="V179" s="114">
        <v>1.1361872</v>
      </c>
      <c r="W179" s="72">
        <v>2.8871886899999999</v>
      </c>
      <c r="X179" s="72">
        <v>4.4396230899999996</v>
      </c>
      <c r="Y179" s="72">
        <v>5.7830903899999999</v>
      </c>
      <c r="Z179" s="115">
        <v>7.4780909000000007</v>
      </c>
    </row>
    <row r="180" spans="2:26" x14ac:dyDescent="0.35">
      <c r="B180" s="55" t="s">
        <v>359</v>
      </c>
      <c r="C180" s="53" t="s">
        <v>234</v>
      </c>
      <c r="D180" s="53" t="s">
        <v>20</v>
      </c>
      <c r="E180" s="53" t="s">
        <v>128</v>
      </c>
      <c r="F180" s="71">
        <v>4.2726259968664915E-2</v>
      </c>
      <c r="G180" s="71">
        <v>4.960050984334969E-2</v>
      </c>
      <c r="H180" s="71">
        <v>5.5107651167445329E-2</v>
      </c>
      <c r="I180" s="71">
        <v>5.755889435895617E-2</v>
      </c>
      <c r="J180" s="63">
        <v>6.0620830656973893E-2</v>
      </c>
      <c r="K180" s="71" t="s">
        <v>21</v>
      </c>
      <c r="L180" s="71">
        <v>6.5693580433496884E-3</v>
      </c>
      <c r="M180" s="71">
        <v>1.1959730967445327E-2</v>
      </c>
      <c r="N180" s="71">
        <v>1.3711937258956166E-2</v>
      </c>
      <c r="O180" s="63">
        <v>1.5364774456973887E-2</v>
      </c>
      <c r="P180" s="55" t="s">
        <v>21</v>
      </c>
      <c r="Q180" s="53" t="s">
        <v>21</v>
      </c>
      <c r="R180" s="94" t="s">
        <v>21</v>
      </c>
      <c r="S180" s="71">
        <v>0</v>
      </c>
      <c r="T180" s="63">
        <v>5.5107651167445329E-2</v>
      </c>
      <c r="V180" s="114">
        <v>1.1353393999999999</v>
      </c>
      <c r="W180" s="72">
        <v>2.8767094499999999</v>
      </c>
      <c r="X180" s="72">
        <v>4.3947766700000006</v>
      </c>
      <c r="Y180" s="72">
        <v>5.6832024500000005</v>
      </c>
      <c r="Z180" s="115">
        <v>7.2677253100000003</v>
      </c>
    </row>
    <row r="181" spans="2:26" x14ac:dyDescent="0.35">
      <c r="B181" s="55" t="s">
        <v>155</v>
      </c>
      <c r="C181" s="53" t="s">
        <v>234</v>
      </c>
      <c r="D181" s="53" t="s">
        <v>43</v>
      </c>
      <c r="E181" s="53" t="s">
        <v>21</v>
      </c>
      <c r="F181" s="71">
        <v>4.2632922390555106E-2</v>
      </c>
      <c r="G181" s="71">
        <v>4.910175121201947E-2</v>
      </c>
      <c r="H181" s="71">
        <v>5.4576421370101554E-2</v>
      </c>
      <c r="I181" s="71">
        <v>5.7818073187017476E-2</v>
      </c>
      <c r="J181" s="63">
        <v>6.1341720675044648E-2</v>
      </c>
      <c r="K181" s="71" t="s">
        <v>21</v>
      </c>
      <c r="L181" s="71">
        <v>6.0993514120194735E-3</v>
      </c>
      <c r="M181" s="71">
        <v>1.1459888070101558E-2</v>
      </c>
      <c r="N181" s="71">
        <v>1.3956900687017475E-2</v>
      </c>
      <c r="O181" s="63">
        <v>1.6049589975044652E-2</v>
      </c>
      <c r="P181" s="55" t="s">
        <v>502</v>
      </c>
      <c r="Q181" s="53" t="s">
        <v>503</v>
      </c>
      <c r="R181" s="94">
        <v>47536</v>
      </c>
      <c r="S181" s="71">
        <v>4.7832630000000001E-2</v>
      </c>
      <c r="T181" s="63">
        <v>6.7437913701015526E-3</v>
      </c>
      <c r="V181" s="114">
        <v>1.1354887899999999</v>
      </c>
      <c r="W181" s="72">
        <v>2.87881973</v>
      </c>
      <c r="X181" s="72">
        <v>4.4012718099999999</v>
      </c>
      <c r="Y181" s="72">
        <v>5.6879209499999996</v>
      </c>
      <c r="Z181" s="115">
        <v>7.2551646200000004</v>
      </c>
    </row>
    <row r="182" spans="2:26" x14ac:dyDescent="0.35">
      <c r="B182" s="55" t="s">
        <v>136</v>
      </c>
      <c r="C182" s="53" t="s">
        <v>234</v>
      </c>
      <c r="D182" s="53" t="s">
        <v>47</v>
      </c>
      <c r="E182" s="53" t="s">
        <v>21</v>
      </c>
      <c r="F182" s="71">
        <v>4.2661865757464598E-2</v>
      </c>
      <c r="G182" s="71">
        <v>4.9123480144412639E-2</v>
      </c>
      <c r="H182" s="71">
        <v>5.4519962821907103E-2</v>
      </c>
      <c r="I182" s="71">
        <v>5.7573367380857519E-2</v>
      </c>
      <c r="J182" s="63">
        <v>6.1270306486938368E-2</v>
      </c>
      <c r="K182" s="71" t="s">
        <v>21</v>
      </c>
      <c r="L182" s="71">
        <v>6.1228132444126424E-3</v>
      </c>
      <c r="M182" s="71">
        <v>1.1408574621907107E-2</v>
      </c>
      <c r="N182" s="71">
        <v>1.3727714880857512E-2</v>
      </c>
      <c r="O182" s="63">
        <v>1.5981960786938365E-2</v>
      </c>
      <c r="P182" s="55" t="s">
        <v>504</v>
      </c>
      <c r="Q182" s="53" t="s">
        <v>505</v>
      </c>
      <c r="R182" s="94">
        <v>47559</v>
      </c>
      <c r="S182" s="71">
        <v>4.8509330000000003E-2</v>
      </c>
      <c r="T182" s="63">
        <v>6.0106328219070998E-3</v>
      </c>
      <c r="V182" s="114">
        <v>1.1353956199999999</v>
      </c>
      <c r="W182" s="72">
        <v>2.8791031500000002</v>
      </c>
      <c r="X182" s="72">
        <v>4.4019629999999994</v>
      </c>
      <c r="Y182" s="72">
        <v>5.69191425</v>
      </c>
      <c r="Z182" s="115">
        <v>7.2618840700000007</v>
      </c>
    </row>
    <row r="183" spans="2:26" x14ac:dyDescent="0.35">
      <c r="B183" s="55" t="s">
        <v>322</v>
      </c>
      <c r="C183" s="53" t="s">
        <v>234</v>
      </c>
      <c r="D183" s="53" t="s">
        <v>69</v>
      </c>
      <c r="E183" s="53" t="s">
        <v>423</v>
      </c>
      <c r="F183" s="71">
        <v>4.2334128191386808E-2</v>
      </c>
      <c r="G183" s="71">
        <v>4.9136247318887015E-2</v>
      </c>
      <c r="H183" s="71">
        <v>5.4424945807587957E-2</v>
      </c>
      <c r="I183" s="71">
        <v>5.8046554883082142E-2</v>
      </c>
      <c r="J183" s="63">
        <v>6.1490064547239175E-2</v>
      </c>
      <c r="K183" s="71" t="s">
        <v>21</v>
      </c>
      <c r="L183" s="71">
        <v>6.1298615188870144E-3</v>
      </c>
      <c r="M183" s="71">
        <v>1.1315258907587954E-2</v>
      </c>
      <c r="N183" s="71">
        <v>1.4170936683082148E-2</v>
      </c>
      <c r="O183" s="63">
        <v>1.6190985747239171E-2</v>
      </c>
      <c r="P183" s="55" t="s">
        <v>21</v>
      </c>
      <c r="Q183" s="53" t="s">
        <v>21</v>
      </c>
      <c r="R183" s="94" t="s">
        <v>21</v>
      </c>
      <c r="S183" s="71">
        <v>0</v>
      </c>
      <c r="T183" s="63">
        <v>5.4424945807587957E-2</v>
      </c>
      <c r="V183" s="114">
        <v>1.13608357</v>
      </c>
      <c r="W183" s="72">
        <v>2.8796321300000001</v>
      </c>
      <c r="X183" s="72">
        <v>4.4034333299999995</v>
      </c>
      <c r="Y183" s="72">
        <v>5.6873125800000004</v>
      </c>
      <c r="Z183" s="115">
        <v>7.2494835599999998</v>
      </c>
    </row>
    <row r="184" spans="2:26" x14ac:dyDescent="0.35">
      <c r="B184" s="55" t="s">
        <v>156</v>
      </c>
      <c r="C184" s="53" t="s">
        <v>234</v>
      </c>
      <c r="D184" s="53" t="s">
        <v>131</v>
      </c>
      <c r="E184" s="53" t="s">
        <v>75</v>
      </c>
      <c r="F184" s="71">
        <v>4.2497820289096988E-2</v>
      </c>
      <c r="G184" s="71">
        <v>4.9115204475414134E-2</v>
      </c>
      <c r="H184" s="71">
        <v>5.4425175875923666E-2</v>
      </c>
      <c r="I184" s="71">
        <v>5.7762710933159718E-2</v>
      </c>
      <c r="J184" s="63">
        <v>6.1646844195198579E-2</v>
      </c>
      <c r="K184" s="71" t="s">
        <v>21</v>
      </c>
      <c r="L184" s="71">
        <v>6.1101383754141314E-3</v>
      </c>
      <c r="M184" s="71">
        <v>1.1315641375923665E-2</v>
      </c>
      <c r="N184" s="71">
        <v>1.3903453833159716E-2</v>
      </c>
      <c r="O184" s="63">
        <v>1.6336969395198582E-2</v>
      </c>
      <c r="P184" s="55" t="s">
        <v>506</v>
      </c>
      <c r="Q184" s="53" t="s">
        <v>507</v>
      </c>
      <c r="R184" s="94">
        <v>47534</v>
      </c>
      <c r="S184" s="71">
        <v>5.2007820000000003E-2</v>
      </c>
      <c r="T184" s="63">
        <v>2.417355875923663E-3</v>
      </c>
      <c r="V184" s="114">
        <v>1.13577079</v>
      </c>
      <c r="W184" s="72">
        <v>2.8792278800000002</v>
      </c>
      <c r="X184" s="72">
        <v>4.4031212700000006</v>
      </c>
      <c r="Y184" s="72">
        <v>5.6908057900000006</v>
      </c>
      <c r="Z184" s="115">
        <v>7.2512241300000007</v>
      </c>
    </row>
    <row r="185" spans="2:26" x14ac:dyDescent="0.35">
      <c r="B185" s="55" t="s">
        <v>326</v>
      </c>
      <c r="C185" s="53" t="s">
        <v>234</v>
      </c>
      <c r="D185" s="53" t="s">
        <v>20</v>
      </c>
      <c r="E185" s="53" t="s">
        <v>21</v>
      </c>
      <c r="F185" s="71">
        <v>4.2017058829981566E-2</v>
      </c>
      <c r="G185" s="71">
        <v>4.913456067353561E-2</v>
      </c>
      <c r="H185" s="71">
        <v>5.4891914430454436E-2</v>
      </c>
      <c r="I185" s="71">
        <v>5.8208203645028073E-2</v>
      </c>
      <c r="J185" s="63">
        <v>6.152062978812959E-2</v>
      </c>
      <c r="K185" s="71" t="s">
        <v>21</v>
      </c>
      <c r="L185" s="71">
        <v>6.1290080735356082E-3</v>
      </c>
      <c r="M185" s="71">
        <v>1.1756755630454432E-2</v>
      </c>
      <c r="N185" s="71">
        <v>1.432509134502807E-2</v>
      </c>
      <c r="O185" s="63">
        <v>1.6222433988129593E-2</v>
      </c>
      <c r="P185" s="55" t="s">
        <v>21</v>
      </c>
      <c r="Q185" s="53" t="s">
        <v>21</v>
      </c>
      <c r="R185" s="94" t="s">
        <v>21</v>
      </c>
      <c r="S185" s="71">
        <v>0</v>
      </c>
      <c r="T185" s="63">
        <v>5.4891914430454436E-2</v>
      </c>
      <c r="V185" s="114">
        <v>1.1367080200000002</v>
      </c>
      <c r="W185" s="72">
        <v>2.8813407899999999</v>
      </c>
      <c r="X185" s="72">
        <v>4.40035094</v>
      </c>
      <c r="Y185" s="72">
        <v>5.6795864800000002</v>
      </c>
      <c r="Z185" s="115">
        <v>7.239299270000001</v>
      </c>
    </row>
    <row r="186" spans="2:26" x14ac:dyDescent="0.35">
      <c r="B186" s="55" t="s">
        <v>267</v>
      </c>
      <c r="C186" s="53" t="s">
        <v>234</v>
      </c>
      <c r="D186" s="53" t="s">
        <v>31</v>
      </c>
      <c r="E186" s="53" t="s">
        <v>21</v>
      </c>
      <c r="F186" s="71">
        <v>4.2326962817075368E-2</v>
      </c>
      <c r="G186" s="71">
        <v>4.9280081992880413E-2</v>
      </c>
      <c r="H186" s="71">
        <v>5.4381766061801631E-2</v>
      </c>
      <c r="I186" s="71">
        <v>5.7147875904163217E-2</v>
      </c>
      <c r="J186" s="63">
        <v>5.9545587173302779E-2</v>
      </c>
      <c r="K186" s="71" t="s">
        <v>21</v>
      </c>
      <c r="L186" s="71">
        <v>6.264947292880409E-3</v>
      </c>
      <c r="M186" s="71">
        <v>1.1273646061801626E-2</v>
      </c>
      <c r="N186" s="71">
        <v>1.3322392004163221E-2</v>
      </c>
      <c r="O186" s="63">
        <v>1.434385057330278E-2</v>
      </c>
      <c r="P186" s="55" t="s">
        <v>508</v>
      </c>
      <c r="Q186" s="53" t="s">
        <v>509</v>
      </c>
      <c r="R186" s="94">
        <v>47679</v>
      </c>
      <c r="S186" s="71">
        <v>5.4451219999999995E-2</v>
      </c>
      <c r="T186" s="63">
        <v>-6.9453938198363319E-5</v>
      </c>
      <c r="V186" s="114">
        <v>1.13611061</v>
      </c>
      <c r="W186" s="72">
        <v>2.87879649</v>
      </c>
      <c r="X186" s="72">
        <v>4.40278101</v>
      </c>
      <c r="Y186" s="72">
        <v>5.6989071899999999</v>
      </c>
      <c r="Z186" s="115">
        <v>7.3091230600000001</v>
      </c>
    </row>
    <row r="187" spans="2:26" x14ac:dyDescent="0.35">
      <c r="B187" s="55" t="s">
        <v>243</v>
      </c>
      <c r="C187" s="53" t="s">
        <v>234</v>
      </c>
      <c r="D187" s="53" t="s">
        <v>43</v>
      </c>
      <c r="E187" s="53" t="s">
        <v>112</v>
      </c>
      <c r="F187" s="71">
        <v>4.2453663977114635E-2</v>
      </c>
      <c r="G187" s="71">
        <v>4.9055250642487849E-2</v>
      </c>
      <c r="H187" s="71">
        <v>5.4317047922714086E-2</v>
      </c>
      <c r="I187" s="71">
        <v>5.7751350879932203E-2</v>
      </c>
      <c r="J187" s="63">
        <v>6.1546778238000789E-2</v>
      </c>
      <c r="K187" s="71" t="s">
        <v>21</v>
      </c>
      <c r="L187" s="71">
        <v>6.0536698424878523E-3</v>
      </c>
      <c r="M187" s="71">
        <v>1.1213710522714084E-2</v>
      </c>
      <c r="N187" s="71">
        <v>1.3892960179932206E-2</v>
      </c>
      <c r="O187" s="63">
        <v>1.6243260338000803E-2</v>
      </c>
      <c r="P187" s="55" t="s">
        <v>510</v>
      </c>
      <c r="Q187" s="53" t="s">
        <v>511</v>
      </c>
      <c r="R187" s="94" t="s">
        <v>32</v>
      </c>
      <c r="S187" s="71">
        <v>5.2905499999999994E-2</v>
      </c>
      <c r="T187" s="63">
        <v>1.4115479227140917E-3</v>
      </c>
      <c r="V187" s="114">
        <v>1.13585128</v>
      </c>
      <c r="W187" s="72">
        <v>2.88021518</v>
      </c>
      <c r="X187" s="72">
        <v>4.4051893500000006</v>
      </c>
      <c r="Y187" s="72">
        <v>5.6930863499999997</v>
      </c>
      <c r="Z187" s="115">
        <v>7.2552280700000003</v>
      </c>
    </row>
    <row r="188" spans="2:26" x14ac:dyDescent="0.35">
      <c r="B188" s="55" t="s">
        <v>244</v>
      </c>
      <c r="C188" s="53" t="s">
        <v>234</v>
      </c>
      <c r="D188" s="53" t="s">
        <v>43</v>
      </c>
      <c r="E188" s="53" t="s">
        <v>245</v>
      </c>
      <c r="F188" s="71">
        <v>4.2402839502569477E-2</v>
      </c>
      <c r="G188" s="71">
        <v>4.9049374949013055E-2</v>
      </c>
      <c r="H188" s="71">
        <v>5.4267467823723971E-2</v>
      </c>
      <c r="I188" s="71">
        <v>5.789527082907666E-2</v>
      </c>
      <c r="J188" s="63">
        <v>6.169580215962777E-2</v>
      </c>
      <c r="K188" s="71" t="s">
        <v>21</v>
      </c>
      <c r="L188" s="71">
        <v>6.0492408490130517E-3</v>
      </c>
      <c r="M188" s="71">
        <v>1.1167672723723977E-2</v>
      </c>
      <c r="N188" s="71">
        <v>1.4029431029076653E-2</v>
      </c>
      <c r="O188" s="63">
        <v>1.6385470059627771E-2</v>
      </c>
      <c r="P188" s="55" t="s">
        <v>512</v>
      </c>
      <c r="Q188" s="53" t="s">
        <v>513</v>
      </c>
      <c r="R188" s="94">
        <v>47492</v>
      </c>
      <c r="S188" s="71">
        <v>5.3505820000000003E-2</v>
      </c>
      <c r="T188" s="63">
        <v>7.6164782372396822E-4</v>
      </c>
      <c r="V188" s="114">
        <v>1.1359323100000001</v>
      </c>
      <c r="W188" s="72">
        <v>2.8802731000000001</v>
      </c>
      <c r="X188" s="72">
        <v>4.4051858300000006</v>
      </c>
      <c r="Y188" s="72">
        <v>5.6906133199999998</v>
      </c>
      <c r="Z188" s="115">
        <v>7.24878892</v>
      </c>
    </row>
    <row r="189" spans="2:26" x14ac:dyDescent="0.35">
      <c r="B189" s="55" t="s">
        <v>124</v>
      </c>
      <c r="C189" s="53" t="s">
        <v>234</v>
      </c>
      <c r="D189" s="53" t="s">
        <v>69</v>
      </c>
      <c r="E189" s="53" t="s">
        <v>81</v>
      </c>
      <c r="F189" s="71">
        <v>4.2168917632021657E-2</v>
      </c>
      <c r="G189" s="71">
        <v>4.8791041165250321E-2</v>
      </c>
      <c r="H189" s="71">
        <v>5.4253875071710721E-2</v>
      </c>
      <c r="I189" s="71">
        <v>5.7690072718709205E-2</v>
      </c>
      <c r="J189" s="63">
        <v>6.1665708086008346E-2</v>
      </c>
      <c r="K189" s="71" t="s">
        <v>21</v>
      </c>
      <c r="L189" s="71">
        <v>5.8035200652503177E-3</v>
      </c>
      <c r="M189" s="71">
        <v>1.1154197271710721E-2</v>
      </c>
      <c r="N189" s="71">
        <v>1.3835613918709206E-2</v>
      </c>
      <c r="O189" s="63">
        <v>1.6356360586008346E-2</v>
      </c>
      <c r="P189" s="55" t="s">
        <v>21</v>
      </c>
      <c r="Q189" s="53" t="s">
        <v>21</v>
      </c>
      <c r="R189" s="94" t="s">
        <v>21</v>
      </c>
      <c r="S189" s="71">
        <v>0</v>
      </c>
      <c r="T189" s="63">
        <v>5.4253875071710721E-2</v>
      </c>
      <c r="V189" s="114">
        <v>1.1363915099999999</v>
      </c>
      <c r="W189" s="72">
        <v>2.8822859999999997</v>
      </c>
      <c r="X189" s="72">
        <v>4.4083164100000003</v>
      </c>
      <c r="Y189" s="72">
        <v>5.6967905200000004</v>
      </c>
      <c r="Z189" s="115">
        <v>7.2560062600000004</v>
      </c>
    </row>
    <row r="190" spans="2:26" x14ac:dyDescent="0.35">
      <c r="B190" s="55" t="s">
        <v>246</v>
      </c>
      <c r="C190" s="53" t="s">
        <v>234</v>
      </c>
      <c r="D190" s="53" t="s">
        <v>31</v>
      </c>
      <c r="E190" s="53" t="s">
        <v>255</v>
      </c>
      <c r="F190" s="71">
        <v>4.2438825684080257E-2</v>
      </c>
      <c r="G190" s="71">
        <v>4.9132535214811937E-2</v>
      </c>
      <c r="H190" s="71">
        <v>5.4170530133853895E-2</v>
      </c>
      <c r="I190" s="71">
        <v>5.6939478356355655E-2</v>
      </c>
      <c r="J190" s="63">
        <v>6.0341828711526803E-2</v>
      </c>
      <c r="K190" s="71" t="s">
        <v>21</v>
      </c>
      <c r="L190" s="71">
        <v>6.1262035148119424E-3</v>
      </c>
      <c r="M190" s="71">
        <v>1.1074811233853902E-2</v>
      </c>
      <c r="N190" s="71">
        <v>1.3126115956355646E-2</v>
      </c>
      <c r="O190" s="63">
        <v>1.5098014111526802E-2</v>
      </c>
      <c r="P190" s="55" t="s">
        <v>514</v>
      </c>
      <c r="Q190" s="53" t="s">
        <v>515</v>
      </c>
      <c r="R190" s="94">
        <v>47491</v>
      </c>
      <c r="S190" s="71">
        <v>5.2183609999999998E-2</v>
      </c>
      <c r="T190" s="63">
        <v>1.9869201338538964E-3</v>
      </c>
      <c r="V190" s="114">
        <v>1.1358870700000001</v>
      </c>
      <c r="W190" s="72">
        <v>2.8793209499999999</v>
      </c>
      <c r="X190" s="72">
        <v>4.4056800999999997</v>
      </c>
      <c r="Y190" s="72">
        <v>5.7048695500000006</v>
      </c>
      <c r="Z190" s="115">
        <v>7.2979818599999993</v>
      </c>
    </row>
    <row r="191" spans="2:26" x14ac:dyDescent="0.35">
      <c r="B191" s="55" t="s">
        <v>336</v>
      </c>
      <c r="C191" s="53" t="s">
        <v>234</v>
      </c>
      <c r="D191" s="53" t="s">
        <v>20</v>
      </c>
      <c r="E191" s="53" t="s">
        <v>123</v>
      </c>
      <c r="F191" s="71">
        <v>4.3905392476881508E-2</v>
      </c>
      <c r="G191" s="71">
        <v>4.9865638041079276E-2</v>
      </c>
      <c r="H191" s="71">
        <v>5.4581022798676784E-2</v>
      </c>
      <c r="I191" s="71">
        <v>5.7267362427418103E-2</v>
      </c>
      <c r="J191" s="63">
        <v>6.0683682364555395E-2</v>
      </c>
      <c r="K191" s="71">
        <v>5.1372627688150898E-4</v>
      </c>
      <c r="L191" s="71">
        <v>6.8159444410792781E-3</v>
      </c>
      <c r="M191" s="71">
        <v>1.1459638398676787E-2</v>
      </c>
      <c r="N191" s="71">
        <v>1.3432974227418116E-2</v>
      </c>
      <c r="O191" s="63">
        <v>1.5417602764555387E-2</v>
      </c>
      <c r="P191" s="55" t="s">
        <v>21</v>
      </c>
      <c r="Q191" s="53" t="s">
        <v>21</v>
      </c>
      <c r="R191" s="94" t="s">
        <v>21</v>
      </c>
      <c r="S191" s="71">
        <v>0</v>
      </c>
      <c r="T191" s="63">
        <v>5.4581022798676784E-2</v>
      </c>
      <c r="V191" s="114">
        <v>1.1331940899999999</v>
      </c>
      <c r="W191" s="72">
        <v>2.87063055</v>
      </c>
      <c r="X191" s="72">
        <v>4.3923938699999994</v>
      </c>
      <c r="Y191" s="72">
        <v>5.6864317999999994</v>
      </c>
      <c r="Z191" s="115">
        <v>7.2733180100000006</v>
      </c>
    </row>
    <row r="192" spans="2:26" x14ac:dyDescent="0.35">
      <c r="B192" s="55" t="s">
        <v>337</v>
      </c>
      <c r="C192" s="53" t="s">
        <v>234</v>
      </c>
      <c r="D192" s="53" t="s">
        <v>20</v>
      </c>
      <c r="E192" s="53" t="s">
        <v>251</v>
      </c>
      <c r="F192" s="71">
        <v>4.2338985701334472E-2</v>
      </c>
      <c r="G192" s="71">
        <v>4.9326894014707301E-2</v>
      </c>
      <c r="H192" s="71">
        <v>5.4521051369389187E-2</v>
      </c>
      <c r="I192" s="71">
        <v>5.7835148188899989E-2</v>
      </c>
      <c r="J192" s="63">
        <v>6.0993469834546468E-2</v>
      </c>
      <c r="K192" s="71" t="s">
        <v>21</v>
      </c>
      <c r="L192" s="71">
        <v>6.3110683147073084E-3</v>
      </c>
      <c r="M192" s="71">
        <v>1.1406504769389189E-2</v>
      </c>
      <c r="N192" s="71">
        <v>1.397264818889999E-2</v>
      </c>
      <c r="O192" s="63">
        <v>1.5723381334546465E-2</v>
      </c>
      <c r="P192" s="55" t="s">
        <v>382</v>
      </c>
      <c r="Q192" s="53" t="s">
        <v>383</v>
      </c>
      <c r="R192" s="94">
        <v>47624</v>
      </c>
      <c r="S192" s="71">
        <v>5.3227219999999999E-2</v>
      </c>
      <c r="T192" s="63">
        <v>1.2938313693891881E-3</v>
      </c>
      <c r="V192" s="114">
        <v>1.1360515799999999</v>
      </c>
      <c r="W192" s="72">
        <v>2.8790636899999997</v>
      </c>
      <c r="X192" s="72">
        <v>4.4022539900000002</v>
      </c>
      <c r="Y192" s="72">
        <v>5.6880202899999999</v>
      </c>
      <c r="Z192" s="115">
        <v>7.2586388099999999</v>
      </c>
    </row>
    <row r="193" spans="2:26" x14ac:dyDescent="0.35">
      <c r="B193" s="55" t="s">
        <v>146</v>
      </c>
      <c r="C193" s="53" t="s">
        <v>234</v>
      </c>
      <c r="D193" s="53" t="s">
        <v>69</v>
      </c>
      <c r="E193" s="53" t="s">
        <v>348</v>
      </c>
      <c r="F193" s="71">
        <v>4.2523940186418897E-2</v>
      </c>
      <c r="G193" s="71">
        <v>4.897267356500478E-2</v>
      </c>
      <c r="H193" s="71">
        <v>5.401115087903223E-2</v>
      </c>
      <c r="I193" s="71">
        <v>5.7068489381702198E-2</v>
      </c>
      <c r="J193" s="63">
        <v>6.1384654042477144E-2</v>
      </c>
      <c r="K193" s="71" t="s">
        <v>21</v>
      </c>
      <c r="L193" s="71">
        <v>5.9751430650047789E-3</v>
      </c>
      <c r="M193" s="71">
        <v>1.092449727903223E-2</v>
      </c>
      <c r="N193" s="71">
        <v>1.3248163381702191E-2</v>
      </c>
      <c r="O193" s="63">
        <v>1.6086044742477153E-2</v>
      </c>
      <c r="P193" s="55" t="s">
        <v>516</v>
      </c>
      <c r="Q193" s="53" t="s">
        <v>517</v>
      </c>
      <c r="R193" s="94" t="s">
        <v>32</v>
      </c>
      <c r="S193" s="71">
        <v>5.3895920000000007E-2</v>
      </c>
      <c r="T193" s="63">
        <v>1.152308790322229E-4</v>
      </c>
      <c r="V193" s="114">
        <v>1.1357226</v>
      </c>
      <c r="W193" s="72">
        <v>2.8798639800000001</v>
      </c>
      <c r="X193" s="72">
        <v>4.4081309800000001</v>
      </c>
      <c r="Y193" s="72">
        <v>5.7057778599999995</v>
      </c>
      <c r="Z193" s="115">
        <v>7.2745209500000003</v>
      </c>
    </row>
    <row r="194" spans="2:26" x14ac:dyDescent="0.35">
      <c r="B194" s="55" t="s">
        <v>145</v>
      </c>
      <c r="C194" s="53" t="s">
        <v>234</v>
      </c>
      <c r="D194" s="53" t="s">
        <v>20</v>
      </c>
      <c r="E194" s="53" t="s">
        <v>21</v>
      </c>
      <c r="F194" s="71">
        <v>4.3928261543989836E-2</v>
      </c>
      <c r="G194" s="71">
        <v>5.0077116414337958E-2</v>
      </c>
      <c r="H194" s="71">
        <v>5.4519696203243172E-2</v>
      </c>
      <c r="I194" s="71">
        <v>5.7265281281866427E-2</v>
      </c>
      <c r="J194" s="63">
        <v>6.0450106278855262E-2</v>
      </c>
      <c r="K194" s="71">
        <v>5.431218439898378E-4</v>
      </c>
      <c r="L194" s="71">
        <v>7.0191569143379607E-3</v>
      </c>
      <c r="M194" s="71">
        <v>1.1403912803243177E-2</v>
      </c>
      <c r="N194" s="71">
        <v>1.3432214581866418E-2</v>
      </c>
      <c r="O194" s="63">
        <v>1.519891727885528E-2</v>
      </c>
      <c r="P194" s="55" t="s">
        <v>518</v>
      </c>
      <c r="Q194" s="53" t="s">
        <v>519</v>
      </c>
      <c r="R194" s="94" t="s">
        <v>32</v>
      </c>
      <c r="S194" s="71">
        <v>5.0713609999999992E-2</v>
      </c>
      <c r="T194" s="63">
        <v>3.8060862032431794E-3</v>
      </c>
      <c r="V194" s="114">
        <v>1.1330972099999999</v>
      </c>
      <c r="W194" s="72">
        <v>2.8685931600000001</v>
      </c>
      <c r="X194" s="72">
        <v>4.39101125</v>
      </c>
      <c r="Y194" s="72">
        <v>5.6861649999999999</v>
      </c>
      <c r="Z194" s="115">
        <v>7.2759587799999998</v>
      </c>
    </row>
    <row r="195" spans="2:26" x14ac:dyDescent="0.35">
      <c r="B195" s="55" t="s">
        <v>152</v>
      </c>
      <c r="C195" s="53" t="s">
        <v>234</v>
      </c>
      <c r="D195" s="53" t="s">
        <v>47</v>
      </c>
      <c r="E195" s="53" t="s">
        <v>141</v>
      </c>
      <c r="F195" s="71">
        <v>4.2661182241424837E-2</v>
      </c>
      <c r="G195" s="71">
        <v>4.9083798163960551E-2</v>
      </c>
      <c r="H195" s="71">
        <v>5.3964538259159464E-2</v>
      </c>
      <c r="I195" s="71">
        <v>5.7021945130872408E-2</v>
      </c>
      <c r="J195" s="63">
        <v>6.0975215816305939E-2</v>
      </c>
      <c r="K195" s="71" t="s">
        <v>21</v>
      </c>
      <c r="L195" s="71">
        <v>6.0810327639605581E-3</v>
      </c>
      <c r="M195" s="71">
        <v>1.0880861659159455E-2</v>
      </c>
      <c r="N195" s="71">
        <v>1.3204340630872412E-2</v>
      </c>
      <c r="O195" s="63">
        <v>1.5698786916305954E-2</v>
      </c>
      <c r="P195" s="55" t="s">
        <v>520</v>
      </c>
      <c r="Q195" s="53" t="s">
        <v>521</v>
      </c>
      <c r="R195" s="94" t="s">
        <v>32</v>
      </c>
      <c r="S195" s="71">
        <v>4.9592400000000002E-2</v>
      </c>
      <c r="T195" s="63">
        <v>4.3721382591594624E-3</v>
      </c>
      <c r="V195" s="114">
        <v>1.1354530899999999</v>
      </c>
      <c r="W195" s="72">
        <v>2.8788767900000001</v>
      </c>
      <c r="X195" s="72">
        <v>4.4074262199999996</v>
      </c>
      <c r="Y195" s="72">
        <v>5.7059504400000005</v>
      </c>
      <c r="Z195" s="115">
        <v>7.2840422700000005</v>
      </c>
    </row>
    <row r="196" spans="2:26" x14ac:dyDescent="0.35">
      <c r="B196" s="55" t="s">
        <v>241</v>
      </c>
      <c r="C196" s="53" t="s">
        <v>234</v>
      </c>
      <c r="D196" s="53" t="s">
        <v>69</v>
      </c>
      <c r="E196" s="53" t="s">
        <v>342</v>
      </c>
      <c r="F196" s="71">
        <v>4.2107003864665295E-2</v>
      </c>
      <c r="G196" s="71">
        <v>4.8664917987795757E-2</v>
      </c>
      <c r="H196" s="71">
        <v>5.3887619841398622E-2</v>
      </c>
      <c r="I196" s="71">
        <v>5.7186809032484624E-2</v>
      </c>
      <c r="J196" s="63">
        <v>6.0651148124177143E-2</v>
      </c>
      <c r="K196" s="71" t="s">
        <v>21</v>
      </c>
      <c r="L196" s="71">
        <v>5.6860920877957492E-3</v>
      </c>
      <c r="M196" s="71">
        <v>1.0809556141398616E-2</v>
      </c>
      <c r="N196" s="71">
        <v>1.3361793632484627E-2</v>
      </c>
      <c r="O196" s="63">
        <v>1.5396522724177139E-2</v>
      </c>
      <c r="P196" s="55" t="s">
        <v>522</v>
      </c>
      <c r="Q196" s="53" t="s">
        <v>523</v>
      </c>
      <c r="R196" s="94" t="s">
        <v>32</v>
      </c>
      <c r="S196" s="71">
        <v>5.7555880000000004E-2</v>
      </c>
      <c r="T196" s="63">
        <v>-3.6682601586013816E-3</v>
      </c>
      <c r="V196" s="114">
        <v>1.13648203</v>
      </c>
      <c r="W196" s="72">
        <v>2.8832088200000001</v>
      </c>
      <c r="X196" s="72">
        <v>4.4130382199999998</v>
      </c>
      <c r="Y196" s="72">
        <v>5.7087859099999996</v>
      </c>
      <c r="Z196" s="115">
        <v>7.2918510500000009</v>
      </c>
    </row>
    <row r="197" spans="2:26" x14ac:dyDescent="0.35">
      <c r="B197" s="55" t="s">
        <v>340</v>
      </c>
      <c r="C197" s="53" t="s">
        <v>234</v>
      </c>
      <c r="D197" s="53" t="s">
        <v>20</v>
      </c>
      <c r="E197" s="53" t="s">
        <v>123</v>
      </c>
      <c r="F197" s="71">
        <v>4.2823246579861966E-2</v>
      </c>
      <c r="G197" s="71">
        <v>4.9440560408634676E-2</v>
      </c>
      <c r="H197" s="71">
        <v>5.4392279168359384E-2</v>
      </c>
      <c r="I197" s="71">
        <v>5.7011615317750217E-2</v>
      </c>
      <c r="J197" s="63">
        <v>6.008832146794163E-2</v>
      </c>
      <c r="K197" s="71" t="s">
        <v>21</v>
      </c>
      <c r="L197" s="71">
        <v>6.4123196086346736E-3</v>
      </c>
      <c r="M197" s="71">
        <v>1.1280405268359378E-2</v>
      </c>
      <c r="N197" s="71">
        <v>1.319187551775022E-2</v>
      </c>
      <c r="O197" s="63">
        <v>1.4856089667941632E-2</v>
      </c>
      <c r="P197" s="55" t="s">
        <v>21</v>
      </c>
      <c r="Q197" s="53" t="s">
        <v>21</v>
      </c>
      <c r="R197" s="94" t="s">
        <v>21</v>
      </c>
      <c r="S197" s="71">
        <v>0</v>
      </c>
      <c r="T197" s="63">
        <v>5.4392279168359384E-2</v>
      </c>
      <c r="V197" s="114">
        <v>1.1352513799999999</v>
      </c>
      <c r="W197" s="72">
        <v>2.87727311</v>
      </c>
      <c r="X197" s="72">
        <v>4.40140756</v>
      </c>
      <c r="Y197" s="72">
        <v>5.6974033000000004</v>
      </c>
      <c r="Z197" s="115">
        <v>7.2952035100000003</v>
      </c>
    </row>
    <row r="198" spans="2:26" x14ac:dyDescent="0.35">
      <c r="B198" s="55" t="s">
        <v>240</v>
      </c>
      <c r="C198" s="53" t="s">
        <v>234</v>
      </c>
      <c r="D198" s="53" t="s">
        <v>20</v>
      </c>
      <c r="E198" s="53" t="s">
        <v>245</v>
      </c>
      <c r="F198" s="71">
        <v>4.2417922473103241E-2</v>
      </c>
      <c r="G198" s="71">
        <v>4.9456233585519413E-2</v>
      </c>
      <c r="H198" s="71">
        <v>5.4378268872165236E-2</v>
      </c>
      <c r="I198" s="71">
        <v>5.7890413546938087E-2</v>
      </c>
      <c r="J198" s="63">
        <v>6.1398176561722688E-2</v>
      </c>
      <c r="K198" s="71" t="s">
        <v>21</v>
      </c>
      <c r="L198" s="71">
        <v>6.4291401855194087E-3</v>
      </c>
      <c r="M198" s="71">
        <v>1.1268982772165245E-2</v>
      </c>
      <c r="N198" s="71">
        <v>1.4023795946938079E-2</v>
      </c>
      <c r="O198" s="63">
        <v>1.610542076172268E-2</v>
      </c>
      <c r="P198" s="55" t="s">
        <v>524</v>
      </c>
      <c r="Q198" s="53" t="s">
        <v>525</v>
      </c>
      <c r="R198" s="94">
        <v>47515</v>
      </c>
      <c r="S198" s="71">
        <v>5.3725660000000001E-2</v>
      </c>
      <c r="T198" s="63">
        <v>6.5260887216523483E-4</v>
      </c>
      <c r="V198" s="114">
        <v>1.1359601699999999</v>
      </c>
      <c r="W198" s="72">
        <v>2.8771617799999998</v>
      </c>
      <c r="X198" s="72">
        <v>4.4011563900000006</v>
      </c>
      <c r="Y198" s="72">
        <v>5.6865809299999999</v>
      </c>
      <c r="Z198" s="115">
        <v>7.2495893899999997</v>
      </c>
    </row>
    <row r="199" spans="2:26" x14ac:dyDescent="0.35">
      <c r="B199" s="55" t="s">
        <v>147</v>
      </c>
      <c r="C199" s="53" t="s">
        <v>234</v>
      </c>
      <c r="D199" s="53" t="s">
        <v>69</v>
      </c>
      <c r="E199" s="53" t="s">
        <v>21</v>
      </c>
      <c r="F199" s="71">
        <v>4.2074992382028074E-2</v>
      </c>
      <c r="G199" s="71">
        <v>4.8611909402509215E-2</v>
      </c>
      <c r="H199" s="71">
        <v>5.3784813534263246E-2</v>
      </c>
      <c r="I199" s="71">
        <v>5.6894593666833443E-2</v>
      </c>
      <c r="J199" s="63">
        <v>6.0621624393330853E-2</v>
      </c>
      <c r="K199" s="71" t="s">
        <v>21</v>
      </c>
      <c r="L199" s="71">
        <v>5.6342300025092207E-3</v>
      </c>
      <c r="M199" s="71">
        <v>1.0711228734263245E-2</v>
      </c>
      <c r="N199" s="71">
        <v>1.3084904466833433E-2</v>
      </c>
      <c r="O199" s="63">
        <v>1.536623839333086E-2</v>
      </c>
      <c r="P199" s="55" t="s">
        <v>526</v>
      </c>
      <c r="Q199" s="53" t="s">
        <v>527</v>
      </c>
      <c r="R199" s="94" t="s">
        <v>32</v>
      </c>
      <c r="S199" s="71">
        <v>5.189535E-2</v>
      </c>
      <c r="T199" s="63">
        <v>1.8894635342632457E-3</v>
      </c>
      <c r="V199" s="114">
        <v>1.1365653200000001</v>
      </c>
      <c r="W199" s="72">
        <v>2.8836876899999999</v>
      </c>
      <c r="X199" s="72">
        <v>4.4146359300000002</v>
      </c>
      <c r="Y199" s="72">
        <v>5.7144419800000001</v>
      </c>
      <c r="Z199" s="115">
        <v>7.2994849799999999</v>
      </c>
    </row>
    <row r="200" spans="2:26" x14ac:dyDescent="0.35">
      <c r="B200" s="55" t="s">
        <v>178</v>
      </c>
      <c r="C200" s="53" t="s">
        <v>234</v>
      </c>
      <c r="D200" s="53" t="s">
        <v>47</v>
      </c>
      <c r="E200" s="53" t="s">
        <v>128</v>
      </c>
      <c r="F200" s="71">
        <v>4.2196252622304191E-2</v>
      </c>
      <c r="G200" s="71">
        <v>4.8418101632787112E-2</v>
      </c>
      <c r="H200" s="71">
        <v>5.3734331182177977E-2</v>
      </c>
      <c r="I200" s="71">
        <v>5.712096802680651E-2</v>
      </c>
      <c r="J200" s="63">
        <v>6.1280334375977658E-2</v>
      </c>
      <c r="K200" s="71" t="s">
        <v>21</v>
      </c>
      <c r="L200" s="71">
        <v>5.4505821327871188E-3</v>
      </c>
      <c r="M200" s="71">
        <v>1.0664068582177975E-2</v>
      </c>
      <c r="N200" s="71">
        <v>1.3300768426806503E-2</v>
      </c>
      <c r="O200" s="63">
        <v>1.5994028075977648E-2</v>
      </c>
      <c r="P200" s="55" t="s">
        <v>21</v>
      </c>
      <c r="Q200" s="53" t="s">
        <v>21</v>
      </c>
      <c r="R200" s="94" t="s">
        <v>21</v>
      </c>
      <c r="S200" s="71">
        <v>0</v>
      </c>
      <c r="T200" s="63">
        <v>5.3734331182177977E-2</v>
      </c>
      <c r="V200" s="114">
        <v>1.13633852</v>
      </c>
      <c r="W200" s="72">
        <v>2.8847416099999998</v>
      </c>
      <c r="X200" s="72">
        <v>4.4166938399999998</v>
      </c>
      <c r="Y200" s="72">
        <v>5.7138887300000007</v>
      </c>
      <c r="Z200" s="115">
        <v>7.2842762899999993</v>
      </c>
    </row>
    <row r="201" spans="2:26" x14ac:dyDescent="0.35">
      <c r="B201" s="55" t="s">
        <v>327</v>
      </c>
      <c r="C201" s="53" t="s">
        <v>234</v>
      </c>
      <c r="D201" s="53" t="s">
        <v>169</v>
      </c>
      <c r="E201" s="53" t="s">
        <v>81</v>
      </c>
      <c r="F201" s="71">
        <v>4.2161356347153692E-2</v>
      </c>
      <c r="G201" s="71">
        <v>4.8722086208236086E-2</v>
      </c>
      <c r="H201" s="71">
        <v>5.4069879668571248E-2</v>
      </c>
      <c r="I201" s="71">
        <v>5.8195472938696771E-2</v>
      </c>
      <c r="J201" s="63">
        <v>6.1595899242926973E-2</v>
      </c>
      <c r="K201" s="71" t="s">
        <v>21</v>
      </c>
      <c r="L201" s="71">
        <v>5.739300808236085E-3</v>
      </c>
      <c r="M201" s="71">
        <v>1.0981665668571252E-2</v>
      </c>
      <c r="N201" s="71">
        <v>1.431588023869676E-2</v>
      </c>
      <c r="O201" s="63">
        <v>1.6299870642926956E-2</v>
      </c>
      <c r="P201" s="55" t="s">
        <v>378</v>
      </c>
      <c r="Q201" s="53" t="s">
        <v>379</v>
      </c>
      <c r="R201" s="94">
        <v>47588</v>
      </c>
      <c r="S201" s="71">
        <v>5.0941400000000005E-2</v>
      </c>
      <c r="T201" s="63">
        <v>3.1284796685712435E-3</v>
      </c>
      <c r="V201" s="114">
        <v>1.13641557</v>
      </c>
      <c r="W201" s="72">
        <v>2.8830969299999998</v>
      </c>
      <c r="X201" s="72">
        <v>4.4110228100000004</v>
      </c>
      <c r="Y201" s="72">
        <v>5.6917335500000004</v>
      </c>
      <c r="Z201" s="115">
        <v>7.2480327500000001</v>
      </c>
    </row>
    <row r="202" spans="2:26" x14ac:dyDescent="0.35">
      <c r="B202" s="55" t="s">
        <v>338</v>
      </c>
      <c r="C202" s="53" t="s">
        <v>234</v>
      </c>
      <c r="D202" s="53" t="s">
        <v>69</v>
      </c>
      <c r="E202" s="53" t="s">
        <v>21</v>
      </c>
      <c r="F202" s="71">
        <v>4.221160884101053E-2</v>
      </c>
      <c r="G202" s="71">
        <v>4.8815840504391458E-2</v>
      </c>
      <c r="H202" s="71">
        <v>5.3387229416670713E-2</v>
      </c>
      <c r="I202" s="71">
        <v>5.6117004912084045E-2</v>
      </c>
      <c r="J202" s="63">
        <v>6.0001560145315519E-2</v>
      </c>
      <c r="K202" s="71" t="s">
        <v>21</v>
      </c>
      <c r="L202" s="71">
        <v>5.8261446043914519E-3</v>
      </c>
      <c r="M202" s="71">
        <v>1.0334247416670717E-2</v>
      </c>
      <c r="N202" s="71">
        <v>1.2348300112084052E-2</v>
      </c>
      <c r="O202" s="63">
        <v>1.4773454145315532E-2</v>
      </c>
      <c r="P202" s="55" t="s">
        <v>21</v>
      </c>
      <c r="Q202" s="53" t="s">
        <v>21</v>
      </c>
      <c r="R202" s="94" t="s">
        <v>21</v>
      </c>
      <c r="S202" s="71">
        <v>0</v>
      </c>
      <c r="T202" s="63">
        <v>5.3387229416670713E-2</v>
      </c>
      <c r="V202" s="114">
        <v>1.1363220699999999</v>
      </c>
      <c r="W202" s="72">
        <v>2.88201902</v>
      </c>
      <c r="X202" s="72">
        <v>4.4166059500000001</v>
      </c>
      <c r="Y202" s="72">
        <v>5.7279789299999999</v>
      </c>
      <c r="Z202" s="115">
        <v>7.3305596200000007</v>
      </c>
    </row>
    <row r="203" spans="2:26" x14ac:dyDescent="0.35">
      <c r="B203" s="55" t="s">
        <v>354</v>
      </c>
      <c r="C203" s="53" t="s">
        <v>234</v>
      </c>
      <c r="D203" s="53" t="s">
        <v>20</v>
      </c>
      <c r="E203" s="53" t="s">
        <v>128</v>
      </c>
      <c r="F203" s="71">
        <v>4.2926814177196834E-2</v>
      </c>
      <c r="G203" s="71">
        <v>4.9374951007025346E-2</v>
      </c>
      <c r="H203" s="71">
        <v>5.3726459002034592E-2</v>
      </c>
      <c r="I203" s="71">
        <v>5.6324488627106026E-2</v>
      </c>
      <c r="J203" s="63">
        <v>5.9286025452247468E-2</v>
      </c>
      <c r="K203" s="71" t="s">
        <v>21</v>
      </c>
      <c r="L203" s="71">
        <v>6.3488908070253479E-3</v>
      </c>
      <c r="M203" s="71">
        <v>1.0650310002034594E-2</v>
      </c>
      <c r="N203" s="71">
        <v>1.2540897727106041E-2</v>
      </c>
      <c r="O203" s="63">
        <v>1.4090730052247475E-2</v>
      </c>
      <c r="P203" s="55" t="s">
        <v>388</v>
      </c>
      <c r="Q203" s="53" t="s">
        <v>389</v>
      </c>
      <c r="R203" s="94" t="s">
        <v>32</v>
      </c>
      <c r="S203" s="71">
        <v>5.1273119999999998E-2</v>
      </c>
      <c r="T203" s="63">
        <v>2.4533390020345935E-3</v>
      </c>
      <c r="V203" s="114">
        <v>1.13502787</v>
      </c>
      <c r="W203" s="72">
        <v>2.87735115</v>
      </c>
      <c r="X203" s="72">
        <v>4.4080786700000001</v>
      </c>
      <c r="Y203" s="72">
        <v>5.7154271000000003</v>
      </c>
      <c r="Z203" s="115">
        <v>7.3351939800000006</v>
      </c>
    </row>
    <row r="204" spans="2:26" x14ac:dyDescent="0.35">
      <c r="B204" s="55" t="s">
        <v>349</v>
      </c>
      <c r="C204" s="53" t="s">
        <v>234</v>
      </c>
      <c r="D204" s="53" t="s">
        <v>20</v>
      </c>
      <c r="E204" s="53" t="s">
        <v>528</v>
      </c>
      <c r="F204" s="71">
        <v>4.2313050978465161E-2</v>
      </c>
      <c r="G204" s="71">
        <v>4.8477047394743282E-2</v>
      </c>
      <c r="H204" s="71">
        <v>5.3310712970929805E-2</v>
      </c>
      <c r="I204" s="71">
        <v>5.6375513364783088E-2</v>
      </c>
      <c r="J204" s="63">
        <v>5.9298040526029758E-2</v>
      </c>
      <c r="K204" s="71" t="s">
        <v>21</v>
      </c>
      <c r="L204" s="71">
        <v>5.5057914947432771E-3</v>
      </c>
      <c r="M204" s="71">
        <v>1.0262492370929806E-2</v>
      </c>
      <c r="N204" s="71">
        <v>1.2593687964783086E-2</v>
      </c>
      <c r="O204" s="63">
        <v>1.4112038226029754E-2</v>
      </c>
      <c r="P204" s="55" t="s">
        <v>384</v>
      </c>
      <c r="Q204" s="53" t="s">
        <v>385</v>
      </c>
      <c r="R204" s="94">
        <v>47529</v>
      </c>
      <c r="S204" s="71">
        <v>5.2024220000000003E-2</v>
      </c>
      <c r="T204" s="63">
        <v>1.286492970929802E-3</v>
      </c>
      <c r="V204" s="114">
        <v>1.1361277300000001</v>
      </c>
      <c r="W204" s="72">
        <v>2.8842235500000002</v>
      </c>
      <c r="X204" s="72">
        <v>4.4207199399999997</v>
      </c>
      <c r="Y204" s="72">
        <v>5.7292303200000001</v>
      </c>
      <c r="Z204" s="115">
        <v>7.3427392600000001</v>
      </c>
    </row>
    <row r="205" spans="2:26" x14ac:dyDescent="0.35">
      <c r="B205" s="55" t="s">
        <v>253</v>
      </c>
      <c r="C205" s="53" t="s">
        <v>234</v>
      </c>
      <c r="D205" s="53" t="s">
        <v>53</v>
      </c>
      <c r="E205" s="53" t="s">
        <v>125</v>
      </c>
      <c r="F205" s="71">
        <v>4.1908100011057103E-2</v>
      </c>
      <c r="G205" s="71">
        <v>4.8217962828213806E-2</v>
      </c>
      <c r="H205" s="71">
        <v>5.2791961045766382E-2</v>
      </c>
      <c r="I205" s="71">
        <v>5.5579215346392749E-2</v>
      </c>
      <c r="J205" s="63">
        <v>5.8950927522316621E-2</v>
      </c>
      <c r="K205" s="71" t="s">
        <v>21</v>
      </c>
      <c r="L205" s="71">
        <v>5.2606206282138097E-3</v>
      </c>
      <c r="M205" s="71">
        <v>9.7717959457663886E-3</v>
      </c>
      <c r="N205" s="71">
        <v>1.1840321646392746E-2</v>
      </c>
      <c r="O205" s="63">
        <v>1.3777865822316621E-2</v>
      </c>
      <c r="P205" s="55" t="s">
        <v>529</v>
      </c>
      <c r="Q205" s="53" t="s">
        <v>530</v>
      </c>
      <c r="R205" s="94" t="s">
        <v>32</v>
      </c>
      <c r="S205" s="71">
        <v>5.3784760000000001E-2</v>
      </c>
      <c r="T205" s="63">
        <v>-9.927989542336188E-4</v>
      </c>
      <c r="V205" s="114">
        <v>1.1368884100000001</v>
      </c>
      <c r="W205" s="72">
        <v>2.88705232</v>
      </c>
      <c r="X205" s="72">
        <v>4.42844221</v>
      </c>
      <c r="Y205" s="72">
        <v>5.7474130300000006</v>
      </c>
      <c r="Z205" s="115">
        <v>7.3736462599999992</v>
      </c>
    </row>
    <row r="206" spans="2:26" x14ac:dyDescent="0.35">
      <c r="B206" s="55" t="s">
        <v>144</v>
      </c>
      <c r="C206" s="53" t="s">
        <v>234</v>
      </c>
      <c r="D206" s="53" t="s">
        <v>20</v>
      </c>
      <c r="E206" s="53" t="s">
        <v>57</v>
      </c>
      <c r="F206" s="71">
        <v>4.2484218103981813E-2</v>
      </c>
      <c r="G206" s="71">
        <v>4.8505560150067163E-2</v>
      </c>
      <c r="H206" s="71">
        <v>5.3198133228759784E-2</v>
      </c>
      <c r="I206" s="71">
        <v>5.5952265976406922E-2</v>
      </c>
      <c r="J206" s="63">
        <v>5.9325905996715653E-2</v>
      </c>
      <c r="K206" s="71" t="s">
        <v>21</v>
      </c>
      <c r="L206" s="71">
        <v>5.5359292500671634E-3</v>
      </c>
      <c r="M206" s="71">
        <v>1.0158509028759786E-2</v>
      </c>
      <c r="N206" s="71">
        <v>1.2196820176406917E-2</v>
      </c>
      <c r="O206" s="63">
        <v>1.413876309671565E-2</v>
      </c>
      <c r="P206" s="55" t="s">
        <v>531</v>
      </c>
      <c r="Q206" s="53" t="s">
        <v>532</v>
      </c>
      <c r="R206" s="94">
        <v>47498</v>
      </c>
      <c r="S206" s="71">
        <v>5.2373000000000003E-2</v>
      </c>
      <c r="T206" s="63">
        <v>8.2513322875978068E-4</v>
      </c>
      <c r="V206" s="114">
        <v>1.13575132</v>
      </c>
      <c r="W206" s="72">
        <v>2.88328987</v>
      </c>
      <c r="X206" s="72">
        <v>4.4207945100000003</v>
      </c>
      <c r="Y206" s="72">
        <v>5.7329613400000001</v>
      </c>
      <c r="Z206" s="115">
        <v>7.3490358100000002</v>
      </c>
    </row>
    <row r="207" spans="2:26" x14ac:dyDescent="0.35">
      <c r="B207" s="55" t="s">
        <v>344</v>
      </c>
      <c r="C207" s="53" t="s">
        <v>234</v>
      </c>
      <c r="D207" s="53" t="s">
        <v>31</v>
      </c>
      <c r="E207" s="53" t="s">
        <v>21</v>
      </c>
      <c r="F207" s="71">
        <v>4.2344813334919497E-2</v>
      </c>
      <c r="G207" s="71">
        <v>4.8003734167024026E-2</v>
      </c>
      <c r="H207" s="71">
        <v>5.2527435868930675E-2</v>
      </c>
      <c r="I207" s="71">
        <v>5.5222806599888236E-2</v>
      </c>
      <c r="J207" s="63">
        <v>5.8400951734897198E-2</v>
      </c>
      <c r="K207" s="71" t="s">
        <v>21</v>
      </c>
      <c r="L207" s="71">
        <v>5.060700567024028E-3</v>
      </c>
      <c r="M207" s="71">
        <v>9.523649868930683E-3</v>
      </c>
      <c r="N207" s="71">
        <v>1.1504404599888236E-2</v>
      </c>
      <c r="O207" s="63">
        <v>1.3255296134897194E-2</v>
      </c>
      <c r="P207" s="55" t="s">
        <v>21</v>
      </c>
      <c r="Q207" s="53" t="s">
        <v>21</v>
      </c>
      <c r="R207" s="94" t="s">
        <v>21</v>
      </c>
      <c r="S207" s="71">
        <v>0</v>
      </c>
      <c r="T207" s="63">
        <v>5.2527435868930675E-2</v>
      </c>
      <c r="V207" s="114">
        <v>1.13601748</v>
      </c>
      <c r="W207" s="72">
        <v>2.8864992599999999</v>
      </c>
      <c r="X207" s="72">
        <v>4.4310772099999998</v>
      </c>
      <c r="Y207" s="72">
        <v>5.7553211399999995</v>
      </c>
      <c r="Z207" s="115">
        <v>7.3951127000000003</v>
      </c>
    </row>
    <row r="208" spans="2:26" x14ac:dyDescent="0.35">
      <c r="B208" s="55" t="s">
        <v>345</v>
      </c>
      <c r="C208" s="53" t="s">
        <v>234</v>
      </c>
      <c r="D208" s="53" t="s">
        <v>97</v>
      </c>
      <c r="E208" s="53" t="s">
        <v>21</v>
      </c>
      <c r="F208" s="71">
        <v>4.1743814542157739E-2</v>
      </c>
      <c r="G208" s="71">
        <v>4.8245033643851604E-2</v>
      </c>
      <c r="H208" s="71">
        <v>5.2485735097930211E-2</v>
      </c>
      <c r="I208" s="71">
        <v>5.5275587326988736E-2</v>
      </c>
      <c r="J208" s="63">
        <v>5.8361844621928123E-2</v>
      </c>
      <c r="K208" s="71" t="s">
        <v>21</v>
      </c>
      <c r="L208" s="71">
        <v>5.2863398438516042E-3</v>
      </c>
      <c r="M208" s="71">
        <v>9.4818068979302169E-3</v>
      </c>
      <c r="N208" s="71">
        <v>1.1552456126988735E-2</v>
      </c>
      <c r="O208" s="63">
        <v>1.3217022921928117E-2</v>
      </c>
      <c r="P208" s="55" t="s">
        <v>21</v>
      </c>
      <c r="Q208" s="53" t="s">
        <v>21</v>
      </c>
      <c r="R208" s="94" t="s">
        <v>21</v>
      </c>
      <c r="S208" s="71">
        <v>0</v>
      </c>
      <c r="T208" s="63">
        <v>5.2485735097930211E-2</v>
      </c>
      <c r="V208" s="114">
        <v>1.13719901</v>
      </c>
      <c r="W208" s="72">
        <v>2.8870415</v>
      </c>
      <c r="X208" s="72">
        <v>4.4314232799999997</v>
      </c>
      <c r="Y208" s="72">
        <v>5.7551763399999993</v>
      </c>
      <c r="Z208" s="115">
        <v>7.3955579499999997</v>
      </c>
    </row>
    <row r="209" spans="2:26" x14ac:dyDescent="0.35">
      <c r="B209" s="55" t="s">
        <v>154</v>
      </c>
      <c r="C209" s="53" t="s">
        <v>234</v>
      </c>
      <c r="D209" s="53" t="s">
        <v>20</v>
      </c>
      <c r="E209" s="53" t="s">
        <v>133</v>
      </c>
      <c r="F209" s="71">
        <v>4.1825812197482284E-2</v>
      </c>
      <c r="G209" s="71">
        <v>4.7973517155588952E-2</v>
      </c>
      <c r="H209" s="71">
        <v>5.292774694692836E-2</v>
      </c>
      <c r="I209" s="71">
        <v>5.5986937347717876E-2</v>
      </c>
      <c r="J209" s="63">
        <v>5.8979984506707911E-2</v>
      </c>
      <c r="K209" s="71" t="s">
        <v>21</v>
      </c>
      <c r="L209" s="71">
        <v>5.031155955588955E-3</v>
      </c>
      <c r="M209" s="71">
        <v>9.9021166469283606E-3</v>
      </c>
      <c r="N209" s="71">
        <v>1.2228747847717882E-2</v>
      </c>
      <c r="O209" s="63">
        <v>1.3811574506707901E-2</v>
      </c>
      <c r="P209" s="55" t="s">
        <v>533</v>
      </c>
      <c r="Q209" s="53" t="s">
        <v>534</v>
      </c>
      <c r="R209" s="94">
        <v>47529</v>
      </c>
      <c r="S209" s="71">
        <v>5.237646E-2</v>
      </c>
      <c r="T209" s="63">
        <v>5.5128694692836017E-4</v>
      </c>
      <c r="V209" s="114">
        <v>1.1370263999999999</v>
      </c>
      <c r="W209" s="72">
        <v>2.8892007399999997</v>
      </c>
      <c r="X209" s="72">
        <v>4.4291464000000005</v>
      </c>
      <c r="Y209" s="72">
        <v>5.7407864000000002</v>
      </c>
      <c r="Z209" s="115">
        <v>7.3620818300000002</v>
      </c>
    </row>
    <row r="210" spans="2:26" x14ac:dyDescent="0.35">
      <c r="B210" s="55" t="s">
        <v>252</v>
      </c>
      <c r="C210" s="53" t="s">
        <v>234</v>
      </c>
      <c r="D210" s="53" t="s">
        <v>43</v>
      </c>
      <c r="E210" s="53" t="s">
        <v>21</v>
      </c>
      <c r="F210" s="71">
        <v>4.2009261639644309E-2</v>
      </c>
      <c r="G210" s="71">
        <v>4.7995596597719931E-2</v>
      </c>
      <c r="H210" s="71">
        <v>5.2423432049926492E-2</v>
      </c>
      <c r="I210" s="71">
        <v>5.5119570373307968E-2</v>
      </c>
      <c r="J210" s="63">
        <v>5.8387285390010459E-2</v>
      </c>
      <c r="K210" s="71" t="s">
        <v>21</v>
      </c>
      <c r="L210" s="71">
        <v>5.0517599977199373E-3</v>
      </c>
      <c r="M210" s="71">
        <v>9.4242468499265014E-3</v>
      </c>
      <c r="N210" s="71">
        <v>1.1405926673307972E-2</v>
      </c>
      <c r="O210" s="63">
        <v>1.3241671890010477E-2</v>
      </c>
      <c r="P210" s="55" t="s">
        <v>21</v>
      </c>
      <c r="Q210" s="53" t="s">
        <v>21</v>
      </c>
      <c r="R210" s="94" t="s">
        <v>21</v>
      </c>
      <c r="S210" s="71">
        <v>0</v>
      </c>
      <c r="T210" s="63">
        <v>5.2423432049926492E-2</v>
      </c>
      <c r="V210" s="114">
        <v>1.1366705499999998</v>
      </c>
      <c r="W210" s="72">
        <v>2.8876730199999998</v>
      </c>
      <c r="X210" s="72">
        <v>4.4331971000000001</v>
      </c>
      <c r="Y210" s="72">
        <v>5.75895153</v>
      </c>
      <c r="Z210" s="115">
        <v>7.3992347799999996</v>
      </c>
    </row>
    <row r="211" spans="2:26" x14ac:dyDescent="0.35">
      <c r="B211" s="55" t="s">
        <v>357</v>
      </c>
      <c r="C211" s="53" t="s">
        <v>234</v>
      </c>
      <c r="D211" s="53" t="s">
        <v>20</v>
      </c>
      <c r="E211" s="53" t="s">
        <v>21</v>
      </c>
      <c r="F211" s="71">
        <v>4.2340359728911411E-2</v>
      </c>
      <c r="G211" s="71">
        <v>4.8456467404028085E-2</v>
      </c>
      <c r="H211" s="71">
        <v>5.289827031924766E-2</v>
      </c>
      <c r="I211" s="71">
        <v>5.5483879545392113E-2</v>
      </c>
      <c r="J211" s="63">
        <v>5.8482132042011789E-2</v>
      </c>
      <c r="K211" s="71" t="s">
        <v>21</v>
      </c>
      <c r="L211" s="71">
        <v>5.4850912040280905E-3</v>
      </c>
      <c r="M211" s="71">
        <v>9.8713692192476509E-3</v>
      </c>
      <c r="N211" s="71">
        <v>1.1749254645392108E-2</v>
      </c>
      <c r="O211" s="63">
        <v>1.3331315442011771E-2</v>
      </c>
      <c r="P211" s="55" t="s">
        <v>21</v>
      </c>
      <c r="Q211" s="53" t="s">
        <v>21</v>
      </c>
      <c r="R211" s="94" t="s">
        <v>21</v>
      </c>
      <c r="S211" s="71">
        <v>0</v>
      </c>
      <c r="T211" s="63">
        <v>5.289827031924766E-2</v>
      </c>
      <c r="V211" s="114">
        <v>1.1360834900000001</v>
      </c>
      <c r="W211" s="72">
        <v>2.88322346</v>
      </c>
      <c r="X211" s="72">
        <v>4.4239999499999998</v>
      </c>
      <c r="Y211" s="72">
        <v>5.7435973899999997</v>
      </c>
      <c r="Z211" s="115">
        <v>7.3798841299999998</v>
      </c>
    </row>
    <row r="212" spans="2:26" x14ac:dyDescent="0.35">
      <c r="B212" s="55" t="s">
        <v>360</v>
      </c>
      <c r="C212" s="53" t="s">
        <v>234</v>
      </c>
      <c r="D212" s="53" t="s">
        <v>20</v>
      </c>
      <c r="E212" s="53" t="s">
        <v>535</v>
      </c>
      <c r="F212" s="71">
        <v>4.2443773480811339E-2</v>
      </c>
      <c r="G212" s="71">
        <v>4.8440250100002066E-2</v>
      </c>
      <c r="H212" s="71">
        <v>5.2895338007024423E-2</v>
      </c>
      <c r="I212" s="71">
        <v>5.5464447525706902E-2</v>
      </c>
      <c r="J212" s="63">
        <v>5.8578785983015788E-2</v>
      </c>
      <c r="K212" s="71" t="s">
        <v>21</v>
      </c>
      <c r="L212" s="71">
        <v>5.470125000002068E-3</v>
      </c>
      <c r="M212" s="71">
        <v>9.8688651070244181E-3</v>
      </c>
      <c r="N212" s="71">
        <v>1.1731225125706905E-2</v>
      </c>
      <c r="O212" s="63">
        <v>1.3423471283015791E-2</v>
      </c>
      <c r="P212" s="55" t="s">
        <v>21</v>
      </c>
      <c r="Q212" s="53" t="s">
        <v>21</v>
      </c>
      <c r="R212" s="94" t="s">
        <v>21</v>
      </c>
      <c r="S212" s="71">
        <v>0</v>
      </c>
      <c r="T212" s="63">
        <v>5.2895338007024423E-2</v>
      </c>
      <c r="V212" s="114">
        <v>1.13588694</v>
      </c>
      <c r="W212" s="72">
        <v>2.88354731</v>
      </c>
      <c r="X212" s="72">
        <v>4.4244803899999994</v>
      </c>
      <c r="Y212" s="72">
        <v>5.7439759100000005</v>
      </c>
      <c r="Z212" s="115">
        <v>7.3780067699999989</v>
      </c>
    </row>
    <row r="213" spans="2:26" x14ac:dyDescent="0.35">
      <c r="B213" s="55" t="s">
        <v>353</v>
      </c>
      <c r="C213" s="53" t="s">
        <v>234</v>
      </c>
      <c r="D213" s="53" t="s">
        <v>31</v>
      </c>
      <c r="E213" s="53" t="s">
        <v>21</v>
      </c>
      <c r="F213" s="71">
        <v>4.1687530504716172E-2</v>
      </c>
      <c r="G213" s="71">
        <v>4.7897804491301842E-2</v>
      </c>
      <c r="H213" s="71">
        <v>5.2367507934218141E-2</v>
      </c>
      <c r="I213" s="71">
        <v>5.5016265941430657E-2</v>
      </c>
      <c r="J213" s="63">
        <v>5.8234933948577011E-2</v>
      </c>
      <c r="K213" s="71" t="s">
        <v>21</v>
      </c>
      <c r="L213" s="71">
        <v>4.9574845913018476E-3</v>
      </c>
      <c r="M213" s="71">
        <v>9.3702125342181343E-3</v>
      </c>
      <c r="N213" s="71">
        <v>1.1307379341430661E-2</v>
      </c>
      <c r="O213" s="63">
        <v>1.3096231448577012E-2</v>
      </c>
      <c r="P213" s="55" t="s">
        <v>21</v>
      </c>
      <c r="Q213" s="53" t="s">
        <v>21</v>
      </c>
      <c r="R213" s="94" t="s">
        <v>21</v>
      </c>
      <c r="S213" s="71">
        <v>0</v>
      </c>
      <c r="T213" s="63">
        <v>5.2367507934218141E-2</v>
      </c>
      <c r="V213" s="114">
        <v>1.1373029400000001</v>
      </c>
      <c r="W213" s="72">
        <v>2.8893690799999998</v>
      </c>
      <c r="X213" s="72">
        <v>4.4355322900000003</v>
      </c>
      <c r="Y213" s="72">
        <v>5.7625921900000003</v>
      </c>
      <c r="Z213" s="115">
        <v>7.4064761300000006</v>
      </c>
    </row>
    <row r="214" spans="2:26" x14ac:dyDescent="0.35">
      <c r="B214" s="55" t="s">
        <v>250</v>
      </c>
      <c r="C214" s="53" t="s">
        <v>234</v>
      </c>
      <c r="D214" s="53" t="s">
        <v>97</v>
      </c>
      <c r="E214" s="53" t="s">
        <v>227</v>
      </c>
      <c r="F214" s="71">
        <v>4.2058147259411781E-2</v>
      </c>
      <c r="G214" s="71">
        <v>4.798769810691144E-2</v>
      </c>
      <c r="H214" s="71">
        <v>5.2323641052050597E-2</v>
      </c>
      <c r="I214" s="71">
        <v>5.4730965094932034E-2</v>
      </c>
      <c r="J214" s="63">
        <v>5.7892405381856485E-2</v>
      </c>
      <c r="K214" s="71" t="s">
        <v>21</v>
      </c>
      <c r="L214" s="71">
        <v>5.0420093069114364E-3</v>
      </c>
      <c r="M214" s="71">
        <v>9.3281391520505953E-3</v>
      </c>
      <c r="N214" s="71">
        <v>1.1036216994932038E-2</v>
      </c>
      <c r="O214" s="63">
        <v>1.2767578781856484E-2</v>
      </c>
      <c r="P214" s="55" t="s">
        <v>536</v>
      </c>
      <c r="Q214" s="53" t="s">
        <v>537</v>
      </c>
      <c r="R214" s="94">
        <v>47551</v>
      </c>
      <c r="S214" s="71">
        <v>4.8690829999999997E-2</v>
      </c>
      <c r="T214" s="63">
        <v>3.6328110520505996E-3</v>
      </c>
      <c r="V214" s="114">
        <v>1.1366088999999999</v>
      </c>
      <c r="W214" s="72">
        <v>2.8876290999999998</v>
      </c>
      <c r="X214" s="72">
        <v>4.43420477</v>
      </c>
      <c r="Y214" s="72">
        <v>5.7654527299999998</v>
      </c>
      <c r="Z214" s="115">
        <v>7.4189638099999993</v>
      </c>
    </row>
    <row r="215" spans="2:26" x14ac:dyDescent="0.35">
      <c r="B215" s="55" t="s">
        <v>261</v>
      </c>
      <c r="C215" s="53" t="s">
        <v>234</v>
      </c>
      <c r="D215" s="53" t="s">
        <v>31</v>
      </c>
      <c r="E215" s="53" t="s">
        <v>538</v>
      </c>
      <c r="F215" s="71">
        <v>4.195490053655769E-2</v>
      </c>
      <c r="G215" s="71">
        <v>4.7938903745754734E-2</v>
      </c>
      <c r="H215" s="71">
        <v>5.2318995275652314E-2</v>
      </c>
      <c r="I215" s="71">
        <v>5.4727122040685659E-2</v>
      </c>
      <c r="J215" s="63">
        <v>5.7283856815181854E-2</v>
      </c>
      <c r="K215" s="71" t="s">
        <v>21</v>
      </c>
      <c r="L215" s="71">
        <v>4.9971691457547374E-3</v>
      </c>
      <c r="M215" s="71">
        <v>9.3247421756523161E-3</v>
      </c>
      <c r="N215" s="71">
        <v>1.1033469140685672E-2</v>
      </c>
      <c r="O215" s="63">
        <v>1.218917211518185E-2</v>
      </c>
      <c r="P215" s="55" t="s">
        <v>539</v>
      </c>
      <c r="Q215" s="53" t="s">
        <v>540</v>
      </c>
      <c r="R215" s="94">
        <v>47517</v>
      </c>
      <c r="S215" s="71">
        <v>5.1026249999999995E-2</v>
      </c>
      <c r="T215" s="63">
        <v>1.2927452756523183E-3</v>
      </c>
      <c r="V215" s="114">
        <v>1.1367854199999998</v>
      </c>
      <c r="W215" s="72">
        <v>2.8882253499999999</v>
      </c>
      <c r="X215" s="72">
        <v>4.4348826500000005</v>
      </c>
      <c r="Y215" s="72">
        <v>5.7660853300000001</v>
      </c>
      <c r="Z215" s="115">
        <v>7.4331235199999997</v>
      </c>
    </row>
    <row r="216" spans="2:26" x14ac:dyDescent="0.35">
      <c r="B216" s="55" t="s">
        <v>361</v>
      </c>
      <c r="C216" s="53" t="s">
        <v>234</v>
      </c>
      <c r="D216" s="53" t="s">
        <v>306</v>
      </c>
      <c r="E216" s="53" t="s">
        <v>21</v>
      </c>
      <c r="F216" s="71">
        <v>4.1824440728592954E-2</v>
      </c>
      <c r="G216" s="71">
        <v>4.7892844945683848E-2</v>
      </c>
      <c r="H216" s="71">
        <v>5.2266501054561758E-2</v>
      </c>
      <c r="I216" s="71">
        <v>5.4771420952236305E-2</v>
      </c>
      <c r="J216" s="63">
        <v>5.7563813625378275E-2</v>
      </c>
      <c r="K216" s="71" t="s">
        <v>21</v>
      </c>
      <c r="L216" s="71">
        <v>4.9521027456838522E-3</v>
      </c>
      <c r="M216" s="71">
        <v>9.2740485545617594E-3</v>
      </c>
      <c r="N216" s="71">
        <v>1.1074765952236301E-2</v>
      </c>
      <c r="O216" s="63">
        <v>1.2455899225378281E-2</v>
      </c>
      <c r="P216" s="55" t="s">
        <v>21</v>
      </c>
      <c r="Q216" s="53" t="s">
        <v>21</v>
      </c>
      <c r="R216" s="94" t="s">
        <v>21</v>
      </c>
      <c r="S216" s="71">
        <v>0</v>
      </c>
      <c r="T216" s="63">
        <v>5.2266501054561758E-2</v>
      </c>
      <c r="V216" s="114">
        <v>1.13705236</v>
      </c>
      <c r="W216" s="72">
        <v>2.8889750700000003</v>
      </c>
      <c r="X216" s="72">
        <v>4.4362094800000005</v>
      </c>
      <c r="Y216" s="72">
        <v>5.7668434700000004</v>
      </c>
      <c r="Z216" s="115">
        <v>7.4270573899999999</v>
      </c>
    </row>
    <row r="217" spans="2:26" x14ac:dyDescent="0.35">
      <c r="B217" s="55" t="s">
        <v>259</v>
      </c>
      <c r="C217" s="53" t="s">
        <v>234</v>
      </c>
      <c r="D217" s="53" t="s">
        <v>69</v>
      </c>
      <c r="E217" s="53" t="s">
        <v>21</v>
      </c>
      <c r="F217" s="71">
        <v>4.2166791942342956E-2</v>
      </c>
      <c r="G217" s="71">
        <v>4.7978289500854018E-2</v>
      </c>
      <c r="H217" s="71">
        <v>5.22639495986136E-2</v>
      </c>
      <c r="I217" s="71">
        <v>5.4829720091302776E-2</v>
      </c>
      <c r="J217" s="63">
        <v>5.7864058812846293E-2</v>
      </c>
      <c r="K217" s="71" t="s">
        <v>21</v>
      </c>
      <c r="L217" s="71">
        <v>5.0313247008540209E-3</v>
      </c>
      <c r="M217" s="71">
        <v>9.2703514986136066E-3</v>
      </c>
      <c r="N217" s="71">
        <v>1.1128765691302779E-2</v>
      </c>
      <c r="O217" s="63">
        <v>1.274054731284629E-2</v>
      </c>
      <c r="P217" s="55" t="s">
        <v>541</v>
      </c>
      <c r="Q217" s="53" t="s">
        <v>542</v>
      </c>
      <c r="R217" s="94" t="s">
        <v>32</v>
      </c>
      <c r="S217" s="71">
        <v>4.5437779999999997E-2</v>
      </c>
      <c r="T217" s="63">
        <v>6.8261695986136031E-3</v>
      </c>
      <c r="V217" s="114">
        <v>1.1364296200000001</v>
      </c>
      <c r="W217" s="72">
        <v>2.88788519</v>
      </c>
      <c r="X217" s="72">
        <v>4.4349611700000002</v>
      </c>
      <c r="Y217" s="72">
        <v>5.7651651399999997</v>
      </c>
      <c r="Z217" s="115">
        <v>7.4188816800000001</v>
      </c>
    </row>
    <row r="218" spans="2:26" x14ac:dyDescent="0.35">
      <c r="B218" s="55" t="s">
        <v>262</v>
      </c>
      <c r="C218" s="53" t="s">
        <v>234</v>
      </c>
      <c r="D218" s="53" t="s">
        <v>31</v>
      </c>
      <c r="E218" s="53" t="s">
        <v>123</v>
      </c>
      <c r="F218" s="71">
        <v>4.1969054901362844E-2</v>
      </c>
      <c r="G218" s="71">
        <v>4.7858191423722427E-2</v>
      </c>
      <c r="H218" s="71">
        <v>5.2215744940899214E-2</v>
      </c>
      <c r="I218" s="71">
        <v>5.4672775935693932E-2</v>
      </c>
      <c r="J218" s="63">
        <v>5.7833720015436761E-2</v>
      </c>
      <c r="K218" s="71" t="s">
        <v>21</v>
      </c>
      <c r="L218" s="71">
        <v>4.9184678237224394E-3</v>
      </c>
      <c r="M218" s="71">
        <v>9.2254458408992206E-3</v>
      </c>
      <c r="N218" s="71">
        <v>1.0980759335693924E-2</v>
      </c>
      <c r="O218" s="63">
        <v>1.2711839415436764E-2</v>
      </c>
      <c r="P218" s="55" t="s">
        <v>543</v>
      </c>
      <c r="Q218" s="53" t="s">
        <v>544</v>
      </c>
      <c r="R218" s="94">
        <v>47660</v>
      </c>
      <c r="S218" s="71">
        <v>5.0961040000000006E-2</v>
      </c>
      <c r="T218" s="63">
        <v>1.2547049408992081E-3</v>
      </c>
      <c r="V218" s="114">
        <v>1.13678872</v>
      </c>
      <c r="W218" s="72">
        <v>2.8887432899999999</v>
      </c>
      <c r="X218" s="72">
        <v>4.4366060800000007</v>
      </c>
      <c r="Y218" s="72">
        <v>5.7686971500000004</v>
      </c>
      <c r="Z218" s="115">
        <v>7.42333803</v>
      </c>
    </row>
    <row r="219" spans="2:26" x14ac:dyDescent="0.35">
      <c r="B219" s="55" t="s">
        <v>247</v>
      </c>
      <c r="C219" s="53" t="s">
        <v>234</v>
      </c>
      <c r="D219" s="53" t="s">
        <v>20</v>
      </c>
      <c r="E219" s="53" t="s">
        <v>36</v>
      </c>
      <c r="F219" s="71">
        <v>4.2447148210243951E-2</v>
      </c>
      <c r="G219" s="71">
        <v>4.8542091727161563E-2</v>
      </c>
      <c r="H219" s="71">
        <v>5.2739889700921562E-2</v>
      </c>
      <c r="I219" s="71">
        <v>5.5234075562992112E-2</v>
      </c>
      <c r="J219" s="63">
        <v>5.8214349872076201E-2</v>
      </c>
      <c r="K219" s="71" t="s">
        <v>21</v>
      </c>
      <c r="L219" s="71">
        <v>5.567144527161564E-3</v>
      </c>
      <c r="M219" s="71">
        <v>9.7222442009215551E-3</v>
      </c>
      <c r="N219" s="71">
        <v>1.151380846299211E-2</v>
      </c>
      <c r="O219" s="63">
        <v>1.3076895972076199E-2</v>
      </c>
      <c r="P219" s="55" t="s">
        <v>248</v>
      </c>
      <c r="Q219" s="53" t="s">
        <v>249</v>
      </c>
      <c r="R219" s="94">
        <v>47543</v>
      </c>
      <c r="S219" s="71">
        <v>5.0091820000000002E-2</v>
      </c>
      <c r="T219" s="63">
        <v>2.6480697009215598E-3</v>
      </c>
      <c r="V219" s="114">
        <v>1.1358850199999999</v>
      </c>
      <c r="W219" s="72">
        <v>2.8833770699999999</v>
      </c>
      <c r="X219" s="72">
        <v>4.4251048400000004</v>
      </c>
      <c r="Y219" s="72">
        <v>5.7488199400000006</v>
      </c>
      <c r="Z219" s="115">
        <v>7.3929611199999998</v>
      </c>
    </row>
    <row r="220" spans="2:26" x14ac:dyDescent="0.35">
      <c r="B220" s="55" t="s">
        <v>254</v>
      </c>
      <c r="C220" s="53" t="s">
        <v>234</v>
      </c>
      <c r="D220" s="53" t="s">
        <v>20</v>
      </c>
      <c r="E220" s="53" t="s">
        <v>161</v>
      </c>
      <c r="F220" s="71">
        <v>4.258846068004718E-2</v>
      </c>
      <c r="G220" s="71">
        <v>4.9159280808857453E-2</v>
      </c>
      <c r="H220" s="71">
        <v>5.2744826719585337E-2</v>
      </c>
      <c r="I220" s="71">
        <v>5.476442186952906E-2</v>
      </c>
      <c r="J220" s="63">
        <v>5.8150049661610415E-2</v>
      </c>
      <c r="K220" s="71" t="s">
        <v>21</v>
      </c>
      <c r="L220" s="71">
        <v>6.1452052088574616E-3</v>
      </c>
      <c r="M220" s="71">
        <v>9.7219658195853396E-3</v>
      </c>
      <c r="N220" s="71">
        <v>1.1062746669529069E-2</v>
      </c>
      <c r="O220" s="63">
        <v>1.3001616561610408E-2</v>
      </c>
      <c r="P220" s="55" t="s">
        <v>545</v>
      </c>
      <c r="Q220" s="53" t="s">
        <v>546</v>
      </c>
      <c r="R220" s="94">
        <v>47545</v>
      </c>
      <c r="S220" s="71">
        <v>4.9181959999999997E-2</v>
      </c>
      <c r="T220" s="63">
        <v>3.5628667195853406E-3</v>
      </c>
      <c r="V220" s="114">
        <v>1.1356882500000001</v>
      </c>
      <c r="W220" s="72">
        <v>2.8788542699999997</v>
      </c>
      <c r="X220" s="72">
        <v>4.4196847899999998</v>
      </c>
      <c r="Y220" s="72">
        <v>5.7516049899999997</v>
      </c>
      <c r="Z220" s="115">
        <v>7.4072916899999992</v>
      </c>
    </row>
    <row r="221" spans="2:26" x14ac:dyDescent="0.35">
      <c r="B221" s="55" t="s">
        <v>347</v>
      </c>
      <c r="C221" s="53" t="s">
        <v>234</v>
      </c>
      <c r="D221" s="53" t="s">
        <v>97</v>
      </c>
      <c r="E221" s="53" t="s">
        <v>21</v>
      </c>
      <c r="F221" s="71">
        <v>4.1801260537436949E-2</v>
      </c>
      <c r="G221" s="71">
        <v>4.7866571003573111E-2</v>
      </c>
      <c r="H221" s="71">
        <v>5.2161923528054988E-2</v>
      </c>
      <c r="I221" s="71">
        <v>5.4523242099800889E-2</v>
      </c>
      <c r="J221" s="63">
        <v>5.7818884306296538E-2</v>
      </c>
      <c r="K221" s="71" t="s">
        <v>21</v>
      </c>
      <c r="L221" s="71">
        <v>4.9276329035731065E-3</v>
      </c>
      <c r="M221" s="71">
        <v>9.1752629280549905E-3</v>
      </c>
      <c r="N221" s="71">
        <v>1.083960679980089E-2</v>
      </c>
      <c r="O221" s="63">
        <v>1.2697477006296535E-2</v>
      </c>
      <c r="P221" s="55" t="s">
        <v>21</v>
      </c>
      <c r="Q221" s="53" t="s">
        <v>21</v>
      </c>
      <c r="R221" s="94" t="s">
        <v>21</v>
      </c>
      <c r="S221" s="71">
        <v>0</v>
      </c>
      <c r="T221" s="63">
        <v>5.2161923528054988E-2</v>
      </c>
      <c r="V221" s="114">
        <v>1.13709036</v>
      </c>
      <c r="W221" s="72">
        <v>2.8892004600000001</v>
      </c>
      <c r="X221" s="72">
        <v>4.4375111600000006</v>
      </c>
      <c r="Y221" s="72">
        <v>5.7716866300000005</v>
      </c>
      <c r="Z221" s="115">
        <v>7.4273596400000006</v>
      </c>
    </row>
    <row r="222" spans="2:26" x14ac:dyDescent="0.35">
      <c r="B222" s="55" t="s">
        <v>350</v>
      </c>
      <c r="C222" s="53" t="s">
        <v>234</v>
      </c>
      <c r="D222" s="53" t="s">
        <v>20</v>
      </c>
      <c r="E222" s="53" t="s">
        <v>21</v>
      </c>
      <c r="F222" s="71">
        <v>4.1965244290660807E-2</v>
      </c>
      <c r="G222" s="71">
        <v>4.7943170522384553E-2</v>
      </c>
      <c r="H222" s="71">
        <v>5.2403623614264247E-2</v>
      </c>
      <c r="I222" s="71">
        <v>5.4920587418438846E-2</v>
      </c>
      <c r="J222" s="63">
        <v>5.7554607392811069E-2</v>
      </c>
      <c r="K222" s="71" t="s">
        <v>21</v>
      </c>
      <c r="L222" s="71">
        <v>5.0031000223845646E-3</v>
      </c>
      <c r="M222" s="71">
        <v>9.4062792142642435E-3</v>
      </c>
      <c r="N222" s="71">
        <v>1.1218475618438844E-2</v>
      </c>
      <c r="O222" s="63">
        <v>1.2450250392811064E-2</v>
      </c>
      <c r="P222" s="55" t="s">
        <v>386</v>
      </c>
      <c r="Q222" s="53" t="s">
        <v>387</v>
      </c>
      <c r="R222" s="94">
        <v>47802</v>
      </c>
      <c r="S222" s="71">
        <v>5.1532220000000004E-2</v>
      </c>
      <c r="T222" s="63">
        <v>8.714036142642434E-4</v>
      </c>
      <c r="V222" s="114">
        <v>1.1367597199999999</v>
      </c>
      <c r="W222" s="72">
        <v>2.8881861400000002</v>
      </c>
      <c r="X222" s="72">
        <v>4.4339309799999995</v>
      </c>
      <c r="Y222" s="72">
        <v>5.7614696399999996</v>
      </c>
      <c r="Z222" s="115">
        <v>7.4200336899999995</v>
      </c>
    </row>
    <row r="223" spans="2:26" x14ac:dyDescent="0.35">
      <c r="B223" s="55" t="s">
        <v>256</v>
      </c>
      <c r="C223" s="53" t="s">
        <v>234</v>
      </c>
      <c r="D223" s="53" t="s">
        <v>257</v>
      </c>
      <c r="E223" s="53" t="s">
        <v>103</v>
      </c>
      <c r="F223" s="71">
        <v>4.200286856508164E-2</v>
      </c>
      <c r="G223" s="71">
        <v>4.7622243980732948E-2</v>
      </c>
      <c r="H223" s="71">
        <v>5.18438397251033E-2</v>
      </c>
      <c r="I223" s="71">
        <v>5.4450781660712155E-2</v>
      </c>
      <c r="J223" s="63">
        <v>5.760887590669754E-2</v>
      </c>
      <c r="K223" s="71" t="s">
        <v>21</v>
      </c>
      <c r="L223" s="71">
        <v>4.6966665807329517E-3</v>
      </c>
      <c r="M223" s="71">
        <v>8.8744050251033085E-3</v>
      </c>
      <c r="N223" s="71">
        <v>1.0771293760712161E-2</v>
      </c>
      <c r="O223" s="63">
        <v>1.2498973006697538E-2</v>
      </c>
      <c r="P223" s="55" t="s">
        <v>547</v>
      </c>
      <c r="Q223" s="53" t="s">
        <v>548</v>
      </c>
      <c r="R223" s="94" t="s">
        <v>32</v>
      </c>
      <c r="S223" s="71">
        <v>4.9607450000000004E-2</v>
      </c>
      <c r="T223" s="63">
        <v>2.2363897251032952E-3</v>
      </c>
      <c r="V223" s="114">
        <v>1.13669825</v>
      </c>
      <c r="W223" s="72">
        <v>2.8900404499999999</v>
      </c>
      <c r="X223" s="72">
        <v>4.4420293200000005</v>
      </c>
      <c r="Y223" s="72">
        <v>5.7776473900000003</v>
      </c>
      <c r="Z223" s="115">
        <v>7.4372688500000006</v>
      </c>
    </row>
    <row r="224" spans="2:26" x14ac:dyDescent="0.35">
      <c r="B224" s="55" t="s">
        <v>157</v>
      </c>
      <c r="C224" s="53" t="s">
        <v>234</v>
      </c>
      <c r="D224" s="53" t="s">
        <v>31</v>
      </c>
      <c r="E224" s="53" t="s">
        <v>549</v>
      </c>
      <c r="F224" s="71">
        <v>4.1579646410433165E-2</v>
      </c>
      <c r="G224" s="71">
        <v>4.747104304437319E-2</v>
      </c>
      <c r="H224" s="71">
        <v>5.1734631741483558E-2</v>
      </c>
      <c r="I224" s="71">
        <v>5.4246319485260458E-2</v>
      </c>
      <c r="J224" s="63">
        <v>5.7398623489921315E-2</v>
      </c>
      <c r="K224" s="71" t="s">
        <v>21</v>
      </c>
      <c r="L224" s="71">
        <v>4.5509763443731931E-3</v>
      </c>
      <c r="M224" s="71">
        <v>8.7693375414835562E-3</v>
      </c>
      <c r="N224" s="71">
        <v>1.0576345085260466E-2</v>
      </c>
      <c r="O224" s="63">
        <v>1.2297536789921314E-2</v>
      </c>
      <c r="P224" s="55" t="s">
        <v>21</v>
      </c>
      <c r="Q224" s="53" t="s">
        <v>21</v>
      </c>
      <c r="R224" s="94" t="s">
        <v>21</v>
      </c>
      <c r="S224" s="71">
        <v>0</v>
      </c>
      <c r="T224" s="63">
        <v>5.1734631741483558E-2</v>
      </c>
      <c r="V224" s="114">
        <v>1.1375334100000001</v>
      </c>
      <c r="W224" s="72">
        <v>2.89242116</v>
      </c>
      <c r="X224" s="72">
        <v>4.4456568699999996</v>
      </c>
      <c r="Y224" s="72">
        <v>5.7839889399999995</v>
      </c>
      <c r="Z224" s="115">
        <v>7.4489077900000007</v>
      </c>
    </row>
    <row r="225" spans="2:26" x14ac:dyDescent="0.35">
      <c r="B225" s="55" t="s">
        <v>149</v>
      </c>
      <c r="C225" s="53" t="s">
        <v>234</v>
      </c>
      <c r="D225" s="53" t="s">
        <v>97</v>
      </c>
      <c r="E225" s="53" t="s">
        <v>346</v>
      </c>
      <c r="F225" s="71">
        <v>4.1447666964155139E-2</v>
      </c>
      <c r="G225" s="71">
        <v>4.75600694611608E-2</v>
      </c>
      <c r="H225" s="71">
        <v>5.1633038005009568E-2</v>
      </c>
      <c r="I225" s="71">
        <v>5.4242120045249219E-2</v>
      </c>
      <c r="J225" s="63">
        <v>5.748792375682401E-2</v>
      </c>
      <c r="K225" s="71" t="s">
        <v>21</v>
      </c>
      <c r="L225" s="71">
        <v>4.6365573611608056E-3</v>
      </c>
      <c r="M225" s="71">
        <v>8.673692405009573E-3</v>
      </c>
      <c r="N225" s="71">
        <v>1.0572772145249227E-2</v>
      </c>
      <c r="O225" s="63">
        <v>1.2383165456824007E-2</v>
      </c>
      <c r="P225" s="55" t="s">
        <v>550</v>
      </c>
      <c r="Q225" s="53" t="s">
        <v>551</v>
      </c>
      <c r="R225" s="94" t="s">
        <v>32</v>
      </c>
      <c r="S225" s="71">
        <v>5.3171700000000002E-2</v>
      </c>
      <c r="T225" s="63">
        <v>-1.538661994990434E-3</v>
      </c>
      <c r="V225" s="114">
        <v>1.13776827</v>
      </c>
      <c r="W225" s="72">
        <v>2.8922641599999999</v>
      </c>
      <c r="X225" s="72">
        <v>4.4462925499999999</v>
      </c>
      <c r="Y225" s="72">
        <v>5.7849620100000001</v>
      </c>
      <c r="Z225" s="115">
        <v>7.4476767299999995</v>
      </c>
    </row>
    <row r="226" spans="2:26" x14ac:dyDescent="0.35">
      <c r="B226" s="55" t="s">
        <v>260</v>
      </c>
      <c r="C226" s="53" t="s">
        <v>234</v>
      </c>
      <c r="D226" s="53" t="s">
        <v>43</v>
      </c>
      <c r="E226" s="53" t="s">
        <v>21</v>
      </c>
      <c r="F226" s="71">
        <v>4.2193866231374756E-2</v>
      </c>
      <c r="G226" s="71">
        <v>4.7826830641066104E-2</v>
      </c>
      <c r="H226" s="71">
        <v>5.164848942089021E-2</v>
      </c>
      <c r="I226" s="71">
        <v>5.3965606845292308E-2</v>
      </c>
      <c r="J226" s="63">
        <v>5.7106846745692691E-2</v>
      </c>
      <c r="K226" s="71" t="s">
        <v>21</v>
      </c>
      <c r="L226" s="71">
        <v>4.8901301410661079E-3</v>
      </c>
      <c r="M226" s="71">
        <v>8.6886486208902144E-3</v>
      </c>
      <c r="N226" s="71">
        <v>1.0309948645292312E-2</v>
      </c>
      <c r="O226" s="63">
        <v>1.2016763145692701E-2</v>
      </c>
      <c r="P226" s="55" t="s">
        <v>552</v>
      </c>
      <c r="Q226" s="53" t="s">
        <v>553</v>
      </c>
      <c r="R226" s="94" t="s">
        <v>32</v>
      </c>
      <c r="S226" s="71">
        <v>5.0220589999999996E-2</v>
      </c>
      <c r="T226" s="63">
        <v>1.4278994208902149E-3</v>
      </c>
      <c r="V226" s="114">
        <v>1.13634316</v>
      </c>
      <c r="W226" s="72">
        <v>2.8881677299999997</v>
      </c>
      <c r="X226" s="72">
        <v>4.4418049399999999</v>
      </c>
      <c r="Y226" s="72">
        <v>5.7847496099999995</v>
      </c>
      <c r="Z226" s="115">
        <v>7.4585788799999992</v>
      </c>
    </row>
    <row r="227" spans="2:26" x14ac:dyDescent="0.35">
      <c r="B227" s="55" t="s">
        <v>324</v>
      </c>
      <c r="C227" s="53" t="s">
        <v>234</v>
      </c>
      <c r="D227" s="53" t="s">
        <v>31</v>
      </c>
      <c r="E227" s="53" t="s">
        <v>21</v>
      </c>
      <c r="F227" s="71">
        <v>4.1418190160209242E-2</v>
      </c>
      <c r="G227" s="71">
        <v>4.730303273871183E-2</v>
      </c>
      <c r="H227" s="71">
        <v>5.1521301001402627E-2</v>
      </c>
      <c r="I227" s="71">
        <v>5.4902776831446634E-2</v>
      </c>
      <c r="J227" s="63">
        <v>5.8081984365684548E-2</v>
      </c>
      <c r="K227" s="71" t="s">
        <v>21</v>
      </c>
      <c r="L227" s="71">
        <v>4.3912430387118345E-3</v>
      </c>
      <c r="M227" s="71">
        <v>8.5668554014026368E-3</v>
      </c>
      <c r="N227" s="71">
        <v>1.1198903031446633E-2</v>
      </c>
      <c r="O227" s="63">
        <v>1.2953858365684533E-2</v>
      </c>
      <c r="P227" s="55" t="s">
        <v>21</v>
      </c>
      <c r="Q227" s="53" t="s">
        <v>21</v>
      </c>
      <c r="R227" s="94" t="s">
        <v>21</v>
      </c>
      <c r="S227" s="71">
        <v>0</v>
      </c>
      <c r="T227" s="63">
        <v>5.1521301001402627E-2</v>
      </c>
      <c r="V227" s="114">
        <v>1.13784519</v>
      </c>
      <c r="W227" s="72">
        <v>2.8940005800000002</v>
      </c>
      <c r="X227" s="72">
        <v>4.4496243499999997</v>
      </c>
      <c r="Y227" s="72">
        <v>5.7792689500000005</v>
      </c>
      <c r="Z227" s="115">
        <v>7.42378596</v>
      </c>
    </row>
    <row r="228" spans="2:26" x14ac:dyDescent="0.35">
      <c r="B228" s="55" t="s">
        <v>373</v>
      </c>
      <c r="C228" s="53" t="s">
        <v>234</v>
      </c>
      <c r="D228" s="53" t="s">
        <v>20</v>
      </c>
      <c r="E228" s="53" t="s">
        <v>554</v>
      </c>
      <c r="F228" s="71">
        <v>4.139777228491235E-2</v>
      </c>
      <c r="G228" s="71">
        <v>4.6727589873256058E-2</v>
      </c>
      <c r="H228" s="71">
        <v>5.0069575830776696E-2</v>
      </c>
      <c r="I228" s="71">
        <v>5.1995405478294697E-2</v>
      </c>
      <c r="J228" s="63">
        <v>5.4229858678536191E-2</v>
      </c>
      <c r="K228" s="71" t="s">
        <v>21</v>
      </c>
      <c r="L228" s="71">
        <v>3.8467771732560632E-3</v>
      </c>
      <c r="M228" s="71">
        <v>7.1896915307767002E-3</v>
      </c>
      <c r="N228" s="71">
        <v>8.4367496782946898E-3</v>
      </c>
      <c r="O228" s="63">
        <v>9.2644032785361968E-3</v>
      </c>
      <c r="P228" s="55" t="s">
        <v>21</v>
      </c>
      <c r="Q228" s="53" t="s">
        <v>21</v>
      </c>
      <c r="R228" s="94" t="s">
        <v>21</v>
      </c>
      <c r="S228" s="71">
        <v>0</v>
      </c>
      <c r="T228" s="63">
        <v>5.0069575830776696E-2</v>
      </c>
      <c r="V228" s="114">
        <v>1.13785892</v>
      </c>
      <c r="W228" s="72">
        <v>2.8975174999999997</v>
      </c>
      <c r="X228" s="72">
        <v>4.4687574699999999</v>
      </c>
      <c r="Y228" s="72">
        <v>5.8407679799999999</v>
      </c>
      <c r="Z228" s="115">
        <v>7.585059750000001</v>
      </c>
    </row>
    <row r="229" spans="2:26" x14ac:dyDescent="0.35">
      <c r="B229" s="55" t="s">
        <v>352</v>
      </c>
      <c r="C229" s="53" t="s">
        <v>234</v>
      </c>
      <c r="D229" s="53" t="s">
        <v>20</v>
      </c>
      <c r="E229" s="53" t="s">
        <v>21</v>
      </c>
      <c r="F229" s="71">
        <v>4.1798804947488631E-2</v>
      </c>
      <c r="G229" s="71">
        <v>4.7799803551612188E-2</v>
      </c>
      <c r="H229" s="71">
        <v>5.2035857057259112E-2</v>
      </c>
      <c r="I229" s="71">
        <v>5.4848021643576425E-2</v>
      </c>
      <c r="J229" s="63">
        <v>5.7815644661979755E-2</v>
      </c>
      <c r="K229" s="71" t="s">
        <v>21</v>
      </c>
      <c r="L229" s="71">
        <v>4.8602781516121907E-3</v>
      </c>
      <c r="M229" s="71">
        <v>9.0530297572591172E-3</v>
      </c>
      <c r="N229" s="71">
        <v>1.1146027443576427E-2</v>
      </c>
      <c r="O229" s="63">
        <v>1.2697610061979767E-2</v>
      </c>
      <c r="P229" s="55" t="s">
        <v>21</v>
      </c>
      <c r="Q229" s="53" t="s">
        <v>21</v>
      </c>
      <c r="R229" s="94" t="s">
        <v>21</v>
      </c>
      <c r="S229" s="71">
        <v>0</v>
      </c>
      <c r="T229" s="63">
        <v>5.2035857057259112E-2</v>
      </c>
      <c r="V229" s="114">
        <v>1.1371552999999999</v>
      </c>
      <c r="W229" s="72">
        <v>2.8904329</v>
      </c>
      <c r="X229" s="72">
        <v>4.4405918399999997</v>
      </c>
      <c r="Y229" s="72">
        <v>5.7693523500000001</v>
      </c>
      <c r="Z229" s="115">
        <v>7.4205633300000002</v>
      </c>
    </row>
    <row r="230" spans="2:26" x14ac:dyDescent="0.35">
      <c r="B230" s="55" t="s">
        <v>158</v>
      </c>
      <c r="C230" s="53" t="s">
        <v>234</v>
      </c>
      <c r="D230" s="53" t="s">
        <v>31</v>
      </c>
      <c r="E230" s="53" t="s">
        <v>21</v>
      </c>
      <c r="F230" s="71">
        <v>4.2097058635128623E-2</v>
      </c>
      <c r="G230" s="71">
        <v>4.7560148800585685E-2</v>
      </c>
      <c r="H230" s="71">
        <v>5.1485082579261168E-2</v>
      </c>
      <c r="I230" s="71">
        <v>5.3852988765857805E-2</v>
      </c>
      <c r="J230" s="63">
        <v>5.6712379899100558E-2</v>
      </c>
      <c r="K230" s="71" t="s">
        <v>21</v>
      </c>
      <c r="L230" s="71">
        <v>4.6351392005856782E-3</v>
      </c>
      <c r="M230" s="71">
        <v>8.5323717792611768E-3</v>
      </c>
      <c r="N230" s="71">
        <v>1.0202201265857799E-2</v>
      </c>
      <c r="O230" s="63">
        <v>1.1640552599100561E-2</v>
      </c>
      <c r="P230" s="55" t="s">
        <v>21</v>
      </c>
      <c r="Q230" s="53" t="s">
        <v>21</v>
      </c>
      <c r="R230" s="94" t="s">
        <v>21</v>
      </c>
      <c r="S230" s="71">
        <v>0</v>
      </c>
      <c r="T230" s="63">
        <v>5.1485082579261168E-2</v>
      </c>
      <c r="V230" s="114">
        <v>1.13655613</v>
      </c>
      <c r="W230" s="72">
        <v>2.8901970299999999</v>
      </c>
      <c r="X230" s="72">
        <v>4.4459455999999999</v>
      </c>
      <c r="Y230" s="72">
        <v>5.7904503099999998</v>
      </c>
      <c r="Z230" s="115">
        <v>7.4729956599999996</v>
      </c>
    </row>
    <row r="231" spans="2:26" x14ac:dyDescent="0.35">
      <c r="B231" s="55" t="s">
        <v>372</v>
      </c>
      <c r="C231" s="53" t="s">
        <v>234</v>
      </c>
      <c r="D231" s="53" t="s">
        <v>69</v>
      </c>
      <c r="E231" s="53" t="s">
        <v>258</v>
      </c>
      <c r="F231" s="71">
        <v>4.157447239061321E-2</v>
      </c>
      <c r="G231" s="71">
        <v>4.7430435037856343E-2</v>
      </c>
      <c r="H231" s="71">
        <v>5.1472985087852578E-2</v>
      </c>
      <c r="I231" s="71">
        <v>5.3648839775846301E-2</v>
      </c>
      <c r="J231" s="63">
        <v>5.6173805312274387E-2</v>
      </c>
      <c r="K231" s="71" t="s">
        <v>21</v>
      </c>
      <c r="L231" s="71">
        <v>4.514556537856344E-3</v>
      </c>
      <c r="M231" s="71">
        <v>8.5226268878525781E-3</v>
      </c>
      <c r="N231" s="71">
        <v>1.0010052675846298E-2</v>
      </c>
      <c r="O231" s="63">
        <v>1.1127414012274385E-2</v>
      </c>
      <c r="P231" s="55" t="s">
        <v>21</v>
      </c>
      <c r="Q231" s="53" t="s">
        <v>21</v>
      </c>
      <c r="R231" s="94" t="s">
        <v>21</v>
      </c>
      <c r="S231" s="71">
        <v>0</v>
      </c>
      <c r="T231" s="63">
        <v>5.1472985087852578E-2</v>
      </c>
      <c r="V231" s="114">
        <v>1.13751409</v>
      </c>
      <c r="W231" s="72">
        <v>2.8926283800000001</v>
      </c>
      <c r="X231" s="72">
        <v>4.4485259800000003</v>
      </c>
      <c r="Y231" s="72">
        <v>5.7954823099999997</v>
      </c>
      <c r="Z231" s="115">
        <v>7.49102275</v>
      </c>
    </row>
    <row r="232" spans="2:26" x14ac:dyDescent="0.35">
      <c r="B232" s="55" t="s">
        <v>365</v>
      </c>
      <c r="C232" s="53" t="s">
        <v>234</v>
      </c>
      <c r="D232" s="53" t="s">
        <v>69</v>
      </c>
      <c r="E232" s="53" t="s">
        <v>21</v>
      </c>
      <c r="F232" s="71">
        <v>4.2014923276218336E-2</v>
      </c>
      <c r="G232" s="71">
        <v>4.738805397372179E-2</v>
      </c>
      <c r="H232" s="71">
        <v>5.1268352151439149E-2</v>
      </c>
      <c r="I232" s="71">
        <v>5.354284488637067E-2</v>
      </c>
      <c r="J232" s="63">
        <v>5.6206612171832877E-2</v>
      </c>
      <c r="K232" s="71" t="s">
        <v>21</v>
      </c>
      <c r="L232" s="71">
        <v>4.4743026737217974E-3</v>
      </c>
      <c r="M232" s="71">
        <v>8.3284847514391511E-3</v>
      </c>
      <c r="N232" s="71">
        <v>9.9090428863706729E-3</v>
      </c>
      <c r="O232" s="63">
        <v>1.1158236571832864E-2</v>
      </c>
      <c r="P232" s="55" t="s">
        <v>21</v>
      </c>
      <c r="Q232" s="53" t="s">
        <v>21</v>
      </c>
      <c r="R232" s="94" t="s">
        <v>21</v>
      </c>
      <c r="S232" s="71">
        <v>0</v>
      </c>
      <c r="T232" s="63">
        <v>5.1268352151439149E-2</v>
      </c>
      <c r="V232" s="114">
        <v>1.13667875</v>
      </c>
      <c r="W232" s="72">
        <v>2.8914611300000002</v>
      </c>
      <c r="X232" s="72">
        <v>4.4496347199999997</v>
      </c>
      <c r="Y232" s="72">
        <v>5.7985824900000003</v>
      </c>
      <c r="Z232" s="115">
        <v>7.4936032099999998</v>
      </c>
    </row>
    <row r="233" spans="2:26" x14ac:dyDescent="0.35">
      <c r="B233" s="55" t="s">
        <v>373</v>
      </c>
      <c r="C233" s="53" t="s">
        <v>234</v>
      </c>
      <c r="D233" s="53" t="s">
        <v>20</v>
      </c>
      <c r="E233" s="53" t="s">
        <v>251</v>
      </c>
      <c r="F233" s="71">
        <v>4.139777228491235E-2</v>
      </c>
      <c r="G233" s="71">
        <v>4.6727589873256058E-2</v>
      </c>
      <c r="H233" s="71">
        <v>5.0069575830776696E-2</v>
      </c>
      <c r="I233" s="71">
        <v>5.1995405478294697E-2</v>
      </c>
      <c r="J233" s="63">
        <v>5.4229858678536191E-2</v>
      </c>
      <c r="K233" s="71" t="s">
        <v>21</v>
      </c>
      <c r="L233" s="71">
        <v>3.8467771732560632E-3</v>
      </c>
      <c r="M233" s="71">
        <v>7.1896915307767002E-3</v>
      </c>
      <c r="N233" s="71">
        <v>8.4367496782946898E-3</v>
      </c>
      <c r="O233" s="63">
        <v>9.2644032785361968E-3</v>
      </c>
      <c r="P233" s="55" t="s">
        <v>21</v>
      </c>
      <c r="Q233" s="53" t="s">
        <v>21</v>
      </c>
      <c r="R233" s="94" t="s">
        <v>21</v>
      </c>
      <c r="S233" s="71">
        <v>0</v>
      </c>
      <c r="T233" s="63">
        <v>5.0069575830776696E-2</v>
      </c>
      <c r="V233" s="114">
        <v>1.13785892</v>
      </c>
      <c r="W233" s="72">
        <v>2.8975174999999997</v>
      </c>
      <c r="X233" s="72">
        <v>4.4687574699999999</v>
      </c>
      <c r="Y233" s="72">
        <v>5.8407679799999999</v>
      </c>
      <c r="Z233" s="115">
        <v>7.585059750000001</v>
      </c>
    </row>
    <row r="234" spans="2:26" x14ac:dyDescent="0.35">
      <c r="B234" s="55" t="s">
        <v>357</v>
      </c>
      <c r="C234" s="53" t="s">
        <v>234</v>
      </c>
      <c r="D234" s="53" t="s">
        <v>20</v>
      </c>
      <c r="E234" s="53" t="s">
        <v>58</v>
      </c>
      <c r="F234" s="71">
        <v>4.2340359728911411E-2</v>
      </c>
      <c r="G234" s="71">
        <v>4.8456467404028085E-2</v>
      </c>
      <c r="H234" s="71">
        <v>5.289827031924766E-2</v>
      </c>
      <c r="I234" s="71">
        <v>5.5483879545392113E-2</v>
      </c>
      <c r="J234" s="63">
        <v>5.8482132042011789E-2</v>
      </c>
      <c r="K234" s="71" t="s">
        <v>21</v>
      </c>
      <c r="L234" s="71">
        <v>5.4850912040280905E-3</v>
      </c>
      <c r="M234" s="71">
        <v>9.8713692192476509E-3</v>
      </c>
      <c r="N234" s="71">
        <v>1.1749254645392108E-2</v>
      </c>
      <c r="O234" s="63">
        <v>1.3331315442011771E-2</v>
      </c>
      <c r="P234" s="55" t="s">
        <v>21</v>
      </c>
      <c r="Q234" s="53" t="s">
        <v>21</v>
      </c>
      <c r="R234" s="94" t="s">
        <v>21</v>
      </c>
      <c r="S234" s="71">
        <v>0</v>
      </c>
      <c r="T234" s="63">
        <v>5.289827031924766E-2</v>
      </c>
      <c r="V234" s="114">
        <v>1.1360834900000001</v>
      </c>
      <c r="W234" s="72">
        <v>2.88322346</v>
      </c>
      <c r="X234" s="72">
        <v>4.4239999499999998</v>
      </c>
      <c r="Y234" s="72">
        <v>5.7435973899999997</v>
      </c>
      <c r="Z234" s="115">
        <v>7.3798841299999998</v>
      </c>
    </row>
    <row r="235" spans="2:26" x14ac:dyDescent="0.35">
      <c r="B235" s="55" t="s">
        <v>263</v>
      </c>
      <c r="C235" s="53" t="s">
        <v>234</v>
      </c>
      <c r="D235" s="53" t="s">
        <v>62</v>
      </c>
      <c r="E235" s="53" t="s">
        <v>128</v>
      </c>
      <c r="F235" s="71">
        <v>4.2031038485146631E-2</v>
      </c>
      <c r="G235" s="71">
        <v>4.7451876770832374E-2</v>
      </c>
      <c r="H235" s="71">
        <v>5.1167331779995266E-2</v>
      </c>
      <c r="I235" s="71">
        <v>5.3393852408996301E-2</v>
      </c>
      <c r="J235" s="63">
        <v>5.6052603670344855E-2</v>
      </c>
      <c r="K235" s="71" t="s">
        <v>21</v>
      </c>
      <c r="L235" s="71">
        <v>4.5353268708323742E-3</v>
      </c>
      <c r="M235" s="71">
        <v>8.2328875799952666E-3</v>
      </c>
      <c r="N235" s="71">
        <v>9.7675123089963015E-3</v>
      </c>
      <c r="O235" s="63">
        <v>1.101043497034486E-2</v>
      </c>
      <c r="P235" s="55" t="s">
        <v>555</v>
      </c>
      <c r="Q235" s="53" t="s">
        <v>556</v>
      </c>
      <c r="R235" s="94">
        <v>47649</v>
      </c>
      <c r="S235" s="71">
        <v>4.8028599999999998E-2</v>
      </c>
      <c r="T235" s="63">
        <v>3.1387317799952685E-3</v>
      </c>
      <c r="V235" s="114">
        <v>1.13664148</v>
      </c>
      <c r="W235" s="72">
        <v>2.8909985799999998</v>
      </c>
      <c r="X235" s="72">
        <v>4.4500647099999995</v>
      </c>
      <c r="Y235" s="72">
        <v>5.8013448500000004</v>
      </c>
      <c r="Z235" s="115">
        <v>7.5006312300000006</v>
      </c>
    </row>
    <row r="236" spans="2:26" x14ac:dyDescent="0.35">
      <c r="B236" s="55" t="s">
        <v>265</v>
      </c>
      <c r="C236" s="53" t="s">
        <v>234</v>
      </c>
      <c r="D236" s="53" t="s">
        <v>31</v>
      </c>
      <c r="E236" s="53" t="s">
        <v>21</v>
      </c>
      <c r="F236" s="71">
        <v>4.1771391686647702E-2</v>
      </c>
      <c r="G236" s="71">
        <v>4.7147422208200576E-2</v>
      </c>
      <c r="H236" s="71">
        <v>5.1153688191077136E-2</v>
      </c>
      <c r="I236" s="71">
        <v>5.3527684386200675E-2</v>
      </c>
      <c r="J236" s="63">
        <v>5.5911244029831837E-2</v>
      </c>
      <c r="K236" s="71" t="s">
        <v>21</v>
      </c>
      <c r="L236" s="71">
        <v>4.2461717082005711E-3</v>
      </c>
      <c r="M236" s="71">
        <v>8.219933591077146E-3</v>
      </c>
      <c r="N236" s="71">
        <v>9.8951287862006718E-3</v>
      </c>
      <c r="O236" s="63">
        <v>1.0877697829831836E-2</v>
      </c>
      <c r="P236" s="55" t="s">
        <v>21</v>
      </c>
      <c r="Q236" s="53" t="s">
        <v>21</v>
      </c>
      <c r="R236" s="94" t="s">
        <v>21</v>
      </c>
      <c r="S236" s="71">
        <v>0</v>
      </c>
      <c r="T236" s="63">
        <v>5.1153688191077136E-2</v>
      </c>
      <c r="V236" s="114">
        <v>1.1371383900000001</v>
      </c>
      <c r="W236" s="72">
        <v>2.8937416300000001</v>
      </c>
      <c r="X236" s="72">
        <v>4.4534198599999995</v>
      </c>
      <c r="Y236" s="72">
        <v>5.8024621700000001</v>
      </c>
      <c r="Z236" s="115">
        <v>7.503469710000001</v>
      </c>
    </row>
    <row r="237" spans="2:26" x14ac:dyDescent="0.35">
      <c r="B237" s="55" t="s">
        <v>366</v>
      </c>
      <c r="C237" s="53" t="s">
        <v>234</v>
      </c>
      <c r="D237" s="53" t="s">
        <v>20</v>
      </c>
      <c r="E237" s="53" t="s">
        <v>21</v>
      </c>
      <c r="F237" s="71">
        <v>4.1729279390859055E-2</v>
      </c>
      <c r="G237" s="71">
        <v>4.7576078632514583E-2</v>
      </c>
      <c r="H237" s="71">
        <v>5.150991718510281E-2</v>
      </c>
      <c r="I237" s="71">
        <v>5.3991995295821389E-2</v>
      </c>
      <c r="J237" s="63">
        <v>5.7147640597180006E-2</v>
      </c>
      <c r="K237" s="71" t="s">
        <v>21</v>
      </c>
      <c r="L237" s="71">
        <v>4.6500553325145881E-3</v>
      </c>
      <c r="M237" s="71">
        <v>8.555764485102809E-3</v>
      </c>
      <c r="N237" s="71">
        <v>1.0334758095821387E-2</v>
      </c>
      <c r="O237" s="63">
        <v>1.205873469718001E-2</v>
      </c>
      <c r="P237" s="55" t="s">
        <v>392</v>
      </c>
      <c r="Q237" s="53" t="s">
        <v>393</v>
      </c>
      <c r="R237" s="94">
        <v>47710</v>
      </c>
      <c r="S237" s="71">
        <v>5.2784709999999999E-2</v>
      </c>
      <c r="T237" s="63">
        <v>-1.2747928148971882E-3</v>
      </c>
      <c r="V237" s="114">
        <v>1.13726858</v>
      </c>
      <c r="W237" s="72">
        <v>2.8918908800000001</v>
      </c>
      <c r="X237" s="72">
        <v>4.44758561</v>
      </c>
      <c r="Y237" s="72">
        <v>5.78905914</v>
      </c>
      <c r="Z237" s="115">
        <v>7.4583611899999998</v>
      </c>
    </row>
    <row r="238" spans="2:26" x14ac:dyDescent="0.35">
      <c r="B238" s="55" t="s">
        <v>160</v>
      </c>
      <c r="C238" s="53" t="s">
        <v>234</v>
      </c>
      <c r="D238" s="53" t="s">
        <v>43</v>
      </c>
      <c r="E238" s="53" t="s">
        <v>21</v>
      </c>
      <c r="F238" s="71">
        <v>4.1446545063155212E-2</v>
      </c>
      <c r="G238" s="71">
        <v>4.7107458825166641E-2</v>
      </c>
      <c r="H238" s="71">
        <v>5.0893055839522958E-2</v>
      </c>
      <c r="I238" s="71">
        <v>5.3026515642685457E-2</v>
      </c>
      <c r="J238" s="63">
        <v>5.5392722253735482E-2</v>
      </c>
      <c r="K238" s="71" t="s">
        <v>21</v>
      </c>
      <c r="L238" s="71">
        <v>4.2076103251666389E-3</v>
      </c>
      <c r="M238" s="71">
        <v>7.9720454395229654E-3</v>
      </c>
      <c r="N238" s="71">
        <v>9.4183417426854672E-3</v>
      </c>
      <c r="O238" s="63">
        <v>1.0379705753735475E-2</v>
      </c>
      <c r="P238" s="55" t="s">
        <v>557</v>
      </c>
      <c r="Q238" s="53" t="s">
        <v>558</v>
      </c>
      <c r="R238" s="94">
        <v>47557</v>
      </c>
      <c r="S238" s="71">
        <v>4.9254329999999999E-2</v>
      </c>
      <c r="T238" s="63">
        <v>1.6387258395229587E-3</v>
      </c>
      <c r="V238" s="114">
        <v>1.13776422</v>
      </c>
      <c r="W238" s="72">
        <v>2.8950662499999997</v>
      </c>
      <c r="X238" s="72">
        <v>4.4573257900000005</v>
      </c>
      <c r="Y238" s="72">
        <v>5.8136438100000003</v>
      </c>
      <c r="Z238" s="115">
        <v>7.5287590200000007</v>
      </c>
    </row>
    <row r="239" spans="2:26" x14ac:dyDescent="0.35">
      <c r="B239" s="55" t="s">
        <v>364</v>
      </c>
      <c r="C239" s="53" t="s">
        <v>234</v>
      </c>
      <c r="D239" s="53" t="s">
        <v>20</v>
      </c>
      <c r="E239" s="53" t="s">
        <v>21</v>
      </c>
      <c r="F239" s="71">
        <v>4.1728608738844888E-2</v>
      </c>
      <c r="G239" s="71">
        <v>4.7136723493753065E-2</v>
      </c>
      <c r="H239" s="71">
        <v>5.1338005259414676E-2</v>
      </c>
      <c r="I239" s="71">
        <v>5.3688930568306786E-2</v>
      </c>
      <c r="J239" s="63">
        <v>5.6449995712794049E-2</v>
      </c>
      <c r="K239" s="71" t="s">
        <v>21</v>
      </c>
      <c r="L239" s="71">
        <v>4.2336429937530687E-3</v>
      </c>
      <c r="M239" s="71">
        <v>8.3932858594146734E-3</v>
      </c>
      <c r="N239" s="71">
        <v>1.0047821268306788E-2</v>
      </c>
      <c r="O239" s="63">
        <v>1.1393475812794047E-2</v>
      </c>
      <c r="P239" s="55" t="s">
        <v>390</v>
      </c>
      <c r="Q239" s="53" t="s">
        <v>391</v>
      </c>
      <c r="R239" s="94">
        <v>47708</v>
      </c>
      <c r="S239" s="71">
        <v>4.9623819999999999E-2</v>
      </c>
      <c r="T239" s="63">
        <v>1.7141852594146773E-3</v>
      </c>
      <c r="V239" s="114">
        <v>1.13726997</v>
      </c>
      <c r="W239" s="72">
        <v>2.89379857</v>
      </c>
      <c r="X239" s="72">
        <v>4.45275131</v>
      </c>
      <c r="Y239" s="72">
        <v>5.7981543100000001</v>
      </c>
      <c r="Z239" s="115">
        <v>7.48390442</v>
      </c>
    </row>
    <row r="240" spans="2:26" x14ac:dyDescent="0.35">
      <c r="B240" s="55" t="s">
        <v>362</v>
      </c>
      <c r="C240" s="53" t="s">
        <v>234</v>
      </c>
      <c r="D240" s="53" t="s">
        <v>20</v>
      </c>
      <c r="E240" s="53" t="s">
        <v>21</v>
      </c>
      <c r="F240" s="71">
        <v>4.1612075587818438E-2</v>
      </c>
      <c r="G240" s="71">
        <v>4.7579476830734893E-2</v>
      </c>
      <c r="H240" s="71">
        <v>5.1350950939830338E-2</v>
      </c>
      <c r="I240" s="71">
        <v>5.3353703332658632E-2</v>
      </c>
      <c r="J240" s="63">
        <v>5.5767811581688663E-2</v>
      </c>
      <c r="K240" s="71" t="s">
        <v>21</v>
      </c>
      <c r="L240" s="71">
        <v>4.6526810307348926E-3</v>
      </c>
      <c r="M240" s="71">
        <v>8.4045296398303458E-3</v>
      </c>
      <c r="N240" s="71">
        <v>9.7283618326586274E-3</v>
      </c>
      <c r="O240" s="63">
        <v>1.074085608168867E-2</v>
      </c>
      <c r="P240" s="55" t="s">
        <v>21</v>
      </c>
      <c r="Q240" s="53" t="s">
        <v>21</v>
      </c>
      <c r="R240" s="94" t="s">
        <v>21</v>
      </c>
      <c r="S240" s="71">
        <v>0</v>
      </c>
      <c r="T240" s="63">
        <v>5.1350950939830338E-2</v>
      </c>
      <c r="V240" s="114">
        <v>1.13748147</v>
      </c>
      <c r="W240" s="72">
        <v>2.8918518799999999</v>
      </c>
      <c r="X240" s="72">
        <v>4.4491125300000007</v>
      </c>
      <c r="Y240" s="72">
        <v>5.7983590999999999</v>
      </c>
      <c r="Z240" s="115">
        <v>7.4981384699999998</v>
      </c>
    </row>
    <row r="241" spans="2:26" x14ac:dyDescent="0.35">
      <c r="B241" s="55" t="s">
        <v>363</v>
      </c>
      <c r="C241" s="53" t="s">
        <v>234</v>
      </c>
      <c r="D241" s="53" t="s">
        <v>20</v>
      </c>
      <c r="E241" s="53" t="s">
        <v>266</v>
      </c>
      <c r="F241" s="71">
        <v>4.1551396291836927E-2</v>
      </c>
      <c r="G241" s="71">
        <v>4.7391338421697494E-2</v>
      </c>
      <c r="H241" s="71">
        <v>5.1311183721978307E-2</v>
      </c>
      <c r="I241" s="71">
        <v>5.3784344234212862E-2</v>
      </c>
      <c r="J241" s="63">
        <v>5.6773343001067456E-2</v>
      </c>
      <c r="K241" s="71" t="s">
        <v>21</v>
      </c>
      <c r="L241" s="71">
        <v>4.4760158216974938E-3</v>
      </c>
      <c r="M241" s="71">
        <v>8.3681513219783163E-3</v>
      </c>
      <c r="N241" s="71">
        <v>1.013790493421286E-2</v>
      </c>
      <c r="O241" s="63">
        <v>1.1701796001067452E-2</v>
      </c>
      <c r="P241" s="55" t="s">
        <v>21</v>
      </c>
      <c r="Q241" s="53" t="s">
        <v>21</v>
      </c>
      <c r="R241" s="94" t="s">
        <v>21</v>
      </c>
      <c r="S241" s="71">
        <v>0</v>
      </c>
      <c r="T241" s="63">
        <v>5.1311183721978307E-2</v>
      </c>
      <c r="V241" s="114">
        <v>1.1375719899999999</v>
      </c>
      <c r="W241" s="72">
        <v>2.8931482399999999</v>
      </c>
      <c r="X241" s="72">
        <v>4.45138093</v>
      </c>
      <c r="Y241" s="72">
        <v>5.7975146999999998</v>
      </c>
      <c r="Z241" s="115">
        <v>7.4763201599999993</v>
      </c>
    </row>
    <row r="242" spans="2:26" x14ac:dyDescent="0.35">
      <c r="B242" s="55" t="s">
        <v>375</v>
      </c>
      <c r="C242" s="53" t="s">
        <v>234</v>
      </c>
      <c r="D242" s="53" t="s">
        <v>20</v>
      </c>
      <c r="E242" s="53" t="s">
        <v>112</v>
      </c>
      <c r="F242" s="71">
        <v>4.1538025881122612E-2</v>
      </c>
      <c r="G242" s="71">
        <v>4.6995426345233522E-2</v>
      </c>
      <c r="H242" s="71">
        <v>5.1270309102790054E-2</v>
      </c>
      <c r="I242" s="71">
        <v>5.3511967502172235E-2</v>
      </c>
      <c r="J242" s="63">
        <v>5.6161174817341702E-2</v>
      </c>
      <c r="K242" s="71" t="s">
        <v>21</v>
      </c>
      <c r="L242" s="71">
        <v>4.0992072452335172E-3</v>
      </c>
      <c r="M242" s="71">
        <v>8.328884002790065E-3</v>
      </c>
      <c r="N242" s="71">
        <v>9.8800240021722271E-3</v>
      </c>
      <c r="O242" s="63">
        <v>1.1116762017341712E-2</v>
      </c>
      <c r="P242" s="55" t="s">
        <v>398</v>
      </c>
      <c r="Q242" s="53" t="s">
        <v>399</v>
      </c>
      <c r="R242" s="94">
        <v>47825</v>
      </c>
      <c r="S242" s="71">
        <v>5.1278560000000001E-2</v>
      </c>
      <c r="T242" s="63">
        <v>-8.2508972099465394E-6</v>
      </c>
      <c r="V242" s="114">
        <v>1.13761011</v>
      </c>
      <c r="W242" s="72">
        <v>2.8956886599999998</v>
      </c>
      <c r="X242" s="72">
        <v>4.4545507500000001</v>
      </c>
      <c r="Y242" s="72">
        <v>5.8012522400000002</v>
      </c>
      <c r="Z242" s="115">
        <v>7.4953205999999994</v>
      </c>
    </row>
    <row r="243" spans="2:26" x14ac:dyDescent="0.35">
      <c r="B243" s="55" t="s">
        <v>355</v>
      </c>
      <c r="C243" s="53" t="s">
        <v>234</v>
      </c>
      <c r="D243" s="53" t="s">
        <v>20</v>
      </c>
      <c r="E243" s="53" t="s">
        <v>21</v>
      </c>
      <c r="F243" s="71">
        <v>4.1379143720093367E-2</v>
      </c>
      <c r="G243" s="71">
        <v>4.6886942610971066E-2</v>
      </c>
      <c r="H243" s="71">
        <v>5.1149478880798155E-2</v>
      </c>
      <c r="I243" s="71">
        <v>5.401575384493916E-2</v>
      </c>
      <c r="J243" s="63">
        <v>5.7224571984830754E-2</v>
      </c>
      <c r="K243" s="71" t="s">
        <v>21</v>
      </c>
      <c r="L243" s="71">
        <v>3.999040610971066E-3</v>
      </c>
      <c r="M243" s="71">
        <v>8.2162012807981653E-3</v>
      </c>
      <c r="N243" s="71">
        <v>1.0360034444939156E-2</v>
      </c>
      <c r="O243" s="63">
        <v>1.2136792484830756E-2</v>
      </c>
      <c r="P243" s="55" t="s">
        <v>21</v>
      </c>
      <c r="Q243" s="53" t="s">
        <v>21</v>
      </c>
      <c r="R243" s="94" t="s">
        <v>21</v>
      </c>
      <c r="S243" s="71">
        <v>0</v>
      </c>
      <c r="T243" s="63">
        <v>5.1149478880798155E-2</v>
      </c>
      <c r="V243" s="114">
        <v>1.1378897100000001</v>
      </c>
      <c r="W243" s="72">
        <v>2.8969655400000001</v>
      </c>
      <c r="X243" s="72">
        <v>4.4577530400000001</v>
      </c>
      <c r="Y243" s="72">
        <v>5.7984217600000001</v>
      </c>
      <c r="Z243" s="115">
        <v>7.4643775999999997</v>
      </c>
    </row>
    <row r="244" spans="2:26" x14ac:dyDescent="0.35">
      <c r="B244" s="55" t="s">
        <v>358</v>
      </c>
      <c r="C244" s="53" t="s">
        <v>234</v>
      </c>
      <c r="D244" s="53" t="s">
        <v>20</v>
      </c>
      <c r="E244" s="53" t="s">
        <v>21</v>
      </c>
      <c r="F244" s="71">
        <v>4.1599815071835008E-2</v>
      </c>
      <c r="G244" s="71">
        <v>4.7237489477142604E-2</v>
      </c>
      <c r="H244" s="71">
        <v>5.1163586046101314E-2</v>
      </c>
      <c r="I244" s="71">
        <v>5.4119120565700708E-2</v>
      </c>
      <c r="J244" s="63">
        <v>5.738986060589845E-2</v>
      </c>
      <c r="K244" s="71" t="s">
        <v>21</v>
      </c>
      <c r="L244" s="71">
        <v>4.3289345771426058E-3</v>
      </c>
      <c r="M244" s="71">
        <v>8.2274029461013119E-3</v>
      </c>
      <c r="N244" s="71">
        <v>1.0455386665700705E-2</v>
      </c>
      <c r="O244" s="63">
        <v>1.2292316405898453E-2</v>
      </c>
      <c r="P244" s="55" t="s">
        <v>21</v>
      </c>
      <c r="Q244" s="53" t="s">
        <v>21</v>
      </c>
      <c r="R244" s="94" t="s">
        <v>21</v>
      </c>
      <c r="S244" s="71">
        <v>0</v>
      </c>
      <c r="T244" s="63">
        <v>5.1163586046101314E-2</v>
      </c>
      <c r="V244" s="114">
        <v>1.1374974600000001</v>
      </c>
      <c r="W244" s="72">
        <v>2.8943130099999999</v>
      </c>
      <c r="X244" s="72">
        <v>4.4538538599999997</v>
      </c>
      <c r="Y244" s="72">
        <v>5.7951757600000002</v>
      </c>
      <c r="Z244" s="115">
        <v>7.4570640499999996</v>
      </c>
    </row>
    <row r="245" spans="2:26" x14ac:dyDescent="0.35">
      <c r="B245" s="55" t="s">
        <v>370</v>
      </c>
      <c r="C245" s="53" t="s">
        <v>234</v>
      </c>
      <c r="D245" s="53" t="s">
        <v>31</v>
      </c>
      <c r="E245" s="53" t="s">
        <v>21</v>
      </c>
      <c r="F245" s="71">
        <v>4.1668168313616458E-2</v>
      </c>
      <c r="G245" s="71">
        <v>4.6940661847225632E-2</v>
      </c>
      <c r="H245" s="71">
        <v>5.0577872601510539E-2</v>
      </c>
      <c r="I245" s="71">
        <v>5.2714789021610961E-2</v>
      </c>
      <c r="J245" s="63">
        <v>5.5261936350196016E-2</v>
      </c>
      <c r="K245" s="71" t="s">
        <v>21</v>
      </c>
      <c r="L245" s="71">
        <v>4.0496748472256313E-3</v>
      </c>
      <c r="M245" s="71">
        <v>7.6730697015105435E-3</v>
      </c>
      <c r="N245" s="71">
        <v>9.1219383216109493E-3</v>
      </c>
      <c r="O245" s="63">
        <v>1.0253866450196008E-2</v>
      </c>
      <c r="P245" s="55" t="s">
        <v>21</v>
      </c>
      <c r="Q245" s="53" t="s">
        <v>21</v>
      </c>
      <c r="R245" s="94" t="s">
        <v>21</v>
      </c>
      <c r="S245" s="71">
        <v>0</v>
      </c>
      <c r="T245" s="63">
        <v>5.0577872601510539E-2</v>
      </c>
      <c r="V245" s="114">
        <v>1.1373380100000001</v>
      </c>
      <c r="W245" s="72">
        <v>2.8953703000000002</v>
      </c>
      <c r="X245" s="72">
        <v>4.4611703699999996</v>
      </c>
      <c r="Y245" s="72">
        <v>5.82233132</v>
      </c>
      <c r="Z245" s="115">
        <v>7.5414056399999998</v>
      </c>
    </row>
    <row r="246" spans="2:26" x14ac:dyDescent="0.35">
      <c r="B246" s="55" t="s">
        <v>264</v>
      </c>
      <c r="C246" s="53" t="s">
        <v>234</v>
      </c>
      <c r="D246" s="53" t="s">
        <v>97</v>
      </c>
      <c r="E246" s="53" t="s">
        <v>291</v>
      </c>
      <c r="F246" s="71">
        <v>4.1504901335413902E-2</v>
      </c>
      <c r="G246" s="71">
        <v>4.7049248471603064E-2</v>
      </c>
      <c r="H246" s="71">
        <v>5.0479765081855421E-2</v>
      </c>
      <c r="I246" s="71">
        <v>5.2616447186242483E-2</v>
      </c>
      <c r="J246" s="63">
        <v>5.4875426613795353E-2</v>
      </c>
      <c r="K246" s="71" t="s">
        <v>21</v>
      </c>
      <c r="L246" s="71">
        <v>4.1512577716030672E-3</v>
      </c>
      <c r="M246" s="71">
        <v>7.5787479818554219E-3</v>
      </c>
      <c r="N246" s="71">
        <v>9.0273315862424777E-3</v>
      </c>
      <c r="O246" s="63">
        <v>9.8830440137953508E-3</v>
      </c>
      <c r="P246" s="55" t="s">
        <v>559</v>
      </c>
      <c r="Q246" s="53" t="s">
        <v>560</v>
      </c>
      <c r="R246" s="94">
        <v>47648</v>
      </c>
      <c r="S246" s="71">
        <v>4.8477259999999994E-2</v>
      </c>
      <c r="T246" s="63">
        <v>2.0025050818554269E-3</v>
      </c>
      <c r="V246" s="114">
        <v>1.1376688799999999</v>
      </c>
      <c r="W246" s="72">
        <v>2.89527095</v>
      </c>
      <c r="X246" s="72">
        <v>4.4618163700000002</v>
      </c>
      <c r="Y246" s="72">
        <v>5.8246408899999995</v>
      </c>
      <c r="Z246" s="115">
        <v>7.5530353499999991</v>
      </c>
    </row>
    <row r="247" spans="2:26" x14ac:dyDescent="0.35">
      <c r="B247" s="55" t="s">
        <v>371</v>
      </c>
      <c r="C247" s="53" t="s">
        <v>234</v>
      </c>
      <c r="D247" s="53" t="s">
        <v>20</v>
      </c>
      <c r="E247" s="53" t="s">
        <v>21</v>
      </c>
      <c r="F247" s="71">
        <v>4.1621065108725853E-2</v>
      </c>
      <c r="G247" s="71">
        <v>4.7035992419091191E-2</v>
      </c>
      <c r="H247" s="71">
        <v>5.0603738295103395E-2</v>
      </c>
      <c r="I247" s="71">
        <v>5.2576124954339311E-2</v>
      </c>
      <c r="J247" s="63">
        <v>5.5165321551962451E-2</v>
      </c>
      <c r="K247" s="71" t="s">
        <v>21</v>
      </c>
      <c r="L247" s="71">
        <v>4.1388543190911996E-3</v>
      </c>
      <c r="M247" s="71">
        <v>7.6967007951033927E-3</v>
      </c>
      <c r="N247" s="71">
        <v>8.9894998543393091E-3</v>
      </c>
      <c r="O247" s="63">
        <v>1.0161008351962448E-2</v>
      </c>
      <c r="P247" s="55" t="s">
        <v>21</v>
      </c>
      <c r="Q247" s="53" t="s">
        <v>21</v>
      </c>
      <c r="R247" s="94" t="s">
        <v>21</v>
      </c>
      <c r="S247" s="71">
        <v>0</v>
      </c>
      <c r="T247" s="63">
        <v>5.0603738295103395E-2</v>
      </c>
      <c r="V247" s="114">
        <v>1.1374520100000001</v>
      </c>
      <c r="W247" s="72">
        <v>2.8950221900000002</v>
      </c>
      <c r="X247" s="72">
        <v>4.4606937499999999</v>
      </c>
      <c r="Y247" s="72">
        <v>5.8232261899999997</v>
      </c>
      <c r="Z247" s="115">
        <v>7.5439094900000008</v>
      </c>
    </row>
    <row r="248" spans="2:26" x14ac:dyDescent="0.35">
      <c r="B248" s="55" t="s">
        <v>148</v>
      </c>
      <c r="C248" s="53" t="s">
        <v>234</v>
      </c>
      <c r="D248" s="53" t="s">
        <v>20</v>
      </c>
      <c r="E248" s="53" t="s">
        <v>21</v>
      </c>
      <c r="F248" s="71">
        <v>4.1237015450724362E-2</v>
      </c>
      <c r="G248" s="71">
        <v>4.6489523560198087E-2</v>
      </c>
      <c r="H248" s="71">
        <v>5.0534870556251853E-2</v>
      </c>
      <c r="I248" s="71">
        <v>5.3271177407684542E-2</v>
      </c>
      <c r="J248" s="63">
        <v>5.62957843589207E-2</v>
      </c>
      <c r="K248" s="71" t="s">
        <v>21</v>
      </c>
      <c r="L248" s="71">
        <v>3.6199881601980855E-3</v>
      </c>
      <c r="M248" s="71">
        <v>7.6316403562518512E-3</v>
      </c>
      <c r="N248" s="71">
        <v>9.6518110076845402E-3</v>
      </c>
      <c r="O248" s="63">
        <v>1.1248670058920695E-2</v>
      </c>
      <c r="P248" s="55" t="s">
        <v>561</v>
      </c>
      <c r="Q248" s="53" t="s">
        <v>562</v>
      </c>
      <c r="R248" s="94">
        <v>47515</v>
      </c>
      <c r="S248" s="71">
        <v>5.1304889999999999E-2</v>
      </c>
      <c r="T248" s="63">
        <v>-7.7001944374814613E-4</v>
      </c>
      <c r="V248" s="114">
        <v>1.13817506</v>
      </c>
      <c r="W248" s="72">
        <v>2.8998641700000003</v>
      </c>
      <c r="X248" s="72">
        <v>4.4670475000000005</v>
      </c>
      <c r="Y248" s="72">
        <v>5.8189356800000001</v>
      </c>
      <c r="Z248" s="115">
        <v>7.5076557399999997</v>
      </c>
    </row>
    <row r="249" spans="2:26" x14ac:dyDescent="0.35">
      <c r="B249" s="55" t="s">
        <v>369</v>
      </c>
      <c r="C249" s="53" t="s">
        <v>234</v>
      </c>
      <c r="D249" s="53" t="s">
        <v>20</v>
      </c>
      <c r="E249" s="53" t="s">
        <v>258</v>
      </c>
      <c r="F249" s="71">
        <v>4.1219558808619286E-2</v>
      </c>
      <c r="G249" s="71">
        <v>4.6747001000116022E-2</v>
      </c>
      <c r="H249" s="71">
        <v>5.0460889720632639E-2</v>
      </c>
      <c r="I249" s="71">
        <v>5.3103952321082587E-2</v>
      </c>
      <c r="J249" s="63">
        <v>5.549663961821906E-2</v>
      </c>
      <c r="K249" s="71" t="s">
        <v>21</v>
      </c>
      <c r="L249" s="71">
        <v>3.8637367001160246E-3</v>
      </c>
      <c r="M249" s="71">
        <v>7.560618320632634E-3</v>
      </c>
      <c r="N249" s="71">
        <v>9.4915084210825881E-3</v>
      </c>
      <c r="O249" s="63">
        <v>1.0481766118219047E-2</v>
      </c>
      <c r="P249" s="55" t="s">
        <v>21</v>
      </c>
      <c r="Q249" s="53" t="s">
        <v>21</v>
      </c>
      <c r="R249" s="94" t="s">
        <v>21</v>
      </c>
      <c r="S249" s="71">
        <v>0</v>
      </c>
      <c r="T249" s="63">
        <v>5.0460889720632639E-2</v>
      </c>
      <c r="V249" s="114">
        <v>1.1382197300000001</v>
      </c>
      <c r="W249" s="72">
        <v>2.8982686800000002</v>
      </c>
      <c r="X249" s="72">
        <v>4.4653156100000002</v>
      </c>
      <c r="Y249" s="72">
        <v>5.8209882899999998</v>
      </c>
      <c r="Z249" s="115">
        <v>7.53159197</v>
      </c>
    </row>
    <row r="250" spans="2:26" x14ac:dyDescent="0.35">
      <c r="B250" s="55" t="s">
        <v>368</v>
      </c>
      <c r="C250" s="53" t="s">
        <v>234</v>
      </c>
      <c r="D250" s="53" t="s">
        <v>20</v>
      </c>
      <c r="E250" s="53" t="s">
        <v>294</v>
      </c>
      <c r="F250" s="71">
        <v>4.1262946137352999E-2</v>
      </c>
      <c r="G250" s="71">
        <v>4.6698777335748232E-2</v>
      </c>
      <c r="H250" s="71">
        <v>5.035554139285163E-2</v>
      </c>
      <c r="I250" s="71">
        <v>5.2884485077672794E-2</v>
      </c>
      <c r="J250" s="63">
        <v>5.5699239377348025E-2</v>
      </c>
      <c r="K250" s="71" t="s">
        <v>21</v>
      </c>
      <c r="L250" s="71">
        <v>3.8175326357482373E-3</v>
      </c>
      <c r="M250" s="71">
        <v>7.4602523928516285E-3</v>
      </c>
      <c r="N250" s="71">
        <v>9.2830557776727995E-3</v>
      </c>
      <c r="O250" s="63">
        <v>1.0679982777348034E-2</v>
      </c>
      <c r="P250" s="55" t="s">
        <v>21</v>
      </c>
      <c r="Q250" s="53" t="s">
        <v>21</v>
      </c>
      <c r="R250" s="94" t="s">
        <v>21</v>
      </c>
      <c r="S250" s="71">
        <v>0</v>
      </c>
      <c r="T250" s="63">
        <v>5.035554139285163E-2</v>
      </c>
      <c r="V250" s="114">
        <v>1.1381398300000001</v>
      </c>
      <c r="W250" s="72">
        <v>2.8984964</v>
      </c>
      <c r="X250" s="72">
        <v>4.4675946099999999</v>
      </c>
      <c r="Y250" s="72">
        <v>5.8250798999999995</v>
      </c>
      <c r="Z250" s="115">
        <v>7.5230719500000003</v>
      </c>
    </row>
    <row r="251" spans="2:26" x14ac:dyDescent="0.35">
      <c r="B251" s="55" t="s">
        <v>373</v>
      </c>
      <c r="C251" s="53" t="s">
        <v>234</v>
      </c>
      <c r="D251" s="53" t="s">
        <v>20</v>
      </c>
      <c r="E251" s="53" t="s">
        <v>21</v>
      </c>
      <c r="F251" s="71">
        <v>4.139777228491235E-2</v>
      </c>
      <c r="G251" s="71">
        <v>4.6727589873256058E-2</v>
      </c>
      <c r="H251" s="71">
        <v>5.0069575830776696E-2</v>
      </c>
      <c r="I251" s="71">
        <v>5.1995405478294697E-2</v>
      </c>
      <c r="J251" s="63">
        <v>5.4229858678536191E-2</v>
      </c>
      <c r="K251" s="71" t="s">
        <v>21</v>
      </c>
      <c r="L251" s="71">
        <v>3.8467771732560632E-3</v>
      </c>
      <c r="M251" s="71">
        <v>7.1896915307767002E-3</v>
      </c>
      <c r="N251" s="71">
        <v>8.4367496782946898E-3</v>
      </c>
      <c r="O251" s="63">
        <v>9.2644032785361968E-3</v>
      </c>
      <c r="P251" s="55" t="s">
        <v>21</v>
      </c>
      <c r="Q251" s="53" t="s">
        <v>21</v>
      </c>
      <c r="R251" s="94" t="s">
        <v>21</v>
      </c>
      <c r="S251" s="71">
        <v>0</v>
      </c>
      <c r="T251" s="63">
        <v>5.0069575830776696E-2</v>
      </c>
      <c r="V251" s="114">
        <v>1.13785892</v>
      </c>
      <c r="W251" s="72">
        <v>2.8975174999999997</v>
      </c>
      <c r="X251" s="72">
        <v>4.4687574699999999</v>
      </c>
      <c r="Y251" s="72">
        <v>5.8407679799999999</v>
      </c>
      <c r="Z251" s="115">
        <v>7.585059750000001</v>
      </c>
    </row>
    <row r="252" spans="2:26" x14ac:dyDescent="0.35">
      <c r="B252" s="55" t="s">
        <v>268</v>
      </c>
      <c r="C252" s="53" t="s">
        <v>234</v>
      </c>
      <c r="D252" s="53" t="s">
        <v>20</v>
      </c>
      <c r="E252" s="53" t="s">
        <v>318</v>
      </c>
      <c r="F252" s="71">
        <v>4.173372902628663E-2</v>
      </c>
      <c r="G252" s="71">
        <v>4.6869253793958378E-2</v>
      </c>
      <c r="H252" s="71">
        <v>5.0070902707497006E-2</v>
      </c>
      <c r="I252" s="71">
        <v>5.1977378669638134E-2</v>
      </c>
      <c r="J252" s="63">
        <v>5.4208189432259551E-2</v>
      </c>
      <c r="K252" s="71" t="s">
        <v>21</v>
      </c>
      <c r="L252" s="71">
        <v>3.9785061939583829E-3</v>
      </c>
      <c r="M252" s="71">
        <v>7.1889933074970099E-3</v>
      </c>
      <c r="N252" s="71">
        <v>8.4180541696381311E-3</v>
      </c>
      <c r="O252" s="63">
        <v>9.2418061322595557E-3</v>
      </c>
      <c r="P252" s="55" t="s">
        <v>563</v>
      </c>
      <c r="Q252" s="53" t="s">
        <v>564</v>
      </c>
      <c r="R252" s="94" t="s">
        <v>32</v>
      </c>
      <c r="S252" s="71">
        <v>4.8212430000000001E-2</v>
      </c>
      <c r="T252" s="63">
        <v>1.8584727074970053E-3</v>
      </c>
      <c r="V252" s="114">
        <v>1.13725601</v>
      </c>
      <c r="W252" s="72">
        <v>2.8957927800000003</v>
      </c>
      <c r="X252" s="72">
        <v>4.4675238300000002</v>
      </c>
      <c r="Y252" s="72">
        <v>5.8392982299999998</v>
      </c>
      <c r="Z252" s="115">
        <v>7.5845957699999991</v>
      </c>
    </row>
    <row r="253" spans="2:26" x14ac:dyDescent="0.35">
      <c r="B253" s="55" t="s">
        <v>374</v>
      </c>
      <c r="C253" s="53" t="s">
        <v>234</v>
      </c>
      <c r="D253" s="53" t="s">
        <v>20</v>
      </c>
      <c r="E253" s="53" t="s">
        <v>266</v>
      </c>
      <c r="F253" s="71">
        <v>4.1235741924441439E-2</v>
      </c>
      <c r="G253" s="71">
        <v>4.6698291754253017E-2</v>
      </c>
      <c r="H253" s="71">
        <v>4.9952581405147252E-2</v>
      </c>
      <c r="I253" s="71">
        <v>5.1829072832655698E-2</v>
      </c>
      <c r="J253" s="63">
        <v>5.4209322716870005E-2</v>
      </c>
      <c r="K253" s="71" t="s">
        <v>21</v>
      </c>
      <c r="L253" s="71">
        <v>3.8172465542530187E-3</v>
      </c>
      <c r="M253" s="71">
        <v>7.0772814051472495E-3</v>
      </c>
      <c r="N253" s="71">
        <v>8.277551632655698E-3</v>
      </c>
      <c r="O253" s="63">
        <v>9.2489207168700016E-3</v>
      </c>
      <c r="P253" s="55" t="s">
        <v>396</v>
      </c>
      <c r="Q253" s="53" t="s">
        <v>397</v>
      </c>
      <c r="R253" s="94">
        <v>47515</v>
      </c>
      <c r="S253" s="71">
        <v>5.1214040000000002E-2</v>
      </c>
      <c r="T253" s="63">
        <v>-1.2614585948527504E-3</v>
      </c>
      <c r="V253" s="114">
        <v>1.1381932799999999</v>
      </c>
      <c r="W253" s="72">
        <v>2.8983199500000003</v>
      </c>
      <c r="X253" s="72">
        <v>4.4707608500000005</v>
      </c>
      <c r="Y253" s="72">
        <v>5.8446167400000002</v>
      </c>
      <c r="Z253" s="115">
        <v>7.5813305700000004</v>
      </c>
    </row>
    <row r="254" spans="2:26" x14ac:dyDescent="0.35">
      <c r="B254" s="79" t="s">
        <v>162</v>
      </c>
      <c r="C254" s="136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7"/>
      <c r="P254" s="79"/>
      <c r="Q254" s="78"/>
      <c r="R254" s="95"/>
      <c r="S254" s="78"/>
      <c r="T254" s="77"/>
      <c r="V254" s="120"/>
      <c r="W254" s="109"/>
      <c r="X254" s="109"/>
      <c r="Y254" s="109"/>
      <c r="Z254" s="121"/>
    </row>
    <row r="255" spans="2:26" x14ac:dyDescent="0.35">
      <c r="B255" s="56" t="s">
        <v>164</v>
      </c>
      <c r="C255" s="53" t="s">
        <v>234</v>
      </c>
      <c r="D255" s="66" t="s">
        <v>20</v>
      </c>
      <c r="E255" s="66" t="s">
        <v>292</v>
      </c>
      <c r="F255" s="80">
        <v>5.1741097374553395E-2</v>
      </c>
      <c r="G255" s="80">
        <v>7.2598524494910624E-2</v>
      </c>
      <c r="H255" s="80">
        <v>9.1388366953032291E-2</v>
      </c>
      <c r="I255" s="80">
        <v>0.10103181205870496</v>
      </c>
      <c r="J255" s="62">
        <v>0.10517956671459795</v>
      </c>
      <c r="K255" s="80">
        <v>7.7840221745533985E-3</v>
      </c>
      <c r="L255" s="80">
        <v>2.7867460394910636E-2</v>
      </c>
      <c r="M255" s="80">
        <v>4.5104176353032287E-2</v>
      </c>
      <c r="N255" s="80">
        <v>5.3266605458704951E-2</v>
      </c>
      <c r="O255" s="62">
        <v>5.609544121459796E-2</v>
      </c>
      <c r="P255" s="56" t="s">
        <v>21</v>
      </c>
      <c r="Q255" s="66" t="s">
        <v>21</v>
      </c>
      <c r="R255" s="100" t="s">
        <v>21</v>
      </c>
      <c r="S255" s="80">
        <v>0</v>
      </c>
      <c r="T255" s="62">
        <v>9.1388366953032291E-2</v>
      </c>
      <c r="V255" s="118">
        <v>1.11476267</v>
      </c>
      <c r="W255" s="61">
        <v>2.7034601600000001</v>
      </c>
      <c r="X255" s="61">
        <v>3.8648674600000001</v>
      </c>
      <c r="Y255" s="61">
        <v>4.6358165500000004</v>
      </c>
      <c r="Z255" s="119">
        <v>5.4111401400000005</v>
      </c>
    </row>
    <row r="256" spans="2:26" x14ac:dyDescent="0.35">
      <c r="B256" s="55" t="s">
        <v>167</v>
      </c>
      <c r="C256" s="53" t="s">
        <v>234</v>
      </c>
      <c r="D256" s="53" t="s">
        <v>97</v>
      </c>
      <c r="E256" s="53" t="s">
        <v>236</v>
      </c>
      <c r="F256" s="71">
        <v>4.6470669873300514E-2</v>
      </c>
      <c r="G256" s="71">
        <v>6.2798302368119119E-2</v>
      </c>
      <c r="H256" s="71">
        <v>7.6383276052549728E-2</v>
      </c>
      <c r="I256" s="71">
        <v>8.1234479755433325E-2</v>
      </c>
      <c r="J256" s="63">
        <v>8.5960019558268902E-2</v>
      </c>
      <c r="K256" s="71">
        <v>2.9729020733005092E-3</v>
      </c>
      <c r="L256" s="71">
        <v>1.8924255968119121E-2</v>
      </c>
      <c r="M256" s="71">
        <v>3.1637130752549723E-2</v>
      </c>
      <c r="N256" s="71">
        <v>3.5584153155433319E-2</v>
      </c>
      <c r="O256" s="63">
        <v>3.8869564458268911E-2</v>
      </c>
      <c r="P256" s="55" t="s">
        <v>21</v>
      </c>
      <c r="Q256" s="53" t="s">
        <v>21</v>
      </c>
      <c r="R256" s="94" t="s">
        <v>21</v>
      </c>
      <c r="S256" s="71">
        <v>0</v>
      </c>
      <c r="T256" s="63">
        <v>7.6383276052549728E-2</v>
      </c>
      <c r="V256" s="114">
        <v>1.12696755</v>
      </c>
      <c r="W256" s="72">
        <v>2.7799167300000001</v>
      </c>
      <c r="X256" s="72">
        <v>4.0756364000000005</v>
      </c>
      <c r="Y256" s="72">
        <v>5.0583386600000004</v>
      </c>
      <c r="Z256" s="115">
        <v>6.1296268899999999</v>
      </c>
    </row>
    <row r="257" spans="2:26" x14ac:dyDescent="0.35">
      <c r="B257" s="55" t="s">
        <v>235</v>
      </c>
      <c r="C257" s="53" t="s">
        <v>234</v>
      </c>
      <c r="D257" s="53" t="s">
        <v>43</v>
      </c>
      <c r="E257" s="53" t="s">
        <v>565</v>
      </c>
      <c r="F257" s="71">
        <v>4.5733058584548278E-2</v>
      </c>
      <c r="G257" s="71">
        <v>5.8555888624116315E-2</v>
      </c>
      <c r="H257" s="71">
        <v>7.1563373487237666E-2</v>
      </c>
      <c r="I257" s="71">
        <v>7.8348967837239797E-2</v>
      </c>
      <c r="J257" s="63">
        <v>8.3299342164415008E-2</v>
      </c>
      <c r="K257" s="71">
        <v>2.2547386845482732E-3</v>
      </c>
      <c r="L257" s="71">
        <v>1.4978421924116313E-2</v>
      </c>
      <c r="M257" s="71">
        <v>2.7222548187237676E-2</v>
      </c>
      <c r="N257" s="71">
        <v>3.2945060237239802E-2</v>
      </c>
      <c r="O257" s="63">
        <v>3.6443162564414988E-2</v>
      </c>
      <c r="P257" s="55" t="s">
        <v>21</v>
      </c>
      <c r="Q257" s="53" t="s">
        <v>21</v>
      </c>
      <c r="R257" s="94" t="s">
        <v>21</v>
      </c>
      <c r="S257" s="71">
        <v>0</v>
      </c>
      <c r="T257" s="63">
        <v>7.1563373487237666E-2</v>
      </c>
      <c r="V257" s="114">
        <v>1.12898498</v>
      </c>
      <c r="W257" s="72">
        <v>2.8132763500000002</v>
      </c>
      <c r="X257" s="72">
        <v>4.1564347399999999</v>
      </c>
      <c r="Y257" s="72">
        <v>5.1711256400000005</v>
      </c>
      <c r="Z257" s="115">
        <v>6.2746372499999996</v>
      </c>
    </row>
    <row r="258" spans="2:26" x14ac:dyDescent="0.35">
      <c r="B258" s="55" t="s">
        <v>163</v>
      </c>
      <c r="C258" s="53" t="s">
        <v>234</v>
      </c>
      <c r="D258" s="53" t="s">
        <v>97</v>
      </c>
      <c r="E258" s="53" t="s">
        <v>116</v>
      </c>
      <c r="F258" s="71">
        <v>4.4468951046587379E-2</v>
      </c>
      <c r="G258" s="71">
        <v>5.5987494294038473E-2</v>
      </c>
      <c r="H258" s="71">
        <v>6.5428205540135759E-2</v>
      </c>
      <c r="I258" s="71">
        <v>7.0949143926363589E-2</v>
      </c>
      <c r="J258" s="63">
        <v>7.5838681448469558E-2</v>
      </c>
      <c r="K258" s="71">
        <v>1.0524906465873814E-3</v>
      </c>
      <c r="L258" s="71">
        <v>1.2579486494038478E-2</v>
      </c>
      <c r="M258" s="71">
        <v>2.158308494013577E-2</v>
      </c>
      <c r="N258" s="71">
        <v>2.6173324926363595E-2</v>
      </c>
      <c r="O258" s="63">
        <v>2.9592691448469551E-2</v>
      </c>
      <c r="P258" s="55" t="s">
        <v>566</v>
      </c>
      <c r="Q258" s="53" t="s">
        <v>567</v>
      </c>
      <c r="R258" s="94">
        <v>47542</v>
      </c>
      <c r="S258" s="71">
        <v>5.5639279999999999E-2</v>
      </c>
      <c r="T258" s="63">
        <v>9.7889255401357594E-3</v>
      </c>
      <c r="V258" s="114">
        <v>1.1320796</v>
      </c>
      <c r="W258" s="72">
        <v>2.8273955399999999</v>
      </c>
      <c r="X258" s="72">
        <v>4.2343780500000001</v>
      </c>
      <c r="Y258" s="72">
        <v>5.3451822399999998</v>
      </c>
      <c r="Z258" s="115">
        <v>6.5932813100000001</v>
      </c>
    </row>
    <row r="259" spans="2:26" x14ac:dyDescent="0.35">
      <c r="B259" s="55" t="s">
        <v>174</v>
      </c>
      <c r="C259" s="53" t="s">
        <v>234</v>
      </c>
      <c r="D259" s="53" t="s">
        <v>43</v>
      </c>
      <c r="E259" s="53" t="s">
        <v>568</v>
      </c>
      <c r="F259" s="71">
        <v>4.5322926031839565E-2</v>
      </c>
      <c r="G259" s="71">
        <v>5.5356564351633018E-2</v>
      </c>
      <c r="H259" s="71">
        <v>6.4408207980447843E-2</v>
      </c>
      <c r="I259" s="71">
        <v>6.9712316597169185E-2</v>
      </c>
      <c r="J259" s="63">
        <v>7.4024063683606478E-2</v>
      </c>
      <c r="K259" s="71">
        <v>1.8686417318395602E-3</v>
      </c>
      <c r="L259" s="71">
        <v>1.199577705163302E-2</v>
      </c>
      <c r="M259" s="71">
        <v>2.0642850680447841E-2</v>
      </c>
      <c r="N259" s="71">
        <v>2.5033036397169198E-2</v>
      </c>
      <c r="O259" s="63">
        <v>2.7911407283606471E-2</v>
      </c>
      <c r="P259" s="55" t="s">
        <v>569</v>
      </c>
      <c r="Q259" s="53" t="s">
        <v>570</v>
      </c>
      <c r="R259" s="94">
        <v>47535</v>
      </c>
      <c r="S259" s="71">
        <v>5.2452040000000005E-2</v>
      </c>
      <c r="T259" s="63">
        <v>1.1956167980447838E-2</v>
      </c>
      <c r="V259" s="114">
        <v>1.1300133999999999</v>
      </c>
      <c r="W259" s="72">
        <v>2.8332865599999999</v>
      </c>
      <c r="X259" s="72">
        <v>4.24979628</v>
      </c>
      <c r="Y259" s="72">
        <v>5.3747734099999995</v>
      </c>
      <c r="Z259" s="115">
        <v>6.6603007500000002</v>
      </c>
    </row>
    <row r="260" spans="2:26" x14ac:dyDescent="0.35">
      <c r="B260" s="55" t="s">
        <v>172</v>
      </c>
      <c r="C260" s="53" t="s">
        <v>234</v>
      </c>
      <c r="D260" s="53" t="s">
        <v>31</v>
      </c>
      <c r="E260" s="53" t="s">
        <v>571</v>
      </c>
      <c r="F260" s="71">
        <v>4.396026865189688E-2</v>
      </c>
      <c r="G260" s="71">
        <v>5.3528169385139553E-2</v>
      </c>
      <c r="H260" s="71">
        <v>6.3213804321683068E-2</v>
      </c>
      <c r="I260" s="71">
        <v>6.9934357008389514E-2</v>
      </c>
      <c r="J260" s="63">
        <v>7.5850209128251467E-2</v>
      </c>
      <c r="K260" s="71">
        <v>5.7799905189688701E-4</v>
      </c>
      <c r="L260" s="71">
        <v>1.0275004285139559E-2</v>
      </c>
      <c r="M260" s="71">
        <v>1.9537052621683058E-2</v>
      </c>
      <c r="N260" s="71">
        <v>2.5239036808389508E-2</v>
      </c>
      <c r="O260" s="63">
        <v>2.960741902825147E-2</v>
      </c>
      <c r="P260" s="55" t="s">
        <v>572</v>
      </c>
      <c r="Q260" s="53" t="s">
        <v>573</v>
      </c>
      <c r="R260" s="94">
        <v>47664</v>
      </c>
      <c r="S260" s="71">
        <v>5.5290400000000003E-2</v>
      </c>
      <c r="T260" s="63">
        <v>7.9234043216830641E-3</v>
      </c>
      <c r="V260" s="114">
        <v>1.13298769</v>
      </c>
      <c r="W260" s="72">
        <v>2.8491592999999997</v>
      </c>
      <c r="X260" s="72">
        <v>4.2794098400000005</v>
      </c>
      <c r="Y260" s="72">
        <v>5.4002090300000001</v>
      </c>
      <c r="Z260" s="115">
        <v>6.64030202</v>
      </c>
    </row>
    <row r="261" spans="2:26" x14ac:dyDescent="0.35">
      <c r="B261" s="55" t="s">
        <v>175</v>
      </c>
      <c r="C261" s="53" t="s">
        <v>234</v>
      </c>
      <c r="D261" s="53" t="s">
        <v>43</v>
      </c>
      <c r="E261" s="53" t="s">
        <v>141</v>
      </c>
      <c r="F261" s="71">
        <v>4.8447822240327336E-2</v>
      </c>
      <c r="G261" s="71">
        <v>5.6237776901817096E-2</v>
      </c>
      <c r="H261" s="71">
        <v>6.3014668785869477E-2</v>
      </c>
      <c r="I261" s="71">
        <v>6.8059448676601547E-2</v>
      </c>
      <c r="J261" s="63">
        <v>7.3693719396659058E-2</v>
      </c>
      <c r="K261" s="71">
        <v>4.7402041403273336E-3</v>
      </c>
      <c r="L261" s="71">
        <v>1.2803157601817092E-2</v>
      </c>
      <c r="M261" s="71">
        <v>1.9342831485869467E-2</v>
      </c>
      <c r="N261" s="71">
        <v>2.3498752776601555E-2</v>
      </c>
      <c r="O261" s="63">
        <v>2.759275409665907E-2</v>
      </c>
      <c r="P261" s="55" t="s">
        <v>21</v>
      </c>
      <c r="Q261" s="53" t="s">
        <v>21</v>
      </c>
      <c r="R261" s="94" t="s">
        <v>21</v>
      </c>
      <c r="S261" s="71">
        <v>0</v>
      </c>
      <c r="T261" s="63">
        <v>6.3014668785869477E-2</v>
      </c>
      <c r="V261" s="114">
        <v>1.1226858500000001</v>
      </c>
      <c r="W261" s="72">
        <v>2.8153774499999997</v>
      </c>
      <c r="X261" s="72">
        <v>4.2461667199999997</v>
      </c>
      <c r="Y261" s="72">
        <v>5.3957899300000003</v>
      </c>
      <c r="Z261" s="115">
        <v>6.6925367400000004</v>
      </c>
    </row>
    <row r="262" spans="2:26" x14ac:dyDescent="0.35">
      <c r="B262" s="55" t="s">
        <v>129</v>
      </c>
      <c r="C262" s="53" t="s">
        <v>234</v>
      </c>
      <c r="D262" s="53" t="s">
        <v>62</v>
      </c>
      <c r="E262" s="53" t="s">
        <v>574</v>
      </c>
      <c r="F262" s="71">
        <v>4.5520333848076001E-2</v>
      </c>
      <c r="G262" s="71">
        <v>5.4978310019037697E-2</v>
      </c>
      <c r="H262" s="71">
        <v>6.2470104716192937E-2</v>
      </c>
      <c r="I262" s="71">
        <v>6.6929392970451015E-2</v>
      </c>
      <c r="J262" s="63">
        <v>7.087808555248655E-2</v>
      </c>
      <c r="K262" s="71">
        <v>2.0543123480759994E-3</v>
      </c>
      <c r="L262" s="71">
        <v>1.1641249619037695E-2</v>
      </c>
      <c r="M262" s="71">
        <v>1.8849095716192931E-2</v>
      </c>
      <c r="N262" s="71">
        <v>2.2462670370451007E-2</v>
      </c>
      <c r="O262" s="63">
        <v>2.4988301752486553E-2</v>
      </c>
      <c r="P262" s="55" t="s">
        <v>21</v>
      </c>
      <c r="Q262" s="53" t="s">
        <v>21</v>
      </c>
      <c r="R262" s="94" t="s">
        <v>21</v>
      </c>
      <c r="S262" s="71">
        <v>0</v>
      </c>
      <c r="T262" s="63">
        <v>6.2470104716192937E-2</v>
      </c>
      <c r="V262" s="114">
        <v>1.1295195900000001</v>
      </c>
      <c r="W262" s="72">
        <v>2.8328888999999999</v>
      </c>
      <c r="X262" s="72">
        <v>4.2692974799999996</v>
      </c>
      <c r="Y262" s="72">
        <v>5.4321813099999998</v>
      </c>
      <c r="Z262" s="115">
        <v>6.7870057299999997</v>
      </c>
    </row>
    <row r="263" spans="2:26" x14ac:dyDescent="0.35">
      <c r="B263" s="55" t="s">
        <v>400</v>
      </c>
      <c r="C263" s="53" t="s">
        <v>234</v>
      </c>
      <c r="D263" s="53" t="s">
        <v>20</v>
      </c>
      <c r="E263" s="53" t="s">
        <v>288</v>
      </c>
      <c r="F263" s="71">
        <v>4.3730818069214125E-2</v>
      </c>
      <c r="G263" s="71">
        <v>5.3142231923647053E-2</v>
      </c>
      <c r="H263" s="71">
        <v>6.0584767840817552E-2</v>
      </c>
      <c r="I263" s="71">
        <v>6.5764550000010052E-2</v>
      </c>
      <c r="J263" s="63">
        <v>6.8991687232804716E-2</v>
      </c>
      <c r="K263" s="71">
        <v>3.36471169214125E-4</v>
      </c>
      <c r="L263" s="71">
        <v>9.9011510236470535E-3</v>
      </c>
      <c r="M263" s="71">
        <v>1.7089960740817565E-2</v>
      </c>
      <c r="N263" s="71">
        <v>2.1383720600010064E-2</v>
      </c>
      <c r="O263" s="63">
        <v>2.3240869132804716E-2</v>
      </c>
      <c r="P263" s="55" t="s">
        <v>403</v>
      </c>
      <c r="Q263" s="53" t="s">
        <v>404</v>
      </c>
      <c r="R263" s="94">
        <v>47771</v>
      </c>
      <c r="S263" s="71">
        <v>5.4315009999999997E-2</v>
      </c>
      <c r="T263" s="63">
        <v>6.2697578408175553E-3</v>
      </c>
      <c r="V263" s="114">
        <v>1.1335380100000001</v>
      </c>
      <c r="W263" s="72">
        <v>2.85058262</v>
      </c>
      <c r="X263" s="72">
        <v>4.3088412299999996</v>
      </c>
      <c r="Y263" s="72">
        <v>5.4861822999999994</v>
      </c>
      <c r="Z263" s="115">
        <v>6.8762939599999999</v>
      </c>
    </row>
    <row r="264" spans="2:26" x14ac:dyDescent="0.35">
      <c r="B264" s="55" t="s">
        <v>165</v>
      </c>
      <c r="C264" s="53" t="s">
        <v>234</v>
      </c>
      <c r="D264" s="53" t="s">
        <v>47</v>
      </c>
      <c r="E264" s="53" t="s">
        <v>48</v>
      </c>
      <c r="F264" s="71">
        <v>4.4131253526753456E-2</v>
      </c>
      <c r="G264" s="71">
        <v>5.1893321900093804E-2</v>
      </c>
      <c r="H264" s="71">
        <v>5.8951368064133584E-2</v>
      </c>
      <c r="I264" s="71">
        <v>6.4291372873916286E-2</v>
      </c>
      <c r="J264" s="63">
        <v>6.9226951516300622E-2</v>
      </c>
      <c r="K264" s="71">
        <v>7.4583272675345785E-4</v>
      </c>
      <c r="L264" s="71">
        <v>8.7378677000938074E-3</v>
      </c>
      <c r="M264" s="71">
        <v>1.5573421864133592E-2</v>
      </c>
      <c r="N264" s="71">
        <v>2.0018795373916279E-2</v>
      </c>
      <c r="O264" s="63">
        <v>2.3460793616300629E-2</v>
      </c>
      <c r="P264" s="55" t="s">
        <v>21</v>
      </c>
      <c r="Q264" s="53" t="s">
        <v>21</v>
      </c>
      <c r="R264" s="94" t="s">
        <v>21</v>
      </c>
      <c r="S264" s="71">
        <v>0</v>
      </c>
      <c r="T264" s="63">
        <v>5.8951368064133584E-2</v>
      </c>
      <c r="V264" s="114">
        <v>1.1326344500000001</v>
      </c>
      <c r="W264" s="72">
        <v>2.85794785</v>
      </c>
      <c r="X264" s="72">
        <v>4.33303379</v>
      </c>
      <c r="Y264" s="72">
        <v>5.5306052000000001</v>
      </c>
      <c r="Z264" s="115">
        <v>6.9140396099999997</v>
      </c>
    </row>
    <row r="265" spans="2:26" x14ac:dyDescent="0.35">
      <c r="B265" s="55" t="s">
        <v>166</v>
      </c>
      <c r="C265" s="53" t="s">
        <v>234</v>
      </c>
      <c r="D265" s="53" t="s">
        <v>43</v>
      </c>
      <c r="E265" s="53" t="s">
        <v>575</v>
      </c>
      <c r="F265" s="71">
        <v>4.3444068840780149E-2</v>
      </c>
      <c r="G265" s="71">
        <v>5.158943571967918E-2</v>
      </c>
      <c r="H265" s="71">
        <v>5.8348453748120616E-2</v>
      </c>
      <c r="I265" s="71">
        <v>6.1467758944871144E-2</v>
      </c>
      <c r="J265" s="63">
        <v>6.4132151297529291E-2</v>
      </c>
      <c r="K265" s="71">
        <v>7.2431540780149364E-5</v>
      </c>
      <c r="L265" s="71">
        <v>8.4421655196791814E-3</v>
      </c>
      <c r="M265" s="71">
        <v>1.5002889548120615E-2</v>
      </c>
      <c r="N265" s="71">
        <v>1.7379750344871138E-2</v>
      </c>
      <c r="O265" s="63">
        <v>1.8678444297529274E-2</v>
      </c>
      <c r="P265" s="55" t="s">
        <v>21</v>
      </c>
      <c r="Q265" s="53" t="s">
        <v>21</v>
      </c>
      <c r="R265" s="94" t="s">
        <v>21</v>
      </c>
      <c r="S265" s="71">
        <v>0</v>
      </c>
      <c r="T265" s="63">
        <v>5.8348453748120616E-2</v>
      </c>
      <c r="V265" s="114">
        <v>1.1340633100000002</v>
      </c>
      <c r="W265" s="72">
        <v>2.8621325799999999</v>
      </c>
      <c r="X265" s="72">
        <v>4.3441709500000005</v>
      </c>
      <c r="Y265" s="72">
        <v>5.5775608200000004</v>
      </c>
      <c r="Z265" s="115">
        <v>7.0820044299999996</v>
      </c>
    </row>
    <row r="266" spans="2:26" x14ac:dyDescent="0.35">
      <c r="B266" s="55" t="s">
        <v>401</v>
      </c>
      <c r="C266" s="53" t="s">
        <v>234</v>
      </c>
      <c r="D266" s="53" t="s">
        <v>53</v>
      </c>
      <c r="E266" s="53" t="s">
        <v>293</v>
      </c>
      <c r="F266" s="71">
        <v>4.2617653975241643E-2</v>
      </c>
      <c r="G266" s="71">
        <v>5.0879669328556441E-2</v>
      </c>
      <c r="H266" s="71">
        <v>5.8050149660638255E-2</v>
      </c>
      <c r="I266" s="71">
        <v>6.2299415011815115E-2</v>
      </c>
      <c r="J266" s="63">
        <v>6.7682824512446144E-2</v>
      </c>
      <c r="K266" s="71" t="s">
        <v>21</v>
      </c>
      <c r="L266" s="71">
        <v>7.782249228556447E-3</v>
      </c>
      <c r="M266" s="71">
        <v>1.4732456060638246E-2</v>
      </c>
      <c r="N266" s="71">
        <v>1.8167375611815108E-2</v>
      </c>
      <c r="O266" s="63">
        <v>2.202263571244616E-2</v>
      </c>
      <c r="P266" s="55" t="s">
        <v>21</v>
      </c>
      <c r="Q266" s="53" t="s">
        <v>21</v>
      </c>
      <c r="R266" s="94" t="s">
        <v>21</v>
      </c>
      <c r="S266" s="71">
        <v>0</v>
      </c>
      <c r="T266" s="63">
        <v>5.8050149660638255E-2</v>
      </c>
      <c r="V266" s="114">
        <v>1.1354910899999999</v>
      </c>
      <c r="W266" s="72">
        <v>2.8689194800000002</v>
      </c>
      <c r="X266" s="72">
        <v>4.3544193199999999</v>
      </c>
      <c r="Y266" s="72">
        <v>5.5783885700000004</v>
      </c>
      <c r="Z266" s="115">
        <v>7.0010405999999996</v>
      </c>
    </row>
    <row r="267" spans="2:26" x14ac:dyDescent="0.35">
      <c r="B267" s="55" t="s">
        <v>170</v>
      </c>
      <c r="C267" s="53" t="s">
        <v>234</v>
      </c>
      <c r="D267" s="53" t="s">
        <v>20</v>
      </c>
      <c r="E267" s="53" t="s">
        <v>402</v>
      </c>
      <c r="F267" s="71">
        <v>4.7625034300441231E-2</v>
      </c>
      <c r="G267" s="71">
        <v>5.8557066731395213E-2</v>
      </c>
      <c r="H267" s="71">
        <v>6.8624562045957405E-2</v>
      </c>
      <c r="I267" s="71">
        <v>7.340897431675468E-2</v>
      </c>
      <c r="J267" s="63">
        <v>7.8195469886236574E-2</v>
      </c>
      <c r="K267" s="71">
        <v>4.0168906004412292E-3</v>
      </c>
      <c r="L267" s="71">
        <v>1.4981106431395219E-2</v>
      </c>
      <c r="M267" s="71">
        <v>2.4533290545957417E-2</v>
      </c>
      <c r="N267" s="71">
        <v>2.8439522216754692E-2</v>
      </c>
      <c r="O267" s="63">
        <v>3.1760102186236573E-2</v>
      </c>
      <c r="P267" s="55" t="s">
        <v>468</v>
      </c>
      <c r="Q267" s="53" t="s">
        <v>469</v>
      </c>
      <c r="R267" s="94">
        <v>47505</v>
      </c>
      <c r="S267" s="71">
        <v>6.2761090000000005E-2</v>
      </c>
      <c r="T267" s="63">
        <v>5.8634720459573991E-3</v>
      </c>
      <c r="V267" s="114">
        <v>1.12436837</v>
      </c>
      <c r="W267" s="72">
        <v>2.8022332800000003</v>
      </c>
      <c r="X267" s="72">
        <v>4.1801492599999994</v>
      </c>
      <c r="Y267" s="72">
        <v>5.2506876099999999</v>
      </c>
      <c r="Z267" s="115">
        <v>6.4616041200000005</v>
      </c>
    </row>
    <row r="268" spans="2:26" x14ac:dyDescent="0.35">
      <c r="B268" s="55" t="s">
        <v>168</v>
      </c>
      <c r="C268" s="53" t="s">
        <v>234</v>
      </c>
      <c r="D268" s="53" t="s">
        <v>169</v>
      </c>
      <c r="E268" s="53" t="s">
        <v>576</v>
      </c>
      <c r="F268" s="71">
        <v>4.5675901799940577E-2</v>
      </c>
      <c r="G268" s="71">
        <v>5.2544687684333728E-2</v>
      </c>
      <c r="H268" s="71">
        <v>5.727419601763465E-2</v>
      </c>
      <c r="I268" s="71">
        <v>5.9543939554701518E-2</v>
      </c>
      <c r="J268" s="63">
        <v>6.1999226504340497E-2</v>
      </c>
      <c r="K268" s="71">
        <v>2.1630203999405762E-3</v>
      </c>
      <c r="L268" s="71">
        <v>9.3353489843337259E-3</v>
      </c>
      <c r="M268" s="71">
        <v>1.3990103717634641E-2</v>
      </c>
      <c r="N268" s="71">
        <v>1.5569933554701517E-2</v>
      </c>
      <c r="O268" s="63">
        <v>1.6654583804340498E-2</v>
      </c>
      <c r="P268" s="55" t="s">
        <v>21</v>
      </c>
      <c r="Q268" s="53" t="s">
        <v>21</v>
      </c>
      <c r="R268" s="94" t="s">
        <v>21</v>
      </c>
      <c r="S268" s="71">
        <v>0</v>
      </c>
      <c r="T268" s="63">
        <v>5.727419601763465E-2</v>
      </c>
      <c r="V268" s="114">
        <v>1.1296199899999999</v>
      </c>
      <c r="W268" s="72">
        <v>2.8478042800000001</v>
      </c>
      <c r="X268" s="72">
        <v>4.3394292700000001</v>
      </c>
      <c r="Y268" s="72">
        <v>5.6034190400000004</v>
      </c>
      <c r="Z268" s="115">
        <v>7.1617320499999995</v>
      </c>
    </row>
    <row r="269" spans="2:26" x14ac:dyDescent="0.35">
      <c r="B269" s="55" t="s">
        <v>117</v>
      </c>
      <c r="C269" s="53" t="s">
        <v>234</v>
      </c>
      <c r="D269" s="53" t="s">
        <v>31</v>
      </c>
      <c r="E269" s="53" t="s">
        <v>123</v>
      </c>
      <c r="F269" s="71">
        <v>4.2549435774956831E-2</v>
      </c>
      <c r="G269" s="71">
        <v>5.1221332147459227E-2</v>
      </c>
      <c r="H269" s="71">
        <v>5.4968801339431939E-2</v>
      </c>
      <c r="I269" s="71">
        <v>5.8005126170949092E-2</v>
      </c>
      <c r="J269" s="63">
        <v>6.0698652917305002E-2</v>
      </c>
      <c r="K269" s="71" t="s">
        <v>21</v>
      </c>
      <c r="L269" s="71">
        <v>8.0997106474592264E-3</v>
      </c>
      <c r="M269" s="71">
        <v>1.1826894339431935E-2</v>
      </c>
      <c r="N269" s="71">
        <v>1.4128794670949093E-2</v>
      </c>
      <c r="O269" s="63">
        <v>1.5434476517305005E-2</v>
      </c>
      <c r="P269" s="55" t="s">
        <v>21</v>
      </c>
      <c r="Q269" s="53" t="s">
        <v>21</v>
      </c>
      <c r="R269" s="94" t="s">
        <v>21</v>
      </c>
      <c r="S269" s="71">
        <v>0</v>
      </c>
      <c r="T269" s="63">
        <v>5.4968801339431939E-2</v>
      </c>
      <c r="V269" s="114">
        <v>1.1356807</v>
      </c>
      <c r="W269" s="72">
        <v>2.8667247900000001</v>
      </c>
      <c r="X269" s="72">
        <v>4.3838548900000003</v>
      </c>
      <c r="Y269" s="72">
        <v>5.6694667999999995</v>
      </c>
      <c r="Z269" s="115">
        <v>7.2537368899999999</v>
      </c>
    </row>
    <row r="270" spans="2:26" x14ac:dyDescent="0.35">
      <c r="B270" s="55" t="s">
        <v>139</v>
      </c>
      <c r="C270" s="53" t="s">
        <v>234</v>
      </c>
      <c r="D270" s="53" t="s">
        <v>140</v>
      </c>
      <c r="E270" s="53" t="s">
        <v>161</v>
      </c>
      <c r="F270" s="71">
        <v>4.3640888782900317E-2</v>
      </c>
      <c r="G270" s="71">
        <v>4.9461112980730811E-2</v>
      </c>
      <c r="H270" s="71">
        <v>5.3953665460401957E-2</v>
      </c>
      <c r="I270" s="71">
        <v>5.7420877672443776E-2</v>
      </c>
      <c r="J270" s="63">
        <v>6.1658239093767657E-2</v>
      </c>
      <c r="K270" s="71">
        <v>2.8104118290032259E-4</v>
      </c>
      <c r="L270" s="71">
        <v>6.4417985807308101E-3</v>
      </c>
      <c r="M270" s="71">
        <v>1.0873355360401959E-2</v>
      </c>
      <c r="N270" s="71">
        <v>1.3583771772443777E-2</v>
      </c>
      <c r="O270" s="63">
        <v>1.6349114393767669E-2</v>
      </c>
      <c r="P270" s="55" t="s">
        <v>21</v>
      </c>
      <c r="Q270" s="53" t="s">
        <v>21</v>
      </c>
      <c r="R270" s="94" t="s">
        <v>21</v>
      </c>
      <c r="S270" s="71">
        <v>0</v>
      </c>
      <c r="T270" s="63">
        <v>5.3953665460401957E-2</v>
      </c>
      <c r="V270" s="114">
        <v>1.13355144</v>
      </c>
      <c r="W270" s="72">
        <v>2.8733273600000002</v>
      </c>
      <c r="X270" s="72">
        <v>4.4017352900000004</v>
      </c>
      <c r="Y270" s="72">
        <v>5.6962113800000003</v>
      </c>
      <c r="Z270" s="115">
        <v>7.2595711699999992</v>
      </c>
    </row>
    <row r="271" spans="2:26" x14ac:dyDescent="0.35">
      <c r="B271" s="57" t="s">
        <v>171</v>
      </c>
      <c r="C271" s="67" t="s">
        <v>234</v>
      </c>
      <c r="D271" s="67" t="s">
        <v>69</v>
      </c>
      <c r="E271" s="67" t="s">
        <v>110</v>
      </c>
      <c r="F271" s="76">
        <v>4.2112598555399693E-2</v>
      </c>
      <c r="G271" s="76">
        <v>4.8228183600945981E-2</v>
      </c>
      <c r="H271" s="76">
        <v>5.2950665988110185E-2</v>
      </c>
      <c r="I271" s="76">
        <v>5.5543877079683487E-2</v>
      </c>
      <c r="J271" s="64">
        <v>5.9325473606425358E-2</v>
      </c>
      <c r="K271" s="76" t="s">
        <v>21</v>
      </c>
      <c r="L271" s="76">
        <v>5.2694989009459871E-3</v>
      </c>
      <c r="M271" s="76">
        <v>9.9215130881101857E-3</v>
      </c>
      <c r="N271" s="76">
        <v>1.1806448879683483E-2</v>
      </c>
      <c r="O271" s="64">
        <v>1.4131857506425358E-2</v>
      </c>
      <c r="P271" s="57" t="s">
        <v>21</v>
      </c>
      <c r="Q271" s="67" t="s">
        <v>21</v>
      </c>
      <c r="R271" s="96" t="s">
        <v>21</v>
      </c>
      <c r="S271" s="76">
        <v>0</v>
      </c>
      <c r="T271" s="64">
        <v>5.2950665988110185E-2</v>
      </c>
      <c r="V271" s="116">
        <v>1.13651111</v>
      </c>
      <c r="W271" s="108">
        <v>2.8859753500000003</v>
      </c>
      <c r="X271" s="108">
        <v>4.4259066300000001</v>
      </c>
      <c r="Y271" s="108">
        <v>5.7451486799999998</v>
      </c>
      <c r="Z271" s="117">
        <v>7.3638945900000001</v>
      </c>
    </row>
    <row r="272" spans="2:26" x14ac:dyDescent="0.35">
      <c r="P272" s="128"/>
      <c r="Q272" s="128"/>
      <c r="R272" s="44"/>
      <c r="S272" s="128"/>
      <c r="T272" s="128"/>
      <c r="V272" s="72"/>
      <c r="W272" s="72"/>
      <c r="X272" s="72"/>
      <c r="Y272" s="72"/>
      <c r="Z272" s="72"/>
    </row>
    <row r="273" spans="2:26" ht="15.5" x14ac:dyDescent="0.35">
      <c r="B273" s="122" t="s">
        <v>179</v>
      </c>
      <c r="R273" s="94"/>
      <c r="S273" s="71"/>
      <c r="T273" s="71"/>
      <c r="V273" s="72"/>
      <c r="W273" s="72"/>
      <c r="X273" s="72"/>
      <c r="Y273" s="72"/>
      <c r="Z273" s="72"/>
    </row>
    <row r="274" spans="2:26" x14ac:dyDescent="0.35">
      <c r="B274" s="85" t="s">
        <v>5</v>
      </c>
      <c r="C274" s="84" t="s">
        <v>6</v>
      </c>
      <c r="D274" s="84" t="s">
        <v>7</v>
      </c>
      <c r="E274" s="84" t="s">
        <v>8</v>
      </c>
      <c r="F274" s="83" t="s">
        <v>9</v>
      </c>
      <c r="G274" s="82" t="s">
        <v>10</v>
      </c>
      <c r="H274" s="82" t="s">
        <v>11</v>
      </c>
      <c r="I274" s="82" t="s">
        <v>12</v>
      </c>
      <c r="J274" s="81" t="s">
        <v>13</v>
      </c>
      <c r="K274" s="58" t="s">
        <v>9</v>
      </c>
      <c r="L274" s="58" t="s">
        <v>10</v>
      </c>
      <c r="M274" s="58" t="s">
        <v>11</v>
      </c>
      <c r="N274" s="58" t="s">
        <v>12</v>
      </c>
      <c r="O274" s="58" t="s">
        <v>13</v>
      </c>
      <c r="P274" s="70" t="s">
        <v>14</v>
      </c>
      <c r="Q274" s="58" t="s">
        <v>15</v>
      </c>
      <c r="R274" s="58" t="s">
        <v>16</v>
      </c>
      <c r="S274" s="58" t="s">
        <v>407</v>
      </c>
      <c r="T274" s="58" t="s">
        <v>18</v>
      </c>
      <c r="V274" s="110" t="s">
        <v>9</v>
      </c>
      <c r="W274" s="106" t="s">
        <v>10</v>
      </c>
      <c r="X274" s="106" t="s">
        <v>11</v>
      </c>
      <c r="Y274" s="106" t="s">
        <v>12</v>
      </c>
      <c r="Z274" s="111" t="s">
        <v>13</v>
      </c>
    </row>
    <row r="275" spans="2:26" x14ac:dyDescent="0.35">
      <c r="B275" s="56" t="s">
        <v>180</v>
      </c>
      <c r="C275" s="53" t="s">
        <v>234</v>
      </c>
      <c r="D275" s="66" t="s">
        <v>47</v>
      </c>
      <c r="E275" s="66" t="s">
        <v>577</v>
      </c>
      <c r="F275" s="80" t="s">
        <v>21</v>
      </c>
      <c r="G275" s="80">
        <v>4.881128561425755E-2</v>
      </c>
      <c r="H275" s="80">
        <v>5.2694882357256945E-2</v>
      </c>
      <c r="I275" s="80">
        <v>5.5987960230327594E-2</v>
      </c>
      <c r="J275" s="62">
        <v>5.9521071211713558E-2</v>
      </c>
      <c r="K275" s="80" t="s">
        <v>21</v>
      </c>
      <c r="L275" s="80">
        <v>5.884384214257553E-3</v>
      </c>
      <c r="M275" s="80">
        <v>9.7242315572569488E-3</v>
      </c>
      <c r="N275" s="80">
        <v>1.2308844430327596E-2</v>
      </c>
      <c r="O275" s="80">
        <v>1.4411667911713579E-2</v>
      </c>
      <c r="P275" s="56" t="s">
        <v>578</v>
      </c>
      <c r="Q275" s="66" t="s">
        <v>579</v>
      </c>
      <c r="R275" s="100" t="s">
        <v>32</v>
      </c>
      <c r="S275" s="80">
        <v>4.8578729999999994E-2</v>
      </c>
      <c r="T275" s="63">
        <v>4.1161523572569511E-3</v>
      </c>
      <c r="V275" s="114">
        <v>1.1371769199999999</v>
      </c>
      <c r="W275" s="72">
        <v>2.89113563</v>
      </c>
      <c r="X275" s="72">
        <v>4.44339</v>
      </c>
      <c r="Y275" s="72">
        <v>5.7795436499999999</v>
      </c>
      <c r="Z275" s="115">
        <v>7.4401842900000004</v>
      </c>
    </row>
    <row r="276" spans="2:26" x14ac:dyDescent="0.35">
      <c r="B276" s="55" t="s">
        <v>271</v>
      </c>
      <c r="C276" s="53" t="s">
        <v>234</v>
      </c>
      <c r="D276" s="53" t="s">
        <v>20</v>
      </c>
      <c r="E276" s="53" t="s">
        <v>580</v>
      </c>
      <c r="F276" s="71" t="s">
        <v>21</v>
      </c>
      <c r="G276" s="71">
        <v>4.9938175183125579E-2</v>
      </c>
      <c r="H276" s="71">
        <v>5.2649398037018638E-2</v>
      </c>
      <c r="I276" s="71">
        <v>5.5073053940533585E-2</v>
      </c>
      <c r="J276" s="63">
        <v>5.7142609552546082E-2</v>
      </c>
      <c r="K276" s="71" t="s">
        <v>21</v>
      </c>
      <c r="L276" s="71">
        <v>6.9588749831255873E-3</v>
      </c>
      <c r="M276" s="71">
        <v>9.6836865370186383E-3</v>
      </c>
      <c r="N276" s="71">
        <v>1.1437186340533589E-2</v>
      </c>
      <c r="O276" s="71">
        <v>1.2125776652546084E-2</v>
      </c>
      <c r="P276" s="55" t="s">
        <v>581</v>
      </c>
      <c r="Q276" s="53" t="s">
        <v>582</v>
      </c>
      <c r="R276" s="94" t="s">
        <v>32</v>
      </c>
      <c r="S276" s="71">
        <v>4.5471890000000001E-2</v>
      </c>
      <c r="T276" s="63">
        <v>7.1775080370186373E-3</v>
      </c>
      <c r="V276" s="114">
        <v>1.1356549900000001</v>
      </c>
      <c r="W276" s="72">
        <v>2.8809348200000002</v>
      </c>
      <c r="X276" s="72">
        <v>4.4320552399999995</v>
      </c>
      <c r="Y276" s="72">
        <v>5.7814899300000002</v>
      </c>
      <c r="Z276" s="115">
        <v>7.4990320099999996</v>
      </c>
    </row>
    <row r="277" spans="2:26" x14ac:dyDescent="0.35">
      <c r="B277" s="55" t="s">
        <v>182</v>
      </c>
      <c r="C277" s="53" t="s">
        <v>234</v>
      </c>
      <c r="D277" s="53" t="s">
        <v>69</v>
      </c>
      <c r="E277" s="53" t="s">
        <v>272</v>
      </c>
      <c r="F277" s="71" t="s">
        <v>21</v>
      </c>
      <c r="G277" s="71">
        <v>4.7387332632767058E-2</v>
      </c>
      <c r="H277" s="71">
        <v>5.0350681081514879E-2</v>
      </c>
      <c r="I277" s="71">
        <v>5.2890822413896844E-2</v>
      </c>
      <c r="J277" s="63">
        <v>5.5533596683288181E-2</v>
      </c>
      <c r="K277" s="71" t="s">
        <v>21</v>
      </c>
      <c r="L277" s="71">
        <v>4.5332341327670592E-3</v>
      </c>
      <c r="M277" s="71">
        <v>7.4956447815148824E-3</v>
      </c>
      <c r="N277" s="71">
        <v>9.3540403138968574E-3</v>
      </c>
      <c r="O277" s="71">
        <v>1.0581355583288179E-2</v>
      </c>
      <c r="P277" s="55" t="s">
        <v>583</v>
      </c>
      <c r="Q277" s="53" t="s">
        <v>584</v>
      </c>
      <c r="R277" s="94" t="s">
        <v>32</v>
      </c>
      <c r="S277" s="71">
        <v>4.4896269999999995E-2</v>
      </c>
      <c r="T277" s="63">
        <v>5.4544110815148844E-3</v>
      </c>
      <c r="V277" s="114">
        <v>1.1383122699999999</v>
      </c>
      <c r="W277" s="72">
        <v>2.9015961100000003</v>
      </c>
      <c r="X277" s="72">
        <v>4.4786595800000004</v>
      </c>
      <c r="Y277" s="72">
        <v>5.85712454</v>
      </c>
      <c r="Z277" s="115">
        <v>7.6109551799999995</v>
      </c>
    </row>
    <row r="278" spans="2:26" x14ac:dyDescent="0.35">
      <c r="B278" s="55" t="s">
        <v>183</v>
      </c>
      <c r="C278" s="53" t="s">
        <v>234</v>
      </c>
      <c r="D278" s="53" t="s">
        <v>184</v>
      </c>
      <c r="E278" s="53" t="s">
        <v>323</v>
      </c>
      <c r="F278" s="71" t="s">
        <v>21</v>
      </c>
      <c r="G278" s="71">
        <v>4.8439849636007615E-2</v>
      </c>
      <c r="H278" s="71">
        <v>5.2078165757297255E-2</v>
      </c>
      <c r="I278" s="71">
        <v>5.5838785918635857E-2</v>
      </c>
      <c r="J278" s="63">
        <v>5.9947645456146892E-2</v>
      </c>
      <c r="K278" s="71" t="s">
        <v>21</v>
      </c>
      <c r="L278" s="71">
        <v>5.5330432360076219E-3</v>
      </c>
      <c r="M278" s="71">
        <v>9.1392117572972574E-3</v>
      </c>
      <c r="N278" s="71">
        <v>1.2167777618635859E-2</v>
      </c>
      <c r="O278" s="71">
        <v>1.4822458056146903E-2</v>
      </c>
      <c r="P278" s="55" t="s">
        <v>585</v>
      </c>
      <c r="Q278" s="53" t="s">
        <v>586</v>
      </c>
      <c r="R278" s="94" t="s">
        <v>32</v>
      </c>
      <c r="S278" s="71">
        <v>5.187336E-2</v>
      </c>
      <c r="T278" s="63">
        <v>2.0480575729725503E-4</v>
      </c>
      <c r="V278" s="114">
        <v>1.13826983</v>
      </c>
      <c r="W278" s="72">
        <v>2.8952116600000002</v>
      </c>
      <c r="X278" s="72">
        <v>4.4537879299999998</v>
      </c>
      <c r="Y278" s="72">
        <v>5.7924312899999997</v>
      </c>
      <c r="Z278" s="115">
        <v>7.4424611200000008</v>
      </c>
    </row>
    <row r="279" spans="2:26" x14ac:dyDescent="0.35">
      <c r="B279" s="55" t="s">
        <v>185</v>
      </c>
      <c r="C279" s="53" t="s">
        <v>234</v>
      </c>
      <c r="D279" s="53" t="s">
        <v>53</v>
      </c>
      <c r="E279" s="53" t="s">
        <v>181</v>
      </c>
      <c r="F279" s="71" t="s">
        <v>21</v>
      </c>
      <c r="G279" s="71">
        <v>4.7399732660741274E-2</v>
      </c>
      <c r="H279" s="71">
        <v>5.0352068528294006E-2</v>
      </c>
      <c r="I279" s="71">
        <v>5.3107943767808169E-2</v>
      </c>
      <c r="J279" s="63">
        <v>5.5865817453270891E-2</v>
      </c>
      <c r="K279" s="71" t="s">
        <v>21</v>
      </c>
      <c r="L279" s="71">
        <v>4.5438298607412796E-3</v>
      </c>
      <c r="M279" s="71">
        <v>7.4961252282940089E-3</v>
      </c>
      <c r="N279" s="71">
        <v>9.561118167808174E-3</v>
      </c>
      <c r="O279" s="71">
        <v>1.0901774453270889E-2</v>
      </c>
      <c r="P279" s="55" t="s">
        <v>587</v>
      </c>
      <c r="Q279" s="53" t="s">
        <v>588</v>
      </c>
      <c r="R279" s="94" t="s">
        <v>32</v>
      </c>
      <c r="S279" s="71">
        <v>4.5850809999999999E-2</v>
      </c>
      <c r="T279" s="63">
        <v>4.5012585282940068E-3</v>
      </c>
      <c r="V279" s="114">
        <v>1.1386931200000001</v>
      </c>
      <c r="W279" s="72">
        <v>2.9021787100000003</v>
      </c>
      <c r="X279" s="72">
        <v>4.4791521899999998</v>
      </c>
      <c r="Y279" s="72">
        <v>5.8548038800000004</v>
      </c>
      <c r="Z279" s="115">
        <v>7.6001849899999998</v>
      </c>
    </row>
    <row r="280" spans="2:26" x14ac:dyDescent="0.35">
      <c r="B280" s="55" t="s">
        <v>186</v>
      </c>
      <c r="C280" s="53" t="s">
        <v>234</v>
      </c>
      <c r="D280" s="53" t="s">
        <v>31</v>
      </c>
      <c r="E280" s="53" t="s">
        <v>589</v>
      </c>
      <c r="F280" s="71" t="s">
        <v>21</v>
      </c>
      <c r="G280" s="71">
        <v>4.8300707402688541E-2</v>
      </c>
      <c r="H280" s="71">
        <v>5.1875001065482672E-2</v>
      </c>
      <c r="I280" s="71">
        <v>5.4957452048074971E-2</v>
      </c>
      <c r="J280" s="63">
        <v>5.8201839989664078E-2</v>
      </c>
      <c r="K280" s="71" t="s">
        <v>21</v>
      </c>
      <c r="L280" s="71">
        <v>5.4010495026885407E-3</v>
      </c>
      <c r="M280" s="71">
        <v>8.9462424654826768E-3</v>
      </c>
      <c r="N280" s="71">
        <v>1.1327730848074976E-2</v>
      </c>
      <c r="O280" s="71">
        <v>1.3147649989664081E-2</v>
      </c>
      <c r="P280" s="55" t="s">
        <v>590</v>
      </c>
      <c r="Q280" s="53" t="s">
        <v>591</v>
      </c>
      <c r="R280" s="94" t="s">
        <v>32</v>
      </c>
      <c r="S280" s="71">
        <v>4.723024E-2</v>
      </c>
      <c r="T280" s="63">
        <v>4.6447610654826721E-3</v>
      </c>
      <c r="V280" s="114">
        <v>1.1377592000000001</v>
      </c>
      <c r="W280" s="72">
        <v>2.8951696499999997</v>
      </c>
      <c r="X280" s="72">
        <v>4.4560301099999995</v>
      </c>
      <c r="Y280" s="72">
        <v>5.8061307200000005</v>
      </c>
      <c r="Z280" s="115">
        <v>7.4969219100000002</v>
      </c>
    </row>
    <row r="281" spans="2:26" x14ac:dyDescent="0.35">
      <c r="B281" s="57" t="s">
        <v>187</v>
      </c>
      <c r="C281" s="67" t="s">
        <v>234</v>
      </c>
      <c r="D281" s="67" t="s">
        <v>140</v>
      </c>
      <c r="E281" s="67" t="s">
        <v>592</v>
      </c>
      <c r="F281" s="76" t="s">
        <v>21</v>
      </c>
      <c r="G281" s="76">
        <v>4.7331367356358012E-2</v>
      </c>
      <c r="H281" s="76">
        <v>5.0077340078540283E-2</v>
      </c>
      <c r="I281" s="76">
        <v>5.3258080696364909E-2</v>
      </c>
      <c r="J281" s="64">
        <v>5.6077340720456142E-2</v>
      </c>
      <c r="K281" s="76" t="s">
        <v>21</v>
      </c>
      <c r="L281" s="76">
        <v>4.4779878563580124E-3</v>
      </c>
      <c r="M281" s="76">
        <v>7.2336365785402841E-3</v>
      </c>
      <c r="N281" s="76">
        <v>9.7040885963649084E-3</v>
      </c>
      <c r="O281" s="76">
        <v>1.110675892045614E-2</v>
      </c>
      <c r="P281" s="57" t="s">
        <v>593</v>
      </c>
      <c r="Q281" s="67" t="s">
        <v>594</v>
      </c>
      <c r="R281" s="96" t="s">
        <v>32</v>
      </c>
      <c r="S281" s="76">
        <v>4.4501079999999998E-2</v>
      </c>
      <c r="T281" s="64">
        <v>5.5762600785402849E-3</v>
      </c>
      <c r="V281" s="116">
        <v>1.13887856</v>
      </c>
      <c r="W281" s="108">
        <v>2.9029110500000002</v>
      </c>
      <c r="X281" s="108">
        <v>4.4826450499999995</v>
      </c>
      <c r="Y281" s="108">
        <v>5.8568772600000001</v>
      </c>
      <c r="Z281" s="117">
        <v>7.5959619500000004</v>
      </c>
    </row>
    <row r="282" spans="2:26" x14ac:dyDescent="0.35">
      <c r="V282" s="72"/>
      <c r="W282" s="72"/>
      <c r="X282" s="72"/>
      <c r="Y282" s="72"/>
      <c r="Z282" s="72"/>
    </row>
    <row r="283" spans="2:26" ht="15.5" x14ac:dyDescent="0.35">
      <c r="B283" s="122" t="s">
        <v>188</v>
      </c>
      <c r="R283" s="94"/>
      <c r="S283" s="71"/>
      <c r="T283" s="71"/>
      <c r="V283" s="72"/>
      <c r="W283" s="72"/>
      <c r="X283" s="72"/>
      <c r="Y283" s="72"/>
      <c r="Z283" s="72"/>
    </row>
    <row r="284" spans="2:26" x14ac:dyDescent="0.35">
      <c r="B284" s="85" t="s">
        <v>5</v>
      </c>
      <c r="C284" s="84" t="s">
        <v>6</v>
      </c>
      <c r="D284" s="84" t="s">
        <v>7</v>
      </c>
      <c r="E284" s="84" t="s">
        <v>8</v>
      </c>
      <c r="F284" s="83" t="s">
        <v>9</v>
      </c>
      <c r="G284" s="82" t="s">
        <v>10</v>
      </c>
      <c r="H284" s="82" t="s">
        <v>11</v>
      </c>
      <c r="I284" s="82" t="s">
        <v>12</v>
      </c>
      <c r="J284" s="81" t="s">
        <v>13</v>
      </c>
      <c r="K284" s="58" t="s">
        <v>9</v>
      </c>
      <c r="L284" s="58" t="s">
        <v>10</v>
      </c>
      <c r="M284" s="58" t="s">
        <v>11</v>
      </c>
      <c r="N284" s="58" t="s">
        <v>12</v>
      </c>
      <c r="O284" s="58" t="s">
        <v>13</v>
      </c>
      <c r="P284" s="70" t="s">
        <v>14</v>
      </c>
      <c r="Q284" s="58" t="s">
        <v>15</v>
      </c>
      <c r="R284" s="58" t="s">
        <v>16</v>
      </c>
      <c r="S284" s="58" t="s">
        <v>407</v>
      </c>
      <c r="T284" s="58" t="s">
        <v>18</v>
      </c>
      <c r="V284" s="110" t="s">
        <v>9</v>
      </c>
      <c r="W284" s="106" t="s">
        <v>10</v>
      </c>
      <c r="X284" s="106" t="s">
        <v>11</v>
      </c>
      <c r="Y284" s="106" t="s">
        <v>12</v>
      </c>
      <c r="Z284" s="111" t="s">
        <v>13</v>
      </c>
    </row>
    <row r="285" spans="2:26" x14ac:dyDescent="0.35">
      <c r="B285" s="57" t="s">
        <v>298</v>
      </c>
      <c r="C285" s="67"/>
      <c r="D285" s="69"/>
      <c r="E285" s="69"/>
      <c r="F285" s="103" t="s">
        <v>21</v>
      </c>
      <c r="G285" s="103"/>
      <c r="H285" s="103">
        <v>6.1630032135158906E-2</v>
      </c>
      <c r="I285" s="103" t="s">
        <v>21</v>
      </c>
      <c r="J285" s="104" t="s">
        <v>21</v>
      </c>
      <c r="K285" s="80" t="s">
        <v>21</v>
      </c>
      <c r="L285" s="80"/>
      <c r="M285" s="80">
        <v>1.825585123515892E-2</v>
      </c>
      <c r="N285" s="80" t="s">
        <v>21</v>
      </c>
      <c r="O285" s="80" t="s">
        <v>21</v>
      </c>
      <c r="P285" s="56"/>
      <c r="Q285" s="69"/>
      <c r="R285" s="105"/>
      <c r="S285" s="103"/>
      <c r="T285" s="104"/>
      <c r="V285" s="114">
        <v>1.1190218700000001</v>
      </c>
      <c r="W285" s="72">
        <v>2.8102633699999999</v>
      </c>
      <c r="X285" s="72">
        <v>4.2875331900000004</v>
      </c>
      <c r="Y285" s="72">
        <v>5.5564851399999995</v>
      </c>
      <c r="Z285" s="115">
        <v>7.1472782700000002</v>
      </c>
    </row>
    <row r="286" spans="2:26" x14ac:dyDescent="0.35">
      <c r="B286" s="55" t="s">
        <v>189</v>
      </c>
      <c r="C286" s="53" t="s">
        <v>234</v>
      </c>
      <c r="D286" s="66" t="s">
        <v>190</v>
      </c>
      <c r="E286" s="66" t="s">
        <v>273</v>
      </c>
      <c r="F286" s="80" t="s">
        <v>21</v>
      </c>
      <c r="G286" s="80">
        <v>4.7577253480879392E-2</v>
      </c>
      <c r="H286" s="80">
        <v>5.1536743787660572E-2</v>
      </c>
      <c r="I286" s="80" t="s">
        <v>21</v>
      </c>
      <c r="J286" s="62" t="s">
        <v>21</v>
      </c>
      <c r="K286" s="80" t="s">
        <v>21</v>
      </c>
      <c r="L286" s="80">
        <v>4.7275401808794006E-3</v>
      </c>
      <c r="M286" s="80">
        <v>8.6730171876605727E-3</v>
      </c>
      <c r="N286" s="80" t="s">
        <v>21</v>
      </c>
      <c r="O286" s="80" t="s">
        <v>21</v>
      </c>
      <c r="P286" s="56" t="s">
        <v>21</v>
      </c>
      <c r="Q286" s="66" t="s">
        <v>21</v>
      </c>
      <c r="R286" s="100" t="s">
        <v>21</v>
      </c>
      <c r="S286" s="80">
        <v>0</v>
      </c>
      <c r="T286" s="63">
        <v>5.1536743787660572E-2</v>
      </c>
      <c r="V286" s="114">
        <v>1.1385739500000001</v>
      </c>
      <c r="W286" s="72">
        <v>2.9031912699999998</v>
      </c>
      <c r="X286" s="72">
        <v>4.4803373400000002</v>
      </c>
      <c r="Y286" s="72">
        <v>5.8530916800000004</v>
      </c>
      <c r="Z286" s="115">
        <v>7.5938095600000004</v>
      </c>
    </row>
    <row r="287" spans="2:26" x14ac:dyDescent="0.35">
      <c r="B287" s="55" t="s">
        <v>191</v>
      </c>
      <c r="C287" s="53" t="s">
        <v>234</v>
      </c>
      <c r="D287" s="53" t="s">
        <v>192</v>
      </c>
      <c r="E287" s="53" t="s">
        <v>595</v>
      </c>
      <c r="F287" s="71" t="s">
        <v>21</v>
      </c>
      <c r="G287" s="71">
        <v>5.0592679300115469E-2</v>
      </c>
      <c r="H287" s="71">
        <v>5.5479378265710304E-2</v>
      </c>
      <c r="I287" s="71" t="s">
        <v>21</v>
      </c>
      <c r="J287" s="63" t="s">
        <v>21</v>
      </c>
      <c r="K287" s="71" t="s">
        <v>21</v>
      </c>
      <c r="L287" s="71">
        <v>7.5924260001154582E-3</v>
      </c>
      <c r="M287" s="71">
        <v>1.2420897065710293E-2</v>
      </c>
      <c r="N287" s="71" t="s">
        <v>21</v>
      </c>
      <c r="O287" s="71" t="s">
        <v>21</v>
      </c>
      <c r="P287" s="55" t="s">
        <v>596</v>
      </c>
      <c r="Q287" s="53" t="s">
        <v>597</v>
      </c>
      <c r="R287" s="94" t="s">
        <v>32</v>
      </c>
      <c r="S287" s="71">
        <v>5.3638089999999999E-2</v>
      </c>
      <c r="T287" s="71">
        <v>1.8412882657103044E-3</v>
      </c>
      <c r="V287" s="114">
        <v>1.13402088</v>
      </c>
      <c r="W287" s="72">
        <v>2.8794456199999998</v>
      </c>
      <c r="X287" s="72">
        <v>4.4183047799999997</v>
      </c>
      <c r="Y287" s="72">
        <v>5.7397035899999995</v>
      </c>
      <c r="Z287" s="115">
        <v>7.3811847799999999</v>
      </c>
    </row>
    <row r="288" spans="2:26" x14ac:dyDescent="0.35">
      <c r="B288" s="55" t="s">
        <v>194</v>
      </c>
      <c r="C288" s="53" t="s">
        <v>234</v>
      </c>
      <c r="D288" s="53" t="s">
        <v>195</v>
      </c>
      <c r="E288" s="53" t="s">
        <v>294</v>
      </c>
      <c r="F288" s="71" t="s">
        <v>21</v>
      </c>
      <c r="G288" s="71">
        <v>4.7630525992865401E-2</v>
      </c>
      <c r="H288" s="71">
        <v>5.1577566536105263E-2</v>
      </c>
      <c r="I288" s="71" t="s">
        <v>21</v>
      </c>
      <c r="J288" s="63" t="s">
        <v>21</v>
      </c>
      <c r="K288" s="71" t="s">
        <v>21</v>
      </c>
      <c r="L288" s="71">
        <v>4.7792873928654035E-3</v>
      </c>
      <c r="M288" s="71">
        <v>8.7126172361052662E-3</v>
      </c>
      <c r="N288" s="71" t="s">
        <v>21</v>
      </c>
      <c r="O288" s="71" t="s">
        <v>21</v>
      </c>
      <c r="P288" s="55" t="s">
        <v>598</v>
      </c>
      <c r="Q288" s="53" t="s">
        <v>599</v>
      </c>
      <c r="R288" s="94" t="s">
        <v>32</v>
      </c>
      <c r="S288" s="71">
        <v>5.1434059999999997E-2</v>
      </c>
      <c r="T288" s="71">
        <v>1.4350653610526592E-4</v>
      </c>
      <c r="V288" s="114">
        <v>1.13823381</v>
      </c>
      <c r="W288" s="72">
        <v>2.9023768599999999</v>
      </c>
      <c r="X288" s="72">
        <v>4.4792550599999998</v>
      </c>
      <c r="Y288" s="72">
        <v>5.8529639400000004</v>
      </c>
      <c r="Z288" s="115">
        <v>7.581342789999999</v>
      </c>
    </row>
    <row r="289" spans="2:26" x14ac:dyDescent="0.35">
      <c r="B289" s="55" t="s">
        <v>196</v>
      </c>
      <c r="C289" s="53" t="s">
        <v>234</v>
      </c>
      <c r="D289" s="53" t="s">
        <v>197</v>
      </c>
      <c r="E289" s="53" t="s">
        <v>600</v>
      </c>
      <c r="F289" s="71" t="s">
        <v>21</v>
      </c>
      <c r="G289" s="71">
        <v>5.3865763479710921E-2</v>
      </c>
      <c r="H289" s="71">
        <v>6.2310006944925174E-2</v>
      </c>
      <c r="I289" s="71" t="s">
        <v>21</v>
      </c>
      <c r="J289" s="63" t="s">
        <v>21</v>
      </c>
      <c r="K289" s="71" t="s">
        <v>21</v>
      </c>
      <c r="L289" s="71">
        <v>1.067955387971092E-2</v>
      </c>
      <c r="M289" s="71">
        <v>1.884974614492517E-2</v>
      </c>
      <c r="N289" s="71" t="s">
        <v>21</v>
      </c>
      <c r="O289" s="71" t="s">
        <v>21</v>
      </c>
      <c r="P289" s="55" t="s">
        <v>601</v>
      </c>
      <c r="Q289" s="53" t="s">
        <v>602</v>
      </c>
      <c r="R289" s="94" t="s">
        <v>32</v>
      </c>
      <c r="S289" s="71">
        <v>6.415498E-2</v>
      </c>
      <c r="T289" s="71">
        <v>-1.8449730550748264E-3</v>
      </c>
      <c r="V289" s="114">
        <v>1.1340887500000001</v>
      </c>
      <c r="W289" s="72">
        <v>2.8632220300000002</v>
      </c>
      <c r="X289" s="72">
        <v>4.3366071800000006</v>
      </c>
      <c r="Y289" s="72">
        <v>5.5390188799999995</v>
      </c>
      <c r="Z289" s="115">
        <v>6.9174121699999995</v>
      </c>
    </row>
    <row r="290" spans="2:26" x14ac:dyDescent="0.35">
      <c r="B290" s="55" t="s">
        <v>198</v>
      </c>
      <c r="C290" s="53" t="s">
        <v>234</v>
      </c>
      <c r="D290" s="53" t="s">
        <v>199</v>
      </c>
      <c r="E290" s="53" t="s">
        <v>55</v>
      </c>
      <c r="F290" s="71" t="s">
        <v>21</v>
      </c>
      <c r="G290" s="71">
        <v>5.3698755143337579E-2</v>
      </c>
      <c r="H290" s="71">
        <v>5.9779591920789035E-2</v>
      </c>
      <c r="I290" s="71" t="s">
        <v>21</v>
      </c>
      <c r="J290" s="63" t="s">
        <v>21</v>
      </c>
      <c r="K290" s="71" t="s">
        <v>21</v>
      </c>
      <c r="L290" s="71">
        <v>1.0545614343337577E-2</v>
      </c>
      <c r="M290" s="71">
        <v>1.649350482078903E-2</v>
      </c>
      <c r="N290" s="71" t="s">
        <v>21</v>
      </c>
      <c r="O290" s="71" t="s">
        <v>21</v>
      </c>
      <c r="P290" s="55" t="s">
        <v>603</v>
      </c>
      <c r="Q290" s="53" t="s">
        <v>604</v>
      </c>
      <c r="R290" s="94">
        <v>47586</v>
      </c>
      <c r="S290" s="71">
        <v>5.7769630000000002E-2</v>
      </c>
      <c r="T290" s="71">
        <v>2.0099619207890329E-3</v>
      </c>
      <c r="V290" s="114">
        <v>1.1319532800000001</v>
      </c>
      <c r="W290" s="72">
        <v>2.85944669</v>
      </c>
      <c r="X290" s="72">
        <v>4.3568055600000006</v>
      </c>
      <c r="Y290" s="72">
        <v>5.6053558400000005</v>
      </c>
      <c r="Z290" s="115">
        <v>7.0895970200000002</v>
      </c>
    </row>
    <row r="291" spans="2:26" x14ac:dyDescent="0.35">
      <c r="B291" s="55" t="s">
        <v>200</v>
      </c>
      <c r="C291" s="53" t="s">
        <v>234</v>
      </c>
      <c r="D291" s="53" t="s">
        <v>201</v>
      </c>
      <c r="E291" s="53" t="s">
        <v>295</v>
      </c>
      <c r="F291" s="71" t="s">
        <v>21</v>
      </c>
      <c r="G291" s="71">
        <v>5.5453628767345831E-2</v>
      </c>
      <c r="H291" s="71">
        <v>6.2767776800211644E-2</v>
      </c>
      <c r="I291" s="71" t="s">
        <v>21</v>
      </c>
      <c r="J291" s="63" t="s">
        <v>21</v>
      </c>
      <c r="K291" s="71" t="s">
        <v>21</v>
      </c>
      <c r="L291" s="71">
        <v>1.220627096734583E-2</v>
      </c>
      <c r="M291" s="71">
        <v>1.9301239000211638E-2</v>
      </c>
      <c r="N291" s="71" t="s">
        <v>21</v>
      </c>
      <c r="O291" s="71" t="s">
        <v>21</v>
      </c>
      <c r="P291" s="55" t="s">
        <v>605</v>
      </c>
      <c r="Q291" s="53" t="s">
        <v>606</v>
      </c>
      <c r="R291" s="94" t="s">
        <v>32</v>
      </c>
      <c r="S291" s="71">
        <v>5.753751E-2</v>
      </c>
      <c r="T291" s="71">
        <v>5.2302668002116443E-3</v>
      </c>
      <c r="V291" s="114">
        <v>1.1309891999999999</v>
      </c>
      <c r="W291" s="72">
        <v>2.8487794200000001</v>
      </c>
      <c r="X291" s="72">
        <v>4.3183863200000001</v>
      </c>
      <c r="Y291" s="72">
        <v>5.5205211400000005</v>
      </c>
      <c r="Z291" s="115">
        <v>6.910286039999999</v>
      </c>
    </row>
    <row r="292" spans="2:26" x14ac:dyDescent="0.35">
      <c r="B292" s="55" t="s">
        <v>202</v>
      </c>
      <c r="C292" s="53" t="s">
        <v>234</v>
      </c>
      <c r="D292" s="53" t="s">
        <v>203</v>
      </c>
      <c r="E292" s="53" t="s">
        <v>181</v>
      </c>
      <c r="F292" s="71" t="s">
        <v>21</v>
      </c>
      <c r="G292" s="71">
        <v>5.1769195693532631E-2</v>
      </c>
      <c r="H292" s="71">
        <v>5.707775478471367E-2</v>
      </c>
      <c r="I292" s="71" t="s">
        <v>21</v>
      </c>
      <c r="J292" s="63" t="s">
        <v>21</v>
      </c>
      <c r="K292" s="71" t="s">
        <v>21</v>
      </c>
      <c r="L292" s="71">
        <v>8.7059930935326317E-3</v>
      </c>
      <c r="M292" s="71">
        <v>1.393047978471367E-2</v>
      </c>
      <c r="N292" s="71" t="s">
        <v>21</v>
      </c>
      <c r="O292" s="71" t="s">
        <v>21</v>
      </c>
      <c r="P292" s="55" t="s">
        <v>607</v>
      </c>
      <c r="Q292" s="53" t="s">
        <v>608</v>
      </c>
      <c r="R292" s="94" t="s">
        <v>32</v>
      </c>
      <c r="S292" s="71">
        <v>8.3260499999999998E-3</v>
      </c>
      <c r="T292" s="71">
        <v>4.8751704784713669E-2</v>
      </c>
      <c r="V292" s="114">
        <v>1.1335829500000001</v>
      </c>
      <c r="W292" s="72">
        <v>2.87156353</v>
      </c>
      <c r="X292" s="72">
        <v>4.3927896400000002</v>
      </c>
      <c r="Y292" s="72">
        <v>5.6813836499999999</v>
      </c>
      <c r="Z292" s="115">
        <v>7.2579314000000004</v>
      </c>
    </row>
    <row r="293" spans="2:26" x14ac:dyDescent="0.35">
      <c r="B293" s="55" t="s">
        <v>204</v>
      </c>
      <c r="C293" s="53" t="s">
        <v>234</v>
      </c>
      <c r="D293" s="53" t="s">
        <v>205</v>
      </c>
      <c r="E293" s="53" t="s">
        <v>609</v>
      </c>
      <c r="F293" s="71" t="s">
        <v>21</v>
      </c>
      <c r="G293" s="71">
        <v>6.1480589221310493E-2</v>
      </c>
      <c r="H293" s="71">
        <v>7.0863714407400677E-2</v>
      </c>
      <c r="I293" s="71" t="s">
        <v>21</v>
      </c>
      <c r="J293" s="63" t="s">
        <v>21</v>
      </c>
      <c r="K293" s="71" t="s">
        <v>21</v>
      </c>
      <c r="L293" s="71">
        <v>1.7847308121310482E-2</v>
      </c>
      <c r="M293" s="71">
        <v>2.6816924507400683E-2</v>
      </c>
      <c r="N293" s="71" t="s">
        <v>21</v>
      </c>
      <c r="O293" s="71" t="s">
        <v>21</v>
      </c>
      <c r="P293" s="55" t="s">
        <v>21</v>
      </c>
      <c r="Q293" s="53" t="s">
        <v>21</v>
      </c>
      <c r="R293" s="94" t="s">
        <v>21</v>
      </c>
      <c r="S293" s="71">
        <v>0</v>
      </c>
      <c r="T293" s="71">
        <v>7.0863714407400677E-2</v>
      </c>
      <c r="V293" s="114">
        <v>1.12510284</v>
      </c>
      <c r="W293" s="72">
        <v>2.8048280500000002</v>
      </c>
      <c r="X293" s="72">
        <v>4.2002948999999994</v>
      </c>
      <c r="Y293" s="72">
        <v>5.2969310800000002</v>
      </c>
      <c r="Z293" s="115">
        <v>6.5130797500000002</v>
      </c>
    </row>
    <row r="294" spans="2:26" x14ac:dyDescent="0.35">
      <c r="B294" s="55" t="s">
        <v>206</v>
      </c>
      <c r="C294" s="53" t="s">
        <v>234</v>
      </c>
      <c r="D294" s="53" t="s">
        <v>207</v>
      </c>
      <c r="E294" s="53" t="s">
        <v>193</v>
      </c>
      <c r="F294" s="71" t="s">
        <v>21</v>
      </c>
      <c r="G294" s="71">
        <v>5.0584407009075044E-2</v>
      </c>
      <c r="H294" s="71">
        <v>5.5026226543308208E-2</v>
      </c>
      <c r="I294" s="71" t="s">
        <v>21</v>
      </c>
      <c r="J294" s="63" t="s">
        <v>21</v>
      </c>
      <c r="K294" s="71" t="s">
        <v>21</v>
      </c>
      <c r="L294" s="71">
        <v>7.5886675090750429E-3</v>
      </c>
      <c r="M294" s="71">
        <v>1.1993367143308212E-2</v>
      </c>
      <c r="N294" s="71" t="s">
        <v>21</v>
      </c>
      <c r="O294" s="71" t="s">
        <v>21</v>
      </c>
      <c r="P294" s="55" t="s">
        <v>610</v>
      </c>
      <c r="Q294" s="53" t="s">
        <v>611</v>
      </c>
      <c r="R294" s="94" t="s">
        <v>32</v>
      </c>
      <c r="S294" s="71">
        <v>4.9835039999999997E-2</v>
      </c>
      <c r="T294" s="71">
        <v>5.1911865433082113E-3</v>
      </c>
      <c r="V294" s="114">
        <v>1.1347067500000001</v>
      </c>
      <c r="W294" s="72">
        <v>2.88040611</v>
      </c>
      <c r="X294" s="72">
        <v>4.4230239600000001</v>
      </c>
      <c r="Y294" s="72">
        <v>5.7466310900000002</v>
      </c>
      <c r="Z294" s="115">
        <v>7.3938904799999996</v>
      </c>
    </row>
    <row r="295" spans="2:26" x14ac:dyDescent="0.35">
      <c r="B295" s="55" t="s">
        <v>208</v>
      </c>
      <c r="C295" s="53" t="s">
        <v>234</v>
      </c>
      <c r="D295" s="53" t="s">
        <v>209</v>
      </c>
      <c r="E295" s="53" t="s">
        <v>181</v>
      </c>
      <c r="F295" s="71" t="s">
        <v>21</v>
      </c>
      <c r="G295" s="71">
        <v>5.4687249058016391E-2</v>
      </c>
      <c r="H295" s="71">
        <v>6.143057566892126E-2</v>
      </c>
      <c r="I295" s="71" t="s">
        <v>21</v>
      </c>
      <c r="J295" s="63" t="s">
        <v>21</v>
      </c>
      <c r="K295" s="71" t="s">
        <v>21</v>
      </c>
      <c r="L295" s="71">
        <v>1.1475818458016381E-2</v>
      </c>
      <c r="M295" s="71">
        <v>1.8040908068921249E-2</v>
      </c>
      <c r="N295" s="71" t="s">
        <v>21</v>
      </c>
      <c r="O295" s="71" t="s">
        <v>21</v>
      </c>
      <c r="P295" s="55" t="s">
        <v>21</v>
      </c>
      <c r="Q295" s="53" t="s">
        <v>21</v>
      </c>
      <c r="R295" s="94" t="s">
        <v>21</v>
      </c>
      <c r="S295" s="71">
        <v>0</v>
      </c>
      <c r="T295" s="71">
        <v>6.143057566892126E-2</v>
      </c>
      <c r="V295" s="114">
        <v>1.1309959600000001</v>
      </c>
      <c r="W295" s="72">
        <v>2.8519874999999999</v>
      </c>
      <c r="X295" s="72">
        <v>4.3335201300000001</v>
      </c>
      <c r="Y295" s="72">
        <v>5.5574554000000003</v>
      </c>
      <c r="Z295" s="115">
        <v>6.9929484400000002</v>
      </c>
    </row>
    <row r="296" spans="2:26" x14ac:dyDescent="0.35">
      <c r="B296" s="55" t="s">
        <v>405</v>
      </c>
      <c r="C296" s="53" t="s">
        <v>234</v>
      </c>
      <c r="D296" s="53" t="s">
        <v>405</v>
      </c>
      <c r="E296" s="53" t="s">
        <v>612</v>
      </c>
      <c r="F296" s="71" t="s">
        <v>21</v>
      </c>
      <c r="G296" s="71">
        <v>8.0073153744557479E-2</v>
      </c>
      <c r="H296" s="71">
        <v>8.8909907172575228E-2</v>
      </c>
      <c r="I296" s="71" t="s">
        <v>21</v>
      </c>
      <c r="J296" s="63" t="s">
        <v>21</v>
      </c>
      <c r="K296" s="71" t="s">
        <v>21</v>
      </c>
      <c r="L296" s="71">
        <v>3.4975527444557473E-2</v>
      </c>
      <c r="M296" s="71">
        <v>4.3262514772575214E-2</v>
      </c>
      <c r="N296" s="71" t="s">
        <v>21</v>
      </c>
      <c r="O296" s="71" t="s">
        <v>21</v>
      </c>
      <c r="P296" s="55" t="s">
        <v>613</v>
      </c>
      <c r="Q296" s="53" t="s">
        <v>614</v>
      </c>
      <c r="R296" s="94" t="s">
        <v>32</v>
      </c>
      <c r="S296" s="71">
        <v>8.1338839999999996E-2</v>
      </c>
      <c r="T296" s="71">
        <v>7.5710671725752327E-3</v>
      </c>
      <c r="V296" s="114">
        <v>1.09007751</v>
      </c>
      <c r="W296" s="72">
        <v>2.6522070100000001</v>
      </c>
      <c r="X296" s="72">
        <v>3.88664649</v>
      </c>
      <c r="Y296" s="72">
        <v>4.8289369600000001</v>
      </c>
      <c r="Z296" s="115">
        <v>5.8454528899999998</v>
      </c>
    </row>
    <row r="297" spans="2:26" x14ac:dyDescent="0.35">
      <c r="B297" s="55" t="s">
        <v>210</v>
      </c>
      <c r="C297" s="53" t="s">
        <v>234</v>
      </c>
      <c r="D297" s="53" t="s">
        <v>210</v>
      </c>
      <c r="E297" s="53" t="s">
        <v>615</v>
      </c>
      <c r="F297" s="71" t="s">
        <v>21</v>
      </c>
      <c r="G297" s="71">
        <v>5.1968181106995928E-2</v>
      </c>
      <c r="H297" s="71">
        <v>5.6676310308860237E-2</v>
      </c>
      <c r="I297" s="71" t="s">
        <v>21</v>
      </c>
      <c r="J297" s="63" t="s">
        <v>21</v>
      </c>
      <c r="K297" s="71" t="s">
        <v>21</v>
      </c>
      <c r="L297" s="71">
        <v>8.9056912069959363E-3</v>
      </c>
      <c r="M297" s="71">
        <v>1.3560694008860234E-2</v>
      </c>
      <c r="N297" s="71" t="s">
        <v>21</v>
      </c>
      <c r="O297" s="71" t="s">
        <v>21</v>
      </c>
      <c r="P297" s="55" t="s">
        <v>616</v>
      </c>
      <c r="Q297" s="53" t="s">
        <v>617</v>
      </c>
      <c r="R297" s="94" t="s">
        <v>32</v>
      </c>
      <c r="S297" s="71">
        <v>5.3761580000000003E-2</v>
      </c>
      <c r="T297" s="71">
        <v>2.9147303088602333E-3</v>
      </c>
      <c r="V297" s="114">
        <v>1.1337972599999999</v>
      </c>
      <c r="W297" s="72">
        <v>2.87176651</v>
      </c>
      <c r="X297" s="72">
        <v>4.3974318800000001</v>
      </c>
      <c r="Y297" s="72">
        <v>5.7028792799999994</v>
      </c>
      <c r="Z297" s="115">
        <v>7.3234123900000005</v>
      </c>
    </row>
    <row r="298" spans="2:26" x14ac:dyDescent="0.35">
      <c r="B298" s="55" t="s">
        <v>211</v>
      </c>
      <c r="C298" s="53" t="s">
        <v>234</v>
      </c>
      <c r="D298" s="53" t="s">
        <v>211</v>
      </c>
      <c r="E298" s="53" t="s">
        <v>618</v>
      </c>
      <c r="F298" s="71" t="s">
        <v>21</v>
      </c>
      <c r="G298" s="71">
        <v>5.8778093143840943E-2</v>
      </c>
      <c r="H298" s="71">
        <v>6.6329048822599726E-2</v>
      </c>
      <c r="I298" s="71" t="s">
        <v>21</v>
      </c>
      <c r="J298" s="63" t="s">
        <v>21</v>
      </c>
      <c r="K298" s="71" t="s">
        <v>21</v>
      </c>
      <c r="L298" s="71">
        <v>1.5196546043840948E-2</v>
      </c>
      <c r="M298" s="71">
        <v>2.2475680022599753E-2</v>
      </c>
      <c r="N298" s="71" t="s">
        <v>21</v>
      </c>
      <c r="O298" s="71" t="s">
        <v>21</v>
      </c>
      <c r="P298" s="55" t="s">
        <v>619</v>
      </c>
      <c r="Q298" s="53" t="s">
        <v>620</v>
      </c>
      <c r="R298" s="94" t="s">
        <v>32</v>
      </c>
      <c r="S298" s="71">
        <v>7.8806470000000003E-2</v>
      </c>
      <c r="T298" s="71">
        <v>-1.2477421177400277E-2</v>
      </c>
      <c r="V298" s="114">
        <v>1.12461345</v>
      </c>
      <c r="W298" s="72">
        <v>2.8099521900000002</v>
      </c>
      <c r="X298" s="72">
        <v>4.2279878000000002</v>
      </c>
      <c r="Y298" s="72">
        <v>5.3797311600000004</v>
      </c>
      <c r="Z298" s="115">
        <v>6.7299877300000004</v>
      </c>
    </row>
    <row r="299" spans="2:26" x14ac:dyDescent="0.35">
      <c r="B299" s="55" t="s">
        <v>212</v>
      </c>
      <c r="C299" s="53" t="s">
        <v>234</v>
      </c>
      <c r="D299" s="53" t="s">
        <v>212</v>
      </c>
      <c r="E299" s="53" t="s">
        <v>574</v>
      </c>
      <c r="F299" s="71" t="s">
        <v>21</v>
      </c>
      <c r="G299" s="71">
        <v>6.9476205217883585E-2</v>
      </c>
      <c r="H299" s="71">
        <v>8.0020813096123938E-2</v>
      </c>
      <c r="I299" s="71" t="s">
        <v>21</v>
      </c>
      <c r="J299" s="63" t="s">
        <v>21</v>
      </c>
      <c r="K299" s="71" t="s">
        <v>21</v>
      </c>
      <c r="L299" s="71">
        <v>2.5246736117883584E-2</v>
      </c>
      <c r="M299" s="71">
        <v>3.5206890596123953E-2</v>
      </c>
      <c r="N299" s="71" t="s">
        <v>21</v>
      </c>
      <c r="O299" s="71" t="s">
        <v>21</v>
      </c>
      <c r="P299" s="55" t="s">
        <v>621</v>
      </c>
      <c r="Q299" s="53" t="s">
        <v>622</v>
      </c>
      <c r="R299" s="94" t="s">
        <v>32</v>
      </c>
      <c r="S299" s="71">
        <v>7.2744240000000002E-2</v>
      </c>
      <c r="T299" s="71">
        <v>7.2765730961239367E-3</v>
      </c>
      <c r="V299" s="114">
        <v>1.11318567</v>
      </c>
      <c r="W299" s="72">
        <v>2.7453808799999999</v>
      </c>
      <c r="X299" s="72">
        <v>4.0592491800000001</v>
      </c>
      <c r="Y299" s="72">
        <v>5.079701</v>
      </c>
      <c r="Z299" s="115">
        <v>6.21110557</v>
      </c>
    </row>
    <row r="300" spans="2:26" x14ac:dyDescent="0.35">
      <c r="B300" s="55" t="s">
        <v>213</v>
      </c>
      <c r="C300" s="53" t="s">
        <v>234</v>
      </c>
      <c r="D300" s="53" t="s">
        <v>213</v>
      </c>
      <c r="E300" s="53" t="s">
        <v>623</v>
      </c>
      <c r="F300" s="71" t="s">
        <v>21</v>
      </c>
      <c r="G300" s="71">
        <v>6.9661632147820202E-2</v>
      </c>
      <c r="H300" s="71">
        <v>7.9081338390005654E-2</v>
      </c>
      <c r="I300" s="71" t="s">
        <v>21</v>
      </c>
      <c r="J300" s="63" t="s">
        <v>21</v>
      </c>
      <c r="K300" s="71" t="s">
        <v>21</v>
      </c>
      <c r="L300" s="71">
        <v>2.540958104782021E-2</v>
      </c>
      <c r="M300" s="71">
        <v>3.4339867390005649E-2</v>
      </c>
      <c r="N300" s="71" t="s">
        <v>21</v>
      </c>
      <c r="O300" s="71" t="s">
        <v>21</v>
      </c>
      <c r="P300" s="55" t="s">
        <v>624</v>
      </c>
      <c r="Q300" s="53" t="s">
        <v>625</v>
      </c>
      <c r="R300" s="94" t="s">
        <v>32</v>
      </c>
      <c r="S300" s="71">
        <v>7.1877259999999998E-2</v>
      </c>
      <c r="T300" s="71">
        <v>7.2040783900056554E-3</v>
      </c>
      <c r="V300" s="114">
        <v>1.1132366899999999</v>
      </c>
      <c r="W300" s="72">
        <v>2.7413612000000001</v>
      </c>
      <c r="X300" s="72">
        <v>4.06048644</v>
      </c>
      <c r="Y300" s="72">
        <v>5.0843625900000005</v>
      </c>
      <c r="Z300" s="115">
        <v>6.2077302300000001</v>
      </c>
    </row>
    <row r="301" spans="2:26" x14ac:dyDescent="0.35">
      <c r="B301" s="55" t="s">
        <v>274</v>
      </c>
      <c r="C301" s="53" t="s">
        <v>234</v>
      </c>
      <c r="D301" s="53" t="s">
        <v>274</v>
      </c>
      <c r="E301" s="53" t="s">
        <v>288</v>
      </c>
      <c r="F301" s="71" t="s">
        <v>21</v>
      </c>
      <c r="G301" s="71">
        <v>5.0018876831696736E-2</v>
      </c>
      <c r="H301" s="71">
        <v>5.5865689937306486E-2</v>
      </c>
      <c r="I301" s="71" t="s">
        <v>21</v>
      </c>
      <c r="J301" s="63" t="s">
        <v>21</v>
      </c>
      <c r="K301" s="71" t="s">
        <v>21</v>
      </c>
      <c r="L301" s="71">
        <v>7.0558114316967447E-3</v>
      </c>
      <c r="M301" s="71">
        <v>1.2793967837306493E-2</v>
      </c>
      <c r="N301" s="71" t="s">
        <v>21</v>
      </c>
      <c r="O301" s="71" t="s">
        <v>21</v>
      </c>
      <c r="P301" s="55" t="s">
        <v>21</v>
      </c>
      <c r="Q301" s="53" t="s">
        <v>21</v>
      </c>
      <c r="R301" s="94" t="s">
        <v>21</v>
      </c>
      <c r="S301" s="71">
        <v>0</v>
      </c>
      <c r="T301" s="71">
        <v>5.5865689937306486E-2</v>
      </c>
      <c r="V301" s="114">
        <v>1.1362284599999999</v>
      </c>
      <c r="W301" s="72">
        <v>2.88638182</v>
      </c>
      <c r="X301" s="72">
        <v>4.42302397</v>
      </c>
      <c r="Y301" s="72">
        <v>5.7191130299999999</v>
      </c>
      <c r="Z301" s="115">
        <v>7.3183893700000002</v>
      </c>
    </row>
    <row r="302" spans="2:26" x14ac:dyDescent="0.35">
      <c r="B302" s="55" t="s">
        <v>275</v>
      </c>
      <c r="C302" s="53" t="s">
        <v>234</v>
      </c>
      <c r="D302" s="53" t="s">
        <v>275</v>
      </c>
      <c r="E302" s="53" t="s">
        <v>276</v>
      </c>
      <c r="F302" s="71" t="s">
        <v>21</v>
      </c>
      <c r="G302" s="71">
        <v>5.3810109196435724E-2</v>
      </c>
      <c r="H302" s="71">
        <v>5.9841034775990273E-2</v>
      </c>
      <c r="I302" s="71" t="s">
        <v>21</v>
      </c>
      <c r="J302" s="63" t="s">
        <v>21</v>
      </c>
      <c r="K302" s="71" t="s">
        <v>21</v>
      </c>
      <c r="L302" s="71">
        <v>1.0640316896435718E-2</v>
      </c>
      <c r="M302" s="71">
        <v>1.6543515175990273E-2</v>
      </c>
      <c r="N302" s="71" t="s">
        <v>21</v>
      </c>
      <c r="O302" s="71" t="s">
        <v>21</v>
      </c>
      <c r="P302" s="55" t="s">
        <v>626</v>
      </c>
      <c r="Q302" s="53" t="s">
        <v>627</v>
      </c>
      <c r="R302" s="94" t="s">
        <v>32</v>
      </c>
      <c r="S302" s="71">
        <v>5.8281150000000004E-2</v>
      </c>
      <c r="T302" s="71">
        <v>1.5598847759902695E-3</v>
      </c>
      <c r="V302" s="114">
        <v>1.1341913299999999</v>
      </c>
      <c r="W302" s="72">
        <v>2.8632321700000003</v>
      </c>
      <c r="X302" s="72">
        <v>4.3590540400000002</v>
      </c>
      <c r="Y302" s="72">
        <v>5.6119315500000004</v>
      </c>
      <c r="Z302" s="115">
        <v>7.1305388999999995</v>
      </c>
    </row>
    <row r="303" spans="2:26" x14ac:dyDescent="0.35">
      <c r="B303" s="138" t="s">
        <v>279</v>
      </c>
      <c r="C303" s="139" t="s">
        <v>234</v>
      </c>
      <c r="D303" s="139" t="s">
        <v>279</v>
      </c>
      <c r="E303" s="139" t="s">
        <v>280</v>
      </c>
      <c r="F303" s="141" t="s">
        <v>21</v>
      </c>
      <c r="G303" s="141">
        <v>5.0145854073830355E-2</v>
      </c>
      <c r="H303" s="141">
        <v>5.4894240449760413E-2</v>
      </c>
      <c r="I303" s="141" t="s">
        <v>21</v>
      </c>
      <c r="J303" s="142" t="s">
        <v>21</v>
      </c>
      <c r="K303" s="141" t="s">
        <v>21</v>
      </c>
      <c r="L303" s="141">
        <v>7.1726955738303528E-3</v>
      </c>
      <c r="M303" s="141">
        <v>1.1868707349760421E-2</v>
      </c>
      <c r="N303" s="141" t="s">
        <v>21</v>
      </c>
      <c r="O303" s="141" t="s">
        <v>21</v>
      </c>
      <c r="P303" s="138" t="s">
        <v>628</v>
      </c>
      <c r="Q303" s="139" t="s">
        <v>629</v>
      </c>
      <c r="R303" s="143" t="s">
        <v>32</v>
      </c>
      <c r="S303" s="141">
        <v>4.8235780000000006E-2</v>
      </c>
      <c r="T303" s="141">
        <v>6.6584604497604075E-3</v>
      </c>
      <c r="V303" s="144">
        <v>1.1363498300000001</v>
      </c>
      <c r="W303" s="145">
        <v>2.8853175100000001</v>
      </c>
      <c r="X303" s="145">
        <v>4.4289964799999995</v>
      </c>
      <c r="Y303" s="145">
        <v>5.7545128100000005</v>
      </c>
      <c r="Z303" s="146">
        <v>7.4053634500000003</v>
      </c>
    </row>
    <row r="304" spans="2:26" x14ac:dyDescent="0.35">
      <c r="B304" s="138" t="s">
        <v>281</v>
      </c>
      <c r="C304" s="139" t="s">
        <v>234</v>
      </c>
      <c r="D304" s="139" t="s">
        <v>281</v>
      </c>
      <c r="E304" s="139" t="s">
        <v>48</v>
      </c>
      <c r="F304" s="141" t="s">
        <v>21</v>
      </c>
      <c r="G304" s="141">
        <v>5.6809321164243302E-2</v>
      </c>
      <c r="H304" s="141">
        <v>6.4075751526017383E-2</v>
      </c>
      <c r="I304" s="141" t="s">
        <v>21</v>
      </c>
      <c r="J304" s="142" t="s">
        <v>21</v>
      </c>
      <c r="K304" s="141" t="s">
        <v>21</v>
      </c>
      <c r="L304" s="141">
        <v>1.3474783664243305E-2</v>
      </c>
      <c r="M304" s="141">
        <v>2.0512357726017373E-2</v>
      </c>
      <c r="N304" s="141" t="s">
        <v>21</v>
      </c>
      <c r="O304" s="141" t="s">
        <v>21</v>
      </c>
      <c r="P304" s="138" t="s">
        <v>630</v>
      </c>
      <c r="Q304" s="139" t="s">
        <v>631</v>
      </c>
      <c r="R304" s="143" t="s">
        <v>32</v>
      </c>
      <c r="S304" s="141">
        <v>6.1830889999999999E-2</v>
      </c>
      <c r="T304" s="141">
        <v>2.2448615260173832E-3</v>
      </c>
      <c r="V304" s="144">
        <v>1.1300549599999998</v>
      </c>
      <c r="W304" s="145">
        <v>2.83796158</v>
      </c>
      <c r="X304" s="145">
        <v>4.2935534200000003</v>
      </c>
      <c r="Y304" s="145">
        <v>5.4917830199999997</v>
      </c>
      <c r="Z304" s="146">
        <v>6.8800454200000001</v>
      </c>
    </row>
    <row r="305" spans="2:26" x14ac:dyDescent="0.35">
      <c r="B305" s="147" t="s">
        <v>277</v>
      </c>
      <c r="C305" s="148" t="s">
        <v>234</v>
      </c>
      <c r="D305" s="148" t="s">
        <v>278</v>
      </c>
      <c r="E305" s="148" t="s">
        <v>123</v>
      </c>
      <c r="F305" s="150" t="s">
        <v>21</v>
      </c>
      <c r="G305" s="150">
        <v>5.4188146508575279E-2</v>
      </c>
      <c r="H305" s="150">
        <v>5.9551997437366104E-2</v>
      </c>
      <c r="I305" s="150" t="s">
        <v>21</v>
      </c>
      <c r="J305" s="151" t="s">
        <v>21</v>
      </c>
      <c r="K305" s="150" t="s">
        <v>21</v>
      </c>
      <c r="L305" s="150">
        <v>1.0967737608575282E-2</v>
      </c>
      <c r="M305" s="150">
        <v>1.6215062337366092E-2</v>
      </c>
      <c r="N305" s="150" t="s">
        <v>21</v>
      </c>
      <c r="O305" s="150" t="s">
        <v>21</v>
      </c>
      <c r="P305" s="147" t="s">
        <v>632</v>
      </c>
      <c r="Q305" s="148" t="s">
        <v>633</v>
      </c>
      <c r="R305" s="152" t="s">
        <v>32</v>
      </c>
      <c r="S305" s="150">
        <v>5.4302460000000004E-2</v>
      </c>
      <c r="T305" s="150">
        <v>5.2495374373661002E-3</v>
      </c>
      <c r="V305" s="153">
        <v>1.12962732</v>
      </c>
      <c r="W305" s="154">
        <v>2.84440085</v>
      </c>
      <c r="X305" s="154">
        <v>4.3239234099999999</v>
      </c>
      <c r="Y305" s="154">
        <v>5.5622107499999993</v>
      </c>
      <c r="Z305" s="155">
        <v>7.0324919700000006</v>
      </c>
    </row>
    <row r="306" spans="2:26" x14ac:dyDescent="0.35">
      <c r="B306" s="55" t="s">
        <v>214</v>
      </c>
      <c r="C306" s="53" t="s">
        <v>234</v>
      </c>
      <c r="D306" s="53" t="s">
        <v>201</v>
      </c>
      <c r="E306" s="53" t="s">
        <v>295</v>
      </c>
      <c r="F306" s="71" t="s">
        <v>21</v>
      </c>
      <c r="G306" s="71">
        <v>5.4845476342969643E-2</v>
      </c>
      <c r="H306" s="71">
        <v>6.2988458903046052E-2</v>
      </c>
      <c r="I306" s="71" t="s">
        <v>21</v>
      </c>
      <c r="J306" s="63" t="s">
        <v>21</v>
      </c>
      <c r="K306" s="71" t="s">
        <v>21</v>
      </c>
      <c r="L306" s="71">
        <v>1.1588953842969634E-2</v>
      </c>
      <c r="M306" s="71">
        <v>1.9461483303046062E-2</v>
      </c>
      <c r="N306" s="71" t="s">
        <v>21</v>
      </c>
      <c r="O306" s="71" t="s">
        <v>21</v>
      </c>
      <c r="P306" s="55" t="s">
        <v>634</v>
      </c>
      <c r="Q306" s="53" t="s">
        <v>635</v>
      </c>
      <c r="R306" s="94" t="s">
        <v>32</v>
      </c>
      <c r="S306" s="71">
        <v>5.9028600000000007E-2</v>
      </c>
      <c r="T306" s="71">
        <v>3.9598589030460443E-3</v>
      </c>
      <c r="V306" s="114">
        <v>1.13247893</v>
      </c>
      <c r="W306" s="72">
        <v>2.8511308999999998</v>
      </c>
      <c r="X306" s="72">
        <v>4.3132656000000003</v>
      </c>
      <c r="Y306" s="72">
        <v>5.5026177199999999</v>
      </c>
      <c r="Z306" s="115">
        <v>6.8774128399999999</v>
      </c>
    </row>
    <row r="307" spans="2:26" x14ac:dyDescent="0.35">
      <c r="B307" s="55" t="s">
        <v>215</v>
      </c>
      <c r="C307" s="53" t="s">
        <v>234</v>
      </c>
      <c r="D307" s="53" t="s">
        <v>199</v>
      </c>
      <c r="E307" s="53" t="s">
        <v>636</v>
      </c>
      <c r="F307" s="71" t="s">
        <v>21</v>
      </c>
      <c r="G307" s="71">
        <v>7.2601318917136254E-2</v>
      </c>
      <c r="H307" s="71">
        <v>8.0800930944733423E-2</v>
      </c>
      <c r="I307" s="71" t="s">
        <v>21</v>
      </c>
      <c r="J307" s="63" t="s">
        <v>21</v>
      </c>
      <c r="K307" s="71" t="s">
        <v>21</v>
      </c>
      <c r="L307" s="71">
        <v>2.8121450717136242E-2</v>
      </c>
      <c r="M307" s="71">
        <v>3.5899503744733413E-2</v>
      </c>
      <c r="N307" s="71" t="s">
        <v>21</v>
      </c>
      <c r="O307" s="71" t="s">
        <v>21</v>
      </c>
      <c r="P307" s="55" t="s">
        <v>21</v>
      </c>
      <c r="Q307" s="53" t="s">
        <v>21</v>
      </c>
      <c r="R307" s="94" t="s">
        <v>21</v>
      </c>
      <c r="S307" s="71">
        <v>0</v>
      </c>
      <c r="T307" s="71">
        <v>8.0800930944733423E-2</v>
      </c>
      <c r="V307" s="114">
        <v>1.1029047300000001</v>
      </c>
      <c r="W307" s="72">
        <v>2.7077829900000001</v>
      </c>
      <c r="X307" s="72">
        <v>4.0113183500000007</v>
      </c>
      <c r="Y307" s="72">
        <v>5.0151341399999998</v>
      </c>
      <c r="Z307" s="115">
        <v>6.1145119999999995</v>
      </c>
    </row>
    <row r="308" spans="2:26" x14ac:dyDescent="0.35">
      <c r="B308" s="55" t="s">
        <v>282</v>
      </c>
      <c r="C308" s="53" t="s">
        <v>234</v>
      </c>
      <c r="D308" s="53" t="s">
        <v>201</v>
      </c>
      <c r="E308" s="53" t="s">
        <v>133</v>
      </c>
      <c r="F308" s="71" t="s">
        <v>21</v>
      </c>
      <c r="G308" s="71"/>
      <c r="H308" s="71">
        <v>5.2340919832573225E-2</v>
      </c>
      <c r="I308" s="71" t="s">
        <v>21</v>
      </c>
      <c r="J308" s="63" t="s">
        <v>21</v>
      </c>
      <c r="K308" s="71" t="s">
        <v>21</v>
      </c>
      <c r="L308" s="71"/>
      <c r="M308" s="71">
        <v>9.3039995325732202E-3</v>
      </c>
      <c r="N308" s="71" t="s">
        <v>21</v>
      </c>
      <c r="O308" s="71" t="s">
        <v>21</v>
      </c>
      <c r="P308" s="55" t="s">
        <v>296</v>
      </c>
      <c r="Q308" s="53" t="s">
        <v>297</v>
      </c>
      <c r="R308" s="94">
        <v>47581</v>
      </c>
      <c r="S308" s="71">
        <v>5.6152210000000001E-2</v>
      </c>
      <c r="T308" s="71">
        <v>-3.8112901674267757E-3</v>
      </c>
      <c r="V308" s="114">
        <v>1.13402417</v>
      </c>
      <c r="W308" s="72">
        <v>2.87997419</v>
      </c>
      <c r="X308" s="72">
        <v>4.4204469399999997</v>
      </c>
      <c r="Y308" s="72">
        <v>5.7407943599999998</v>
      </c>
      <c r="Z308" s="115">
        <v>7.3602073299999997</v>
      </c>
    </row>
    <row r="309" spans="2:26" x14ac:dyDescent="0.35">
      <c r="B309" s="55" t="s">
        <v>283</v>
      </c>
      <c r="C309" s="53" t="s">
        <v>234</v>
      </c>
      <c r="D309" s="53" t="s">
        <v>197</v>
      </c>
      <c r="E309" s="53" t="s">
        <v>637</v>
      </c>
      <c r="F309" s="71" t="s">
        <v>21</v>
      </c>
      <c r="G309" s="71"/>
      <c r="H309" s="71">
        <v>7.9670338865721266E-2</v>
      </c>
      <c r="I309" s="71" t="s">
        <v>21</v>
      </c>
      <c r="J309" s="63" t="s">
        <v>21</v>
      </c>
      <c r="K309" s="71" t="s">
        <v>21</v>
      </c>
      <c r="L309" s="71"/>
      <c r="M309" s="71">
        <v>3.4833159765721267E-2</v>
      </c>
      <c r="N309" s="71" t="s">
        <v>21</v>
      </c>
      <c r="O309" s="71" t="s">
        <v>21</v>
      </c>
      <c r="P309" s="55" t="s">
        <v>21</v>
      </c>
      <c r="Q309" s="53" t="s">
        <v>21</v>
      </c>
      <c r="R309" s="94" t="s">
        <v>21</v>
      </c>
      <c r="S309" s="71">
        <v>0</v>
      </c>
      <c r="T309" s="71">
        <v>7.9670338865721266E-2</v>
      </c>
      <c r="V309" s="114">
        <v>1.1030491899999999</v>
      </c>
      <c r="W309" s="72">
        <v>2.6972822700000001</v>
      </c>
      <c r="X309" s="72">
        <v>4.0015180099999998</v>
      </c>
      <c r="Y309" s="72">
        <v>5.0516878100000007</v>
      </c>
      <c r="Z309" s="115">
        <v>6.2709497200000008</v>
      </c>
    </row>
    <row r="310" spans="2:26" x14ac:dyDescent="0.35">
      <c r="B310" s="55" t="s">
        <v>284</v>
      </c>
      <c r="C310" s="53" t="s">
        <v>234</v>
      </c>
      <c r="D310" s="53" t="s">
        <v>197</v>
      </c>
      <c r="E310" s="53" t="s">
        <v>638</v>
      </c>
      <c r="F310" s="71" t="s">
        <v>21</v>
      </c>
      <c r="G310" s="71"/>
      <c r="H310" s="71">
        <v>8.375302231683289E-2</v>
      </c>
      <c r="I310" s="71" t="s">
        <v>21</v>
      </c>
      <c r="J310" s="63" t="s">
        <v>21</v>
      </c>
      <c r="K310" s="71" t="s">
        <v>21</v>
      </c>
      <c r="L310" s="71"/>
      <c r="M310" s="71">
        <v>3.9034831716832884E-2</v>
      </c>
      <c r="N310" s="71" t="s">
        <v>21</v>
      </c>
      <c r="O310" s="71" t="s">
        <v>21</v>
      </c>
      <c r="P310" s="55" t="s">
        <v>21</v>
      </c>
      <c r="Q310" s="53" t="s">
        <v>21</v>
      </c>
      <c r="R310" s="94" t="s">
        <v>21</v>
      </c>
      <c r="S310" s="71">
        <v>0</v>
      </c>
      <c r="T310" s="71">
        <v>8.375302231683289E-2</v>
      </c>
      <c r="V310" s="114">
        <v>1.10608518</v>
      </c>
      <c r="W310" s="72">
        <v>2.7249001700000002</v>
      </c>
      <c r="X310" s="72">
        <v>4.0429485999999999</v>
      </c>
      <c r="Y310" s="72">
        <v>5.07133448</v>
      </c>
      <c r="Z310" s="115">
        <v>6.1833972700000004</v>
      </c>
    </row>
    <row r="311" spans="2:26" x14ac:dyDescent="0.35">
      <c r="B311" s="57" t="s">
        <v>285</v>
      </c>
      <c r="C311" s="53" t="s">
        <v>234</v>
      </c>
      <c r="D311" s="67" t="s">
        <v>197</v>
      </c>
      <c r="E311" s="67" t="s">
        <v>270</v>
      </c>
      <c r="F311" s="76" t="s">
        <v>21</v>
      </c>
      <c r="G311" s="76"/>
      <c r="H311" s="76">
        <v>8.6890594127108062E-2</v>
      </c>
      <c r="I311" s="76" t="s">
        <v>21</v>
      </c>
      <c r="J311" s="64" t="s">
        <v>21</v>
      </c>
      <c r="K311" s="76" t="s">
        <v>21</v>
      </c>
      <c r="L311" s="76"/>
      <c r="M311" s="76">
        <v>4.0990405827108063E-2</v>
      </c>
      <c r="N311" s="76" t="s">
        <v>21</v>
      </c>
      <c r="O311" s="76" t="s">
        <v>21</v>
      </c>
      <c r="P311" s="57" t="s">
        <v>639</v>
      </c>
      <c r="Q311" s="67" t="s">
        <v>640</v>
      </c>
      <c r="R311" s="96">
        <v>47560</v>
      </c>
      <c r="S311" s="76">
        <v>8.3131200000000002E-2</v>
      </c>
      <c r="T311" s="76">
        <v>3.7593941271080594E-3</v>
      </c>
      <c r="V311" s="116">
        <v>1.09750218</v>
      </c>
      <c r="W311" s="108">
        <v>2.64635832</v>
      </c>
      <c r="X311" s="108">
        <v>3.8609730400000002</v>
      </c>
      <c r="Y311" s="108">
        <v>4.7947236699999998</v>
      </c>
      <c r="Z311" s="117">
        <v>5.7623122999999996</v>
      </c>
    </row>
    <row r="312" spans="2:26" x14ac:dyDescent="0.35"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V312" s="66"/>
      <c r="W312" s="66"/>
      <c r="X312" s="66"/>
      <c r="Y312" s="66"/>
      <c r="Z312" s="66"/>
    </row>
    <row r="313" spans="2:26" ht="15.5" x14ac:dyDescent="0.35">
      <c r="B313" s="122" t="s">
        <v>286</v>
      </c>
    </row>
    <row r="314" spans="2:26" x14ac:dyDescent="0.35">
      <c r="B314" s="85" t="s">
        <v>5</v>
      </c>
      <c r="C314" s="84" t="s">
        <v>6</v>
      </c>
      <c r="D314" s="84" t="s">
        <v>7</v>
      </c>
      <c r="E314" s="84" t="s">
        <v>8</v>
      </c>
      <c r="F314" s="83" t="s">
        <v>9</v>
      </c>
      <c r="G314" s="82" t="s">
        <v>10</v>
      </c>
      <c r="H314" s="82" t="s">
        <v>11</v>
      </c>
      <c r="I314" s="82" t="s">
        <v>12</v>
      </c>
      <c r="J314" s="81" t="s">
        <v>13</v>
      </c>
      <c r="K314" s="82" t="s">
        <v>9</v>
      </c>
      <c r="L314" s="82" t="s">
        <v>10</v>
      </c>
      <c r="M314" s="82" t="s">
        <v>11</v>
      </c>
      <c r="N314" s="82" t="s">
        <v>12</v>
      </c>
      <c r="O314" s="82" t="s">
        <v>13</v>
      </c>
      <c r="P314" s="83" t="s">
        <v>14</v>
      </c>
      <c r="Q314" s="82" t="s">
        <v>15</v>
      </c>
      <c r="R314" s="82" t="s">
        <v>16</v>
      </c>
      <c r="S314" s="82" t="s">
        <v>407</v>
      </c>
      <c r="T314" s="82" t="s">
        <v>18</v>
      </c>
      <c r="V314" s="110" t="s">
        <v>9</v>
      </c>
      <c r="W314" s="106" t="s">
        <v>10</v>
      </c>
      <c r="X314" s="106" t="s">
        <v>11</v>
      </c>
      <c r="Y314" s="106" t="s">
        <v>12</v>
      </c>
      <c r="Z314" s="111" t="s">
        <v>13</v>
      </c>
    </row>
    <row r="315" spans="2:26" x14ac:dyDescent="0.35">
      <c r="B315" s="55" t="s">
        <v>641</v>
      </c>
      <c r="C315" s="53" t="s">
        <v>234</v>
      </c>
      <c r="D315" s="53" t="s">
        <v>642</v>
      </c>
      <c r="E315" s="53" t="s">
        <v>643</v>
      </c>
      <c r="F315" s="71">
        <v>4.3465132635428567E-2</v>
      </c>
      <c r="G315" s="71">
        <v>5.0312754075906616E-2</v>
      </c>
      <c r="H315" s="71">
        <v>5.6038227077936015E-2</v>
      </c>
      <c r="I315" s="71">
        <v>5.829405834624362E-2</v>
      </c>
      <c r="J315" s="63">
        <v>6.0792662381067335E-2</v>
      </c>
      <c r="K315" s="71">
        <v>1.1785523542857685E-4</v>
      </c>
      <c r="L315" s="71">
        <v>7.2485930759066111E-3</v>
      </c>
      <c r="M315" s="71">
        <v>1.2841073677936011E-2</v>
      </c>
      <c r="N315" s="71">
        <v>1.440720634624364E-2</v>
      </c>
      <c r="O315" s="71">
        <v>1.5527037481067334E-2</v>
      </c>
      <c r="P315" s="55" t="s">
        <v>644</v>
      </c>
      <c r="Q315" s="53" t="s">
        <v>645</v>
      </c>
      <c r="R315" s="94">
        <v>47545</v>
      </c>
      <c r="S315" s="71">
        <v>4.8356679999999999E-2</v>
      </c>
      <c r="T315" s="71">
        <v>7.6815470779360157E-3</v>
      </c>
      <c r="V315" s="114">
        <v>1.1338600599999999</v>
      </c>
      <c r="W315" s="72">
        <v>2.8687120900000003</v>
      </c>
      <c r="X315" s="72">
        <v>4.3750157700000001</v>
      </c>
      <c r="Y315" s="72">
        <v>5.6536745100000001</v>
      </c>
      <c r="Z315" s="115">
        <v>7.2366262099999998</v>
      </c>
    </row>
    <row r="316" spans="2:26" x14ac:dyDescent="0.35">
      <c r="B316" s="55" t="s">
        <v>646</v>
      </c>
      <c r="C316" s="53" t="e">
        <v>#N/A</v>
      </c>
      <c r="D316" s="53" t="s">
        <v>647</v>
      </c>
      <c r="E316" s="53" t="s">
        <v>266</v>
      </c>
      <c r="F316" s="71">
        <v>4.4221704159642744E-2</v>
      </c>
      <c r="G316" s="71">
        <v>5.072319200998103E-2</v>
      </c>
      <c r="H316" s="71">
        <v>5.6016925714833347E-2</v>
      </c>
      <c r="I316" s="71">
        <v>5.8118695443038999E-2</v>
      </c>
      <c r="J316" s="63">
        <v>6.065514505189519E-2</v>
      </c>
      <c r="K316" s="71">
        <v>8.4459895964275437E-4</v>
      </c>
      <c r="L316" s="71">
        <v>7.6395050099810373E-3</v>
      </c>
      <c r="M316" s="71">
        <v>1.2823011314833344E-2</v>
      </c>
      <c r="N316" s="71">
        <v>1.4242516243039009E-2</v>
      </c>
      <c r="O316" s="71">
        <v>1.5394939851895186E-2</v>
      </c>
      <c r="P316" s="55" t="s">
        <v>21</v>
      </c>
      <c r="Q316" s="53" t="s">
        <v>21</v>
      </c>
      <c r="R316" s="94" t="s">
        <v>21</v>
      </c>
      <c r="S316" s="71">
        <v>0</v>
      </c>
      <c r="T316" s="71">
        <v>5.6016925714833347E-2</v>
      </c>
      <c r="V316" s="114">
        <v>1.1323901399999998</v>
      </c>
      <c r="W316" s="72">
        <v>2.8634249500000002</v>
      </c>
      <c r="X316" s="72">
        <v>4.36929283</v>
      </c>
      <c r="Y316" s="72">
        <v>5.65168435</v>
      </c>
      <c r="Z316" s="115">
        <v>7.2394998599999996</v>
      </c>
    </row>
    <row r="317" spans="2:26" x14ac:dyDescent="0.35">
      <c r="B317" s="55" t="s">
        <v>289</v>
      </c>
      <c r="C317" s="53" t="s">
        <v>234</v>
      </c>
      <c r="D317" s="53" t="s">
        <v>287</v>
      </c>
      <c r="E317" s="53" t="s">
        <v>181</v>
      </c>
      <c r="F317" s="71">
        <v>4.2240665848847885E-2</v>
      </c>
      <c r="G317" s="71">
        <v>4.858199514553152E-2</v>
      </c>
      <c r="H317" s="71">
        <v>5.3255767396605293E-2</v>
      </c>
      <c r="I317" s="71">
        <v>5.590113066231573E-2</v>
      </c>
      <c r="J317" s="63">
        <v>5.8724165412672204E-2</v>
      </c>
      <c r="K317" s="71" t="s">
        <v>21</v>
      </c>
      <c r="L317" s="71">
        <v>5.6036402455315257E-3</v>
      </c>
      <c r="M317" s="71">
        <v>1.0209324696605284E-2</v>
      </c>
      <c r="N317" s="71">
        <v>1.2144966462315727E-2</v>
      </c>
      <c r="O317" s="71">
        <v>1.3564364412672204E-2</v>
      </c>
      <c r="P317" s="55" t="s">
        <v>648</v>
      </c>
      <c r="Q317" s="53" t="s">
        <v>649</v>
      </c>
      <c r="R317" s="94" t="s">
        <v>32</v>
      </c>
      <c r="S317" s="71">
        <v>4.9587479999999996E-2</v>
      </c>
      <c r="T317" s="71">
        <v>3.6682873966052965E-3</v>
      </c>
      <c r="V317" s="114">
        <v>1.1362668500000002</v>
      </c>
      <c r="W317" s="72">
        <v>2.8842410900000002</v>
      </c>
      <c r="X317" s="72">
        <v>4.4219863200000002</v>
      </c>
      <c r="Y317" s="72">
        <v>5.7336842199999998</v>
      </c>
      <c r="Z317" s="115">
        <v>7.3615973599999993</v>
      </c>
    </row>
    <row r="318" spans="2:26" x14ac:dyDescent="0.35">
      <c r="B318" s="55" t="s">
        <v>650</v>
      </c>
      <c r="C318" s="53" t="s">
        <v>234</v>
      </c>
      <c r="D318" s="53" t="s">
        <v>642</v>
      </c>
      <c r="E318" s="53" t="s">
        <v>651</v>
      </c>
      <c r="F318" s="71">
        <v>4.4000865306341758E-2</v>
      </c>
      <c r="G318" s="71">
        <v>5.2054522903340963E-2</v>
      </c>
      <c r="H318" s="71">
        <v>5.7569324041442237E-2</v>
      </c>
      <c r="I318" s="71">
        <v>6.0645165338714599E-2</v>
      </c>
      <c r="J318" s="63">
        <v>6.4442000368592559E-2</v>
      </c>
      <c r="K318" s="71">
        <v>6.219625063417604E-4</v>
      </c>
      <c r="L318" s="71">
        <v>8.8898641033409512E-3</v>
      </c>
      <c r="M318" s="71">
        <v>1.4278702541442229E-2</v>
      </c>
      <c r="N318" s="71">
        <v>1.661294603871458E-2</v>
      </c>
      <c r="O318" s="71">
        <v>1.8970864268592558E-2</v>
      </c>
      <c r="P318" s="55" t="s">
        <v>652</v>
      </c>
      <c r="Q318" s="53" t="s">
        <v>653</v>
      </c>
      <c r="R318" s="94">
        <v>47651</v>
      </c>
      <c r="S318" s="71">
        <v>5.0055530000000001E-2</v>
      </c>
      <c r="T318" s="71">
        <v>7.5137940414422358E-3</v>
      </c>
      <c r="V318" s="114">
        <v>1.1328799899999999</v>
      </c>
      <c r="W318" s="72">
        <v>2.8570433900000003</v>
      </c>
      <c r="X318" s="72">
        <v>4.3456295599999999</v>
      </c>
      <c r="Y318" s="72">
        <v>5.5934127</v>
      </c>
      <c r="Z318" s="115">
        <v>7.0908766100000005</v>
      </c>
    </row>
    <row r="319" spans="2:26" x14ac:dyDescent="0.35">
      <c r="B319" s="55" t="s">
        <v>654</v>
      </c>
      <c r="C319" s="53" t="s">
        <v>234</v>
      </c>
      <c r="D319" s="53" t="s">
        <v>642</v>
      </c>
      <c r="E319" s="53" t="s">
        <v>643</v>
      </c>
      <c r="F319" s="71">
        <v>4.475155695068099E-2</v>
      </c>
      <c r="G319" s="71">
        <v>5.2521456624073239E-2</v>
      </c>
      <c r="H319" s="71">
        <v>5.8309304211556806E-2</v>
      </c>
      <c r="I319" s="71">
        <v>6.0697270860210803E-2</v>
      </c>
      <c r="J319" s="63">
        <v>6.38450624080905E-2</v>
      </c>
      <c r="K319" s="71">
        <v>1.346574450680987E-3</v>
      </c>
      <c r="L319" s="71">
        <v>9.3356701240732403E-3</v>
      </c>
      <c r="M319" s="71">
        <v>1.4976714411556794E-2</v>
      </c>
      <c r="N319" s="71">
        <v>1.666457406021081E-2</v>
      </c>
      <c r="O319" s="71">
        <v>1.8406644508090521E-2</v>
      </c>
      <c r="P319" s="55" t="s">
        <v>655</v>
      </c>
      <c r="Q319" s="53" t="s">
        <v>656</v>
      </c>
      <c r="R319" s="94">
        <v>47599</v>
      </c>
      <c r="S319" s="71">
        <v>5.0138580000000002E-2</v>
      </c>
      <c r="T319" s="71">
        <v>8.1707242115568041E-3</v>
      </c>
      <c r="V319" s="114">
        <v>1.1313270199999998</v>
      </c>
      <c r="W319" s="72">
        <v>2.8507101800000001</v>
      </c>
      <c r="X319" s="72">
        <v>4.3315109300000003</v>
      </c>
      <c r="Y319" s="72">
        <v>5.5781333799999997</v>
      </c>
      <c r="Z319" s="115">
        <v>7.0936636900000005</v>
      </c>
    </row>
    <row r="320" spans="2:26" x14ac:dyDescent="0.35">
      <c r="B320" s="57" t="s">
        <v>657</v>
      </c>
      <c r="C320" s="67" t="s">
        <v>234</v>
      </c>
      <c r="D320" s="67" t="s">
        <v>642</v>
      </c>
      <c r="E320" s="67" t="s">
        <v>658</v>
      </c>
      <c r="F320" s="76">
        <v>4.4969419875572778E-2</v>
      </c>
      <c r="G320" s="76">
        <v>5.3365035734658534E-2</v>
      </c>
      <c r="H320" s="76">
        <v>5.8799241229615488E-2</v>
      </c>
      <c r="I320" s="76">
        <v>6.1390809643583025E-2</v>
      </c>
      <c r="J320" s="64">
        <v>6.4414720946686418E-2</v>
      </c>
      <c r="K320" s="76">
        <v>1.557725475572775E-3</v>
      </c>
      <c r="L320" s="76">
        <v>1.0133508534658536E-2</v>
      </c>
      <c r="M320" s="76">
        <v>1.5437144429615487E-2</v>
      </c>
      <c r="N320" s="76">
        <v>1.7314862743583029E-2</v>
      </c>
      <c r="O320" s="76">
        <v>1.8943740746686408E-2</v>
      </c>
      <c r="P320" s="57" t="s">
        <v>659</v>
      </c>
      <c r="Q320" s="67" t="s">
        <v>660</v>
      </c>
      <c r="R320" s="96">
        <v>47490</v>
      </c>
      <c r="S320" s="76">
        <v>5.0023499999999999E-2</v>
      </c>
      <c r="T320" s="76">
        <v>8.7757412296154899E-3</v>
      </c>
      <c r="V320" s="116">
        <v>1.13073702</v>
      </c>
      <c r="W320" s="108">
        <v>2.8444926599999998</v>
      </c>
      <c r="X320" s="108">
        <v>4.3187061</v>
      </c>
      <c r="Y320" s="108">
        <v>5.5566670199999999</v>
      </c>
      <c r="Z320" s="117">
        <v>7.0587906800000004</v>
      </c>
    </row>
  </sheetData>
  <mergeCells count="6">
    <mergeCell ref="V14:Z14"/>
    <mergeCell ref="F3:J3"/>
    <mergeCell ref="K3:O3"/>
    <mergeCell ref="F4:J4"/>
    <mergeCell ref="K4:O4"/>
    <mergeCell ref="V5:Z5"/>
  </mergeCells>
  <conditionalFormatting sqref="F26">
    <cfRule type="colorScale" priority="43">
      <colorScale>
        <cfvo type="min"/>
        <cfvo type="max"/>
        <color rgb="FFFFEF9C"/>
        <color rgb="FF63BE7B"/>
      </colorScale>
    </cfRule>
  </conditionalFormatting>
  <conditionalFormatting sqref="F7:J12">
    <cfRule type="colorScale" priority="47">
      <colorScale>
        <cfvo type="min"/>
        <cfvo type="max"/>
        <color rgb="FFFFEF9C"/>
        <color rgb="FF63BE7B"/>
      </colorScale>
    </cfRule>
  </conditionalFormatting>
  <conditionalFormatting sqref="F16:J21">
    <cfRule type="colorScale" priority="34">
      <colorScale>
        <cfvo type="min"/>
        <cfvo type="max"/>
        <color rgb="FFFFEF9C"/>
        <color rgb="FF63BE7B"/>
      </colorScale>
    </cfRule>
  </conditionalFormatting>
  <conditionalFormatting sqref="F26:J105">
    <cfRule type="colorScale" priority="71">
      <colorScale>
        <cfvo type="min"/>
        <cfvo type="max"/>
        <color rgb="FFFFEF9C"/>
        <color rgb="FF63BE7B"/>
      </colorScale>
    </cfRule>
  </conditionalFormatting>
  <conditionalFormatting sqref="F40:J48">
    <cfRule type="cellIs" dxfId="9" priority="45" operator="lessThan">
      <formula>0</formula>
    </cfRule>
  </conditionalFormatting>
  <conditionalFormatting sqref="F46:J46">
    <cfRule type="colorScale" priority="44">
      <colorScale>
        <cfvo type="min"/>
        <cfvo type="max"/>
        <color rgb="FFFFEF9C"/>
        <color rgb="FF63BE7B"/>
      </colorScale>
    </cfRule>
  </conditionalFormatting>
  <conditionalFormatting sqref="F50:J55 F57:J60 F62:J66 F68:J70 F72:J73 F75:J93 F110:J129 F131:J133 F138:J253 F255:J271 F315:J320">
    <cfRule type="cellIs" dxfId="8" priority="48" operator="lessThan">
      <formula>0</formula>
    </cfRule>
  </conditionalFormatting>
  <conditionalFormatting sqref="F57:J60 F47:J48 F27:J34 G26:J26 F36:J38 F40:J45 F50:J55 F75:J93 F62:J66 F68:J70 F95:J105 F72:J73">
    <cfRule type="colorScale" priority="50">
      <colorScale>
        <cfvo type="min"/>
        <cfvo type="max"/>
        <color rgb="FFFFEF9C"/>
        <color rgb="FF63BE7B"/>
      </colorScale>
    </cfRule>
  </conditionalFormatting>
  <conditionalFormatting sqref="F57:J60 F50:J55 F26:J34 F36:J38 F40:J48 F75:J93 F62:J66 F68:J70 F95:J105 F72:J73">
    <cfRule type="colorScale" priority="51">
      <colorScale>
        <cfvo type="min"/>
        <cfvo type="max"/>
        <color rgb="FFFFEF9C"/>
        <color rgb="FF63BE7B"/>
      </colorScale>
    </cfRule>
  </conditionalFormatting>
  <conditionalFormatting sqref="F110:J129">
    <cfRule type="colorScale" priority="49">
      <colorScale>
        <cfvo type="min"/>
        <cfvo type="max"/>
        <color rgb="FFFFEF9C"/>
        <color rgb="FF63BE7B"/>
      </colorScale>
    </cfRule>
  </conditionalFormatting>
  <conditionalFormatting sqref="F131:J133 F110:J129">
    <cfRule type="colorScale" priority="53">
      <colorScale>
        <cfvo type="min"/>
        <cfvo type="max"/>
        <color rgb="FFFFEF9C"/>
        <color rgb="FF63BE7B"/>
      </colorScale>
    </cfRule>
  </conditionalFormatting>
  <conditionalFormatting sqref="F131:J133">
    <cfRule type="colorScale" priority="52">
      <colorScale>
        <cfvo type="min"/>
        <cfvo type="max"/>
        <color rgb="FFFFEF9C"/>
        <color rgb="FF63BE7B"/>
      </colorScale>
    </cfRule>
  </conditionalFormatting>
  <conditionalFormatting sqref="F138:J253">
    <cfRule type="colorScale" priority="69">
      <colorScale>
        <cfvo type="min"/>
        <cfvo type="max"/>
        <color rgb="FFFFEF9C"/>
        <color rgb="FF63BE7B"/>
      </colorScale>
    </cfRule>
  </conditionalFormatting>
  <conditionalFormatting sqref="F255:J271">
    <cfRule type="colorScale" priority="73">
      <colorScale>
        <cfvo type="min"/>
        <cfvo type="max"/>
        <color rgb="FFFFEF9C"/>
        <color rgb="FF63BE7B"/>
      </colorScale>
    </cfRule>
  </conditionalFormatting>
  <conditionalFormatting sqref="F275:J281">
    <cfRule type="colorScale" priority="42">
      <colorScale>
        <cfvo type="min"/>
        <cfvo type="max"/>
        <color rgb="FFFFEF9C"/>
        <color rgb="FF63BE7B"/>
      </colorScale>
    </cfRule>
    <cfRule type="cellIs" dxfId="7" priority="41" operator="lessThan">
      <formula>0</formula>
    </cfRule>
  </conditionalFormatting>
  <conditionalFormatting sqref="F285:J294">
    <cfRule type="colorScale" priority="54">
      <colorScale>
        <cfvo type="min"/>
        <cfvo type="max"/>
        <color rgb="FFFFEF9C"/>
        <color rgb="FF63BE7B"/>
      </colorScale>
    </cfRule>
  </conditionalFormatting>
  <conditionalFormatting sqref="F285:J311">
    <cfRule type="cellIs" dxfId="6" priority="31" operator="lessThan">
      <formula>0</formula>
    </cfRule>
  </conditionalFormatting>
  <conditionalFormatting sqref="F295:J298">
    <cfRule type="colorScale" priority="55">
      <colorScale>
        <cfvo type="min"/>
        <cfvo type="max"/>
        <color rgb="FFFFEF9C"/>
        <color rgb="FF63BE7B"/>
      </colorScale>
    </cfRule>
  </conditionalFormatting>
  <conditionalFormatting sqref="F299:J305">
    <cfRule type="colorScale" priority="40">
      <colorScale>
        <cfvo type="min"/>
        <cfvo type="max"/>
        <color rgb="FFFFEF9C"/>
        <color rgb="FF63BE7B"/>
      </colorScale>
    </cfRule>
  </conditionalFormatting>
  <conditionalFormatting sqref="F306:J306">
    <cfRule type="colorScale" priority="32">
      <colorScale>
        <cfvo type="min"/>
        <cfvo type="max"/>
        <color rgb="FFFFEF9C"/>
        <color rgb="FF63BE7B"/>
      </colorScale>
    </cfRule>
  </conditionalFormatting>
  <conditionalFormatting sqref="F307:J310">
    <cfRule type="colorScale" priority="38">
      <colorScale>
        <cfvo type="min"/>
        <cfvo type="max"/>
        <color rgb="FFFFEF9C"/>
        <color rgb="FF63BE7B"/>
      </colorScale>
    </cfRule>
  </conditionalFormatting>
  <conditionalFormatting sqref="F311:J311">
    <cfRule type="colorScale" priority="36">
      <colorScale>
        <cfvo type="min"/>
        <cfvo type="max"/>
        <color rgb="FFFFEF9C"/>
        <color rgb="FF63BE7B"/>
      </colorScale>
    </cfRule>
  </conditionalFormatting>
  <conditionalFormatting sqref="F315:J320">
    <cfRule type="colorScale" priority="57">
      <colorScale>
        <cfvo type="min"/>
        <cfvo type="max"/>
        <color rgb="FFFFEF9C"/>
        <color rgb="FF63BE7B"/>
      </colorScale>
    </cfRule>
  </conditionalFormatting>
  <conditionalFormatting sqref="G285:H311">
    <cfRule type="colorScale" priority="56">
      <colorScale>
        <cfvo type="min"/>
        <cfvo type="max"/>
        <color rgb="FFFFEF9C"/>
        <color rgb="FF63BE7B"/>
      </colorScale>
    </cfRule>
  </conditionalFormatting>
  <conditionalFormatting sqref="G315:H320">
    <cfRule type="colorScale" priority="58">
      <colorScale>
        <cfvo type="min"/>
        <cfvo type="max"/>
        <color rgb="FFFFEF9C"/>
        <color rgb="FF63BE7B"/>
      </colorScale>
    </cfRule>
  </conditionalFormatting>
  <conditionalFormatting sqref="G26:J26 F27:J34 F36:J38 F95:J107">
    <cfRule type="cellIs" dxfId="5" priority="46" operator="lessThan">
      <formula>0</formula>
    </cfRule>
  </conditionalFormatting>
  <conditionalFormatting sqref="K7:O12">
    <cfRule type="colorScale" priority="65">
      <colorScale>
        <cfvo type="min"/>
        <cfvo type="max"/>
        <color theme="0"/>
        <color theme="8" tint="0.39997558519241921"/>
      </colorScale>
    </cfRule>
  </conditionalFormatting>
  <conditionalFormatting sqref="K16:O21">
    <cfRule type="colorScale" priority="59">
      <colorScale>
        <cfvo type="min"/>
        <cfvo type="max"/>
        <color theme="0"/>
        <color theme="8" tint="0.39997558519241921"/>
      </colorScale>
    </cfRule>
  </conditionalFormatting>
  <conditionalFormatting sqref="K26:O105">
    <cfRule type="colorScale" priority="70">
      <colorScale>
        <cfvo type="min"/>
        <cfvo type="max"/>
        <color theme="0"/>
        <color theme="8" tint="0.39997558519241921"/>
      </colorScale>
    </cfRule>
  </conditionalFormatting>
  <conditionalFormatting sqref="K110:O133">
    <cfRule type="colorScale" priority="64">
      <colorScale>
        <cfvo type="min"/>
        <cfvo type="max"/>
        <color theme="0"/>
        <color theme="8" tint="0.39997558519241921"/>
      </colorScale>
    </cfRule>
  </conditionalFormatting>
  <conditionalFormatting sqref="K138:O253">
    <cfRule type="colorScale" priority="68">
      <colorScale>
        <cfvo type="min"/>
        <cfvo type="max"/>
        <color theme="0"/>
        <color theme="8" tint="0.39997558519241921"/>
      </colorScale>
    </cfRule>
  </conditionalFormatting>
  <conditionalFormatting sqref="K255:O271">
    <cfRule type="colorScale" priority="72">
      <colorScale>
        <cfvo type="min"/>
        <cfvo type="max"/>
        <color theme="0"/>
        <color theme="8" tint="0.39997558519241921"/>
      </colorScale>
    </cfRule>
  </conditionalFormatting>
  <conditionalFormatting sqref="K275:O281">
    <cfRule type="colorScale" priority="63">
      <colorScale>
        <cfvo type="min"/>
        <cfvo type="max"/>
        <color theme="0"/>
        <color theme="8" tint="0.39997558519241921"/>
      </colorScale>
    </cfRule>
  </conditionalFormatting>
  <conditionalFormatting sqref="K285:O298">
    <cfRule type="colorScale" priority="66">
      <colorScale>
        <cfvo type="min"/>
        <cfvo type="max"/>
        <color theme="0"/>
        <color theme="8" tint="0.39997558519241921"/>
      </colorScale>
    </cfRule>
  </conditionalFormatting>
  <conditionalFormatting sqref="K299:O305">
    <cfRule type="colorScale" priority="62">
      <colorScale>
        <cfvo type="min"/>
        <cfvo type="max"/>
        <color theme="0"/>
        <color theme="8" tint="0.39997558519241921"/>
      </colorScale>
    </cfRule>
  </conditionalFormatting>
  <conditionalFormatting sqref="K306:O306">
    <cfRule type="colorScale" priority="33">
      <colorScale>
        <cfvo type="min"/>
        <cfvo type="max"/>
        <color theme="0"/>
        <color theme="8" tint="0.39997558519241921"/>
      </colorScale>
    </cfRule>
  </conditionalFormatting>
  <conditionalFormatting sqref="K307:O310">
    <cfRule type="colorScale" priority="61">
      <colorScale>
        <cfvo type="min"/>
        <cfvo type="max"/>
        <color theme="0"/>
        <color theme="8" tint="0.39997558519241921"/>
      </colorScale>
    </cfRule>
  </conditionalFormatting>
  <conditionalFormatting sqref="K311:O311">
    <cfRule type="colorScale" priority="60">
      <colorScale>
        <cfvo type="min"/>
        <cfvo type="max"/>
        <color theme="0"/>
        <color theme="8" tint="0.39997558519241921"/>
      </colorScale>
    </cfRule>
  </conditionalFormatting>
  <conditionalFormatting sqref="K315:O320">
    <cfRule type="colorScale" priority="67">
      <colorScale>
        <cfvo type="min"/>
        <cfvo type="max"/>
        <color theme="0"/>
        <color theme="8" tint="0.39997558519241921"/>
      </colorScale>
    </cfRule>
  </conditionalFormatting>
  <conditionalFormatting sqref="T26:T105">
    <cfRule type="colorScale" priority="2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09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0:T133">
    <cfRule type="colorScale" priority="5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1:T12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0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1:T13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4:T13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7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8:T271">
    <cfRule type="colorScale" priority="30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39:T253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5:T271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5:T281">
    <cfRule type="colorScale" priority="4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6:T311">
    <cfRule type="colorScale" priority="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7:T294 T28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7:T3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5:T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9:T30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7:T31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:T320">
    <cfRule type="colorScale" priority="26">
      <colorScale>
        <cfvo type="min"/>
        <cfvo type="num" val="0"/>
        <cfvo type="max"/>
        <color theme="5" tint="0.59999389629810485"/>
        <color theme="0"/>
        <color rgb="FF06D053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29A8-251B-4640-8DC6-0DD632E33053}">
  <sheetPr codeName="Sheet04"/>
  <dimension ref="B3:Z320"/>
  <sheetViews>
    <sheetView showGridLines="0" zoomScale="85" zoomScaleNormal="85" workbookViewId="0">
      <selection sqref="A1:XFD1048576"/>
    </sheetView>
  </sheetViews>
  <sheetFormatPr defaultColWidth="9.1796875" defaultRowHeight="14.5" x14ac:dyDescent="0.35"/>
  <cols>
    <col min="1" max="1" width="9.1796875" style="53"/>
    <col min="2" max="2" width="88.08984375" style="53" bestFit="1" customWidth="1"/>
    <col min="3" max="3" width="15" style="53" bestFit="1" customWidth="1"/>
    <col min="4" max="4" width="21.36328125" style="53" bestFit="1" customWidth="1"/>
    <col min="5" max="5" width="18.08984375" style="53" bestFit="1" customWidth="1"/>
    <col min="6" max="15" width="6.1796875" style="53" bestFit="1" customWidth="1"/>
    <col min="16" max="16" width="15.08984375" style="53" bestFit="1" customWidth="1"/>
    <col min="17" max="17" width="22.7265625" style="53" bestFit="1" customWidth="1"/>
    <col min="18" max="18" width="13.1796875" style="53" bestFit="1" customWidth="1"/>
    <col min="19" max="19" width="9" style="53" bestFit="1" customWidth="1"/>
    <col min="20" max="20" width="19.08984375" style="53" bestFit="1" customWidth="1"/>
    <col min="21" max="21" width="9.1796875" style="53"/>
    <col min="22" max="31" width="4.7265625" style="53" bestFit="1" customWidth="1"/>
    <col min="32" max="16384" width="9.1796875" style="53"/>
  </cols>
  <sheetData>
    <row r="3" spans="2:26" x14ac:dyDescent="0.35">
      <c r="F3" s="159" t="s">
        <v>222</v>
      </c>
      <c r="G3" s="160"/>
      <c r="H3" s="160"/>
      <c r="I3" s="160"/>
      <c r="J3" s="161"/>
      <c r="K3" s="159" t="s">
        <v>662</v>
      </c>
      <c r="L3" s="160"/>
      <c r="M3" s="160"/>
      <c r="N3" s="160"/>
      <c r="O3" s="161"/>
    </row>
    <row r="4" spans="2:26" x14ac:dyDescent="0.35">
      <c r="F4" s="156" t="s">
        <v>1</v>
      </c>
      <c r="G4" s="157"/>
      <c r="H4" s="157"/>
      <c r="I4" s="157"/>
      <c r="J4" s="158"/>
      <c r="K4" s="156" t="s">
        <v>2</v>
      </c>
      <c r="L4" s="157"/>
      <c r="M4" s="157"/>
      <c r="N4" s="157"/>
      <c r="O4" s="158"/>
    </row>
    <row r="5" spans="2:26" ht="15.5" x14ac:dyDescent="0.35">
      <c r="B5" s="122" t="s">
        <v>224</v>
      </c>
      <c r="C5" s="123"/>
      <c r="D5" s="123"/>
      <c r="E5" s="123"/>
      <c r="F5" s="126"/>
      <c r="G5" s="126"/>
      <c r="H5" s="126"/>
      <c r="I5" s="126"/>
      <c r="J5" s="126"/>
      <c r="K5" s="126"/>
      <c r="L5" s="126"/>
      <c r="M5" s="126"/>
      <c r="N5" s="126"/>
      <c r="O5" s="126"/>
      <c r="Q5" s="126"/>
      <c r="R5" s="126"/>
      <c r="V5" s="156" t="s">
        <v>408</v>
      </c>
      <c r="W5" s="157"/>
      <c r="X5" s="157"/>
      <c r="Y5" s="157"/>
      <c r="Z5" s="158"/>
    </row>
    <row r="6" spans="2:26" x14ac:dyDescent="0.35">
      <c r="B6" s="85" t="s">
        <v>5</v>
      </c>
      <c r="C6" s="84" t="s">
        <v>6</v>
      </c>
      <c r="D6" s="84" t="s">
        <v>7</v>
      </c>
      <c r="E6" s="84" t="s">
        <v>8</v>
      </c>
      <c r="F6" s="83" t="s">
        <v>9</v>
      </c>
      <c r="G6" s="82" t="s">
        <v>10</v>
      </c>
      <c r="H6" s="82" t="s">
        <v>11</v>
      </c>
      <c r="I6" s="82" t="s">
        <v>12</v>
      </c>
      <c r="J6" s="81" t="s">
        <v>13</v>
      </c>
      <c r="K6" s="83" t="s">
        <v>9</v>
      </c>
      <c r="L6" s="82" t="s">
        <v>10</v>
      </c>
      <c r="M6" s="82" t="s">
        <v>11</v>
      </c>
      <c r="N6" s="82" t="s">
        <v>12</v>
      </c>
      <c r="O6" s="81" t="s">
        <v>13</v>
      </c>
      <c r="P6" s="70" t="s">
        <v>14</v>
      </c>
      <c r="Q6" s="58" t="s">
        <v>15</v>
      </c>
      <c r="R6" s="58" t="s">
        <v>16</v>
      </c>
      <c r="S6" s="58" t="s">
        <v>409</v>
      </c>
      <c r="T6" s="58" t="s">
        <v>18</v>
      </c>
      <c r="V6" s="110" t="s">
        <v>9</v>
      </c>
      <c r="W6" s="106" t="s">
        <v>10</v>
      </c>
      <c r="X6" s="106" t="s">
        <v>11</v>
      </c>
      <c r="Y6" s="106" t="s">
        <v>12</v>
      </c>
      <c r="Z6" s="111" t="s">
        <v>13</v>
      </c>
    </row>
    <row r="7" spans="2:26" x14ac:dyDescent="0.35">
      <c r="B7" s="56" t="s">
        <v>19</v>
      </c>
      <c r="C7" s="124"/>
      <c r="D7" s="11" t="s">
        <v>20</v>
      </c>
      <c r="E7" s="124"/>
      <c r="F7" s="75"/>
      <c r="G7" s="80">
        <v>8.6564380772684007E-3</v>
      </c>
      <c r="H7" s="80">
        <v>1.3932630897958844E-2</v>
      </c>
      <c r="I7" s="80">
        <v>1.7747209018881986E-2</v>
      </c>
      <c r="J7" s="62">
        <v>2.1803735948436723E-2</v>
      </c>
      <c r="K7" s="80"/>
      <c r="L7" s="80">
        <v>5.0094729772684008E-3</v>
      </c>
      <c r="M7" s="80">
        <v>9.2696754979588441E-3</v>
      </c>
      <c r="N7" s="80">
        <v>1.221615211888199E-2</v>
      </c>
      <c r="O7" s="80">
        <v>1.5009922748436719E-2</v>
      </c>
      <c r="P7" s="15"/>
      <c r="Q7" s="133"/>
      <c r="R7" s="133"/>
      <c r="S7" s="133"/>
      <c r="T7" s="16"/>
      <c r="V7" s="17">
        <v>1.12373664</v>
      </c>
      <c r="W7" s="18">
        <v>2.8309915700000001</v>
      </c>
      <c r="X7" s="18">
        <v>4.3212522399999997</v>
      </c>
      <c r="Y7" s="18">
        <v>5.5872955800000002</v>
      </c>
      <c r="Z7" s="19">
        <v>7.1294964800000002</v>
      </c>
    </row>
    <row r="8" spans="2:26" x14ac:dyDescent="0.35">
      <c r="B8" s="55" t="s">
        <v>22</v>
      </c>
      <c r="C8" s="123"/>
      <c r="D8" s="20" t="s">
        <v>23</v>
      </c>
      <c r="E8" s="123"/>
      <c r="F8" s="73" t="s">
        <v>21</v>
      </c>
      <c r="G8" s="71">
        <v>9.033258938553116E-3</v>
      </c>
      <c r="H8" s="71">
        <v>1.4620920247302974E-2</v>
      </c>
      <c r="I8" s="71">
        <v>1.8391693083919376E-2</v>
      </c>
      <c r="J8" s="63">
        <v>2.2423753051658758E-2</v>
      </c>
      <c r="K8" s="71" t="s">
        <v>21</v>
      </c>
      <c r="L8" s="71">
        <v>5.4044509385531188E-3</v>
      </c>
      <c r="M8" s="71">
        <v>9.9829235473029732E-3</v>
      </c>
      <c r="N8" s="71">
        <v>1.2880023583919374E-2</v>
      </c>
      <c r="O8" s="71">
        <v>1.5648086251658758E-2</v>
      </c>
      <c r="P8" s="24"/>
      <c r="Q8" s="25"/>
      <c r="R8" s="25"/>
      <c r="S8" s="25"/>
      <c r="T8" s="26"/>
      <c r="V8" s="27">
        <v>1.1282205999999999</v>
      </c>
      <c r="W8" s="28">
        <v>2.8350509800000001</v>
      </c>
      <c r="X8" s="28">
        <v>4.3176670599999998</v>
      </c>
      <c r="Y8" s="28">
        <v>5.5739470899999999</v>
      </c>
      <c r="Z8" s="29">
        <v>7.1003049999999996</v>
      </c>
    </row>
    <row r="9" spans="2:26" x14ac:dyDescent="0.35">
      <c r="B9" s="56" t="s">
        <v>24</v>
      </c>
      <c r="C9" s="124"/>
      <c r="D9" s="11" t="s">
        <v>20</v>
      </c>
      <c r="E9" s="124"/>
      <c r="F9" s="75">
        <v>2.4853656557190521E-2</v>
      </c>
      <c r="G9" s="80">
        <v>3.5485651011203032E-2</v>
      </c>
      <c r="H9" s="80">
        <v>4.3224326476030542E-2</v>
      </c>
      <c r="I9" s="80"/>
      <c r="J9" s="62"/>
      <c r="K9" s="80">
        <v>2.2544823057190522E-2</v>
      </c>
      <c r="L9" s="80">
        <v>3.1576463711203033E-2</v>
      </c>
      <c r="M9" s="80">
        <v>3.8078357276030539E-2</v>
      </c>
      <c r="N9" s="80"/>
      <c r="O9" s="80"/>
      <c r="P9" s="15"/>
      <c r="Q9" s="133"/>
      <c r="R9" s="133"/>
      <c r="S9" s="133"/>
      <c r="T9" s="16"/>
      <c r="V9" s="17">
        <v>1.0862097399999999</v>
      </c>
      <c r="W9" s="18">
        <v>2.62283782</v>
      </c>
      <c r="X9" s="18">
        <v>3.8492395699999999</v>
      </c>
      <c r="Y9" s="18">
        <v>4.8200832499999997</v>
      </c>
      <c r="Z9" s="19">
        <v>5.92256084</v>
      </c>
    </row>
    <row r="10" spans="2:26" x14ac:dyDescent="0.35">
      <c r="B10" s="57" t="s">
        <v>25</v>
      </c>
      <c r="C10" s="125"/>
      <c r="D10" s="20" t="s">
        <v>23</v>
      </c>
      <c r="E10" s="125"/>
      <c r="F10" s="74">
        <v>1.5433037210241363E-2</v>
      </c>
      <c r="G10" s="76">
        <v>1.2020471630599567E-2</v>
      </c>
      <c r="H10" s="76">
        <v>4.5693661785981388E-2</v>
      </c>
      <c r="I10" s="76">
        <v>4.984397311701539E-2</v>
      </c>
      <c r="J10" s="64">
        <v>5.4344783550849561E-2</v>
      </c>
      <c r="K10" s="76">
        <v>1.3300869910241361E-2</v>
      </c>
      <c r="L10" s="76">
        <v>8.4997933305995706E-3</v>
      </c>
      <c r="M10" s="76">
        <v>4.0266172185981386E-2</v>
      </c>
      <c r="N10" s="76">
        <v>4.3472189817015387E-2</v>
      </c>
      <c r="O10" s="76">
        <v>4.6705115250849562E-2</v>
      </c>
      <c r="P10" s="33"/>
      <c r="Q10" s="134"/>
      <c r="R10" s="134"/>
      <c r="S10" s="134"/>
      <c r="T10" s="34"/>
      <c r="V10" s="27">
        <v>1.11677896</v>
      </c>
      <c r="W10" s="28">
        <v>2.7971028599999999</v>
      </c>
      <c r="X10" s="28">
        <v>3.97225888</v>
      </c>
      <c r="Y10" s="28">
        <v>4.8130707600000004</v>
      </c>
      <c r="Z10" s="29">
        <v>5.6851281800000004</v>
      </c>
    </row>
    <row r="11" spans="2:26" x14ac:dyDescent="0.35">
      <c r="B11" s="55" t="s">
        <v>26</v>
      </c>
      <c r="C11" s="123"/>
      <c r="D11" s="11" t="s">
        <v>23</v>
      </c>
      <c r="E11" s="123"/>
      <c r="F11" s="73">
        <v>1.6835232623187146E-4</v>
      </c>
      <c r="G11" s="71">
        <v>9.2968186316300157E-3</v>
      </c>
      <c r="H11" s="71">
        <v>1.5076110538310275E-2</v>
      </c>
      <c r="I11" s="71"/>
      <c r="J11" s="63"/>
      <c r="K11" s="71" t="s">
        <v>21</v>
      </c>
      <c r="L11" s="71">
        <v>5.6839539316300165E-3</v>
      </c>
      <c r="M11" s="71">
        <v>1.0456791938310277E-2</v>
      </c>
      <c r="N11" s="71"/>
      <c r="O11" s="71"/>
      <c r="P11" s="24"/>
      <c r="Q11" s="25"/>
      <c r="R11" s="25"/>
      <c r="S11" s="25"/>
      <c r="T11" s="26"/>
      <c r="V11" s="17">
        <v>1.11683449</v>
      </c>
      <c r="W11" s="18">
        <v>2.7973723100000001</v>
      </c>
      <c r="X11" s="18">
        <v>4.26935501</v>
      </c>
      <c r="Y11" s="18">
        <v>5.49220869</v>
      </c>
      <c r="Z11" s="19">
        <v>6.9344572900000001</v>
      </c>
    </row>
    <row r="12" spans="2:26" x14ac:dyDescent="0.35">
      <c r="B12" s="57" t="s">
        <v>27</v>
      </c>
      <c r="C12" s="125"/>
      <c r="D12" s="35" t="s">
        <v>23</v>
      </c>
      <c r="E12" s="125"/>
      <c r="F12" s="74"/>
      <c r="G12" s="76">
        <v>1.301148707374445E-2</v>
      </c>
      <c r="H12" s="76">
        <v>2.0929986861855161E-2</v>
      </c>
      <c r="I12" s="76"/>
      <c r="J12" s="64">
        <v>3.67295812888319E-2</v>
      </c>
      <c r="K12" s="76"/>
      <c r="L12" s="76">
        <v>9.5280950737444466E-3</v>
      </c>
      <c r="M12" s="76">
        <v>1.6412900761855163E-2</v>
      </c>
      <c r="N12" s="76"/>
      <c r="O12" s="76">
        <v>2.9934066488831897E-2</v>
      </c>
      <c r="P12" s="33"/>
      <c r="Q12" s="134"/>
      <c r="R12" s="134"/>
      <c r="S12" s="134"/>
      <c r="T12" s="34"/>
      <c r="V12" s="36">
        <v>1.1120584200000001</v>
      </c>
      <c r="W12" s="37">
        <v>2.7742556500000002</v>
      </c>
      <c r="X12" s="37">
        <v>4.21844033</v>
      </c>
      <c r="Y12" s="37">
        <v>5.39375407</v>
      </c>
      <c r="Z12" s="38">
        <v>6.7381927399999997</v>
      </c>
    </row>
    <row r="13" spans="2:26" x14ac:dyDescent="0.35">
      <c r="C13" s="123"/>
      <c r="D13" s="123"/>
      <c r="E13" s="123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V13" s="40"/>
      <c r="W13" s="40"/>
      <c r="X13" s="40"/>
      <c r="Y13" s="40"/>
      <c r="Z13" s="40"/>
    </row>
    <row r="14" spans="2:26" ht="15.5" x14ac:dyDescent="0.35">
      <c r="B14" s="122" t="s">
        <v>225</v>
      </c>
      <c r="C14" s="123"/>
      <c r="D14" s="123"/>
      <c r="E14" s="123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Q14" s="126"/>
      <c r="R14" s="126"/>
      <c r="V14" s="156" t="s">
        <v>408</v>
      </c>
      <c r="W14" s="157"/>
      <c r="X14" s="157"/>
      <c r="Y14" s="157"/>
      <c r="Z14" s="158"/>
    </row>
    <row r="15" spans="2:26" x14ac:dyDescent="0.35">
      <c r="B15" s="85" t="s">
        <v>5</v>
      </c>
      <c r="C15" s="84" t="s">
        <v>6</v>
      </c>
      <c r="D15" s="84" t="s">
        <v>7</v>
      </c>
      <c r="E15" s="84" t="s">
        <v>8</v>
      </c>
      <c r="F15" s="83" t="s">
        <v>9</v>
      </c>
      <c r="G15" s="82" t="s">
        <v>10</v>
      </c>
      <c r="H15" s="82" t="s">
        <v>11</v>
      </c>
      <c r="I15" s="82" t="s">
        <v>12</v>
      </c>
      <c r="J15" s="81" t="s">
        <v>13</v>
      </c>
      <c r="K15" s="83" t="s">
        <v>9</v>
      </c>
      <c r="L15" s="82" t="s">
        <v>10</v>
      </c>
      <c r="M15" s="82" t="s">
        <v>11</v>
      </c>
      <c r="N15" s="82" t="s">
        <v>12</v>
      </c>
      <c r="O15" s="81" t="s">
        <v>13</v>
      </c>
      <c r="P15" s="70" t="s">
        <v>14</v>
      </c>
      <c r="Q15" s="58" t="s">
        <v>15</v>
      </c>
      <c r="R15" s="58" t="s">
        <v>16</v>
      </c>
      <c r="S15" s="58" t="s">
        <v>409</v>
      </c>
      <c r="T15" s="58" t="s">
        <v>18</v>
      </c>
      <c r="V15" s="110" t="s">
        <v>9</v>
      </c>
      <c r="W15" s="106" t="s">
        <v>10</v>
      </c>
      <c r="X15" s="106" t="s">
        <v>11</v>
      </c>
      <c r="Y15" s="106" t="s">
        <v>12</v>
      </c>
      <c r="Z15" s="111" t="s">
        <v>13</v>
      </c>
    </row>
    <row r="16" spans="2:26" x14ac:dyDescent="0.35">
      <c r="B16" s="56" t="s">
        <v>19</v>
      </c>
      <c r="C16" s="124"/>
      <c r="D16" s="11" t="s">
        <v>20</v>
      </c>
      <c r="E16" s="124"/>
      <c r="F16" s="75"/>
      <c r="G16" s="80">
        <v>1.1677871836863501E-2</v>
      </c>
      <c r="H16" s="80">
        <v>1.7961916243633677E-2</v>
      </c>
      <c r="I16" s="80">
        <v>2.2622692240350739E-2</v>
      </c>
      <c r="J16" s="62">
        <v>2.7474635285865422E-2</v>
      </c>
      <c r="K16" s="80"/>
      <c r="L16" s="80">
        <v>8.1752117368635059E-3</v>
      </c>
      <c r="M16" s="80">
        <v>1.3442223643633679E-2</v>
      </c>
      <c r="N16" s="80">
        <v>1.7216143940350738E-2</v>
      </c>
      <c r="O16" s="80">
        <v>2.0783615985865426E-2</v>
      </c>
      <c r="P16" s="15"/>
      <c r="Q16" s="133"/>
      <c r="R16" s="133"/>
      <c r="S16" s="133"/>
      <c r="T16" s="16"/>
      <c r="V16" s="17">
        <v>1.12373664</v>
      </c>
      <c r="W16" s="18">
        <v>2.8309915700000001</v>
      </c>
      <c r="X16" s="18">
        <v>4.3212522399999997</v>
      </c>
      <c r="Y16" s="18">
        <v>5.5872955800000002</v>
      </c>
      <c r="Z16" s="19">
        <v>7.1294964800000002</v>
      </c>
    </row>
    <row r="17" spans="2:26" x14ac:dyDescent="0.35">
      <c r="B17" s="55" t="s">
        <v>22</v>
      </c>
      <c r="C17" s="123"/>
      <c r="D17" s="20" t="s">
        <v>23</v>
      </c>
      <c r="E17" s="123"/>
      <c r="F17" s="73">
        <v>8.7623668077284941E-4</v>
      </c>
      <c r="G17" s="71">
        <v>1.2203677290517804E-2</v>
      </c>
      <c r="H17" s="71">
        <v>1.8950350235924701E-2</v>
      </c>
      <c r="I17" s="71">
        <v>2.3552229750222732E-2</v>
      </c>
      <c r="J17" s="63">
        <v>2.8369610757366354E-2</v>
      </c>
      <c r="K17" s="71" t="s">
        <v>21</v>
      </c>
      <c r="L17" s="71">
        <v>8.7151244905178081E-3</v>
      </c>
      <c r="M17" s="71">
        <v>1.4445029035924702E-2</v>
      </c>
      <c r="N17" s="71">
        <v>1.8152700050222733E-2</v>
      </c>
      <c r="O17" s="71">
        <v>2.1682857357366359E-2</v>
      </c>
      <c r="P17" s="24"/>
      <c r="Q17" s="25"/>
      <c r="R17" s="25"/>
      <c r="S17" s="25"/>
      <c r="T17" s="26"/>
      <c r="V17" s="27">
        <v>1.1282205999999999</v>
      </c>
      <c r="W17" s="28">
        <v>2.8350509800000001</v>
      </c>
      <c r="X17" s="28">
        <v>4.3176670599999998</v>
      </c>
      <c r="Y17" s="28">
        <v>5.5739470899999999</v>
      </c>
      <c r="Z17" s="29">
        <v>7.1003049999999996</v>
      </c>
    </row>
    <row r="18" spans="2:26" x14ac:dyDescent="0.35">
      <c r="B18" s="56" t="s">
        <v>24</v>
      </c>
      <c r="C18" s="124"/>
      <c r="D18" s="11" t="s">
        <v>20</v>
      </c>
      <c r="E18" s="124"/>
      <c r="F18" s="75">
        <v>3.1819064271417216E-2</v>
      </c>
      <c r="G18" s="80">
        <v>4.4412292964020113E-2</v>
      </c>
      <c r="H18" s="80">
        <v>5.3291467194453844E-2</v>
      </c>
      <c r="I18" s="80"/>
      <c r="J18" s="62"/>
      <c r="K18" s="80">
        <v>2.9334401771417214E-2</v>
      </c>
      <c r="L18" s="80">
        <v>4.0240392164020117E-2</v>
      </c>
      <c r="M18" s="80">
        <v>4.7773275694453839E-2</v>
      </c>
      <c r="N18" s="80"/>
      <c r="O18" s="80"/>
      <c r="P18" s="15"/>
      <c r="Q18" s="133"/>
      <c r="R18" s="133"/>
      <c r="S18" s="133"/>
      <c r="T18" s="16"/>
      <c r="V18" s="17">
        <v>1.0862097399999999</v>
      </c>
      <c r="W18" s="18">
        <v>2.62283782</v>
      </c>
      <c r="X18" s="18">
        <v>3.8492395699999999</v>
      </c>
      <c r="Y18" s="18">
        <v>4.8200832499999997</v>
      </c>
      <c r="Z18" s="19">
        <v>5.92256084</v>
      </c>
    </row>
    <row r="19" spans="2:26" x14ac:dyDescent="0.35">
      <c r="B19" s="57" t="s">
        <v>25</v>
      </c>
      <c r="C19" s="125"/>
      <c r="D19" s="20" t="s">
        <v>23</v>
      </c>
      <c r="E19" s="125"/>
      <c r="F19" s="74">
        <v>2.2123557340327255E-2</v>
      </c>
      <c r="G19" s="76">
        <v>1.5916330169809687E-2</v>
      </c>
      <c r="H19" s="76">
        <v>6.0769638162781303E-2</v>
      </c>
      <c r="I19" s="76">
        <v>6.5646441863440014E-2</v>
      </c>
      <c r="J19" s="64">
        <v>7.0710412870022527E-2</v>
      </c>
      <c r="K19" s="76">
        <v>1.9862086640327258E-2</v>
      </c>
      <c r="L19" s="76">
        <v>1.2492797769809686E-2</v>
      </c>
      <c r="M19" s="76">
        <v>5.4582923062781299E-2</v>
      </c>
      <c r="N19" s="76">
        <v>5.8425280763440002E-2</v>
      </c>
      <c r="O19" s="76">
        <v>6.2124378670022538E-2</v>
      </c>
      <c r="P19" s="33"/>
      <c r="Q19" s="134"/>
      <c r="R19" s="134"/>
      <c r="S19" s="134"/>
      <c r="T19" s="34"/>
      <c r="V19" s="27">
        <v>1.11677896</v>
      </c>
      <c r="W19" s="28">
        <v>2.7971028599999999</v>
      </c>
      <c r="X19" s="28">
        <v>3.97225888</v>
      </c>
      <c r="Y19" s="28">
        <v>4.8130707600000004</v>
      </c>
      <c r="Z19" s="29">
        <v>5.6851281800000004</v>
      </c>
    </row>
    <row r="20" spans="2:26" x14ac:dyDescent="0.35">
      <c r="B20" s="55" t="s">
        <v>26</v>
      </c>
      <c r="C20" s="123"/>
      <c r="D20" s="11" t="s">
        <v>23</v>
      </c>
      <c r="E20" s="123"/>
      <c r="F20" s="73">
        <v>1.4339253240156155E-3</v>
      </c>
      <c r="G20" s="71">
        <v>1.2611814156922958E-2</v>
      </c>
      <c r="H20" s="71">
        <v>1.9637914041030921E-2</v>
      </c>
      <c r="I20" s="71"/>
      <c r="J20" s="63"/>
      <c r="K20" s="71" t="s">
        <v>21</v>
      </c>
      <c r="L20" s="71">
        <v>9.1370795569229602E-3</v>
      </c>
      <c r="M20" s="71">
        <v>1.5142764641030922E-2</v>
      </c>
      <c r="N20" s="71"/>
      <c r="O20" s="71"/>
      <c r="P20" s="24"/>
      <c r="Q20" s="25"/>
      <c r="R20" s="25"/>
      <c r="S20" s="25"/>
      <c r="T20" s="26"/>
      <c r="V20" s="17">
        <v>1.11683449</v>
      </c>
      <c r="W20" s="18">
        <v>2.7973723100000001</v>
      </c>
      <c r="X20" s="18">
        <v>4.26935501</v>
      </c>
      <c r="Y20" s="18">
        <v>5.49220869</v>
      </c>
      <c r="Z20" s="19">
        <v>6.9344572900000001</v>
      </c>
    </row>
    <row r="21" spans="2:26" x14ac:dyDescent="0.35">
      <c r="B21" s="57" t="s">
        <v>27</v>
      </c>
      <c r="C21" s="125"/>
      <c r="D21" s="35" t="s">
        <v>23</v>
      </c>
      <c r="E21" s="125"/>
      <c r="F21" s="74"/>
      <c r="G21" s="76">
        <v>1.5369414735326079E-2</v>
      </c>
      <c r="H21" s="76">
        <v>2.4076299276543516E-2</v>
      </c>
      <c r="I21" s="76"/>
      <c r="J21" s="64">
        <v>4.1661353935977773E-2</v>
      </c>
      <c r="K21" s="76"/>
      <c r="L21" s="76">
        <v>1.1932711235326075E-2</v>
      </c>
      <c r="M21" s="76">
        <v>1.9585307976543516E-2</v>
      </c>
      <c r="N21" s="76"/>
      <c r="O21" s="76">
        <v>3.479923783597777E-2</v>
      </c>
      <c r="P21" s="33"/>
      <c r="Q21" s="134"/>
      <c r="R21" s="134"/>
      <c r="S21" s="134"/>
      <c r="T21" s="34"/>
      <c r="V21" s="36">
        <v>1.1120584200000001</v>
      </c>
      <c r="W21" s="37">
        <v>2.7742556500000002</v>
      </c>
      <c r="X21" s="37">
        <v>4.21844033</v>
      </c>
      <c r="Y21" s="37">
        <v>5.39375407</v>
      </c>
      <c r="Z21" s="38">
        <v>6.7381927399999997</v>
      </c>
    </row>
    <row r="22" spans="2:26" x14ac:dyDescent="0.35">
      <c r="C22" s="123"/>
      <c r="D22" s="123"/>
      <c r="E22" s="123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V22" s="40"/>
      <c r="W22" s="40"/>
      <c r="X22" s="40"/>
      <c r="Y22" s="40"/>
      <c r="Z22" s="40"/>
    </row>
    <row r="23" spans="2:26" ht="15.5" x14ac:dyDescent="0.35">
      <c r="B23" s="122" t="s">
        <v>28</v>
      </c>
      <c r="C23" s="123"/>
      <c r="D23" s="123"/>
      <c r="E23" s="123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V23" s="40"/>
      <c r="W23" s="40"/>
      <c r="X23" s="40"/>
      <c r="Y23" s="40"/>
      <c r="Z23" s="40"/>
    </row>
    <row r="24" spans="2:26" x14ac:dyDescent="0.35">
      <c r="B24" s="85" t="s">
        <v>5</v>
      </c>
      <c r="C24" s="84" t="s">
        <v>6</v>
      </c>
      <c r="D24" s="84" t="s">
        <v>7</v>
      </c>
      <c r="E24" s="84" t="s">
        <v>8</v>
      </c>
      <c r="F24" s="83" t="s">
        <v>9</v>
      </c>
      <c r="G24" s="82" t="s">
        <v>10</v>
      </c>
      <c r="H24" s="82" t="s">
        <v>11</v>
      </c>
      <c r="I24" s="82" t="s">
        <v>12</v>
      </c>
      <c r="J24" s="81" t="s">
        <v>13</v>
      </c>
      <c r="K24" s="83" t="s">
        <v>9</v>
      </c>
      <c r="L24" s="82" t="s">
        <v>10</v>
      </c>
      <c r="M24" s="82" t="s">
        <v>11</v>
      </c>
      <c r="N24" s="82" t="s">
        <v>12</v>
      </c>
      <c r="O24" s="81" t="s">
        <v>13</v>
      </c>
      <c r="P24" s="70" t="s">
        <v>14</v>
      </c>
      <c r="Q24" s="58" t="s">
        <v>15</v>
      </c>
      <c r="R24" s="58" t="s">
        <v>16</v>
      </c>
      <c r="S24" s="58" t="s">
        <v>409</v>
      </c>
      <c r="T24" s="58" t="s">
        <v>18</v>
      </c>
      <c r="V24" s="110" t="s">
        <v>9</v>
      </c>
      <c r="W24" s="106" t="s">
        <v>10</v>
      </c>
      <c r="X24" s="106" t="s">
        <v>11</v>
      </c>
      <c r="Y24" s="106" t="s">
        <v>12</v>
      </c>
      <c r="Z24" s="111" t="s">
        <v>13</v>
      </c>
    </row>
    <row r="25" spans="2:26" x14ac:dyDescent="0.35">
      <c r="B25" s="79" t="s">
        <v>410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9"/>
      <c r="Q25" s="78"/>
      <c r="R25" s="78"/>
      <c r="S25" s="78"/>
      <c r="T25" s="77"/>
      <c r="V25" s="112"/>
      <c r="W25" s="107"/>
      <c r="X25" s="107"/>
      <c r="Y25" s="107"/>
      <c r="Z25" s="113"/>
    </row>
    <row r="26" spans="2:26" x14ac:dyDescent="0.35">
      <c r="B26" s="56" t="s">
        <v>29</v>
      </c>
      <c r="C26" s="53" t="s">
        <v>30</v>
      </c>
      <c r="D26" s="53" t="s">
        <v>31</v>
      </c>
      <c r="E26" s="53" t="s">
        <v>411</v>
      </c>
      <c r="F26" s="75" t="s">
        <v>21</v>
      </c>
      <c r="G26" s="71">
        <v>6.0733172972295933E-3</v>
      </c>
      <c r="H26" s="71">
        <v>1.1628432455193212E-2</v>
      </c>
      <c r="I26" s="71">
        <v>1.4511305603529048E-2</v>
      </c>
      <c r="J26" s="63">
        <v>1.7421505907573784E-2</v>
      </c>
      <c r="K26" s="71" t="s">
        <v>21</v>
      </c>
      <c r="L26" s="71">
        <v>2.3014191972295936E-3</v>
      </c>
      <c r="M26" s="71">
        <v>6.8555389551932158E-3</v>
      </c>
      <c r="N26" s="71">
        <v>8.8704720035290494E-3</v>
      </c>
      <c r="O26" s="71">
        <v>1.0500964807573784E-2</v>
      </c>
      <c r="P26" s="55" t="s">
        <v>412</v>
      </c>
      <c r="Q26" s="53" t="s">
        <v>413</v>
      </c>
      <c r="R26" s="94" t="s">
        <v>32</v>
      </c>
      <c r="S26" s="71">
        <v>1.371583E-2</v>
      </c>
      <c r="T26" s="63">
        <v>-2.0873975448067877E-3</v>
      </c>
      <c r="V26" s="114">
        <v>1.1295631699999999</v>
      </c>
      <c r="W26" s="72">
        <v>2.8525388600000001</v>
      </c>
      <c r="X26" s="72">
        <v>4.3694816400000001</v>
      </c>
      <c r="Y26" s="72">
        <v>5.6757187600000005</v>
      </c>
      <c r="Z26" s="115">
        <v>7.3020459300000002</v>
      </c>
    </row>
    <row r="27" spans="2:26" x14ac:dyDescent="0.35">
      <c r="B27" s="55" t="s">
        <v>29</v>
      </c>
      <c r="C27" s="53" t="s">
        <v>33</v>
      </c>
      <c r="D27" s="53" t="s">
        <v>31</v>
      </c>
      <c r="E27" s="53" t="s">
        <v>34</v>
      </c>
      <c r="F27" s="73" t="s">
        <v>21</v>
      </c>
      <c r="G27" s="71">
        <v>7.9491633117495693E-3</v>
      </c>
      <c r="H27" s="71">
        <v>1.4867749919507496E-2</v>
      </c>
      <c r="I27" s="71">
        <v>1.8536342719951929E-2</v>
      </c>
      <c r="J27" s="63">
        <v>2.1821154021177788E-2</v>
      </c>
      <c r="K27" s="71" t="s">
        <v>21</v>
      </c>
      <c r="L27" s="71">
        <v>4.3081508117495714E-3</v>
      </c>
      <c r="M27" s="71">
        <v>1.0240581119507495E-2</v>
      </c>
      <c r="N27" s="71">
        <v>1.3040741419951927E-2</v>
      </c>
      <c r="O27" s="71">
        <v>1.5060778721177785E-2</v>
      </c>
      <c r="P27" s="55" t="s">
        <v>21</v>
      </c>
      <c r="Q27" s="53" t="s">
        <v>21</v>
      </c>
      <c r="R27" s="94" t="s">
        <v>21</v>
      </c>
      <c r="S27" s="71">
        <v>0</v>
      </c>
      <c r="T27" s="63">
        <v>1.4867749919507496E-2</v>
      </c>
      <c r="V27" s="114">
        <v>1.12880483</v>
      </c>
      <c r="W27" s="72">
        <v>2.8392491999999998</v>
      </c>
      <c r="X27" s="72">
        <v>4.3198097400000002</v>
      </c>
      <c r="Y27" s="72">
        <v>5.5655231000000001</v>
      </c>
      <c r="Z27" s="115">
        <v>7.0761373200000008</v>
      </c>
    </row>
    <row r="28" spans="2:26" x14ac:dyDescent="0.35">
      <c r="B28" s="57" t="s">
        <v>29</v>
      </c>
      <c r="C28" s="67" t="s">
        <v>35</v>
      </c>
      <c r="D28" s="67" t="s">
        <v>31</v>
      </c>
      <c r="E28" s="67" t="s">
        <v>339</v>
      </c>
      <c r="F28" s="74" t="s">
        <v>21</v>
      </c>
      <c r="G28" s="76">
        <v>1.0691928869999482E-2</v>
      </c>
      <c r="H28" s="76">
        <v>1.9364951425852775E-2</v>
      </c>
      <c r="I28" s="76">
        <v>2.4182285720397798E-2</v>
      </c>
      <c r="J28" s="64">
        <v>2.8568486838644755E-2</v>
      </c>
      <c r="K28" s="71" t="s">
        <v>21</v>
      </c>
      <c r="L28" s="71">
        <v>7.1682872699994835E-3</v>
      </c>
      <c r="M28" s="71">
        <v>1.4834331925852776E-2</v>
      </c>
      <c r="N28" s="71">
        <v>1.8753937120397801E-2</v>
      </c>
      <c r="O28" s="71">
        <v>2.1862273338644756E-2</v>
      </c>
      <c r="P28" s="55" t="s">
        <v>21</v>
      </c>
      <c r="Q28" s="53" t="s">
        <v>21</v>
      </c>
      <c r="R28" s="94" t="s">
        <v>21</v>
      </c>
      <c r="S28" s="71">
        <v>0</v>
      </c>
      <c r="T28" s="63">
        <v>1.9364951425852775E-2</v>
      </c>
      <c r="V28" s="116">
        <v>1.1285030899999999</v>
      </c>
      <c r="W28" s="108">
        <v>2.83339008</v>
      </c>
      <c r="X28" s="108">
        <v>4.2982854700000006</v>
      </c>
      <c r="Y28" s="108">
        <v>5.5185237999999996</v>
      </c>
      <c r="Z28" s="117">
        <v>6.9769270900000002</v>
      </c>
    </row>
    <row r="29" spans="2:26" x14ac:dyDescent="0.35">
      <c r="B29" s="55" t="s">
        <v>37</v>
      </c>
      <c r="C29" s="53" t="s">
        <v>30</v>
      </c>
      <c r="D29" s="53" t="s">
        <v>31</v>
      </c>
      <c r="E29" s="53" t="s">
        <v>339</v>
      </c>
      <c r="F29" s="73" t="s">
        <v>21</v>
      </c>
      <c r="G29" s="71">
        <v>6.8969990609306416E-3</v>
      </c>
      <c r="H29" s="71">
        <v>1.2097786330174172E-2</v>
      </c>
      <c r="I29" s="71">
        <v>1.501791560325038E-2</v>
      </c>
      <c r="J29" s="63">
        <v>1.7875807595316904E-2</v>
      </c>
      <c r="K29" s="71" t="s">
        <v>21</v>
      </c>
      <c r="L29" s="71">
        <v>3.1909559609306411E-3</v>
      </c>
      <c r="M29" s="71">
        <v>7.3550964301741769E-3</v>
      </c>
      <c r="N29" s="71">
        <v>9.4043340032503794E-3</v>
      </c>
      <c r="O29" s="71">
        <v>1.0979219295316906E-2</v>
      </c>
      <c r="P29" s="56" t="s">
        <v>21</v>
      </c>
      <c r="Q29" s="66" t="s">
        <v>21</v>
      </c>
      <c r="R29" s="100" t="s">
        <v>21</v>
      </c>
      <c r="S29" s="80">
        <v>0</v>
      </c>
      <c r="T29" s="62">
        <v>1.2097786330174172E-2</v>
      </c>
      <c r="V29" s="114">
        <v>1.12870622</v>
      </c>
      <c r="W29" s="72">
        <v>2.8457135500000001</v>
      </c>
      <c r="X29" s="72">
        <v>4.3558465999999996</v>
      </c>
      <c r="Y29" s="72">
        <v>5.6542653300000003</v>
      </c>
      <c r="Z29" s="115">
        <v>7.2678995299999993</v>
      </c>
    </row>
    <row r="30" spans="2:26" x14ac:dyDescent="0.35">
      <c r="B30" s="55" t="s">
        <v>37</v>
      </c>
      <c r="C30" s="53" t="s">
        <v>33</v>
      </c>
      <c r="D30" s="53" t="s">
        <v>31</v>
      </c>
      <c r="E30" s="53" t="s">
        <v>38</v>
      </c>
      <c r="F30" s="73" t="s">
        <v>21</v>
      </c>
      <c r="G30" s="71">
        <v>8.1002396293744974E-3</v>
      </c>
      <c r="H30" s="71">
        <v>1.4950624717016034E-2</v>
      </c>
      <c r="I30" s="71">
        <v>1.8521154547262678E-2</v>
      </c>
      <c r="J30" s="63">
        <v>2.1911019417400569E-2</v>
      </c>
      <c r="K30" s="71" t="s">
        <v>21</v>
      </c>
      <c r="L30" s="71">
        <v>4.4680957293745001E-3</v>
      </c>
      <c r="M30" s="71">
        <v>1.0326249017016032E-2</v>
      </c>
      <c r="N30" s="71">
        <v>1.3025605347262681E-2</v>
      </c>
      <c r="O30" s="71">
        <v>1.5151068617400572E-2</v>
      </c>
      <c r="P30" s="55" t="s">
        <v>21</v>
      </c>
      <c r="Q30" s="53" t="s">
        <v>21</v>
      </c>
      <c r="R30" s="94" t="s">
        <v>21</v>
      </c>
      <c r="S30" s="71">
        <v>0</v>
      </c>
      <c r="T30" s="63">
        <v>1.4950624717016034E-2</v>
      </c>
      <c r="V30" s="114">
        <v>1.1278620099999999</v>
      </c>
      <c r="W30" s="72">
        <v>2.8365345</v>
      </c>
      <c r="X30" s="72">
        <v>4.31585967</v>
      </c>
      <c r="Y30" s="72">
        <v>5.5615223299999998</v>
      </c>
      <c r="Z30" s="115">
        <v>7.0706642000000004</v>
      </c>
    </row>
    <row r="31" spans="2:26" x14ac:dyDescent="0.35">
      <c r="B31" s="57" t="s">
        <v>37</v>
      </c>
      <c r="C31" s="67" t="s">
        <v>35</v>
      </c>
      <c r="D31" s="67" t="s">
        <v>31</v>
      </c>
      <c r="E31" s="67" t="s">
        <v>39</v>
      </c>
      <c r="F31" s="74" t="s">
        <v>21</v>
      </c>
      <c r="G31" s="76">
        <v>1.0921450395588377E-2</v>
      </c>
      <c r="H31" s="76">
        <v>1.954340912744058E-2</v>
      </c>
      <c r="I31" s="76">
        <v>2.4264287071291739E-2</v>
      </c>
      <c r="J31" s="64">
        <v>2.8750073965042745E-2</v>
      </c>
      <c r="K31" s="76" t="s">
        <v>21</v>
      </c>
      <c r="L31" s="76">
        <v>7.406052595588377E-3</v>
      </c>
      <c r="M31" s="76">
        <v>1.5015879627440581E-2</v>
      </c>
      <c r="N31" s="76">
        <v>1.8837609871291738E-2</v>
      </c>
      <c r="O31" s="76">
        <v>2.2043825165042746E-2</v>
      </c>
      <c r="P31" s="57" t="s">
        <v>21</v>
      </c>
      <c r="Q31" s="67" t="s">
        <v>21</v>
      </c>
      <c r="R31" s="96" t="s">
        <v>21</v>
      </c>
      <c r="S31" s="76">
        <v>0</v>
      </c>
      <c r="T31" s="64">
        <v>1.954340912744058E-2</v>
      </c>
      <c r="V31" s="116">
        <v>1.1283261</v>
      </c>
      <c r="W31" s="108">
        <v>2.8319684700000001</v>
      </c>
      <c r="X31" s="108">
        <v>4.2950457499999999</v>
      </c>
      <c r="Y31" s="108">
        <v>5.5141228099999999</v>
      </c>
      <c r="Z31" s="117">
        <v>6.9696740300000002</v>
      </c>
    </row>
    <row r="32" spans="2:26" x14ac:dyDescent="0.35">
      <c r="B32" s="55" t="s">
        <v>40</v>
      </c>
      <c r="C32" s="53" t="s">
        <v>30</v>
      </c>
      <c r="D32" s="53" t="s">
        <v>31</v>
      </c>
      <c r="E32" s="53" t="s">
        <v>21</v>
      </c>
      <c r="F32" s="73" t="s">
        <v>21</v>
      </c>
      <c r="G32" s="71">
        <v>7.0658136118974422E-3</v>
      </c>
      <c r="H32" s="71">
        <v>1.2592812006096726E-2</v>
      </c>
      <c r="I32" s="71">
        <v>1.5891192655919695E-2</v>
      </c>
      <c r="J32" s="63">
        <v>1.9234720004478647E-2</v>
      </c>
      <c r="K32" s="71" t="s">
        <v>21</v>
      </c>
      <c r="L32" s="71">
        <v>3.3719304118974445E-3</v>
      </c>
      <c r="M32" s="71">
        <v>7.8766350060967272E-3</v>
      </c>
      <c r="N32" s="71">
        <v>1.0315923855919694E-2</v>
      </c>
      <c r="O32" s="71">
        <v>1.2395472504478647E-2</v>
      </c>
      <c r="P32" s="55" t="s">
        <v>21</v>
      </c>
      <c r="Q32" s="53" t="s">
        <v>21</v>
      </c>
      <c r="R32" s="94" t="s">
        <v>21</v>
      </c>
      <c r="S32" s="71">
        <v>0</v>
      </c>
      <c r="T32" s="63">
        <v>1.2592812006096726E-2</v>
      </c>
      <c r="V32" s="114">
        <v>1.1278337700000001</v>
      </c>
      <c r="W32" s="72">
        <v>2.8430195299999999</v>
      </c>
      <c r="X32" s="72">
        <v>4.3478601499999998</v>
      </c>
      <c r="Y32" s="72">
        <v>5.6336650600000002</v>
      </c>
      <c r="Z32" s="115">
        <v>7.2135997199999995</v>
      </c>
    </row>
    <row r="33" spans="2:26" x14ac:dyDescent="0.35">
      <c r="B33" s="55" t="s">
        <v>40</v>
      </c>
      <c r="C33" s="53" t="s">
        <v>33</v>
      </c>
      <c r="D33" s="53" t="s">
        <v>31</v>
      </c>
      <c r="E33" s="53" t="s">
        <v>41</v>
      </c>
      <c r="F33" s="73" t="s">
        <v>21</v>
      </c>
      <c r="G33" s="71">
        <v>8.8196781996931293E-3</v>
      </c>
      <c r="H33" s="71">
        <v>1.6139845272035144E-2</v>
      </c>
      <c r="I33" s="71">
        <v>2.0240534365610033E-2</v>
      </c>
      <c r="J33" s="63">
        <v>2.3986691834789339E-2</v>
      </c>
      <c r="K33" s="71" t="s">
        <v>21</v>
      </c>
      <c r="L33" s="71">
        <v>5.2210170996931284E-3</v>
      </c>
      <c r="M33" s="71">
        <v>1.1543084972035144E-2</v>
      </c>
      <c r="N33" s="71">
        <v>1.4767656265610029E-2</v>
      </c>
      <c r="O33" s="71">
        <v>1.7253151034789339E-2</v>
      </c>
      <c r="P33" s="55" t="s">
        <v>414</v>
      </c>
      <c r="Q33" s="53" t="s">
        <v>415</v>
      </c>
      <c r="R33" s="94">
        <v>47729</v>
      </c>
      <c r="S33" s="71">
        <v>1.228283E-2</v>
      </c>
      <c r="T33" s="63">
        <v>3.8570152720351445E-3</v>
      </c>
      <c r="V33" s="114">
        <v>1.1272713000000001</v>
      </c>
      <c r="W33" s="72">
        <v>2.83091742</v>
      </c>
      <c r="X33" s="72">
        <v>4.2970102400000005</v>
      </c>
      <c r="Y33" s="72">
        <v>5.5180723</v>
      </c>
      <c r="Z33" s="115">
        <v>6.975943749999999</v>
      </c>
    </row>
    <row r="34" spans="2:26" x14ac:dyDescent="0.35">
      <c r="B34" s="57" t="s">
        <v>40</v>
      </c>
      <c r="C34" s="67" t="s">
        <v>35</v>
      </c>
      <c r="D34" s="67" t="s">
        <v>31</v>
      </c>
      <c r="E34" s="67" t="s">
        <v>21</v>
      </c>
      <c r="F34" s="74">
        <v>1.5001560734931307E-5</v>
      </c>
      <c r="G34" s="76">
        <v>1.1758892702401347E-2</v>
      </c>
      <c r="H34" s="76">
        <v>2.1086366938868051E-2</v>
      </c>
      <c r="I34" s="76">
        <v>2.6646401970502664E-2</v>
      </c>
      <c r="J34" s="64">
        <v>3.1658177834087767E-2</v>
      </c>
      <c r="K34" s="71" t="s">
        <v>21</v>
      </c>
      <c r="L34" s="71">
        <v>8.2624173024013464E-3</v>
      </c>
      <c r="M34" s="71">
        <v>1.656275323886805E-2</v>
      </c>
      <c r="N34" s="71">
        <v>2.1204356070502667E-2</v>
      </c>
      <c r="O34" s="71">
        <v>2.4928348934087768E-2</v>
      </c>
      <c r="P34" s="55" t="s">
        <v>21</v>
      </c>
      <c r="Q34" s="53" t="s">
        <v>21</v>
      </c>
      <c r="R34" s="94" t="s">
        <v>21</v>
      </c>
      <c r="S34" s="71"/>
      <c r="T34" s="63"/>
      <c r="V34" s="116">
        <v>1.12786867</v>
      </c>
      <c r="W34" s="108">
        <v>2.8272104100000002</v>
      </c>
      <c r="X34" s="108">
        <v>4.2774442800000001</v>
      </c>
      <c r="Y34" s="108">
        <v>5.4716078399999999</v>
      </c>
      <c r="Z34" s="117">
        <v>6.8751115</v>
      </c>
    </row>
    <row r="35" spans="2:26" x14ac:dyDescent="0.35">
      <c r="B35" s="79" t="s">
        <v>416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9"/>
      <c r="Q35" s="78"/>
      <c r="R35" s="95"/>
      <c r="S35" s="78"/>
      <c r="T35" s="77"/>
      <c r="V35" s="112"/>
      <c r="W35" s="107"/>
      <c r="X35" s="107"/>
      <c r="Y35" s="107"/>
      <c r="Z35" s="113"/>
    </row>
    <row r="36" spans="2:26" x14ac:dyDescent="0.35">
      <c r="B36" s="55" t="s">
        <v>42</v>
      </c>
      <c r="C36" s="53" t="s">
        <v>30</v>
      </c>
      <c r="D36" s="53" t="s">
        <v>43</v>
      </c>
      <c r="E36" s="53" t="s">
        <v>417</v>
      </c>
      <c r="F36" s="73" t="s">
        <v>21</v>
      </c>
      <c r="G36" s="71">
        <v>6.9420526025085975E-3</v>
      </c>
      <c r="H36" s="71">
        <v>1.2810604700501597E-2</v>
      </c>
      <c r="I36" s="71">
        <v>1.6041839038175548E-2</v>
      </c>
      <c r="J36" s="63">
        <v>1.9127403637553792E-2</v>
      </c>
      <c r="K36" s="71" t="s">
        <v>21</v>
      </c>
      <c r="L36" s="71">
        <v>3.2391587025085962E-3</v>
      </c>
      <c r="M36" s="71">
        <v>8.104717700501602E-3</v>
      </c>
      <c r="N36" s="71">
        <v>1.0473364738175551E-2</v>
      </c>
      <c r="O36" s="71">
        <v>1.2286970937553793E-2</v>
      </c>
      <c r="P36" s="55" t="s">
        <v>418</v>
      </c>
      <c r="Q36" s="53" t="s">
        <v>419</v>
      </c>
      <c r="R36" s="94" t="s">
        <v>32</v>
      </c>
      <c r="S36" s="71">
        <v>1.1521120000000001E-2</v>
      </c>
      <c r="T36" s="63">
        <v>1.2894847005015964E-3</v>
      </c>
      <c r="V36" s="114">
        <v>1.1284633800000001</v>
      </c>
      <c r="W36" s="72">
        <v>2.8449790999999998</v>
      </c>
      <c r="X36" s="72">
        <v>4.3480577300000007</v>
      </c>
      <c r="Y36" s="72">
        <v>5.6312304299999996</v>
      </c>
      <c r="Z36" s="115">
        <v>7.212155319999999</v>
      </c>
    </row>
    <row r="37" spans="2:26" x14ac:dyDescent="0.35">
      <c r="B37" s="55" t="s">
        <v>42</v>
      </c>
      <c r="C37" s="53" t="s">
        <v>33</v>
      </c>
      <c r="D37" s="53" t="s">
        <v>43</v>
      </c>
      <c r="E37" s="53" t="s">
        <v>420</v>
      </c>
      <c r="F37" s="73" t="s">
        <v>21</v>
      </c>
      <c r="G37" s="71">
        <v>9.0523927650211344E-3</v>
      </c>
      <c r="H37" s="71">
        <v>1.644497774666228E-2</v>
      </c>
      <c r="I37" s="71">
        <v>2.0771162916694168E-2</v>
      </c>
      <c r="J37" s="63">
        <v>2.4454025613651904E-2</v>
      </c>
      <c r="K37" s="71" t="s">
        <v>21</v>
      </c>
      <c r="L37" s="71">
        <v>5.4638008650211341E-3</v>
      </c>
      <c r="M37" s="71">
        <v>1.1855192746662281E-2</v>
      </c>
      <c r="N37" s="71">
        <v>1.5303281816694169E-2</v>
      </c>
      <c r="O37" s="71">
        <v>1.7726203313651906E-2</v>
      </c>
      <c r="P37" s="55" t="s">
        <v>421</v>
      </c>
      <c r="Q37" s="53" t="s">
        <v>422</v>
      </c>
      <c r="R37" s="94" t="s">
        <v>32</v>
      </c>
      <c r="S37" s="71">
        <v>1.505982E-2</v>
      </c>
      <c r="T37" s="63">
        <v>1.3851577466622803E-3</v>
      </c>
      <c r="V37" s="114">
        <v>1.1285528</v>
      </c>
      <c r="W37" s="72">
        <v>2.8318114099999998</v>
      </c>
      <c r="X37" s="72">
        <v>4.29436573</v>
      </c>
      <c r="Y37" s="72">
        <v>5.5080273699999998</v>
      </c>
      <c r="Z37" s="115">
        <v>6.9534152200000001</v>
      </c>
    </row>
    <row r="38" spans="2:26" x14ac:dyDescent="0.35">
      <c r="B38" s="55" t="s">
        <v>42</v>
      </c>
      <c r="C38" s="53" t="s">
        <v>35</v>
      </c>
      <c r="D38" s="53" t="s">
        <v>43</v>
      </c>
      <c r="E38" s="53" t="s">
        <v>423</v>
      </c>
      <c r="F38" s="73">
        <v>3.5081065354109972E-4</v>
      </c>
      <c r="G38" s="71">
        <v>1.2604114265634025E-2</v>
      </c>
      <c r="H38" s="71">
        <v>2.2432641056883935E-2</v>
      </c>
      <c r="I38" s="71">
        <v>2.815693356071642E-2</v>
      </c>
      <c r="J38" s="63">
        <v>3.3707607935935045E-2</v>
      </c>
      <c r="K38" s="71" t="s">
        <v>21</v>
      </c>
      <c r="L38" s="71">
        <v>9.1217188656340219E-3</v>
      </c>
      <c r="M38" s="71">
        <v>1.7904934656883933E-2</v>
      </c>
      <c r="N38" s="71">
        <v>2.2697338260716415E-2</v>
      </c>
      <c r="O38" s="71">
        <v>2.6946888235935041E-2</v>
      </c>
      <c r="P38" s="55" t="s">
        <v>21</v>
      </c>
      <c r="Q38" s="53" t="s">
        <v>21</v>
      </c>
      <c r="R38" s="94" t="s">
        <v>21</v>
      </c>
      <c r="S38" s="71">
        <v>0</v>
      </c>
      <c r="T38" s="63">
        <v>2.2432641056883935E-2</v>
      </c>
      <c r="V38" s="114">
        <v>1.12739999</v>
      </c>
      <c r="W38" s="72">
        <v>2.8224094500000003</v>
      </c>
      <c r="X38" s="72">
        <v>4.2613167599999997</v>
      </c>
      <c r="Y38" s="72">
        <v>5.4391711099999993</v>
      </c>
      <c r="Z38" s="115">
        <v>6.80805243</v>
      </c>
    </row>
    <row r="39" spans="2:26" x14ac:dyDescent="0.35">
      <c r="B39" s="79" t="s">
        <v>45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9"/>
      <c r="Q39" s="78"/>
      <c r="R39" s="95"/>
      <c r="S39" s="78"/>
      <c r="T39" s="77"/>
      <c r="V39" s="112"/>
      <c r="W39" s="107"/>
      <c r="X39" s="107"/>
      <c r="Y39" s="107"/>
      <c r="Z39" s="113"/>
    </row>
    <row r="40" spans="2:26" x14ac:dyDescent="0.35">
      <c r="B40" s="56" t="s">
        <v>46</v>
      </c>
      <c r="C40" s="66" t="s">
        <v>30</v>
      </c>
      <c r="D40" s="66" t="s">
        <v>47</v>
      </c>
      <c r="E40" s="66" t="s">
        <v>424</v>
      </c>
      <c r="F40" s="75" t="s">
        <v>21</v>
      </c>
      <c r="G40" s="80">
        <v>6.6611820237218802E-3</v>
      </c>
      <c r="H40" s="80">
        <v>1.2428784300912866E-2</v>
      </c>
      <c r="I40" s="80">
        <v>1.6024684783904928E-2</v>
      </c>
      <c r="J40" s="62">
        <v>1.9552295350869942E-2</v>
      </c>
      <c r="K40" s="71" t="s">
        <v>21</v>
      </c>
      <c r="L40" s="71">
        <v>2.9370120237218788E-3</v>
      </c>
      <c r="M40" s="71">
        <v>7.7033061009128684E-3</v>
      </c>
      <c r="N40" s="71">
        <v>1.0454039783904925E-2</v>
      </c>
      <c r="O40" s="71">
        <v>1.2725373050869947E-2</v>
      </c>
      <c r="P40" s="55" t="s">
        <v>425</v>
      </c>
      <c r="Q40" s="53" t="s">
        <v>426</v>
      </c>
      <c r="R40" s="94" t="s">
        <v>32</v>
      </c>
      <c r="S40" s="71">
        <v>8.6113400000000003E-3</v>
      </c>
      <c r="T40" s="63">
        <v>3.8174443009128655E-3</v>
      </c>
      <c r="V40" s="118">
        <v>1.1297663</v>
      </c>
      <c r="W40" s="61">
        <v>2.8491908499999998</v>
      </c>
      <c r="X40" s="61">
        <v>4.35677673</v>
      </c>
      <c r="Y40" s="61">
        <v>5.6413786799999999</v>
      </c>
      <c r="Z40" s="119">
        <v>7.2136760899999999</v>
      </c>
    </row>
    <row r="41" spans="2:26" x14ac:dyDescent="0.35">
      <c r="B41" s="55" t="s">
        <v>46</v>
      </c>
      <c r="C41" s="53" t="s">
        <v>33</v>
      </c>
      <c r="D41" s="53" t="s">
        <v>47</v>
      </c>
      <c r="E41" s="53" t="s">
        <v>427</v>
      </c>
      <c r="F41" s="73" t="s">
        <v>21</v>
      </c>
      <c r="G41" s="71">
        <v>8.62306024345217E-3</v>
      </c>
      <c r="H41" s="71">
        <v>1.610756001797236E-2</v>
      </c>
      <c r="I41" s="71">
        <v>2.0204011957067669E-2</v>
      </c>
      <c r="J41" s="63">
        <v>2.3653326408686344E-2</v>
      </c>
      <c r="K41" s="71" t="s">
        <v>21</v>
      </c>
      <c r="L41" s="71">
        <v>5.0152934434521713E-3</v>
      </c>
      <c r="M41" s="71">
        <v>1.1509973117972361E-2</v>
      </c>
      <c r="N41" s="71">
        <v>1.4731262757067667E-2</v>
      </c>
      <c r="O41" s="71">
        <v>1.6919761808686342E-2</v>
      </c>
      <c r="P41" s="55" t="s">
        <v>21</v>
      </c>
      <c r="Q41" s="53" t="s">
        <v>21</v>
      </c>
      <c r="R41" s="94" t="s">
        <v>21</v>
      </c>
      <c r="S41" s="71">
        <v>0</v>
      </c>
      <c r="T41" s="63">
        <v>1.610756001797236E-2</v>
      </c>
      <c r="V41" s="114">
        <v>1.12829683</v>
      </c>
      <c r="W41" s="72">
        <v>2.8340592299999998</v>
      </c>
      <c r="X41" s="72">
        <v>4.3009834599999994</v>
      </c>
      <c r="Y41" s="72">
        <v>5.5225195600000001</v>
      </c>
      <c r="Z41" s="115">
        <v>6.9868071500000006</v>
      </c>
    </row>
    <row r="42" spans="2:26" x14ac:dyDescent="0.35">
      <c r="B42" s="57" t="s">
        <v>46</v>
      </c>
      <c r="C42" s="67" t="s">
        <v>35</v>
      </c>
      <c r="D42" s="67" t="s">
        <v>47</v>
      </c>
      <c r="E42" s="67" t="s">
        <v>21</v>
      </c>
      <c r="F42" s="74">
        <v>1.1359514967566008E-4</v>
      </c>
      <c r="G42" s="76">
        <v>1.1927649577228168E-2</v>
      </c>
      <c r="H42" s="76">
        <v>2.1583491057308449E-2</v>
      </c>
      <c r="I42" s="76">
        <v>2.7323834234494311E-2</v>
      </c>
      <c r="J42" s="64">
        <v>3.193994731062437E-2</v>
      </c>
      <c r="K42" s="71" t="s">
        <v>21</v>
      </c>
      <c r="L42" s="71">
        <v>8.4322664772281727E-3</v>
      </c>
      <c r="M42" s="71">
        <v>1.7057192257308448E-2</v>
      </c>
      <c r="N42" s="71">
        <v>2.187292853449431E-2</v>
      </c>
      <c r="O42" s="71">
        <v>2.5207359610624366E-2</v>
      </c>
      <c r="P42" s="55" t="s">
        <v>21</v>
      </c>
      <c r="Q42" s="53" t="s">
        <v>21</v>
      </c>
      <c r="R42" s="94" t="s">
        <v>21</v>
      </c>
      <c r="S42" s="71">
        <v>0</v>
      </c>
      <c r="T42" s="63">
        <v>2.1583491057308449E-2</v>
      </c>
      <c r="V42" s="116">
        <v>1.1278141100000001</v>
      </c>
      <c r="W42" s="108">
        <v>2.8263424399999999</v>
      </c>
      <c r="X42" s="108">
        <v>4.2727143000000005</v>
      </c>
      <c r="Y42" s="108">
        <v>5.4597605799999993</v>
      </c>
      <c r="Z42" s="117">
        <v>6.8563193800000004</v>
      </c>
    </row>
    <row r="43" spans="2:26" x14ac:dyDescent="0.35">
      <c r="B43" s="55" t="s">
        <v>49</v>
      </c>
      <c r="C43" s="53" t="s">
        <v>30</v>
      </c>
      <c r="D43" s="53" t="s">
        <v>47</v>
      </c>
      <c r="E43" s="53" t="s">
        <v>356</v>
      </c>
      <c r="F43" s="73" t="s">
        <v>21</v>
      </c>
      <c r="G43" s="71">
        <v>6.0455141118876971E-3</v>
      </c>
      <c r="H43" s="71">
        <v>1.174051196827689E-2</v>
      </c>
      <c r="I43" s="71">
        <v>1.4765368871570858E-2</v>
      </c>
      <c r="J43" s="63">
        <v>1.8478606486583123E-2</v>
      </c>
      <c r="K43" s="71" t="s">
        <v>21</v>
      </c>
      <c r="L43" s="71">
        <v>2.2706277118876984E-3</v>
      </c>
      <c r="M43" s="71">
        <v>6.9744491682768948E-3</v>
      </c>
      <c r="N43" s="71">
        <v>9.1380647715708571E-3</v>
      </c>
      <c r="O43" s="71">
        <v>1.1605537986583122E-2</v>
      </c>
      <c r="P43" s="56" t="s">
        <v>428</v>
      </c>
      <c r="Q43" s="66" t="s">
        <v>429</v>
      </c>
      <c r="R43" s="100" t="s">
        <v>32</v>
      </c>
      <c r="S43" s="80">
        <v>9.9594999999999996E-3</v>
      </c>
      <c r="T43" s="62">
        <v>1.78101196827689E-3</v>
      </c>
      <c r="V43" s="114">
        <v>1.13015679</v>
      </c>
      <c r="W43" s="72">
        <v>2.8538285499999998</v>
      </c>
      <c r="X43" s="72">
        <v>4.3697821800000005</v>
      </c>
      <c r="Y43" s="72">
        <v>5.67243414</v>
      </c>
      <c r="Z43" s="115">
        <v>7.2756110200000004</v>
      </c>
    </row>
    <row r="44" spans="2:26" x14ac:dyDescent="0.35">
      <c r="B44" s="55" t="s">
        <v>49</v>
      </c>
      <c r="C44" s="53" t="s">
        <v>33</v>
      </c>
      <c r="D44" s="53" t="s">
        <v>47</v>
      </c>
      <c r="E44" s="53" t="s">
        <v>276</v>
      </c>
      <c r="F44" s="73" t="s">
        <v>21</v>
      </c>
      <c r="G44" s="71">
        <v>8.1644063564091929E-3</v>
      </c>
      <c r="H44" s="71">
        <v>1.5265687949442708E-2</v>
      </c>
      <c r="I44" s="71">
        <v>1.9110423649266815E-2</v>
      </c>
      <c r="J44" s="63">
        <v>2.2925375525647072E-2</v>
      </c>
      <c r="K44" s="71" t="s">
        <v>21</v>
      </c>
      <c r="L44" s="71">
        <v>4.5353810564091931E-3</v>
      </c>
      <c r="M44" s="71">
        <v>1.0650279949442711E-2</v>
      </c>
      <c r="N44" s="71">
        <v>1.3625554749266819E-2</v>
      </c>
      <c r="O44" s="71">
        <v>1.6181217825647073E-2</v>
      </c>
      <c r="P44" s="55" t="s">
        <v>430</v>
      </c>
      <c r="Q44" s="53" t="s">
        <v>431</v>
      </c>
      <c r="R44" s="94" t="s">
        <v>32</v>
      </c>
      <c r="S44" s="71">
        <v>1.4344220000000001E-2</v>
      </c>
      <c r="T44" s="63">
        <v>9.2146794944270721E-4</v>
      </c>
      <c r="V44" s="114">
        <v>1.12917051</v>
      </c>
      <c r="W44" s="72">
        <v>2.8385531400000001</v>
      </c>
      <c r="X44" s="72">
        <v>4.3146876600000006</v>
      </c>
      <c r="Y44" s="72">
        <v>5.5520780499999995</v>
      </c>
      <c r="Z44" s="115">
        <v>7.0374624799999994</v>
      </c>
    </row>
    <row r="45" spans="2:26" x14ac:dyDescent="0.35">
      <c r="B45" s="57" t="s">
        <v>49</v>
      </c>
      <c r="C45" s="67" t="s">
        <v>35</v>
      </c>
      <c r="D45" s="67" t="s">
        <v>47</v>
      </c>
      <c r="E45" s="67" t="s">
        <v>21</v>
      </c>
      <c r="F45" s="74" t="s">
        <v>21</v>
      </c>
      <c r="G45" s="76">
        <v>1.0984948538139434E-2</v>
      </c>
      <c r="H45" s="76">
        <v>2.0044138513249606E-2</v>
      </c>
      <c r="I45" s="76">
        <v>2.5621182222818149E-2</v>
      </c>
      <c r="J45" s="64">
        <v>3.0549950717955049E-2</v>
      </c>
      <c r="K45" s="76" t="s">
        <v>21</v>
      </c>
      <c r="L45" s="76">
        <v>7.4685716381394382E-3</v>
      </c>
      <c r="M45" s="76">
        <v>1.5516481913249607E-2</v>
      </c>
      <c r="N45" s="76">
        <v>2.0185008622818142E-2</v>
      </c>
      <c r="O45" s="76">
        <v>2.3830276217955051E-2</v>
      </c>
      <c r="P45" s="57" t="s">
        <v>21</v>
      </c>
      <c r="Q45" s="67" t="s">
        <v>21</v>
      </c>
      <c r="R45" s="96" t="s">
        <v>21</v>
      </c>
      <c r="S45" s="76">
        <v>0</v>
      </c>
      <c r="T45" s="64">
        <v>2.0044138513249606E-2</v>
      </c>
      <c r="V45" s="116">
        <v>1.1283303099999999</v>
      </c>
      <c r="W45" s="108">
        <v>2.8317033199999999</v>
      </c>
      <c r="X45" s="108">
        <v>4.29108102</v>
      </c>
      <c r="Y45" s="108">
        <v>5.4967334299999999</v>
      </c>
      <c r="Z45" s="117">
        <v>6.9200356700000007</v>
      </c>
    </row>
    <row r="46" spans="2:26" x14ac:dyDescent="0.35">
      <c r="B46" s="56" t="s">
        <v>50</v>
      </c>
      <c r="C46" s="66" t="s">
        <v>30</v>
      </c>
      <c r="D46" s="66" t="s">
        <v>47</v>
      </c>
      <c r="E46" s="66" t="s">
        <v>181</v>
      </c>
      <c r="F46" s="75" t="s">
        <v>21</v>
      </c>
      <c r="G46" s="80">
        <v>6.1106305837282651E-3</v>
      </c>
      <c r="H46" s="80">
        <v>1.204845398790059E-2</v>
      </c>
      <c r="I46" s="80">
        <v>1.5356629296565488E-2</v>
      </c>
      <c r="J46" s="62">
        <v>1.8847583423662335E-2</v>
      </c>
      <c r="K46" s="71" t="s">
        <v>21</v>
      </c>
      <c r="L46" s="71">
        <v>2.3414242837282691E-3</v>
      </c>
      <c r="M46" s="71">
        <v>7.3009959879005906E-3</v>
      </c>
      <c r="N46" s="71">
        <v>9.7582901965654924E-3</v>
      </c>
      <c r="O46" s="71">
        <v>1.1993826923662335E-2</v>
      </c>
      <c r="P46" s="55" t="s">
        <v>432</v>
      </c>
      <c r="Q46" s="53" t="s">
        <v>433</v>
      </c>
      <c r="R46" s="94" t="s">
        <v>32</v>
      </c>
      <c r="S46" s="71">
        <v>9.2918400000000009E-3</v>
      </c>
      <c r="T46" s="63">
        <v>2.7566139879005892E-3</v>
      </c>
      <c r="V46" s="118">
        <v>1.13051356</v>
      </c>
      <c r="W46" s="61">
        <v>2.8540773100000001</v>
      </c>
      <c r="X46" s="61">
        <v>4.3668471899999997</v>
      </c>
      <c r="Y46" s="61">
        <v>5.6609947600000003</v>
      </c>
      <c r="Z46" s="119">
        <v>7.2521700300000003</v>
      </c>
    </row>
    <row r="47" spans="2:26" x14ac:dyDescent="0.35">
      <c r="B47" s="55" t="s">
        <v>50</v>
      </c>
      <c r="C47" s="53" t="s">
        <v>33</v>
      </c>
      <c r="D47" s="53" t="s">
        <v>47</v>
      </c>
      <c r="E47" s="53" t="s">
        <v>133</v>
      </c>
      <c r="F47" s="73" t="s">
        <v>21</v>
      </c>
      <c r="G47" s="71">
        <v>8.3672034166121147E-3</v>
      </c>
      <c r="H47" s="71">
        <v>1.5664832118232032E-2</v>
      </c>
      <c r="I47" s="71">
        <v>1.9881590718407009E-2</v>
      </c>
      <c r="J47" s="63">
        <v>2.3332780853183861E-2</v>
      </c>
      <c r="K47" s="71" t="s">
        <v>21</v>
      </c>
      <c r="L47" s="71">
        <v>4.7474595166121149E-3</v>
      </c>
      <c r="M47" s="71">
        <v>1.1058083218232033E-2</v>
      </c>
      <c r="N47" s="71">
        <v>1.4405086718407008E-2</v>
      </c>
      <c r="O47" s="71">
        <v>1.6596098953183858E-2</v>
      </c>
      <c r="P47" s="55" t="s">
        <v>434</v>
      </c>
      <c r="Q47" s="53" t="s">
        <v>435</v>
      </c>
      <c r="R47" s="94" t="s">
        <v>32</v>
      </c>
      <c r="S47" s="71">
        <v>9.6738699999999993E-3</v>
      </c>
      <c r="T47" s="63">
        <v>5.9909621182320325E-3</v>
      </c>
      <c r="V47" s="114">
        <v>1.1287486500000001</v>
      </c>
      <c r="W47" s="72">
        <v>2.83650834</v>
      </c>
      <c r="X47" s="72">
        <v>4.30833274</v>
      </c>
      <c r="Y47" s="72">
        <v>5.5351009200000005</v>
      </c>
      <c r="Z47" s="115">
        <v>7.0073544500000002</v>
      </c>
    </row>
    <row r="48" spans="2:26" x14ac:dyDescent="0.35">
      <c r="B48" s="57" t="s">
        <v>50</v>
      </c>
      <c r="C48" s="67" t="s">
        <v>35</v>
      </c>
      <c r="D48" s="67" t="s">
        <v>47</v>
      </c>
      <c r="E48" s="67" t="s">
        <v>21</v>
      </c>
      <c r="F48" s="74">
        <v>9.3948945382522214E-5</v>
      </c>
      <c r="G48" s="76">
        <v>1.1749115004941624E-2</v>
      </c>
      <c r="H48" s="76">
        <v>2.1291167427819765E-2</v>
      </c>
      <c r="I48" s="76">
        <v>2.6843236960646791E-2</v>
      </c>
      <c r="J48" s="64">
        <v>3.1754933143223411E-2</v>
      </c>
      <c r="K48" s="71" t="s">
        <v>21</v>
      </c>
      <c r="L48" s="71">
        <v>8.2503643049416236E-3</v>
      </c>
      <c r="M48" s="71">
        <v>1.6765383427819767E-2</v>
      </c>
      <c r="N48" s="71">
        <v>2.1397706060646796E-2</v>
      </c>
      <c r="O48" s="71">
        <v>2.502309584322341E-2</v>
      </c>
      <c r="P48" s="55" t="s">
        <v>21</v>
      </c>
      <c r="Q48" s="53" t="s">
        <v>21</v>
      </c>
      <c r="R48" s="94" t="s">
        <v>21</v>
      </c>
      <c r="S48" s="71"/>
      <c r="T48" s="63"/>
      <c r="V48" s="116">
        <v>1.12783831</v>
      </c>
      <c r="W48" s="108">
        <v>2.8272195199999999</v>
      </c>
      <c r="X48" s="108">
        <v>4.2760489800000006</v>
      </c>
      <c r="Y48" s="108">
        <v>5.4680307800000003</v>
      </c>
      <c r="Z48" s="117">
        <v>6.8693847000000003</v>
      </c>
    </row>
    <row r="49" spans="2:26" x14ac:dyDescent="0.35">
      <c r="B49" s="79" t="s">
        <v>51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9"/>
      <c r="Q49" s="78"/>
      <c r="R49" s="95"/>
      <c r="S49" s="78"/>
      <c r="T49" s="77"/>
      <c r="V49" s="112"/>
      <c r="W49" s="107"/>
      <c r="X49" s="107"/>
      <c r="Y49" s="107"/>
      <c r="Z49" s="113"/>
    </row>
    <row r="50" spans="2:26" x14ac:dyDescent="0.35">
      <c r="B50" s="56" t="s">
        <v>52</v>
      </c>
      <c r="C50" s="66" t="s">
        <v>30</v>
      </c>
      <c r="D50" s="66" t="s">
        <v>53</v>
      </c>
      <c r="E50" s="66" t="s">
        <v>57</v>
      </c>
      <c r="F50" s="75" t="s">
        <v>21</v>
      </c>
      <c r="G50" s="80">
        <v>6.8475768082155034E-3</v>
      </c>
      <c r="H50" s="80">
        <v>1.2197998831229358E-2</v>
      </c>
      <c r="I50" s="80">
        <v>1.5213641648967737E-2</v>
      </c>
      <c r="J50" s="62">
        <v>1.8371557274769131E-2</v>
      </c>
      <c r="K50" s="71" t="s">
        <v>21</v>
      </c>
      <c r="L50" s="71">
        <v>3.1380146082155046E-3</v>
      </c>
      <c r="M50" s="71">
        <v>7.460435831229361E-3</v>
      </c>
      <c r="N50" s="71">
        <v>9.6089727489677371E-3</v>
      </c>
      <c r="O50" s="71">
        <v>1.149652227476913E-2</v>
      </c>
      <c r="P50" s="55" t="s">
        <v>436</v>
      </c>
      <c r="Q50" s="53" t="s">
        <v>437</v>
      </c>
      <c r="R50" s="94" t="s">
        <v>32</v>
      </c>
      <c r="S50" s="71">
        <v>8.4131999999999992E-3</v>
      </c>
      <c r="T50" s="63">
        <v>3.7847988312293586E-3</v>
      </c>
      <c r="V50" s="118">
        <v>1.12825252</v>
      </c>
      <c r="W50" s="61">
        <v>2.8451856700000002</v>
      </c>
      <c r="X50" s="61">
        <v>4.3544728199999998</v>
      </c>
      <c r="Y50" s="61">
        <v>5.65008234</v>
      </c>
      <c r="Z50" s="119">
        <v>7.2523072699999993</v>
      </c>
    </row>
    <row r="51" spans="2:26" x14ac:dyDescent="0.35">
      <c r="B51" s="55" t="s">
        <v>52</v>
      </c>
      <c r="C51" s="53" t="s">
        <v>33</v>
      </c>
      <c r="D51" s="53" t="s">
        <v>53</v>
      </c>
      <c r="E51" s="53" t="s">
        <v>58</v>
      </c>
      <c r="F51" s="73" t="s">
        <v>21</v>
      </c>
      <c r="G51" s="71">
        <v>8.3488984518304988E-3</v>
      </c>
      <c r="H51" s="71">
        <v>1.5448299202200385E-2</v>
      </c>
      <c r="I51" s="71">
        <v>1.9190795532457887E-2</v>
      </c>
      <c r="J51" s="63">
        <v>2.2665498082097932E-2</v>
      </c>
      <c r="K51" s="71" t="s">
        <v>21</v>
      </c>
      <c r="L51" s="71">
        <v>4.7287042518305003E-3</v>
      </c>
      <c r="M51" s="71">
        <v>1.0836197202200387E-2</v>
      </c>
      <c r="N51" s="71">
        <v>1.3705910232457886E-2</v>
      </c>
      <c r="O51" s="71">
        <v>1.5917791782097932E-2</v>
      </c>
      <c r="P51" s="55" t="s">
        <v>438</v>
      </c>
      <c r="Q51" s="53" t="s">
        <v>439</v>
      </c>
      <c r="R51" s="94" t="s">
        <v>32</v>
      </c>
      <c r="S51" s="71">
        <v>1.0661549999999999E-2</v>
      </c>
      <c r="T51" s="63">
        <v>4.7867492022003865E-3</v>
      </c>
      <c r="V51" s="114">
        <v>1.12740861</v>
      </c>
      <c r="W51" s="72">
        <v>2.8341380900000002</v>
      </c>
      <c r="X51" s="72">
        <v>4.3080694199999998</v>
      </c>
      <c r="Y51" s="72">
        <v>5.5440157900000004</v>
      </c>
      <c r="Z51" s="115">
        <v>7.0341179399999998</v>
      </c>
    </row>
    <row r="52" spans="2:26" x14ac:dyDescent="0.35">
      <c r="B52" s="57" t="s">
        <v>52</v>
      </c>
      <c r="C52" s="67" t="s">
        <v>35</v>
      </c>
      <c r="D52" s="67" t="s">
        <v>53</v>
      </c>
      <c r="E52" s="67" t="s">
        <v>351</v>
      </c>
      <c r="F52" s="74">
        <v>9.5213711915396668E-5</v>
      </c>
      <c r="G52" s="76">
        <v>1.1771645767200134E-2</v>
      </c>
      <c r="H52" s="76">
        <v>2.1094666904891663E-2</v>
      </c>
      <c r="I52" s="76">
        <v>2.6652785510601112E-2</v>
      </c>
      <c r="J52" s="64">
        <v>3.1283260997469642E-2</v>
      </c>
      <c r="K52" s="71" t="s">
        <v>21</v>
      </c>
      <c r="L52" s="71">
        <v>8.2735575672001349E-3</v>
      </c>
      <c r="M52" s="71">
        <v>1.6569314804891665E-2</v>
      </c>
      <c r="N52" s="71">
        <v>2.1209060310601106E-2</v>
      </c>
      <c r="O52" s="71">
        <v>2.4557703597469647E-2</v>
      </c>
      <c r="P52" s="55" t="s">
        <v>21</v>
      </c>
      <c r="Q52" s="53" t="s">
        <v>21</v>
      </c>
      <c r="R52" s="94" t="s">
        <v>21</v>
      </c>
      <c r="S52" s="71">
        <v>0</v>
      </c>
      <c r="T52" s="63">
        <v>2.1094666904891663E-2</v>
      </c>
      <c r="V52" s="116">
        <v>1.12782765</v>
      </c>
      <c r="W52" s="108">
        <v>2.82709265</v>
      </c>
      <c r="X52" s="108">
        <v>4.2773112199999996</v>
      </c>
      <c r="Y52" s="108">
        <v>5.47146154</v>
      </c>
      <c r="Z52" s="117">
        <v>6.8802239900000011</v>
      </c>
    </row>
    <row r="53" spans="2:26" x14ac:dyDescent="0.35">
      <c r="B53" s="55" t="s">
        <v>56</v>
      </c>
      <c r="C53" s="53" t="s">
        <v>30</v>
      </c>
      <c r="D53" s="53" t="s">
        <v>53</v>
      </c>
      <c r="E53" s="53" t="s">
        <v>440</v>
      </c>
      <c r="F53" s="73" t="s">
        <v>21</v>
      </c>
      <c r="G53" s="71">
        <v>6.8031262355419606E-3</v>
      </c>
      <c r="H53" s="71">
        <v>1.2208588817785819E-2</v>
      </c>
      <c r="I53" s="71">
        <v>1.5421547223477819E-2</v>
      </c>
      <c r="J53" s="63">
        <v>1.8365997663852055E-2</v>
      </c>
      <c r="K53" s="71" t="s">
        <v>21</v>
      </c>
      <c r="L53" s="71">
        <v>3.0900068355419609E-3</v>
      </c>
      <c r="M53" s="71">
        <v>7.471683317785827E-3</v>
      </c>
      <c r="N53" s="71">
        <v>9.8261629234778144E-3</v>
      </c>
      <c r="O53" s="71">
        <v>1.1493363563852051E-2</v>
      </c>
      <c r="P53" s="56" t="s">
        <v>441</v>
      </c>
      <c r="Q53" s="66" t="s">
        <v>442</v>
      </c>
      <c r="R53" s="100" t="s">
        <v>32</v>
      </c>
      <c r="S53" s="80">
        <v>1.5384999999999999E-2</v>
      </c>
      <c r="T53" s="62">
        <v>-3.17641118221418E-3</v>
      </c>
      <c r="V53" s="114">
        <v>1.12900147</v>
      </c>
      <c r="W53" s="72">
        <v>2.84686233</v>
      </c>
      <c r="X53" s="72">
        <v>4.3561857499999999</v>
      </c>
      <c r="Y53" s="72">
        <v>5.6491357100000004</v>
      </c>
      <c r="Z53" s="115">
        <v>7.2497329099999996</v>
      </c>
    </row>
    <row r="54" spans="2:26" x14ac:dyDescent="0.35">
      <c r="B54" s="55" t="s">
        <v>56</v>
      </c>
      <c r="C54" s="53" t="s">
        <v>33</v>
      </c>
      <c r="D54" s="53" t="s">
        <v>53</v>
      </c>
      <c r="E54" s="53" t="s">
        <v>443</v>
      </c>
      <c r="F54" s="73" t="s">
        <v>21</v>
      </c>
      <c r="G54" s="71">
        <v>8.2981226705043723E-3</v>
      </c>
      <c r="H54" s="71">
        <v>1.5248795005055811E-2</v>
      </c>
      <c r="I54" s="71">
        <v>1.8854006554645104E-2</v>
      </c>
      <c r="J54" s="63">
        <v>2.2238090952505556E-2</v>
      </c>
      <c r="K54" s="71" t="s">
        <v>21</v>
      </c>
      <c r="L54" s="71">
        <v>4.6752988705043748E-3</v>
      </c>
      <c r="M54" s="71">
        <v>1.0631740105055808E-2</v>
      </c>
      <c r="N54" s="71">
        <v>1.3363908454645104E-2</v>
      </c>
      <c r="O54" s="71">
        <v>1.5483616552505557E-2</v>
      </c>
      <c r="P54" s="55" t="s">
        <v>444</v>
      </c>
      <c r="Q54" s="53" t="s">
        <v>445</v>
      </c>
      <c r="R54" s="94" t="s">
        <v>32</v>
      </c>
      <c r="S54" s="71">
        <v>1.093177E-2</v>
      </c>
      <c r="T54" s="63">
        <v>4.3170250050558103E-3</v>
      </c>
      <c r="V54" s="114">
        <v>1.12749882</v>
      </c>
      <c r="W54" s="72">
        <v>2.8346277999999998</v>
      </c>
      <c r="X54" s="72">
        <v>4.3106145399999996</v>
      </c>
      <c r="Y54" s="72">
        <v>5.5513268499999997</v>
      </c>
      <c r="Z54" s="115">
        <v>7.0520133900000008</v>
      </c>
    </row>
    <row r="55" spans="2:26" x14ac:dyDescent="0.35">
      <c r="B55" s="55" t="s">
        <v>56</v>
      </c>
      <c r="C55" s="53" t="s">
        <v>35</v>
      </c>
      <c r="D55" s="53" t="s">
        <v>53</v>
      </c>
      <c r="E55" s="53" t="s">
        <v>54</v>
      </c>
      <c r="F55" s="73" t="s">
        <v>21</v>
      </c>
      <c r="G55" s="71">
        <v>1.0990350929617174E-2</v>
      </c>
      <c r="H55" s="71">
        <v>1.9844814458283736E-2</v>
      </c>
      <c r="I55" s="71">
        <v>2.5138372909111806E-2</v>
      </c>
      <c r="J55" s="63">
        <v>2.9888873560273331E-2</v>
      </c>
      <c r="K55" s="71" t="s">
        <v>21</v>
      </c>
      <c r="L55" s="71">
        <v>7.4748203296171808E-3</v>
      </c>
      <c r="M55" s="71">
        <v>1.5317066358283737E-2</v>
      </c>
      <c r="N55" s="71">
        <v>1.9705962709111811E-2</v>
      </c>
      <c r="O55" s="71">
        <v>2.3174989560273335E-2</v>
      </c>
      <c r="P55" s="57" t="s">
        <v>446</v>
      </c>
      <c r="Q55" s="67" t="s">
        <v>447</v>
      </c>
      <c r="R55" s="96" t="s">
        <v>32</v>
      </c>
      <c r="S55" s="76">
        <v>1.577663E-2</v>
      </c>
      <c r="T55" s="64">
        <v>4.0681844582837363E-3</v>
      </c>
      <c r="V55" s="114">
        <v>1.1283129700000001</v>
      </c>
      <c r="W55" s="72">
        <v>2.83163944</v>
      </c>
      <c r="X55" s="72">
        <v>4.2924455100000003</v>
      </c>
      <c r="Y55" s="72">
        <v>5.50293264</v>
      </c>
      <c r="Z55" s="115">
        <v>6.93795918</v>
      </c>
    </row>
    <row r="56" spans="2:26" x14ac:dyDescent="0.35">
      <c r="B56" s="79" t="s">
        <v>59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9"/>
      <c r="Q56" s="78"/>
      <c r="R56" s="95"/>
      <c r="S56" s="78"/>
      <c r="T56" s="77"/>
      <c r="V56" s="112"/>
      <c r="W56" s="107"/>
      <c r="X56" s="107"/>
      <c r="Y56" s="107"/>
      <c r="Z56" s="113"/>
    </row>
    <row r="57" spans="2:26" x14ac:dyDescent="0.35">
      <c r="B57" s="56" t="s">
        <v>60</v>
      </c>
      <c r="C57" s="66" t="s">
        <v>61</v>
      </c>
      <c r="D57" s="66" t="s">
        <v>62</v>
      </c>
      <c r="E57" s="66" t="s">
        <v>181</v>
      </c>
      <c r="F57" s="75" t="s">
        <v>21</v>
      </c>
      <c r="G57" s="80">
        <v>7.0849608486359909E-3</v>
      </c>
      <c r="H57" s="80">
        <v>1.2586909804029503E-2</v>
      </c>
      <c r="I57" s="80">
        <v>1.5435266458462651E-2</v>
      </c>
      <c r="J57" s="62">
        <v>1.8544781292436394E-2</v>
      </c>
      <c r="K57" s="71" t="s">
        <v>21</v>
      </c>
      <c r="L57" s="71">
        <v>3.3927519486359908E-3</v>
      </c>
      <c r="M57" s="71">
        <v>7.8706075040295021E-3</v>
      </c>
      <c r="N57" s="71">
        <v>9.8422198584626492E-3</v>
      </c>
      <c r="O57" s="71">
        <v>1.1678068992436395E-2</v>
      </c>
      <c r="P57" s="55" t="s">
        <v>448</v>
      </c>
      <c r="Q57" s="53" t="s">
        <v>449</v>
      </c>
      <c r="R57" s="94" t="s">
        <v>32</v>
      </c>
      <c r="S57" s="71">
        <v>0</v>
      </c>
      <c r="T57" s="63">
        <v>1.2586909804029503E-2</v>
      </c>
      <c r="V57" s="118">
        <v>1.12752092</v>
      </c>
      <c r="W57" s="61">
        <v>2.8423108999999998</v>
      </c>
      <c r="X57" s="61">
        <v>4.3471343999999998</v>
      </c>
      <c r="Y57" s="61">
        <v>5.6386748400000002</v>
      </c>
      <c r="Z57" s="119">
        <v>7.2359644599999999</v>
      </c>
    </row>
    <row r="58" spans="2:26" x14ac:dyDescent="0.35">
      <c r="B58" s="57" t="s">
        <v>60</v>
      </c>
      <c r="C58" s="67" t="s">
        <v>63</v>
      </c>
      <c r="D58" s="67" t="s">
        <v>62</v>
      </c>
      <c r="E58" s="67" t="s">
        <v>21</v>
      </c>
      <c r="F58" s="74">
        <v>1.1500374816154841E-3</v>
      </c>
      <c r="G58" s="76">
        <v>1.0619887999205406E-2</v>
      </c>
      <c r="H58" s="76">
        <v>1.7614261659776653E-2</v>
      </c>
      <c r="I58" s="76">
        <v>2.159257974276823E-2</v>
      </c>
      <c r="J58" s="64">
        <v>2.4864244302695963E-2</v>
      </c>
      <c r="K58" s="71" t="s">
        <v>21</v>
      </c>
      <c r="L58" s="71">
        <v>7.097808799205409E-3</v>
      </c>
      <c r="M58" s="71">
        <v>1.3067055759776656E-2</v>
      </c>
      <c r="N58" s="71">
        <v>1.6158269442768228E-2</v>
      </c>
      <c r="O58" s="71">
        <v>1.8149987902695962E-2</v>
      </c>
      <c r="P58" s="55" t="s">
        <v>21</v>
      </c>
      <c r="Q58" s="53" t="s">
        <v>21</v>
      </c>
      <c r="R58" s="94" t="s">
        <v>21</v>
      </c>
      <c r="S58" s="71">
        <v>0</v>
      </c>
      <c r="T58" s="63">
        <v>1.7614261659776653E-2</v>
      </c>
      <c r="V58" s="116">
        <v>1.1257823300000001</v>
      </c>
      <c r="W58" s="108">
        <v>2.8287761700000003</v>
      </c>
      <c r="X58" s="108">
        <v>4.3066021299999999</v>
      </c>
      <c r="Y58" s="108">
        <v>5.5547282600000001</v>
      </c>
      <c r="Z58" s="117">
        <v>7.0794663600000005</v>
      </c>
    </row>
    <row r="59" spans="2:26" x14ac:dyDescent="0.35">
      <c r="B59" s="56" t="s">
        <v>64</v>
      </c>
      <c r="C59" s="66" t="s">
        <v>65</v>
      </c>
      <c r="D59" s="66" t="s">
        <v>62</v>
      </c>
      <c r="E59" s="66" t="s">
        <v>181</v>
      </c>
      <c r="F59" s="75" t="s">
        <v>21</v>
      </c>
      <c r="G59" s="80">
        <v>7.5013474234594986E-3</v>
      </c>
      <c r="H59" s="80">
        <v>1.4174047400427322E-2</v>
      </c>
      <c r="I59" s="80">
        <v>1.7530197459669609E-2</v>
      </c>
      <c r="J59" s="62">
        <v>2.053614160246826E-2</v>
      </c>
      <c r="K59" s="80" t="s">
        <v>21</v>
      </c>
      <c r="L59" s="80">
        <v>3.8344586234594987E-3</v>
      </c>
      <c r="M59" s="80">
        <v>9.5244147004273239E-3</v>
      </c>
      <c r="N59" s="80">
        <v>1.2011791159669615E-2</v>
      </c>
      <c r="O59" s="80">
        <v>1.3745929202468258E-2</v>
      </c>
      <c r="P59" s="56" t="s">
        <v>21</v>
      </c>
      <c r="Q59" s="66" t="s">
        <v>21</v>
      </c>
      <c r="R59" s="100" t="s">
        <v>21</v>
      </c>
      <c r="S59" s="80">
        <v>0</v>
      </c>
      <c r="T59" s="62">
        <v>1.4174047400427322E-2</v>
      </c>
      <c r="V59" s="118">
        <v>1.1288944400000001</v>
      </c>
      <c r="W59" s="61">
        <v>2.8422497099999999</v>
      </c>
      <c r="X59" s="61">
        <v>4.3306786900000001</v>
      </c>
      <c r="Y59" s="61">
        <v>5.5909677100000001</v>
      </c>
      <c r="Z59" s="119">
        <v>7.1335973999999993</v>
      </c>
    </row>
    <row r="60" spans="2:26" x14ac:dyDescent="0.35">
      <c r="B60" s="57" t="s">
        <v>64</v>
      </c>
      <c r="C60" s="67" t="s">
        <v>66</v>
      </c>
      <c r="D60" s="67" t="s">
        <v>62</v>
      </c>
      <c r="E60" s="67" t="s">
        <v>21</v>
      </c>
      <c r="F60" s="74" t="s">
        <v>21</v>
      </c>
      <c r="G60" s="76">
        <v>1.0373600806798455E-2</v>
      </c>
      <c r="H60" s="76">
        <v>1.8873805533263344E-2</v>
      </c>
      <c r="I60" s="76">
        <v>2.2726502300350268E-2</v>
      </c>
      <c r="J60" s="64">
        <v>2.6955663081781208E-2</v>
      </c>
      <c r="K60" s="76" t="s">
        <v>21</v>
      </c>
      <c r="L60" s="76">
        <v>6.8417474067984539E-3</v>
      </c>
      <c r="M60" s="76">
        <v>1.4339962733263345E-2</v>
      </c>
      <c r="N60" s="76">
        <v>1.7299748500350272E-2</v>
      </c>
      <c r="O60" s="76">
        <v>2.0250595081781207E-2</v>
      </c>
      <c r="P60" s="57" t="s">
        <v>21</v>
      </c>
      <c r="Q60" s="67" t="s">
        <v>21</v>
      </c>
      <c r="R60" s="96" t="s">
        <v>21</v>
      </c>
      <c r="S60" s="76"/>
      <c r="T60" s="64"/>
      <c r="V60" s="116">
        <v>1.1281678499999999</v>
      </c>
      <c r="W60" s="108">
        <v>2.8342598399999996</v>
      </c>
      <c r="X60" s="108">
        <v>4.3033334200000004</v>
      </c>
      <c r="Y60" s="108">
        <v>5.5379524199999999</v>
      </c>
      <c r="Z60" s="117">
        <v>7.0269417199999999</v>
      </c>
    </row>
    <row r="61" spans="2:26" x14ac:dyDescent="0.35">
      <c r="B61" s="79" t="s">
        <v>228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9"/>
      <c r="Q61" s="78"/>
      <c r="R61" s="95"/>
      <c r="S61" s="78"/>
      <c r="T61" s="77"/>
      <c r="V61" s="112"/>
      <c r="W61" s="107"/>
      <c r="X61" s="107"/>
      <c r="Y61" s="107"/>
      <c r="Z61" s="113"/>
    </row>
    <row r="62" spans="2:26" x14ac:dyDescent="0.35">
      <c r="B62" s="56" t="s">
        <v>229</v>
      </c>
      <c r="C62" s="66" t="s">
        <v>61</v>
      </c>
      <c r="D62" s="66" t="s">
        <v>97</v>
      </c>
      <c r="E62" s="66" t="s">
        <v>21</v>
      </c>
      <c r="F62" s="75" t="s">
        <v>21</v>
      </c>
      <c r="G62" s="80">
        <v>5.2992055120763756E-3</v>
      </c>
      <c r="H62" s="80">
        <v>1.0239891202241086E-2</v>
      </c>
      <c r="I62" s="80">
        <v>1.273126419311642E-2</v>
      </c>
      <c r="J62" s="62">
        <v>1.500351191486176E-2</v>
      </c>
      <c r="K62" s="71" t="s">
        <v>21</v>
      </c>
      <c r="L62" s="71">
        <v>1.4503723120763748E-3</v>
      </c>
      <c r="M62" s="71">
        <v>5.3622358022410894E-3</v>
      </c>
      <c r="N62" s="71">
        <v>6.9688060931164184E-3</v>
      </c>
      <c r="O62" s="71">
        <v>7.9162048148617593E-3</v>
      </c>
      <c r="P62" s="55" t="s">
        <v>21</v>
      </c>
      <c r="Q62" s="53" t="s">
        <v>21</v>
      </c>
      <c r="R62" s="94" t="s">
        <v>21</v>
      </c>
      <c r="S62" s="71"/>
      <c r="T62" s="63"/>
      <c r="V62" s="118">
        <v>1.13077794</v>
      </c>
      <c r="W62" s="61">
        <v>2.8597467399999998</v>
      </c>
      <c r="X62" s="61">
        <v>4.3924827200000003</v>
      </c>
      <c r="Y62" s="61">
        <v>5.7260769099999997</v>
      </c>
      <c r="Z62" s="119">
        <v>7.4154693399999996</v>
      </c>
    </row>
    <row r="63" spans="2:26" x14ac:dyDescent="0.35">
      <c r="B63" s="57" t="s">
        <v>229</v>
      </c>
      <c r="C63" s="67" t="s">
        <v>63</v>
      </c>
      <c r="D63" s="67" t="s">
        <v>97</v>
      </c>
      <c r="E63" s="67" t="s">
        <v>21</v>
      </c>
      <c r="F63" s="74" t="s">
        <v>21</v>
      </c>
      <c r="G63" s="76">
        <v>8.176667181933446E-3</v>
      </c>
      <c r="H63" s="76">
        <v>1.455181012224737E-2</v>
      </c>
      <c r="I63" s="76">
        <v>1.8095647643113333E-2</v>
      </c>
      <c r="J63" s="64">
        <v>2.1046818773923961E-2</v>
      </c>
      <c r="K63" s="71" t="s">
        <v>21</v>
      </c>
      <c r="L63" s="71">
        <v>4.554489281933448E-3</v>
      </c>
      <c r="M63" s="71">
        <v>9.9278652222473708E-3</v>
      </c>
      <c r="N63" s="71">
        <v>1.2602712643113332E-2</v>
      </c>
      <c r="O63" s="71">
        <v>1.4264958673923963E-2</v>
      </c>
      <c r="P63" s="55" t="s">
        <v>21</v>
      </c>
      <c r="Q63" s="53" t="s">
        <v>21</v>
      </c>
      <c r="R63" s="94" t="s">
        <v>21</v>
      </c>
      <c r="S63" s="71"/>
      <c r="T63" s="63"/>
      <c r="V63" s="116">
        <v>1.12929232</v>
      </c>
      <c r="W63" s="108">
        <v>2.8465960299999997</v>
      </c>
      <c r="X63" s="108">
        <v>4.3509631799999999</v>
      </c>
      <c r="Y63" s="108">
        <v>5.6384782500000004</v>
      </c>
      <c r="Z63" s="115">
        <v>7.2370571999999997</v>
      </c>
    </row>
    <row r="64" spans="2:26" x14ac:dyDescent="0.35">
      <c r="B64" s="56" t="s">
        <v>230</v>
      </c>
      <c r="C64" s="66" t="s">
        <v>65</v>
      </c>
      <c r="D64" s="66" t="s">
        <v>97</v>
      </c>
      <c r="E64" s="66" t="s">
        <v>21</v>
      </c>
      <c r="F64" s="75" t="s">
        <v>21</v>
      </c>
      <c r="G64" s="80">
        <v>7.5036151381273619E-3</v>
      </c>
      <c r="H64" s="80">
        <v>1.4226156360331988E-2</v>
      </c>
      <c r="I64" s="80">
        <v>1.7529047585685853E-2</v>
      </c>
      <c r="J64" s="62">
        <v>2.0935546400634678E-2</v>
      </c>
      <c r="K64" s="80" t="s">
        <v>21</v>
      </c>
      <c r="L64" s="80">
        <v>3.8370284381273631E-3</v>
      </c>
      <c r="M64" s="80">
        <v>9.5785996603319941E-3</v>
      </c>
      <c r="N64" s="80">
        <v>1.2011238885685857E-2</v>
      </c>
      <c r="O64" s="80">
        <v>1.4153530300634678E-2</v>
      </c>
      <c r="P64" s="56" t="s">
        <v>21</v>
      </c>
      <c r="Q64" s="66" t="s">
        <v>21</v>
      </c>
      <c r="R64" s="100" t="s">
        <v>21</v>
      </c>
      <c r="S64" s="80">
        <v>0</v>
      </c>
      <c r="T64" s="62">
        <v>1.4226156360331988E-2</v>
      </c>
      <c r="V64" s="118">
        <v>1.12915382</v>
      </c>
      <c r="W64" s="61">
        <v>2.8427121900000003</v>
      </c>
      <c r="X64" s="61">
        <v>4.3306205799999997</v>
      </c>
      <c r="Y64" s="61">
        <v>5.5907409399999999</v>
      </c>
      <c r="Z64" s="119">
        <v>7.1256446200000001</v>
      </c>
    </row>
    <row r="65" spans="2:26" x14ac:dyDescent="0.35">
      <c r="B65" s="57" t="s">
        <v>230</v>
      </c>
      <c r="C65" s="67" t="s">
        <v>66</v>
      </c>
      <c r="D65" s="67" t="s">
        <v>97</v>
      </c>
      <c r="E65" s="67" t="s">
        <v>21</v>
      </c>
      <c r="F65" s="74" t="s">
        <v>21</v>
      </c>
      <c r="G65" s="76">
        <v>1.116616831148534E-2</v>
      </c>
      <c r="H65" s="76">
        <v>2.0130559969279781E-2</v>
      </c>
      <c r="I65" s="76">
        <v>2.5031707578121256E-2</v>
      </c>
      <c r="J65" s="64">
        <v>2.9213715887641781E-2</v>
      </c>
      <c r="K65" s="76" t="s">
        <v>21</v>
      </c>
      <c r="L65" s="76">
        <v>7.6555206114853388E-3</v>
      </c>
      <c r="M65" s="76">
        <v>1.5604434369279782E-2</v>
      </c>
      <c r="N65" s="76">
        <v>1.9601161678121252E-2</v>
      </c>
      <c r="O65" s="76">
        <v>2.2506221287641785E-2</v>
      </c>
      <c r="P65" s="57" t="s">
        <v>21</v>
      </c>
      <c r="Q65" s="67" t="s">
        <v>21</v>
      </c>
      <c r="R65" s="96" t="s">
        <v>21</v>
      </c>
      <c r="S65" s="76">
        <v>0</v>
      </c>
      <c r="T65" s="64">
        <v>2.0130559969279781E-2</v>
      </c>
      <c r="V65" s="114">
        <v>1.12819366</v>
      </c>
      <c r="W65" s="72">
        <v>2.8305914200000002</v>
      </c>
      <c r="X65" s="72">
        <v>4.2889547299999995</v>
      </c>
      <c r="Y65" s="108">
        <v>5.4997922900000002</v>
      </c>
      <c r="Z65" s="117">
        <v>6.9451892599999994</v>
      </c>
    </row>
    <row r="66" spans="2:26" x14ac:dyDescent="0.35">
      <c r="B66" s="57" t="s">
        <v>308</v>
      </c>
      <c r="C66" s="67" t="s">
        <v>61</v>
      </c>
      <c r="D66" s="67" t="s">
        <v>97</v>
      </c>
      <c r="E66" s="67" t="s">
        <v>21</v>
      </c>
      <c r="F66" s="74" t="s">
        <v>21</v>
      </c>
      <c r="G66" s="76">
        <v>5.0766063440378104E-3</v>
      </c>
      <c r="H66" s="76">
        <v>9.9981432393258657E-3</v>
      </c>
      <c r="I66" s="76">
        <v>1.2600416140939088E-2</v>
      </c>
      <c r="J66" s="64">
        <v>1.5181453861951945E-2</v>
      </c>
      <c r="K66" s="76" t="s">
        <v>21</v>
      </c>
      <c r="L66" s="76">
        <v>1.2026258440378107E-3</v>
      </c>
      <c r="M66" s="76">
        <v>5.0986379393258624E-3</v>
      </c>
      <c r="N66" s="76">
        <v>6.8263447409390859E-3</v>
      </c>
      <c r="O66" s="76">
        <v>8.1064724619519506E-3</v>
      </c>
      <c r="P66" s="57" t="s">
        <v>21</v>
      </c>
      <c r="Q66" s="67" t="s">
        <v>21</v>
      </c>
      <c r="R66" s="96" t="s">
        <v>21</v>
      </c>
      <c r="S66" s="76">
        <v>0</v>
      </c>
      <c r="T66" s="64">
        <v>9.9981432393258657E-3</v>
      </c>
      <c r="V66" s="118">
        <v>1.1313339299999998</v>
      </c>
      <c r="W66" s="61">
        <v>2.8622046800000001</v>
      </c>
      <c r="X66" s="61">
        <v>4.3979438399999999</v>
      </c>
      <c r="Y66" s="61">
        <v>5.7340272599999995</v>
      </c>
      <c r="Z66" s="119">
        <v>7.4207421100000008</v>
      </c>
    </row>
    <row r="67" spans="2:26" x14ac:dyDescent="0.35">
      <c r="B67" s="79" t="s">
        <v>303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9"/>
      <c r="Q67" s="78"/>
      <c r="R67" s="95"/>
      <c r="S67" s="78"/>
      <c r="T67" s="77"/>
      <c r="V67" s="112"/>
      <c r="W67" s="107"/>
      <c r="X67" s="107"/>
      <c r="Y67" s="107"/>
      <c r="Z67" s="113"/>
    </row>
    <row r="68" spans="2:26" x14ac:dyDescent="0.35">
      <c r="B68" s="56" t="s">
        <v>305</v>
      </c>
      <c r="C68" s="66" t="s">
        <v>30</v>
      </c>
      <c r="D68" s="66" t="s">
        <v>306</v>
      </c>
      <c r="E68" s="66" t="s">
        <v>21</v>
      </c>
      <c r="F68" s="75" t="s">
        <v>21</v>
      </c>
      <c r="G68" s="80">
        <v>5.7082899014153652E-3</v>
      </c>
      <c r="H68" s="80">
        <v>1.0836782632691043E-2</v>
      </c>
      <c r="I68" s="80">
        <v>1.3959271914476164E-2</v>
      </c>
      <c r="J68" s="62">
        <v>1.7075709905280966E-2</v>
      </c>
      <c r="K68" s="71" t="s">
        <v>21</v>
      </c>
      <c r="L68" s="71">
        <v>1.9017049014153674E-3</v>
      </c>
      <c r="M68" s="71">
        <v>6.0084087326910448E-3</v>
      </c>
      <c r="N68" s="71">
        <v>8.2834047144761652E-3</v>
      </c>
      <c r="O68" s="71">
        <v>1.0132818805280969E-2</v>
      </c>
      <c r="P68" s="55" t="s">
        <v>21</v>
      </c>
      <c r="Q68" s="53" t="s">
        <v>21</v>
      </c>
      <c r="R68" s="94" t="s">
        <v>21</v>
      </c>
      <c r="S68" s="71">
        <v>0</v>
      </c>
      <c r="T68" s="63">
        <v>1.0836782632691043E-2</v>
      </c>
      <c r="V68" s="118">
        <v>1.13061214</v>
      </c>
      <c r="W68" s="61">
        <v>2.8568265899999998</v>
      </c>
      <c r="X68" s="61">
        <v>4.38256611</v>
      </c>
      <c r="Y68" s="61">
        <v>5.6984752900000002</v>
      </c>
      <c r="Z68" s="119">
        <v>7.3358019199999998</v>
      </c>
    </row>
    <row r="69" spans="2:26" x14ac:dyDescent="0.35">
      <c r="B69" s="55" t="s">
        <v>305</v>
      </c>
      <c r="C69" s="67" t="s">
        <v>35</v>
      </c>
      <c r="D69" s="53" t="s">
        <v>306</v>
      </c>
      <c r="E69" s="53" t="s">
        <v>21</v>
      </c>
      <c r="F69" s="73">
        <v>4.8415451479235511E-5</v>
      </c>
      <c r="G69" s="71">
        <v>1.1653241977574265E-2</v>
      </c>
      <c r="H69" s="71">
        <v>2.0903633131653825E-2</v>
      </c>
      <c r="I69" s="71">
        <v>2.6176122975350033E-2</v>
      </c>
      <c r="J69" s="63">
        <v>2.9955232033900804E-2</v>
      </c>
      <c r="K69" s="71" t="s">
        <v>21</v>
      </c>
      <c r="L69" s="71">
        <v>8.1525465775742646E-3</v>
      </c>
      <c r="M69" s="71">
        <v>1.6378093731653824E-2</v>
      </c>
      <c r="N69" s="71">
        <v>2.073691017535003E-2</v>
      </c>
      <c r="O69" s="71">
        <v>2.3244633033900813E-2</v>
      </c>
      <c r="P69" s="55" t="s">
        <v>21</v>
      </c>
      <c r="Q69" s="53" t="s">
        <v>21</v>
      </c>
      <c r="R69" s="94" t="s">
        <v>21</v>
      </c>
      <c r="S69" s="71">
        <v>0</v>
      </c>
      <c r="T69" s="63">
        <v>2.0903633131653825E-2</v>
      </c>
      <c r="V69" s="114">
        <v>1.1279052200000002</v>
      </c>
      <c r="W69" s="72">
        <v>2.8277905700000003</v>
      </c>
      <c r="X69" s="72">
        <v>4.27963001</v>
      </c>
      <c r="Y69" s="72">
        <v>5.4784936699999998</v>
      </c>
      <c r="Z69" s="115">
        <v>6.9081171699999997</v>
      </c>
    </row>
    <row r="70" spans="2:26" x14ac:dyDescent="0.35">
      <c r="B70" s="57" t="s">
        <v>305</v>
      </c>
      <c r="C70" s="53" t="s">
        <v>33</v>
      </c>
      <c r="D70" s="67" t="s">
        <v>306</v>
      </c>
      <c r="E70" s="54" t="s">
        <v>21</v>
      </c>
      <c r="F70" s="74" t="s">
        <v>21</v>
      </c>
      <c r="G70" s="76">
        <v>8.2479933068232269E-3</v>
      </c>
      <c r="H70" s="76">
        <v>1.5262598852991659E-2</v>
      </c>
      <c r="I70" s="76">
        <v>1.9059573359273177E-2</v>
      </c>
      <c r="J70" s="64">
        <v>2.2532319533413496E-2</v>
      </c>
      <c r="K70" s="71" t="s">
        <v>21</v>
      </c>
      <c r="L70" s="71">
        <v>4.6229644068232264E-3</v>
      </c>
      <c r="M70" s="71">
        <v>1.0646995452991659E-2</v>
      </c>
      <c r="N70" s="71">
        <v>1.3573725859273177E-2</v>
      </c>
      <c r="O70" s="71">
        <v>1.5784177233413497E-2</v>
      </c>
      <c r="P70" s="55" t="s">
        <v>21</v>
      </c>
      <c r="Q70" s="53" t="s">
        <v>21</v>
      </c>
      <c r="R70" s="94" t="s">
        <v>21</v>
      </c>
      <c r="S70" s="71">
        <v>0</v>
      </c>
      <c r="T70" s="63">
        <v>1.5262598852991659E-2</v>
      </c>
      <c r="V70" s="116">
        <v>1.12900322</v>
      </c>
      <c r="W70" s="108">
        <v>2.8377204300000001</v>
      </c>
      <c r="X70" s="108">
        <v>4.3136833599999997</v>
      </c>
      <c r="Y70" s="108">
        <v>5.55175222</v>
      </c>
      <c r="Z70" s="115">
        <v>7.0451076299999995</v>
      </c>
    </row>
    <row r="71" spans="2:26" x14ac:dyDescent="0.35">
      <c r="B71" s="79" t="s">
        <v>304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9"/>
      <c r="Q71" s="78"/>
      <c r="R71" s="95"/>
      <c r="S71" s="78"/>
      <c r="T71" s="77"/>
      <c r="V71" s="112"/>
      <c r="W71" s="107"/>
      <c r="X71" s="107"/>
      <c r="Y71" s="107"/>
      <c r="Z71" s="113"/>
    </row>
    <row r="72" spans="2:26" x14ac:dyDescent="0.35">
      <c r="B72" s="56" t="s">
        <v>307</v>
      </c>
      <c r="C72" s="66" t="s">
        <v>30</v>
      </c>
      <c r="D72" s="66" t="s">
        <v>131</v>
      </c>
      <c r="E72" s="66" t="s">
        <v>21</v>
      </c>
      <c r="F72" s="75" t="s">
        <v>21</v>
      </c>
      <c r="G72" s="80">
        <v>5.7442182407573556E-3</v>
      </c>
      <c r="H72" s="80">
        <v>1.0935024591776725E-2</v>
      </c>
      <c r="I72" s="80">
        <v>1.380008195420577E-2</v>
      </c>
      <c r="J72" s="62">
        <v>1.6463689560460536E-2</v>
      </c>
      <c r="K72" s="80" t="s">
        <v>21</v>
      </c>
      <c r="L72" s="80">
        <v>1.9412826407573529E-3</v>
      </c>
      <c r="M72" s="80">
        <v>6.1140303917767268E-3</v>
      </c>
      <c r="N72" s="80">
        <v>8.1152738542057696E-3</v>
      </c>
      <c r="O72" s="80">
        <v>9.4858971604605356E-3</v>
      </c>
      <c r="P72" s="56" t="s">
        <v>21</v>
      </c>
      <c r="Q72" s="66" t="s">
        <v>21</v>
      </c>
      <c r="R72" s="100" t="s">
        <v>21</v>
      </c>
      <c r="S72" s="80">
        <v>0</v>
      </c>
      <c r="T72" s="62">
        <v>1.0935024591776725E-2</v>
      </c>
      <c r="V72" s="118">
        <v>1.1303904300000001</v>
      </c>
      <c r="W72" s="61">
        <v>2.8561825499999998</v>
      </c>
      <c r="X72" s="61">
        <v>4.3808495000000001</v>
      </c>
      <c r="Y72" s="61">
        <v>5.69844857</v>
      </c>
      <c r="Z72" s="119">
        <v>7.3495191400000008</v>
      </c>
    </row>
    <row r="73" spans="2:26" x14ac:dyDescent="0.35">
      <c r="B73" s="57" t="s">
        <v>307</v>
      </c>
      <c r="C73" s="67" t="s">
        <v>35</v>
      </c>
      <c r="D73" s="67" t="s">
        <v>131</v>
      </c>
      <c r="E73" s="67" t="s">
        <v>21</v>
      </c>
      <c r="F73" s="74">
        <v>6.5024150034147764E-5</v>
      </c>
      <c r="G73" s="76">
        <v>1.1659495324132463E-2</v>
      </c>
      <c r="H73" s="76">
        <v>2.0907597230789905E-2</v>
      </c>
      <c r="I73" s="76">
        <v>2.6179119596375481E-2</v>
      </c>
      <c r="J73" s="64">
        <v>3.034114345928985E-2</v>
      </c>
      <c r="K73" s="76" t="s">
        <v>21</v>
      </c>
      <c r="L73" s="76">
        <v>8.1580998241324691E-3</v>
      </c>
      <c r="M73" s="76">
        <v>1.6381305830789904E-2</v>
      </c>
      <c r="N73" s="76">
        <v>2.0739192396375485E-2</v>
      </c>
      <c r="O73" s="76">
        <v>2.3625321359289846E-2</v>
      </c>
      <c r="P73" s="57" t="s">
        <v>21</v>
      </c>
      <c r="Q73" s="67" t="s">
        <v>21</v>
      </c>
      <c r="R73" s="96" t="s">
        <v>21</v>
      </c>
      <c r="S73" s="76">
        <v>0</v>
      </c>
      <c r="T73" s="64">
        <v>2.0907597230789905E-2</v>
      </c>
      <c r="V73" s="114">
        <v>1.1279153900000001</v>
      </c>
      <c r="W73" s="72">
        <v>2.8277874999999999</v>
      </c>
      <c r="X73" s="72">
        <v>4.2796166700000002</v>
      </c>
      <c r="Y73" s="108">
        <v>5.4784714299999999</v>
      </c>
      <c r="Z73" s="117">
        <v>6.9027343600000002</v>
      </c>
    </row>
    <row r="74" spans="2:26" x14ac:dyDescent="0.35">
      <c r="B74" s="79" t="s">
        <v>67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9"/>
      <c r="Q74" s="78"/>
      <c r="R74" s="95"/>
      <c r="S74" s="78"/>
      <c r="T74" s="77"/>
      <c r="V74" s="112"/>
      <c r="W74" s="107"/>
      <c r="X74" s="107"/>
      <c r="Y74" s="107"/>
      <c r="Z74" s="113"/>
    </row>
    <row r="75" spans="2:26" x14ac:dyDescent="0.35">
      <c r="B75" s="56" t="s">
        <v>68</v>
      </c>
      <c r="C75" s="66" t="s">
        <v>61</v>
      </c>
      <c r="D75" s="66" t="s">
        <v>69</v>
      </c>
      <c r="E75" s="66" t="s">
        <v>21</v>
      </c>
      <c r="F75" s="75">
        <v>4.744180697750398E-4</v>
      </c>
      <c r="G75" s="80">
        <v>8.6288127711057067E-3</v>
      </c>
      <c r="H75" s="80">
        <v>1.4649960122640283E-2</v>
      </c>
      <c r="I75" s="80">
        <v>1.7707289177058175E-2</v>
      </c>
      <c r="J75" s="62">
        <v>2.0733352133873784E-2</v>
      </c>
      <c r="K75" s="80" t="s">
        <v>21</v>
      </c>
      <c r="L75" s="80">
        <v>5.0225617711057088E-3</v>
      </c>
      <c r="M75" s="80">
        <v>1.0017080122640284E-2</v>
      </c>
      <c r="N75" s="80">
        <v>1.2193307677058174E-2</v>
      </c>
      <c r="O75" s="80">
        <v>1.3944349733873785E-2</v>
      </c>
      <c r="P75" s="56" t="s">
        <v>21</v>
      </c>
      <c r="Q75" s="66" t="s">
        <v>21</v>
      </c>
      <c r="R75" s="100" t="s">
        <v>21</v>
      </c>
      <c r="S75" s="80">
        <v>0</v>
      </c>
      <c r="T75" s="62">
        <v>1.4649960122640283E-2</v>
      </c>
      <c r="V75" s="118">
        <v>1.1251049500000001</v>
      </c>
      <c r="W75" s="61">
        <v>2.82810154</v>
      </c>
      <c r="X75" s="61">
        <v>4.3089344399999998</v>
      </c>
      <c r="Y75" s="61">
        <v>5.5658108400000001</v>
      </c>
      <c r="Z75" s="119">
        <v>7.10416004</v>
      </c>
    </row>
    <row r="76" spans="2:26" x14ac:dyDescent="0.35">
      <c r="B76" s="57" t="s">
        <v>68</v>
      </c>
      <c r="C76" s="67" t="s">
        <v>63</v>
      </c>
      <c r="D76" s="67" t="s">
        <v>69</v>
      </c>
      <c r="E76" s="67" t="s">
        <v>81</v>
      </c>
      <c r="F76" s="74">
        <v>2.0725585883330389E-3</v>
      </c>
      <c r="G76" s="76">
        <v>1.1576899442441139E-2</v>
      </c>
      <c r="H76" s="76">
        <v>1.8278910980569895E-2</v>
      </c>
      <c r="I76" s="76">
        <v>2.177694285445507E-2</v>
      </c>
      <c r="J76" s="64">
        <v>2.4959995131710995E-2</v>
      </c>
      <c r="K76" s="76" t="s">
        <v>21</v>
      </c>
      <c r="L76" s="76">
        <v>8.0763412424411391E-3</v>
      </c>
      <c r="M76" s="76">
        <v>1.3738919880569894E-2</v>
      </c>
      <c r="N76" s="76">
        <v>1.6342635154455071E-2</v>
      </c>
      <c r="O76" s="76">
        <v>1.8243110931710993E-2</v>
      </c>
      <c r="P76" s="57" t="s">
        <v>21</v>
      </c>
      <c r="Q76" s="67" t="s">
        <v>21</v>
      </c>
      <c r="R76" s="96" t="s">
        <v>21</v>
      </c>
      <c r="S76" s="76">
        <v>0</v>
      </c>
      <c r="T76" s="64">
        <v>1.8278910980569895E-2</v>
      </c>
      <c r="V76" s="116">
        <v>1.12409552</v>
      </c>
      <c r="W76" s="108">
        <v>2.8211221700000002</v>
      </c>
      <c r="X76" s="108">
        <v>4.2923560800000002</v>
      </c>
      <c r="Y76" s="108">
        <v>5.5375546499999997</v>
      </c>
      <c r="Z76" s="117">
        <v>7.0608571300000005</v>
      </c>
    </row>
    <row r="77" spans="2:26" x14ac:dyDescent="0.35">
      <c r="B77" s="56" t="s">
        <v>70</v>
      </c>
      <c r="C77" s="66" t="s">
        <v>65</v>
      </c>
      <c r="D77" s="66" t="s">
        <v>69</v>
      </c>
      <c r="E77" s="66" t="s">
        <v>231</v>
      </c>
      <c r="F77" s="75">
        <v>7.3549832827956609E-4</v>
      </c>
      <c r="G77" s="80">
        <v>9.4852937146663475E-3</v>
      </c>
      <c r="H77" s="80">
        <v>1.578029135389921E-2</v>
      </c>
      <c r="I77" s="80">
        <v>1.9330905504897827E-2</v>
      </c>
      <c r="J77" s="62">
        <v>2.2624753641953564E-2</v>
      </c>
      <c r="K77" s="71" t="s">
        <v>21</v>
      </c>
      <c r="L77" s="71">
        <v>5.9136517146663476E-3</v>
      </c>
      <c r="M77" s="71">
        <v>1.1177465953899207E-2</v>
      </c>
      <c r="N77" s="71">
        <v>1.384770080489783E-2</v>
      </c>
      <c r="O77" s="71">
        <v>1.5873988341953565E-2</v>
      </c>
      <c r="P77" s="55" t="s">
        <v>450</v>
      </c>
      <c r="Q77" s="53" t="s">
        <v>451</v>
      </c>
      <c r="R77" s="94">
        <v>47371</v>
      </c>
      <c r="S77" s="71">
        <v>1.2340009999999998E-2</v>
      </c>
      <c r="T77" s="63">
        <v>3.4402813538992119E-3</v>
      </c>
      <c r="V77" s="118">
        <v>1.1243667100000001</v>
      </c>
      <c r="W77" s="61">
        <v>2.82135538</v>
      </c>
      <c r="X77" s="61">
        <v>4.2891355500000001</v>
      </c>
      <c r="Y77" s="61">
        <v>5.52268735</v>
      </c>
      <c r="Z77" s="119">
        <v>7.0134219499999997</v>
      </c>
    </row>
    <row r="78" spans="2:26" x14ac:dyDescent="0.35">
      <c r="B78" s="55" t="s">
        <v>70</v>
      </c>
      <c r="C78" s="53" t="s">
        <v>66</v>
      </c>
      <c r="D78" s="53" t="s">
        <v>69</v>
      </c>
      <c r="E78" s="53" t="s">
        <v>81</v>
      </c>
      <c r="F78" s="73">
        <v>2.2085086936165814E-3</v>
      </c>
      <c r="G78" s="71">
        <v>1.3046925262338086E-2</v>
      </c>
      <c r="H78" s="71">
        <v>2.1710959422541243E-2</v>
      </c>
      <c r="I78" s="71">
        <v>2.6895896979317671E-2</v>
      </c>
      <c r="J78" s="63">
        <v>3.0873459937666804E-2</v>
      </c>
      <c r="K78" s="71">
        <v>8.8903293616582856E-5</v>
      </c>
      <c r="L78" s="71">
        <v>9.5703120623380853E-3</v>
      </c>
      <c r="M78" s="71">
        <v>1.7184570222541242E-2</v>
      </c>
      <c r="N78" s="71">
        <v>2.1448423279317678E-2</v>
      </c>
      <c r="O78" s="71">
        <v>2.4150150637666797E-2</v>
      </c>
      <c r="P78" s="55" t="s">
        <v>21</v>
      </c>
      <c r="Q78" s="53" t="s">
        <v>21</v>
      </c>
      <c r="R78" s="94" t="s">
        <v>21</v>
      </c>
      <c r="S78" s="71">
        <v>0</v>
      </c>
      <c r="T78" s="63">
        <v>2.1710959422541243E-2</v>
      </c>
      <c r="V78" s="116">
        <v>1.1238525100000001</v>
      </c>
      <c r="W78" s="108">
        <v>2.8138706299999998</v>
      </c>
      <c r="X78" s="108">
        <v>4.2573161900000001</v>
      </c>
      <c r="Y78" s="108">
        <v>5.4484346300000004</v>
      </c>
      <c r="Z78" s="117">
        <v>6.8629735600000004</v>
      </c>
    </row>
    <row r="79" spans="2:26" x14ac:dyDescent="0.35">
      <c r="B79" s="56" t="s">
        <v>71</v>
      </c>
      <c r="C79" s="66" t="s">
        <v>61</v>
      </c>
      <c r="D79" s="66" t="s">
        <v>69</v>
      </c>
      <c r="E79" s="66" t="s">
        <v>21</v>
      </c>
      <c r="F79" s="75" t="s">
        <v>21</v>
      </c>
      <c r="G79" s="80">
        <v>6.2286137107877039E-3</v>
      </c>
      <c r="H79" s="80">
        <v>1.1150877610007782E-2</v>
      </c>
      <c r="I79" s="80">
        <v>1.3863849211624375E-2</v>
      </c>
      <c r="J79" s="62">
        <v>1.6435147665393692E-2</v>
      </c>
      <c r="K79" s="80" t="s">
        <v>21</v>
      </c>
      <c r="L79" s="80">
        <v>2.4707970107877043E-3</v>
      </c>
      <c r="M79" s="80">
        <v>6.3470659100077886E-3</v>
      </c>
      <c r="N79" s="80">
        <v>8.1842068116243782E-3</v>
      </c>
      <c r="O79" s="80">
        <v>9.4553256653936955E-3</v>
      </c>
      <c r="P79" s="56" t="s">
        <v>21</v>
      </c>
      <c r="Q79" s="66" t="s">
        <v>21</v>
      </c>
      <c r="R79" s="100" t="s">
        <v>21</v>
      </c>
      <c r="S79" s="80">
        <v>0</v>
      </c>
      <c r="T79" s="62">
        <v>1.1150877610007782E-2</v>
      </c>
      <c r="V79" s="118">
        <v>1.1289758999999999</v>
      </c>
      <c r="W79" s="61">
        <v>2.8504483300000003</v>
      </c>
      <c r="X79" s="61">
        <v>4.3716053800000001</v>
      </c>
      <c r="Y79" s="61">
        <v>5.6876935900000003</v>
      </c>
      <c r="Z79" s="119">
        <v>7.3390352000000005</v>
      </c>
    </row>
    <row r="80" spans="2:26" x14ac:dyDescent="0.35">
      <c r="B80" s="57" t="s">
        <v>71</v>
      </c>
      <c r="C80" s="67" t="s">
        <v>63</v>
      </c>
      <c r="D80" s="67" t="s">
        <v>69</v>
      </c>
      <c r="E80" s="67" t="s">
        <v>21</v>
      </c>
      <c r="F80" s="74" t="s">
        <v>21</v>
      </c>
      <c r="G80" s="76">
        <v>8.4605005411121734E-3</v>
      </c>
      <c r="H80" s="76">
        <v>1.413666063850276E-2</v>
      </c>
      <c r="I80" s="76">
        <v>1.7464834586219592E-2</v>
      </c>
      <c r="J80" s="64">
        <v>2.0267095006404903E-2</v>
      </c>
      <c r="K80" s="76" t="s">
        <v>21</v>
      </c>
      <c r="L80" s="76">
        <v>4.8539087411121739E-3</v>
      </c>
      <c r="M80" s="76">
        <v>9.4977131385027627E-3</v>
      </c>
      <c r="N80" s="76">
        <v>1.1953306986219591E-2</v>
      </c>
      <c r="O80" s="76">
        <v>1.3460134906404905E-2</v>
      </c>
      <c r="P80" s="57" t="s">
        <v>21</v>
      </c>
      <c r="Q80" s="67" t="s">
        <v>21</v>
      </c>
      <c r="R80" s="96" t="s">
        <v>21</v>
      </c>
      <c r="S80" s="76">
        <v>0</v>
      </c>
      <c r="T80" s="64">
        <v>1.413666063850276E-2</v>
      </c>
      <c r="V80" s="116">
        <v>1.1279259099999999</v>
      </c>
      <c r="W80" s="108">
        <v>2.84302308</v>
      </c>
      <c r="X80" s="108">
        <v>4.3505846799999999</v>
      </c>
      <c r="Y80" s="108">
        <v>5.6450719500000002</v>
      </c>
      <c r="Z80" s="117">
        <v>7.2589181700000003</v>
      </c>
    </row>
    <row r="81" spans="2:26" x14ac:dyDescent="0.35">
      <c r="B81" s="55" t="s">
        <v>72</v>
      </c>
      <c r="C81" s="53" t="s">
        <v>65</v>
      </c>
      <c r="D81" s="53" t="s">
        <v>69</v>
      </c>
      <c r="E81" s="53" t="s">
        <v>34</v>
      </c>
      <c r="F81" s="73" t="s">
        <v>21</v>
      </c>
      <c r="G81" s="71">
        <v>7.0968264692672983E-3</v>
      </c>
      <c r="H81" s="71">
        <v>1.3528656002962346E-2</v>
      </c>
      <c r="I81" s="71">
        <v>1.6817057253711479E-2</v>
      </c>
      <c r="J81" s="63">
        <v>2.0286230348748085E-2</v>
      </c>
      <c r="K81" s="71" t="s">
        <v>21</v>
      </c>
      <c r="L81" s="71">
        <v>3.4040430692672975E-3</v>
      </c>
      <c r="M81" s="71">
        <v>8.854482802962348E-3</v>
      </c>
      <c r="N81" s="71">
        <v>1.1277293653711476E-2</v>
      </c>
      <c r="O81" s="71">
        <v>1.3484757748748086E-2</v>
      </c>
      <c r="P81" s="55" t="s">
        <v>21</v>
      </c>
      <c r="Q81" s="53" t="s">
        <v>21</v>
      </c>
      <c r="R81" s="94" t="s">
        <v>21</v>
      </c>
      <c r="S81" s="71">
        <v>0</v>
      </c>
      <c r="T81" s="63">
        <v>1.3528656002962346E-2</v>
      </c>
      <c r="V81" s="118">
        <v>1.12912981</v>
      </c>
      <c r="W81" s="61">
        <v>2.84524526</v>
      </c>
      <c r="X81" s="61">
        <v>4.34097752</v>
      </c>
      <c r="Y81" s="61">
        <v>5.6121349</v>
      </c>
      <c r="Z81" s="119">
        <v>7.164647490000001</v>
      </c>
    </row>
    <row r="82" spans="2:26" x14ac:dyDescent="0.35">
      <c r="B82" s="57" t="s">
        <v>72</v>
      </c>
      <c r="C82" s="67" t="s">
        <v>66</v>
      </c>
      <c r="D82" s="67" t="s">
        <v>69</v>
      </c>
      <c r="E82" s="67" t="s">
        <v>36</v>
      </c>
      <c r="F82" s="74" t="s">
        <v>21</v>
      </c>
      <c r="G82" s="76">
        <v>1.0745760430963975E-2</v>
      </c>
      <c r="H82" s="76">
        <v>1.9259600183370838E-2</v>
      </c>
      <c r="I82" s="76">
        <v>2.4033247725361841E-2</v>
      </c>
      <c r="J82" s="64">
        <v>2.7891659254864681E-2</v>
      </c>
      <c r="K82" s="76" t="s">
        <v>21</v>
      </c>
      <c r="L82" s="76">
        <v>7.2246543309639737E-3</v>
      </c>
      <c r="M82" s="76">
        <v>1.4729269083370836E-2</v>
      </c>
      <c r="N82" s="76">
        <v>1.8605929225361841E-2</v>
      </c>
      <c r="O82" s="76">
        <v>2.1189726054864685E-2</v>
      </c>
      <c r="P82" s="57" t="s">
        <v>21</v>
      </c>
      <c r="Q82" s="67" t="s">
        <v>21</v>
      </c>
      <c r="R82" s="96" t="s">
        <v>21</v>
      </c>
      <c r="S82" s="76">
        <v>0</v>
      </c>
      <c r="T82" s="64">
        <v>1.9259600183370838E-2</v>
      </c>
      <c r="V82" s="116">
        <v>1.1284124</v>
      </c>
      <c r="W82" s="108">
        <v>2.8329608900000003</v>
      </c>
      <c r="X82" s="108">
        <v>4.2984923199999994</v>
      </c>
      <c r="Y82" s="108">
        <v>5.52032466</v>
      </c>
      <c r="Z82" s="117">
        <v>6.9890461099999994</v>
      </c>
    </row>
    <row r="83" spans="2:26" x14ac:dyDescent="0.35">
      <c r="B83" s="57" t="s">
        <v>74</v>
      </c>
      <c r="C83" s="67" t="s">
        <v>61</v>
      </c>
      <c r="D83" s="67" t="s">
        <v>69</v>
      </c>
      <c r="E83" s="67" t="s">
        <v>314</v>
      </c>
      <c r="F83" s="74" t="s">
        <v>21</v>
      </c>
      <c r="G83" s="76">
        <v>7.7141757228242954E-3</v>
      </c>
      <c r="H83" s="76">
        <v>1.3584562324725186E-2</v>
      </c>
      <c r="I83" s="76">
        <v>1.6884495346250233E-2</v>
      </c>
      <c r="J83" s="64">
        <v>2.0011465179782802E-2</v>
      </c>
      <c r="K83" s="76" t="s">
        <v>21</v>
      </c>
      <c r="L83" s="76">
        <v>4.0611028228242918E-3</v>
      </c>
      <c r="M83" s="76">
        <v>8.9141393247251944E-3</v>
      </c>
      <c r="N83" s="76">
        <v>1.1346427146250233E-2</v>
      </c>
      <c r="O83" s="76">
        <v>1.3202091979782804E-2</v>
      </c>
      <c r="P83" s="57" t="s">
        <v>21</v>
      </c>
      <c r="Q83" s="67" t="s">
        <v>21</v>
      </c>
      <c r="R83" s="96" t="s">
        <v>21</v>
      </c>
      <c r="S83" s="76">
        <v>0</v>
      </c>
      <c r="T83" s="64">
        <v>1.3584562324725186E-2</v>
      </c>
      <c r="V83" s="118">
        <v>1.1273625700000001</v>
      </c>
      <c r="W83" s="61">
        <v>2.8380440199999999</v>
      </c>
      <c r="X83" s="61">
        <v>4.3315461700000002</v>
      </c>
      <c r="Y83" s="61">
        <v>5.6018169800000006</v>
      </c>
      <c r="Z83" s="119">
        <v>7.15946806</v>
      </c>
    </row>
    <row r="84" spans="2:26" x14ac:dyDescent="0.35">
      <c r="B84" s="55" t="s">
        <v>76</v>
      </c>
      <c r="C84" s="53" t="s">
        <v>65</v>
      </c>
      <c r="D84" s="53" t="s">
        <v>69</v>
      </c>
      <c r="E84" s="53" t="s">
        <v>34</v>
      </c>
      <c r="F84" s="73" t="s">
        <v>21</v>
      </c>
      <c r="G84" s="71">
        <v>8.3771516557853316E-3</v>
      </c>
      <c r="H84" s="71">
        <v>1.548960609598605E-2</v>
      </c>
      <c r="I84" s="71">
        <v>1.9034935159750823E-2</v>
      </c>
      <c r="J84" s="63">
        <v>2.2319786794412613E-2</v>
      </c>
      <c r="K84" s="71" t="s">
        <v>21</v>
      </c>
      <c r="L84" s="71">
        <v>4.7591271557853301E-3</v>
      </c>
      <c r="M84" s="71">
        <v>1.0878959195986049E-2</v>
      </c>
      <c r="N84" s="71">
        <v>1.3548651059750822E-2</v>
      </c>
      <c r="O84" s="71">
        <v>1.5567776294412614E-2</v>
      </c>
      <c r="P84" s="55" t="s">
        <v>21</v>
      </c>
      <c r="Q84" s="53" t="s">
        <v>21</v>
      </c>
      <c r="R84" s="94" t="s">
        <v>21</v>
      </c>
      <c r="S84" s="71">
        <v>0</v>
      </c>
      <c r="T84" s="63">
        <v>1.548960609598605E-2</v>
      </c>
      <c r="V84" s="118">
        <v>1.1269641000000001</v>
      </c>
      <c r="W84" s="61">
        <v>2.83312309</v>
      </c>
      <c r="X84" s="61">
        <v>4.3065419499999997</v>
      </c>
      <c r="Y84" s="61">
        <v>5.5442569099999996</v>
      </c>
      <c r="Z84" s="119">
        <v>7.0421929499999996</v>
      </c>
    </row>
    <row r="85" spans="2:26" x14ac:dyDescent="0.35">
      <c r="B85" s="57" t="s">
        <v>76</v>
      </c>
      <c r="C85" s="67" t="s">
        <v>66</v>
      </c>
      <c r="D85" s="67" t="s">
        <v>69</v>
      </c>
      <c r="E85" s="67" t="s">
        <v>21</v>
      </c>
      <c r="F85" s="74">
        <v>6.1840491163522686E-4</v>
      </c>
      <c r="G85" s="76">
        <v>1.1971979516084438E-2</v>
      </c>
      <c r="H85" s="76">
        <v>2.1456115649900083E-2</v>
      </c>
      <c r="I85" s="76">
        <v>2.6435275976642952E-2</v>
      </c>
      <c r="J85" s="64">
        <v>3.0123903807398135E-2</v>
      </c>
      <c r="K85" s="76" t="s">
        <v>21</v>
      </c>
      <c r="L85" s="76">
        <v>8.4810286160844402E-3</v>
      </c>
      <c r="M85" s="76">
        <v>1.6932953049900085E-2</v>
      </c>
      <c r="N85" s="76">
        <v>2.0996940976642953E-2</v>
      </c>
      <c r="O85" s="76">
        <v>2.3413746407398135E-2</v>
      </c>
      <c r="P85" s="57" t="s">
        <v>21</v>
      </c>
      <c r="Q85" s="67" t="s">
        <v>21</v>
      </c>
      <c r="R85" s="96" t="s">
        <v>21</v>
      </c>
      <c r="S85" s="76">
        <v>0</v>
      </c>
      <c r="T85" s="64">
        <v>2.1456115649900083E-2</v>
      </c>
      <c r="V85" s="116">
        <v>1.1268544999999999</v>
      </c>
      <c r="W85" s="108">
        <v>2.82434597</v>
      </c>
      <c r="X85" s="108">
        <v>4.2714578000000003</v>
      </c>
      <c r="Y85" s="108">
        <v>5.4667594600000005</v>
      </c>
      <c r="Z85" s="117">
        <v>6.8931666000000007</v>
      </c>
    </row>
    <row r="86" spans="2:26" x14ac:dyDescent="0.35">
      <c r="B86" s="55" t="s">
        <v>77</v>
      </c>
      <c r="C86" s="53" t="s">
        <v>61</v>
      </c>
      <c r="D86" s="53" t="s">
        <v>69</v>
      </c>
      <c r="E86" s="53" t="s">
        <v>21</v>
      </c>
      <c r="F86" s="73" t="s">
        <v>21</v>
      </c>
      <c r="G86" s="71">
        <v>6.5266676107189701E-3</v>
      </c>
      <c r="H86" s="71">
        <v>1.1601164480699712E-2</v>
      </c>
      <c r="I86" s="71">
        <v>1.4544963266149607E-2</v>
      </c>
      <c r="J86" s="63">
        <v>1.7101443318082093E-2</v>
      </c>
      <c r="K86" s="71" t="s">
        <v>21</v>
      </c>
      <c r="L86" s="71">
        <v>2.7928311107189691E-3</v>
      </c>
      <c r="M86" s="71">
        <v>6.827737680699714E-3</v>
      </c>
      <c r="N86" s="71">
        <v>8.9054296661496071E-3</v>
      </c>
      <c r="O86" s="71">
        <v>1.0164311218082098E-2</v>
      </c>
      <c r="P86" s="55" t="s">
        <v>21</v>
      </c>
      <c r="Q86" s="53" t="s">
        <v>21</v>
      </c>
      <c r="R86" s="94" t="s">
        <v>21</v>
      </c>
      <c r="S86" s="71">
        <v>0</v>
      </c>
      <c r="T86" s="63">
        <v>1.1601164480699712E-2</v>
      </c>
      <c r="V86" s="118">
        <v>1.1287714100000001</v>
      </c>
      <c r="W86" s="61">
        <v>2.8481849100000001</v>
      </c>
      <c r="X86" s="61">
        <v>4.3641602699999993</v>
      </c>
      <c r="Y86" s="61">
        <v>5.6701590299999998</v>
      </c>
      <c r="Z86" s="119">
        <v>7.3027586099999997</v>
      </c>
    </row>
    <row r="87" spans="2:26" x14ac:dyDescent="0.35">
      <c r="B87" s="57" t="s">
        <v>77</v>
      </c>
      <c r="C87" s="67" t="s">
        <v>63</v>
      </c>
      <c r="D87" s="67" t="s">
        <v>69</v>
      </c>
      <c r="E87" s="67" t="s">
        <v>21</v>
      </c>
      <c r="F87" s="74">
        <v>4.4405401494055936E-4</v>
      </c>
      <c r="G87" s="76">
        <v>8.9897610389238092E-3</v>
      </c>
      <c r="H87" s="76">
        <v>1.5197491572480154E-2</v>
      </c>
      <c r="I87" s="76">
        <v>1.8220647393800939E-2</v>
      </c>
      <c r="J87" s="64">
        <v>2.0727890815370232E-2</v>
      </c>
      <c r="K87" s="76" t="s">
        <v>21</v>
      </c>
      <c r="L87" s="76">
        <v>5.407737438923808E-3</v>
      </c>
      <c r="M87" s="76">
        <v>1.0594832772480151E-2</v>
      </c>
      <c r="N87" s="76">
        <v>1.2731746193800939E-2</v>
      </c>
      <c r="O87" s="76">
        <v>1.3936838015370229E-2</v>
      </c>
      <c r="P87" s="57" t="s">
        <v>21</v>
      </c>
      <c r="Q87" s="67" t="s">
        <v>21</v>
      </c>
      <c r="R87" s="96" t="s">
        <v>21</v>
      </c>
      <c r="S87" s="76">
        <v>0</v>
      </c>
      <c r="T87" s="64">
        <v>1.5197491572480154E-2</v>
      </c>
      <c r="V87" s="116">
        <v>1.1272319500000001</v>
      </c>
      <c r="W87" s="108">
        <v>2.8390056299999999</v>
      </c>
      <c r="X87" s="108">
        <v>4.3372239700000002</v>
      </c>
      <c r="Y87" s="108">
        <v>5.62217286</v>
      </c>
      <c r="Z87" s="117">
        <v>7.2253710299999998</v>
      </c>
    </row>
    <row r="88" spans="2:26" x14ac:dyDescent="0.35">
      <c r="B88" s="55" t="s">
        <v>78</v>
      </c>
      <c r="C88" s="53" t="s">
        <v>65</v>
      </c>
      <c r="D88" s="53" t="s">
        <v>69</v>
      </c>
      <c r="E88" s="53" t="s">
        <v>79</v>
      </c>
      <c r="F88" s="73" t="s">
        <v>21</v>
      </c>
      <c r="G88" s="71">
        <v>7.7300965973909636E-3</v>
      </c>
      <c r="H88" s="71">
        <v>1.4564493824778518E-2</v>
      </c>
      <c r="I88" s="71">
        <v>1.8051679323896379E-2</v>
      </c>
      <c r="J88" s="63">
        <v>2.1497714624126238E-2</v>
      </c>
      <c r="K88" s="71" t="s">
        <v>21</v>
      </c>
      <c r="L88" s="71">
        <v>4.0775991973909641E-3</v>
      </c>
      <c r="M88" s="71">
        <v>9.9284890247785182E-3</v>
      </c>
      <c r="N88" s="71">
        <v>1.2546562323896379E-2</v>
      </c>
      <c r="O88" s="71">
        <v>1.4729222124126241E-2</v>
      </c>
      <c r="P88" s="55" t="s">
        <v>21</v>
      </c>
      <c r="Q88" s="53" t="s">
        <v>21</v>
      </c>
      <c r="R88" s="94" t="s">
        <v>21</v>
      </c>
      <c r="S88" s="71">
        <v>0</v>
      </c>
      <c r="T88" s="63">
        <v>1.4564493824778518E-2</v>
      </c>
      <c r="V88" s="118">
        <v>1.1285671400000001</v>
      </c>
      <c r="W88" s="61">
        <v>2.84017951</v>
      </c>
      <c r="X88" s="61">
        <v>4.3241904299999998</v>
      </c>
      <c r="Y88" s="61">
        <v>5.5767758600000006</v>
      </c>
      <c r="Z88" s="119">
        <v>7.0970313500000008</v>
      </c>
    </row>
    <row r="89" spans="2:26" x14ac:dyDescent="0.35">
      <c r="B89" s="57" t="s">
        <v>78</v>
      </c>
      <c r="C89" s="67" t="s">
        <v>66</v>
      </c>
      <c r="D89" s="67" t="s">
        <v>69</v>
      </c>
      <c r="E89" s="67" t="s">
        <v>133</v>
      </c>
      <c r="F89" s="74">
        <v>1.4049624109020373E-4</v>
      </c>
      <c r="G89" s="76">
        <v>1.1743860520194539E-2</v>
      </c>
      <c r="H89" s="76">
        <v>2.1288118038350595E-2</v>
      </c>
      <c r="I89" s="76">
        <v>2.6262883857538472E-2</v>
      </c>
      <c r="J89" s="64">
        <v>3.0332376256439138E-2</v>
      </c>
      <c r="K89" s="76" t="s">
        <v>21</v>
      </c>
      <c r="L89" s="76">
        <v>8.2454879201945414E-3</v>
      </c>
      <c r="M89" s="76">
        <v>1.6762733838350596E-2</v>
      </c>
      <c r="N89" s="76">
        <v>2.082415105753847E-2</v>
      </c>
      <c r="O89" s="76">
        <v>2.361777535643915E-2</v>
      </c>
      <c r="P89" s="57" t="s">
        <v>21</v>
      </c>
      <c r="Q89" s="67" t="s">
        <v>21</v>
      </c>
      <c r="R89" s="96" t="s">
        <v>21</v>
      </c>
      <c r="S89" s="76">
        <v>0</v>
      </c>
      <c r="T89" s="64">
        <v>2.1288118038350595E-2</v>
      </c>
      <c r="V89" s="116">
        <v>1.12774916</v>
      </c>
      <c r="W89" s="108">
        <v>2.8270765300000003</v>
      </c>
      <c r="X89" s="108">
        <v>4.2759220100000004</v>
      </c>
      <c r="Y89" s="108">
        <v>5.4731437600000001</v>
      </c>
      <c r="Z89" s="117">
        <v>6.8973879200000008</v>
      </c>
    </row>
    <row r="90" spans="2:26" x14ac:dyDescent="0.35">
      <c r="B90" s="55" t="s">
        <v>80</v>
      </c>
      <c r="C90" s="53" t="s">
        <v>61</v>
      </c>
      <c r="D90" s="53" t="s">
        <v>69</v>
      </c>
      <c r="E90" s="53" t="s">
        <v>21</v>
      </c>
      <c r="F90" s="73" t="s">
        <v>21</v>
      </c>
      <c r="G90" s="71">
        <v>6.2049156616019157E-3</v>
      </c>
      <c r="H90" s="71">
        <v>1.2031708329868379E-2</v>
      </c>
      <c r="I90" s="71">
        <v>1.4893213760405612E-2</v>
      </c>
      <c r="J90" s="63">
        <v>1.7847880423971042E-2</v>
      </c>
      <c r="K90" s="71" t="s">
        <v>21</v>
      </c>
      <c r="L90" s="71">
        <v>2.4447060616019172E-3</v>
      </c>
      <c r="M90" s="71">
        <v>7.2836732298683839E-3</v>
      </c>
      <c r="N90" s="71">
        <v>9.2739221604056128E-3</v>
      </c>
      <c r="O90" s="71">
        <v>1.0950786623971042E-2</v>
      </c>
      <c r="P90" s="55" t="s">
        <v>21</v>
      </c>
      <c r="Q90" s="53" t="s">
        <v>21</v>
      </c>
      <c r="R90" s="94" t="s">
        <v>21</v>
      </c>
      <c r="S90" s="71">
        <v>0</v>
      </c>
      <c r="T90" s="63">
        <v>1.2031708329868379E-2</v>
      </c>
      <c r="V90" s="118">
        <v>1.1296297900000001</v>
      </c>
      <c r="W90" s="61">
        <v>2.8518197399999998</v>
      </c>
      <c r="X90" s="61">
        <v>4.3644487000000005</v>
      </c>
      <c r="Y90" s="61">
        <v>5.6644968100000002</v>
      </c>
      <c r="Z90" s="119">
        <v>7.27939282</v>
      </c>
    </row>
    <row r="91" spans="2:26" x14ac:dyDescent="0.35">
      <c r="B91" s="55" t="s">
        <v>80</v>
      </c>
      <c r="C91" s="53" t="s">
        <v>63</v>
      </c>
      <c r="D91" s="53" t="s">
        <v>69</v>
      </c>
      <c r="E91" s="53" t="s">
        <v>36</v>
      </c>
      <c r="F91" s="73">
        <v>3.0479660586467741E-4</v>
      </c>
      <c r="G91" s="71">
        <v>9.1219224871130645E-3</v>
      </c>
      <c r="H91" s="71">
        <v>1.5258509754963208E-2</v>
      </c>
      <c r="I91" s="71">
        <v>1.8894774563680855E-2</v>
      </c>
      <c r="J91" s="63">
        <v>2.2250771388042569E-2</v>
      </c>
      <c r="K91" s="71" t="s">
        <v>21</v>
      </c>
      <c r="L91" s="71">
        <v>5.5455310871130679E-3</v>
      </c>
      <c r="M91" s="71">
        <v>1.0657446754963208E-2</v>
      </c>
      <c r="N91" s="71">
        <v>1.3420327263680854E-2</v>
      </c>
      <c r="O91" s="71">
        <v>1.5495359188042571E-2</v>
      </c>
      <c r="P91" s="55" t="s">
        <v>21</v>
      </c>
      <c r="Q91" s="53" t="s">
        <v>21</v>
      </c>
      <c r="R91" s="94" t="s">
        <v>21</v>
      </c>
      <c r="S91" s="71">
        <v>0</v>
      </c>
      <c r="T91" s="63">
        <v>1.5258509754963208E-2</v>
      </c>
      <c r="V91" s="116">
        <v>1.1274397899999999</v>
      </c>
      <c r="W91" s="108">
        <v>2.83874074</v>
      </c>
      <c r="X91" s="108">
        <v>4.33718877</v>
      </c>
      <c r="Y91" s="108">
        <v>5.6156781499999999</v>
      </c>
      <c r="Z91" s="117">
        <v>7.1923703100000003</v>
      </c>
    </row>
    <row r="92" spans="2:26" x14ac:dyDescent="0.35">
      <c r="B92" s="56" t="s">
        <v>82</v>
      </c>
      <c r="C92" s="66" t="s">
        <v>65</v>
      </c>
      <c r="D92" s="66" t="s">
        <v>69</v>
      </c>
      <c r="E92" s="66" t="s">
        <v>34</v>
      </c>
      <c r="F92" s="75" t="s">
        <v>21</v>
      </c>
      <c r="G92" s="80">
        <v>8.3368791771348365E-3</v>
      </c>
      <c r="H92" s="80">
        <v>1.5551810254375954E-2</v>
      </c>
      <c r="I92" s="80">
        <v>1.9090054636689724E-2</v>
      </c>
      <c r="J92" s="62">
        <v>2.2420851562575221E-2</v>
      </c>
      <c r="K92" s="80" t="s">
        <v>21</v>
      </c>
      <c r="L92" s="80">
        <v>4.716371577134836E-3</v>
      </c>
      <c r="M92" s="80">
        <v>1.0942510254375953E-2</v>
      </c>
      <c r="N92" s="80">
        <v>1.3604982336689726E-2</v>
      </c>
      <c r="O92" s="80">
        <v>1.5670794362575222E-2</v>
      </c>
      <c r="P92" s="56" t="s">
        <v>21</v>
      </c>
      <c r="Q92" s="66" t="s">
        <v>21</v>
      </c>
      <c r="R92" s="100" t="s">
        <v>21</v>
      </c>
      <c r="S92" s="80">
        <v>0</v>
      </c>
      <c r="T92" s="62">
        <v>1.5551810254375954E-2</v>
      </c>
      <c r="V92" s="114">
        <v>1.12776444</v>
      </c>
      <c r="W92" s="72">
        <v>2.8348666200000001</v>
      </c>
      <c r="X92" s="72">
        <v>4.3078183299999999</v>
      </c>
      <c r="Y92" s="72">
        <v>5.5446519499999996</v>
      </c>
      <c r="Z92" s="115">
        <v>7.04025414</v>
      </c>
    </row>
    <row r="93" spans="2:26" x14ac:dyDescent="0.35">
      <c r="B93" s="57" t="s">
        <v>82</v>
      </c>
      <c r="C93" s="67" t="s">
        <v>66</v>
      </c>
      <c r="D93" s="67" t="s">
        <v>69</v>
      </c>
      <c r="E93" s="67" t="s">
        <v>21</v>
      </c>
      <c r="F93" s="74">
        <v>1.9646237144803694E-4</v>
      </c>
      <c r="G93" s="76">
        <v>1.20617140297739E-2</v>
      </c>
      <c r="H93" s="76">
        <v>2.1568295280288158E-2</v>
      </c>
      <c r="I93" s="76">
        <v>2.6637069930435523E-2</v>
      </c>
      <c r="J93" s="64">
        <v>3.0702847162955706E-2</v>
      </c>
      <c r="K93" s="76" t="s">
        <v>21</v>
      </c>
      <c r="L93" s="76">
        <v>8.570455529773903E-3</v>
      </c>
      <c r="M93" s="76">
        <v>1.7043586380288158E-2</v>
      </c>
      <c r="N93" s="76">
        <v>2.119570703043552E-2</v>
      </c>
      <c r="O93" s="76">
        <v>2.3985624362955701E-2</v>
      </c>
      <c r="P93" s="57" t="s">
        <v>21</v>
      </c>
      <c r="Q93" s="67" t="s">
        <v>21</v>
      </c>
      <c r="R93" s="96" t="s">
        <v>21</v>
      </c>
      <c r="S93" s="76">
        <v>0</v>
      </c>
      <c r="T93" s="64">
        <v>2.1568295280288158E-2</v>
      </c>
      <c r="V93" s="114">
        <v>1.1276241</v>
      </c>
      <c r="W93" s="72">
        <v>2.82535186</v>
      </c>
      <c r="X93" s="72">
        <v>4.2715359900000003</v>
      </c>
      <c r="Y93" s="72">
        <v>5.4648167900000004</v>
      </c>
      <c r="Z93" s="115">
        <v>6.8822310799999995</v>
      </c>
    </row>
    <row r="94" spans="2:26" x14ac:dyDescent="0.35">
      <c r="B94" s="79" t="s">
        <v>452</v>
      </c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9"/>
      <c r="Q94" s="78"/>
      <c r="R94" s="95"/>
      <c r="S94" s="78"/>
      <c r="T94" s="77"/>
      <c r="V94" s="112"/>
      <c r="W94" s="107"/>
      <c r="X94" s="107"/>
      <c r="Y94" s="107"/>
      <c r="Z94" s="113"/>
    </row>
    <row r="95" spans="2:26" x14ac:dyDescent="0.35">
      <c r="B95" s="55" t="s">
        <v>84</v>
      </c>
      <c r="C95" s="53" t="s">
        <v>85</v>
      </c>
      <c r="D95" s="53" t="s">
        <v>20</v>
      </c>
      <c r="E95" s="53" t="s">
        <v>453</v>
      </c>
      <c r="F95" s="73">
        <v>4.6543288082614726E-4</v>
      </c>
      <c r="G95" s="71">
        <v>8.4392283376957811E-3</v>
      </c>
      <c r="H95" s="71">
        <v>1.4268820581348176E-2</v>
      </c>
      <c r="I95" s="71">
        <v>1.7242879450854467E-2</v>
      </c>
      <c r="J95" s="63">
        <v>2.0003428057421311E-2</v>
      </c>
      <c r="K95" s="71" t="s">
        <v>21</v>
      </c>
      <c r="L95" s="71">
        <v>4.8243724376957793E-3</v>
      </c>
      <c r="M95" s="71">
        <v>9.6231089813481763E-3</v>
      </c>
      <c r="N95" s="71">
        <v>1.1716461850854464E-2</v>
      </c>
      <c r="O95" s="71">
        <v>1.319539565742131E-2</v>
      </c>
      <c r="P95" s="55" t="s">
        <v>21</v>
      </c>
      <c r="Q95" s="53" t="s">
        <v>21</v>
      </c>
      <c r="R95" s="94" t="s">
        <v>21</v>
      </c>
      <c r="S95" s="71">
        <v>0</v>
      </c>
      <c r="T95" s="63">
        <v>1.4268820581348176E-2</v>
      </c>
      <c r="V95" s="114">
        <v>1.1251874099999999</v>
      </c>
      <c r="W95" s="72">
        <v>2.8293890499999996</v>
      </c>
      <c r="X95" s="72">
        <v>4.3155533400000001</v>
      </c>
      <c r="Y95" s="72">
        <v>5.5786127700000003</v>
      </c>
      <c r="Z95" s="115">
        <v>7.1332830599999992</v>
      </c>
    </row>
    <row r="96" spans="2:26" x14ac:dyDescent="0.35">
      <c r="B96" s="55" t="s">
        <v>86</v>
      </c>
      <c r="C96" s="53" t="s">
        <v>85</v>
      </c>
      <c r="D96" s="53" t="s">
        <v>20</v>
      </c>
      <c r="E96" s="53" t="s">
        <v>453</v>
      </c>
      <c r="F96" s="73">
        <v>5.1423841029417904E-4</v>
      </c>
      <c r="G96" s="71">
        <v>8.6904609069348038E-3</v>
      </c>
      <c r="H96" s="71">
        <v>1.4378270086307291E-2</v>
      </c>
      <c r="I96" s="71">
        <v>1.734579221702541E-2</v>
      </c>
      <c r="J96" s="63">
        <v>2.0197142973518933E-2</v>
      </c>
      <c r="K96" s="71" t="s">
        <v>21</v>
      </c>
      <c r="L96" s="71">
        <v>5.0867744069348058E-3</v>
      </c>
      <c r="M96" s="71">
        <v>9.7364038863072943E-3</v>
      </c>
      <c r="N96" s="71">
        <v>1.182323371702541E-2</v>
      </c>
      <c r="O96" s="71">
        <v>1.339463127351893E-2</v>
      </c>
      <c r="P96" s="55" t="s">
        <v>21</v>
      </c>
      <c r="Q96" s="53" t="s">
        <v>21</v>
      </c>
      <c r="R96" s="94" t="s">
        <v>21</v>
      </c>
      <c r="S96" s="71">
        <v>0</v>
      </c>
      <c r="T96" s="63">
        <v>1.4378270086307291E-2</v>
      </c>
      <c r="V96" s="114">
        <v>1.1250743400000001</v>
      </c>
      <c r="W96" s="72">
        <v>2.8283650800000002</v>
      </c>
      <c r="X96" s="72">
        <v>4.3134498399999996</v>
      </c>
      <c r="Y96" s="72">
        <v>5.5736020100000001</v>
      </c>
      <c r="Z96" s="115">
        <v>7.1240380500000002</v>
      </c>
    </row>
    <row r="97" spans="2:26" x14ac:dyDescent="0.35">
      <c r="B97" s="55" t="s">
        <v>87</v>
      </c>
      <c r="C97" s="53" t="s">
        <v>85</v>
      </c>
      <c r="D97" s="53" t="s">
        <v>20</v>
      </c>
      <c r="E97" s="53" t="s">
        <v>88</v>
      </c>
      <c r="F97" s="73">
        <v>3.2560133186837047E-4</v>
      </c>
      <c r="G97" s="71">
        <v>8.5424497335233347E-3</v>
      </c>
      <c r="H97" s="71">
        <v>1.4538087151158745E-2</v>
      </c>
      <c r="I97" s="71">
        <v>1.7236849990955896E-2</v>
      </c>
      <c r="J97" s="63">
        <v>2.0049921661285646E-2</v>
      </c>
      <c r="K97" s="71" t="s">
        <v>21</v>
      </c>
      <c r="L97" s="71">
        <v>4.9327413335233366E-3</v>
      </c>
      <c r="M97" s="71">
        <v>9.901088551158746E-3</v>
      </c>
      <c r="N97" s="71">
        <v>1.1710365790955893E-2</v>
      </c>
      <c r="O97" s="71">
        <v>1.3243034161285645E-2</v>
      </c>
      <c r="P97" s="55" t="s">
        <v>21</v>
      </c>
      <c r="Q97" s="53" t="s">
        <v>21</v>
      </c>
      <c r="R97" s="94" t="s">
        <v>21</v>
      </c>
      <c r="S97" s="71">
        <v>0</v>
      </c>
      <c r="T97" s="63">
        <v>1.4538087151158745E-2</v>
      </c>
      <c r="V97" s="114">
        <v>1.1254353400000001</v>
      </c>
      <c r="W97" s="72">
        <v>2.8287360700000002</v>
      </c>
      <c r="X97" s="72">
        <v>4.3125414700000002</v>
      </c>
      <c r="Y97" s="72">
        <v>5.5773451999999999</v>
      </c>
      <c r="Z97" s="115">
        <v>7.1304937299999995</v>
      </c>
    </row>
    <row r="98" spans="2:26" x14ac:dyDescent="0.35">
      <c r="B98" s="55" t="s">
        <v>89</v>
      </c>
      <c r="C98" s="53" t="s">
        <v>85</v>
      </c>
      <c r="D98" s="53" t="s">
        <v>20</v>
      </c>
      <c r="E98" s="53" t="s">
        <v>314</v>
      </c>
      <c r="F98" s="73" t="s">
        <v>21</v>
      </c>
      <c r="G98" s="71">
        <v>7.1579197540703318E-3</v>
      </c>
      <c r="H98" s="71">
        <v>1.2414845278289002E-2</v>
      </c>
      <c r="I98" s="71">
        <v>1.5346638122527874E-2</v>
      </c>
      <c r="J98" s="63">
        <v>1.8135810947207769E-2</v>
      </c>
      <c r="K98" s="71" t="s">
        <v>21</v>
      </c>
      <c r="L98" s="71">
        <v>3.4701216540703314E-3</v>
      </c>
      <c r="M98" s="71">
        <v>7.689203778289003E-3</v>
      </c>
      <c r="N98" s="71">
        <v>9.74866172252788E-3</v>
      </c>
      <c r="O98" s="71">
        <v>1.1251895647207768E-2</v>
      </c>
      <c r="P98" s="55" t="s">
        <v>21</v>
      </c>
      <c r="Q98" s="53" t="s">
        <v>21</v>
      </c>
      <c r="R98" s="94" t="s">
        <v>21</v>
      </c>
      <c r="S98" s="71">
        <v>0</v>
      </c>
      <c r="T98" s="63">
        <v>1.2414845278289002E-2</v>
      </c>
      <c r="V98" s="114">
        <v>1.1277993099999999</v>
      </c>
      <c r="W98" s="72">
        <v>2.8421217799999998</v>
      </c>
      <c r="X98" s="72">
        <v>4.3491643599999996</v>
      </c>
      <c r="Y98" s="72">
        <v>5.64206772</v>
      </c>
      <c r="Z98" s="115">
        <v>7.2484027900000001</v>
      </c>
    </row>
    <row r="99" spans="2:26" x14ac:dyDescent="0.35">
      <c r="B99" s="55" t="s">
        <v>90</v>
      </c>
      <c r="C99" s="53" t="s">
        <v>85</v>
      </c>
      <c r="D99" s="53" t="s">
        <v>20</v>
      </c>
      <c r="E99" s="53" t="s">
        <v>75</v>
      </c>
      <c r="F99" s="73">
        <v>4.0388433800670528E-4</v>
      </c>
      <c r="G99" s="71">
        <v>8.8130548509666971E-3</v>
      </c>
      <c r="H99" s="71">
        <v>1.481813600974098E-2</v>
      </c>
      <c r="I99" s="71">
        <v>1.7871955335821702E-2</v>
      </c>
      <c r="J99" s="63">
        <v>2.0516103874041649E-2</v>
      </c>
      <c r="K99" s="71" t="s">
        <v>21</v>
      </c>
      <c r="L99" s="71">
        <v>5.213901350966701E-3</v>
      </c>
      <c r="M99" s="71">
        <v>1.018953370974098E-2</v>
      </c>
      <c r="N99" s="71">
        <v>1.23621834358217E-2</v>
      </c>
      <c r="O99" s="71">
        <v>1.3724822774041648E-2</v>
      </c>
      <c r="P99" s="55" t="s">
        <v>21</v>
      </c>
      <c r="Q99" s="53" t="s">
        <v>21</v>
      </c>
      <c r="R99" s="94" t="s">
        <v>21</v>
      </c>
      <c r="S99" s="71">
        <v>0</v>
      </c>
      <c r="T99" s="63">
        <v>1.481813600974098E-2</v>
      </c>
      <c r="V99" s="114">
        <v>1.12528647</v>
      </c>
      <c r="W99" s="72">
        <v>2.8279234</v>
      </c>
      <c r="X99" s="72">
        <v>4.30771865</v>
      </c>
      <c r="Y99" s="72">
        <v>5.5613266499999998</v>
      </c>
      <c r="Z99" s="115">
        <v>7.1017809900000008</v>
      </c>
    </row>
    <row r="100" spans="2:26" x14ac:dyDescent="0.35">
      <c r="B100" s="55" t="s">
        <v>91</v>
      </c>
      <c r="C100" s="53" t="s">
        <v>85</v>
      </c>
      <c r="D100" s="53" t="s">
        <v>20</v>
      </c>
      <c r="E100" s="53" t="s">
        <v>92</v>
      </c>
      <c r="F100" s="73" t="s">
        <v>21</v>
      </c>
      <c r="G100" s="71">
        <v>7.8255034193473148E-3</v>
      </c>
      <c r="H100" s="71">
        <v>1.3663920975830763E-2</v>
      </c>
      <c r="I100" s="71">
        <v>1.6544199494893139E-2</v>
      </c>
      <c r="J100" s="63">
        <v>1.9338862395663983E-2</v>
      </c>
      <c r="K100" s="71" t="s">
        <v>21</v>
      </c>
      <c r="L100" s="71">
        <v>4.1781038193473138E-3</v>
      </c>
      <c r="M100" s="71">
        <v>8.9955999758307686E-3</v>
      </c>
      <c r="N100" s="71">
        <v>1.0996439594893137E-2</v>
      </c>
      <c r="O100" s="71">
        <v>1.2508567695663983E-2</v>
      </c>
      <c r="P100" s="55" t="s">
        <v>21</v>
      </c>
      <c r="Q100" s="53" t="s">
        <v>21</v>
      </c>
      <c r="R100" s="94" t="s">
        <v>21</v>
      </c>
      <c r="S100" s="71">
        <v>0</v>
      </c>
      <c r="T100" s="63">
        <v>1.3663920975830763E-2</v>
      </c>
      <c r="V100" s="114">
        <v>1.1266219200000001</v>
      </c>
      <c r="W100" s="72">
        <v>2.8361563699999999</v>
      </c>
      <c r="X100" s="72">
        <v>4.3292257100000002</v>
      </c>
      <c r="Y100" s="72">
        <v>5.6018286799999997</v>
      </c>
      <c r="Z100" s="115">
        <v>7.1738568700000007</v>
      </c>
    </row>
    <row r="101" spans="2:26" x14ac:dyDescent="0.35">
      <c r="B101" s="55" t="s">
        <v>309</v>
      </c>
      <c r="C101" s="53" t="s">
        <v>85</v>
      </c>
      <c r="D101" s="53" t="s">
        <v>20</v>
      </c>
      <c r="E101" s="53" t="s">
        <v>315</v>
      </c>
      <c r="F101" s="73" t="s">
        <v>21</v>
      </c>
      <c r="G101" s="71">
        <v>6.2726013241652372E-3</v>
      </c>
      <c r="H101" s="71">
        <v>1.1834372897394675E-2</v>
      </c>
      <c r="I101" s="71">
        <v>1.4769215291432715E-2</v>
      </c>
      <c r="J101" s="63">
        <v>1.7591018712602807E-2</v>
      </c>
      <c r="K101" s="71" t="s">
        <v>21</v>
      </c>
      <c r="L101" s="71">
        <v>2.5166605241652372E-3</v>
      </c>
      <c r="M101" s="71">
        <v>7.0737819973946785E-3</v>
      </c>
      <c r="N101" s="71">
        <v>9.142626391432717E-3</v>
      </c>
      <c r="O101" s="71">
        <v>1.0683087512602805E-2</v>
      </c>
      <c r="P101" s="55" t="s">
        <v>21</v>
      </c>
      <c r="Q101" s="53" t="s">
        <v>21</v>
      </c>
      <c r="R101" s="94" t="s">
        <v>21</v>
      </c>
      <c r="S101" s="71">
        <v>0</v>
      </c>
      <c r="T101" s="63">
        <v>1.1834372897394675E-2</v>
      </c>
      <c r="V101" s="114">
        <v>1.1302936800000001</v>
      </c>
      <c r="W101" s="72">
        <v>2.8528041800000001</v>
      </c>
      <c r="X101" s="72">
        <v>4.36801569</v>
      </c>
      <c r="Y101" s="72">
        <v>5.6695652000000001</v>
      </c>
      <c r="Z101" s="115">
        <v>7.28739895</v>
      </c>
    </row>
    <row r="102" spans="2:26" x14ac:dyDescent="0.35">
      <c r="B102" s="55" t="s">
        <v>310</v>
      </c>
      <c r="C102" s="53" t="s">
        <v>85</v>
      </c>
      <c r="D102" s="53" t="s">
        <v>20</v>
      </c>
      <c r="E102" s="53" t="s">
        <v>73</v>
      </c>
      <c r="F102" s="73">
        <v>2.7243828525465481E-4</v>
      </c>
      <c r="G102" s="71">
        <v>9.9543625505929111E-3</v>
      </c>
      <c r="H102" s="71">
        <v>1.7612195729900977E-2</v>
      </c>
      <c r="I102" s="71">
        <v>2.1000567605336001E-2</v>
      </c>
      <c r="J102" s="63">
        <v>2.4539294471842495E-2</v>
      </c>
      <c r="K102" s="71" t="s">
        <v>21</v>
      </c>
      <c r="L102" s="71">
        <v>6.3961024505929161E-3</v>
      </c>
      <c r="M102" s="71">
        <v>1.3035943229900978E-2</v>
      </c>
      <c r="N102" s="71">
        <v>1.5535901005336002E-2</v>
      </c>
      <c r="O102" s="71">
        <v>1.7813256271842492E-2</v>
      </c>
      <c r="P102" s="55" t="s">
        <v>21</v>
      </c>
      <c r="Q102" s="53" t="s">
        <v>21</v>
      </c>
      <c r="R102" s="94" t="s">
        <v>21</v>
      </c>
      <c r="S102" s="71">
        <v>0</v>
      </c>
      <c r="T102" s="63">
        <v>1.7612195729900977E-2</v>
      </c>
      <c r="V102" s="114">
        <v>1.12555608</v>
      </c>
      <c r="W102" s="72">
        <v>2.82110474</v>
      </c>
      <c r="X102" s="72">
        <v>4.2707875300000007</v>
      </c>
      <c r="Y102" s="72">
        <v>5.4764340499999999</v>
      </c>
      <c r="Z102" s="115">
        <v>6.9132352699999995</v>
      </c>
    </row>
    <row r="103" spans="2:26" x14ac:dyDescent="0.35">
      <c r="B103" s="55" t="s">
        <v>311</v>
      </c>
      <c r="C103" s="53" t="s">
        <v>85</v>
      </c>
      <c r="D103" s="53" t="s">
        <v>20</v>
      </c>
      <c r="E103" s="53" t="s">
        <v>48</v>
      </c>
      <c r="F103" s="73">
        <v>2.0657860211018546E-3</v>
      </c>
      <c r="G103" s="71">
        <v>1.5447982482607604E-2</v>
      </c>
      <c r="H103" s="71">
        <v>2.5534414951172563E-2</v>
      </c>
      <c r="I103" s="71">
        <v>3.127077348629663E-2</v>
      </c>
      <c r="J103" s="63">
        <v>3.4760583422042177E-2</v>
      </c>
      <c r="K103" s="71" t="s">
        <v>21</v>
      </c>
      <c r="L103" s="71">
        <v>1.1947746182607601E-2</v>
      </c>
      <c r="M103" s="71">
        <v>2.0894654351172562E-2</v>
      </c>
      <c r="N103" s="71">
        <v>2.5651070186296629E-2</v>
      </c>
      <c r="O103" s="71">
        <v>2.7892359522042175E-2</v>
      </c>
      <c r="P103" s="55" t="s">
        <v>21</v>
      </c>
      <c r="Q103" s="53" t="s">
        <v>21</v>
      </c>
      <c r="R103" s="94" t="s">
        <v>21</v>
      </c>
      <c r="S103" s="71">
        <v>0</v>
      </c>
      <c r="T103" s="63">
        <v>2.5534414951172563E-2</v>
      </c>
      <c r="V103" s="114">
        <v>1.1209273</v>
      </c>
      <c r="W103" s="72">
        <v>2.7769083299999999</v>
      </c>
      <c r="X103" s="72">
        <v>4.1392287200000002</v>
      </c>
      <c r="Y103" s="72">
        <v>5.2049597299999997</v>
      </c>
      <c r="Z103" s="115">
        <v>6.4180563800000003</v>
      </c>
    </row>
    <row r="104" spans="2:26" x14ac:dyDescent="0.35">
      <c r="B104" s="55" t="s">
        <v>312</v>
      </c>
      <c r="C104" s="53" t="s">
        <v>85</v>
      </c>
      <c r="D104" s="53" t="s">
        <v>20</v>
      </c>
      <c r="E104" s="53" t="s">
        <v>161</v>
      </c>
      <c r="F104" s="73" t="s">
        <v>21</v>
      </c>
      <c r="G104" s="71">
        <v>6.6550666123953925E-3</v>
      </c>
      <c r="H104" s="71">
        <v>1.2344312313179081E-2</v>
      </c>
      <c r="I104" s="71">
        <v>1.6368219485498135E-2</v>
      </c>
      <c r="J104" s="63">
        <v>1.873987991659945E-2</v>
      </c>
      <c r="K104" s="71" t="s">
        <v>21</v>
      </c>
      <c r="L104" s="71">
        <v>2.9303278123953909E-3</v>
      </c>
      <c r="M104" s="71">
        <v>7.6144794131790833E-3</v>
      </c>
      <c r="N104" s="71">
        <v>1.0809863585498137E-2</v>
      </c>
      <c r="O104" s="71">
        <v>1.1891826816599452E-2</v>
      </c>
      <c r="P104" s="55" t="s">
        <v>316</v>
      </c>
      <c r="Q104" s="53" t="s">
        <v>317</v>
      </c>
      <c r="R104" s="94">
        <v>47788</v>
      </c>
      <c r="S104" s="71">
        <v>1.060494E-2</v>
      </c>
      <c r="T104" s="63">
        <v>1.7393723131790811E-3</v>
      </c>
      <c r="V104" s="114">
        <v>1.13004452</v>
      </c>
      <c r="W104" s="72">
        <v>2.8496493200000002</v>
      </c>
      <c r="X104" s="72">
        <v>4.3579482</v>
      </c>
      <c r="Y104" s="72">
        <v>5.6368566100000006</v>
      </c>
      <c r="Z104" s="115">
        <v>7.2211300100000004</v>
      </c>
    </row>
    <row r="105" spans="2:26" x14ac:dyDescent="0.35">
      <c r="B105" s="57" t="s">
        <v>313</v>
      </c>
      <c r="C105" s="53" t="s">
        <v>85</v>
      </c>
      <c r="D105" s="67" t="s">
        <v>20</v>
      </c>
      <c r="E105" s="67" t="s">
        <v>276</v>
      </c>
      <c r="F105" s="74" t="s">
        <v>21</v>
      </c>
      <c r="G105" s="76">
        <v>8.4256581028655866E-3</v>
      </c>
      <c r="H105" s="76">
        <v>1.5933558313338418E-2</v>
      </c>
      <c r="I105" s="76">
        <v>2.0304518836275359E-2</v>
      </c>
      <c r="J105" s="64">
        <v>2.3953657158715801E-2</v>
      </c>
      <c r="K105" s="76" t="s">
        <v>21</v>
      </c>
      <c r="L105" s="76">
        <v>4.8092274028655865E-3</v>
      </c>
      <c r="M105" s="76">
        <v>1.1332307113338418E-2</v>
      </c>
      <c r="N105" s="76">
        <v>1.4832538036275357E-2</v>
      </c>
      <c r="O105" s="76">
        <v>1.7224043858715801E-2</v>
      </c>
      <c r="P105" s="57" t="s">
        <v>21</v>
      </c>
      <c r="Q105" s="67" t="s">
        <v>21</v>
      </c>
      <c r="R105" s="96" t="s">
        <v>21</v>
      </c>
      <c r="S105" s="76">
        <v>0</v>
      </c>
      <c r="T105" s="64">
        <v>1.5933558313338418E-2</v>
      </c>
      <c r="V105" s="116">
        <v>1.12786019</v>
      </c>
      <c r="W105" s="108">
        <v>2.8344964699999999</v>
      </c>
      <c r="X105" s="108">
        <v>4.3036472799999999</v>
      </c>
      <c r="Y105" s="108">
        <v>5.5226354600000001</v>
      </c>
      <c r="Z105" s="117">
        <v>6.9773330699999994</v>
      </c>
    </row>
    <row r="106" spans="2:26" x14ac:dyDescent="0.35">
      <c r="B106" s="53" t="s">
        <v>21</v>
      </c>
      <c r="C106" s="53" t="s">
        <v>21</v>
      </c>
      <c r="E106" s="53" t="s">
        <v>21</v>
      </c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R106" s="94"/>
      <c r="V106" s="72"/>
      <c r="W106" s="72"/>
      <c r="X106" s="72"/>
      <c r="Y106" s="72"/>
      <c r="Z106" s="72"/>
    </row>
    <row r="107" spans="2:26" ht="15.5" x14ac:dyDescent="0.35">
      <c r="B107" s="122" t="s">
        <v>93</v>
      </c>
      <c r="C107" s="53" t="s">
        <v>21</v>
      </c>
      <c r="E107" s="53" t="s">
        <v>21</v>
      </c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R107" s="94"/>
      <c r="V107" s="72"/>
      <c r="W107" s="72"/>
      <c r="X107" s="72"/>
      <c r="Y107" s="72"/>
      <c r="Z107" s="72"/>
    </row>
    <row r="108" spans="2:26" x14ac:dyDescent="0.35">
      <c r="B108" s="85" t="s">
        <v>5</v>
      </c>
      <c r="C108" s="84" t="s">
        <v>6</v>
      </c>
      <c r="D108" s="84" t="s">
        <v>7</v>
      </c>
      <c r="E108" s="84" t="s">
        <v>8</v>
      </c>
      <c r="F108" s="83" t="s">
        <v>9</v>
      </c>
      <c r="G108" s="82" t="s">
        <v>10</v>
      </c>
      <c r="H108" s="82" t="s">
        <v>11</v>
      </c>
      <c r="I108" s="82" t="s">
        <v>12</v>
      </c>
      <c r="J108" s="81" t="s">
        <v>13</v>
      </c>
      <c r="K108" s="58" t="s">
        <v>9</v>
      </c>
      <c r="L108" s="58" t="s">
        <v>10</v>
      </c>
      <c r="M108" s="58" t="s">
        <v>11</v>
      </c>
      <c r="N108" s="58" t="s">
        <v>12</v>
      </c>
      <c r="O108" s="58" t="s">
        <v>13</v>
      </c>
      <c r="P108" s="70" t="s">
        <v>14</v>
      </c>
      <c r="Q108" s="58" t="s">
        <v>15</v>
      </c>
      <c r="R108" s="58" t="s">
        <v>16</v>
      </c>
      <c r="S108" s="58" t="s">
        <v>409</v>
      </c>
      <c r="T108" s="58" t="s">
        <v>18</v>
      </c>
      <c r="V108" s="110" t="s">
        <v>9</v>
      </c>
      <c r="W108" s="106" t="s">
        <v>10</v>
      </c>
      <c r="X108" s="106" t="s">
        <v>11</v>
      </c>
      <c r="Y108" s="106" t="s">
        <v>12</v>
      </c>
      <c r="Z108" s="111" t="s">
        <v>13</v>
      </c>
    </row>
    <row r="109" spans="2:26" x14ac:dyDescent="0.35">
      <c r="B109" s="79" t="s">
        <v>94</v>
      </c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9"/>
      <c r="Q109" s="78"/>
      <c r="R109" s="95"/>
      <c r="S109" s="78"/>
      <c r="T109" s="77"/>
      <c r="V109" s="112"/>
      <c r="W109" s="107"/>
      <c r="X109" s="107"/>
      <c r="Y109" s="107"/>
      <c r="Z109" s="113"/>
    </row>
    <row r="110" spans="2:26" x14ac:dyDescent="0.35">
      <c r="B110" s="56" t="s">
        <v>95</v>
      </c>
      <c r="C110" s="66" t="s">
        <v>85</v>
      </c>
      <c r="D110" s="66" t="s">
        <v>43</v>
      </c>
      <c r="E110" s="66" t="s">
        <v>232</v>
      </c>
      <c r="F110" s="75" t="s">
        <v>21</v>
      </c>
      <c r="G110" s="80">
        <v>6.6717853547769721E-3</v>
      </c>
      <c r="H110" s="80">
        <v>1.2787521019932123E-2</v>
      </c>
      <c r="I110" s="80">
        <v>1.5660259759705562E-2</v>
      </c>
      <c r="J110" s="62">
        <v>1.8347013267797883E-2</v>
      </c>
      <c r="K110" s="80" t="s">
        <v>21</v>
      </c>
      <c r="L110" s="80">
        <v>2.9485752547769731E-3</v>
      </c>
      <c r="M110" s="80">
        <v>8.0803433199321244E-3</v>
      </c>
      <c r="N110" s="80">
        <v>1.0078352059705562E-2</v>
      </c>
      <c r="O110" s="80">
        <v>1.1477625467797882E-2</v>
      </c>
      <c r="P110" s="56" t="s">
        <v>21</v>
      </c>
      <c r="Q110" s="66" t="s">
        <v>21</v>
      </c>
      <c r="R110" s="100" t="s">
        <v>21</v>
      </c>
      <c r="S110" s="80">
        <v>0</v>
      </c>
      <c r="T110" s="63">
        <v>1.2787521019932123E-2</v>
      </c>
      <c r="V110" s="118">
        <v>1.1300482999999999</v>
      </c>
      <c r="W110" s="61">
        <v>2.8496425700000003</v>
      </c>
      <c r="X110" s="61">
        <v>4.3536941799999997</v>
      </c>
      <c r="Y110" s="61">
        <v>5.6416685800000002</v>
      </c>
      <c r="Z110" s="119">
        <v>7.2409821099999991</v>
      </c>
    </row>
    <row r="111" spans="2:26" x14ac:dyDescent="0.35">
      <c r="B111" s="57" t="s">
        <v>95</v>
      </c>
      <c r="C111" s="67" t="s">
        <v>35</v>
      </c>
      <c r="D111" s="67" t="s">
        <v>43</v>
      </c>
      <c r="E111" s="67" t="s">
        <v>233</v>
      </c>
      <c r="F111" s="74" t="s">
        <v>21</v>
      </c>
      <c r="G111" s="76">
        <v>1.0267705237973067E-2</v>
      </c>
      <c r="H111" s="76">
        <v>1.868864918144373E-2</v>
      </c>
      <c r="I111" s="76">
        <v>2.2639900588650071E-2</v>
      </c>
      <c r="J111" s="64">
        <v>2.6280997059662074E-2</v>
      </c>
      <c r="K111" s="76" t="s">
        <v>21</v>
      </c>
      <c r="L111" s="76">
        <v>6.7320982379730663E-3</v>
      </c>
      <c r="M111" s="76">
        <v>1.4152923081443728E-2</v>
      </c>
      <c r="N111" s="76">
        <v>1.7212555388650071E-2</v>
      </c>
      <c r="O111" s="76">
        <v>1.9576963059662077E-2</v>
      </c>
      <c r="P111" s="57" t="s">
        <v>21</v>
      </c>
      <c r="Q111" s="67" t="s">
        <v>21</v>
      </c>
      <c r="R111" s="96" t="s">
        <v>21</v>
      </c>
      <c r="S111" s="76">
        <v>0</v>
      </c>
      <c r="T111" s="64">
        <v>1.868864918144373E-2</v>
      </c>
      <c r="V111" s="116">
        <v>1.12875883</v>
      </c>
      <c r="W111" s="108">
        <v>2.8358468399999999</v>
      </c>
      <c r="X111" s="108">
        <v>4.3064972099999999</v>
      </c>
      <c r="Y111" s="108">
        <v>5.5423218800000003</v>
      </c>
      <c r="Z111" s="117">
        <v>7.0412477400000011</v>
      </c>
    </row>
    <row r="112" spans="2:26" x14ac:dyDescent="0.35">
      <c r="B112" s="55" t="s">
        <v>96</v>
      </c>
      <c r="C112" s="53" t="s">
        <v>85</v>
      </c>
      <c r="D112" s="53" t="s">
        <v>97</v>
      </c>
      <c r="E112" s="53" t="s">
        <v>21</v>
      </c>
      <c r="F112" s="73" t="s">
        <v>21</v>
      </c>
      <c r="G112" s="71">
        <v>6.9823204684438716E-3</v>
      </c>
      <c r="H112" s="71">
        <v>1.3024291639067622E-2</v>
      </c>
      <c r="I112" s="71">
        <v>1.6290115337678251E-2</v>
      </c>
      <c r="J112" s="63">
        <v>1.92161483234644E-2</v>
      </c>
      <c r="K112" s="71" t="s">
        <v>21</v>
      </c>
      <c r="L112" s="71">
        <v>3.2820660684438705E-3</v>
      </c>
      <c r="M112" s="71">
        <v>8.3283778390676241E-3</v>
      </c>
      <c r="N112" s="71">
        <v>1.0731648137678251E-2</v>
      </c>
      <c r="O112" s="71">
        <v>1.2381529223464399E-2</v>
      </c>
      <c r="P112" s="55" t="s">
        <v>21</v>
      </c>
      <c r="Q112" s="53" t="s">
        <v>21</v>
      </c>
      <c r="R112" s="94" t="s">
        <v>21</v>
      </c>
      <c r="S112" s="71">
        <v>0</v>
      </c>
      <c r="T112" s="63">
        <v>1.3024291639067622E-2</v>
      </c>
      <c r="V112" s="114">
        <v>1.1292768899999999</v>
      </c>
      <c r="W112" s="72">
        <v>2.8460589500000002</v>
      </c>
      <c r="X112" s="72">
        <v>4.34759137</v>
      </c>
      <c r="Y112" s="72">
        <v>5.6269375400000001</v>
      </c>
      <c r="Z112" s="115">
        <v>7.2042168399999991</v>
      </c>
    </row>
    <row r="113" spans="2:26" x14ac:dyDescent="0.35">
      <c r="B113" s="57" t="s">
        <v>96</v>
      </c>
      <c r="C113" s="67" t="s">
        <v>35</v>
      </c>
      <c r="D113" s="67" t="s">
        <v>97</v>
      </c>
      <c r="E113" s="67" t="s">
        <v>44</v>
      </c>
      <c r="F113" s="74">
        <v>6.4362258579516319E-4</v>
      </c>
      <c r="G113" s="76">
        <v>1.0442499284213626E-2</v>
      </c>
      <c r="H113" s="76">
        <v>1.8266856742817757E-2</v>
      </c>
      <c r="I113" s="76">
        <v>2.2924205220048732E-2</v>
      </c>
      <c r="J113" s="64">
        <v>2.6462069122940558E-2</v>
      </c>
      <c r="K113" s="76" t="s">
        <v>21</v>
      </c>
      <c r="L113" s="76">
        <v>6.9134989842136244E-3</v>
      </c>
      <c r="M113" s="76">
        <v>1.3726823842817754E-2</v>
      </c>
      <c r="N113" s="76">
        <v>1.7495101020048733E-2</v>
      </c>
      <c r="O113" s="76">
        <v>1.9758210522940561E-2</v>
      </c>
      <c r="P113" s="57" t="s">
        <v>21</v>
      </c>
      <c r="Q113" s="67" t="s">
        <v>21</v>
      </c>
      <c r="R113" s="96" t="s">
        <v>21</v>
      </c>
      <c r="S113" s="76">
        <v>0</v>
      </c>
      <c r="T113" s="64">
        <v>1.8266856742817757E-2</v>
      </c>
      <c r="V113" s="116">
        <v>1.12687487</v>
      </c>
      <c r="W113" s="108">
        <v>2.8312796800000002</v>
      </c>
      <c r="X113" s="108">
        <v>4.3049364099999998</v>
      </c>
      <c r="Y113" s="108">
        <v>5.5392257499999999</v>
      </c>
      <c r="Z113" s="117">
        <v>7.0337692800000005</v>
      </c>
    </row>
    <row r="114" spans="2:26" x14ac:dyDescent="0.35">
      <c r="B114" s="55" t="s">
        <v>98</v>
      </c>
      <c r="C114" s="53" t="s">
        <v>85</v>
      </c>
      <c r="D114" s="53" t="s">
        <v>47</v>
      </c>
      <c r="E114" s="53" t="s">
        <v>21</v>
      </c>
      <c r="F114" s="73" t="s">
        <v>21</v>
      </c>
      <c r="G114" s="71">
        <v>7.4930272592251285E-3</v>
      </c>
      <c r="H114" s="71">
        <v>1.4168964536037037E-2</v>
      </c>
      <c r="I114" s="71">
        <v>1.742702251733531E-2</v>
      </c>
      <c r="J114" s="63">
        <v>2.0487511134211142E-2</v>
      </c>
      <c r="K114" s="71" t="s">
        <v>21</v>
      </c>
      <c r="L114" s="71">
        <v>3.8264514592251261E-3</v>
      </c>
      <c r="M114" s="71">
        <v>9.5198428360370388E-3</v>
      </c>
      <c r="N114" s="71">
        <v>1.190680961733531E-2</v>
      </c>
      <c r="O114" s="71">
        <v>1.3695878934211141E-2</v>
      </c>
      <c r="P114" s="55" t="s">
        <v>21</v>
      </c>
      <c r="Q114" s="53" t="s">
        <v>21</v>
      </c>
      <c r="R114" s="94" t="s">
        <v>21</v>
      </c>
      <c r="S114" s="71">
        <v>0</v>
      </c>
      <c r="T114" s="63">
        <v>1.4168964536037037E-2</v>
      </c>
      <c r="V114" s="114">
        <v>1.12883673</v>
      </c>
      <c r="W114" s="72">
        <v>2.8421786899999999</v>
      </c>
      <c r="X114" s="72">
        <v>4.3306288399999993</v>
      </c>
      <c r="Y114" s="72">
        <v>5.5921723800000001</v>
      </c>
      <c r="Z114" s="115">
        <v>7.1365106900000006</v>
      </c>
    </row>
    <row r="115" spans="2:26" x14ac:dyDescent="0.35">
      <c r="B115" s="57" t="s">
        <v>98</v>
      </c>
      <c r="C115" s="67" t="s">
        <v>35</v>
      </c>
      <c r="D115" s="67" t="s">
        <v>47</v>
      </c>
      <c r="E115" s="67" t="s">
        <v>454</v>
      </c>
      <c r="F115" s="74">
        <v>2.1520436857666147E-4</v>
      </c>
      <c r="G115" s="76">
        <v>1.1020886676914997E-2</v>
      </c>
      <c r="H115" s="76">
        <v>1.9924530708847431E-2</v>
      </c>
      <c r="I115" s="76">
        <v>2.4930626908303097E-2</v>
      </c>
      <c r="J115" s="64">
        <v>2.8922336954227058E-2</v>
      </c>
      <c r="K115" s="76" t="s">
        <v>21</v>
      </c>
      <c r="L115" s="76">
        <v>7.5081337769149986E-3</v>
      </c>
      <c r="M115" s="76">
        <v>1.5398541408847432E-2</v>
      </c>
      <c r="N115" s="76">
        <v>1.9500955608303099E-2</v>
      </c>
      <c r="O115" s="76">
        <v>2.2217640554227053E-2</v>
      </c>
      <c r="P115" s="57" t="s">
        <v>455</v>
      </c>
      <c r="Q115" s="67" t="s">
        <v>456</v>
      </c>
      <c r="R115" s="96" t="s">
        <v>32</v>
      </c>
      <c r="S115" s="76">
        <v>1.1668009999999999E-2</v>
      </c>
      <c r="T115" s="64">
        <v>8.256520708847432E-3</v>
      </c>
      <c r="V115" s="116">
        <v>1.1275521199999998</v>
      </c>
      <c r="W115" s="108">
        <v>2.8300827399999999</v>
      </c>
      <c r="X115" s="108">
        <v>4.2901817199999996</v>
      </c>
      <c r="Y115" s="108">
        <v>5.5023498200000001</v>
      </c>
      <c r="Z115" s="117">
        <v>6.9521596500000005</v>
      </c>
    </row>
    <row r="116" spans="2:26" x14ac:dyDescent="0.35">
      <c r="B116" s="55" t="s">
        <v>99</v>
      </c>
      <c r="C116" s="53" t="s">
        <v>85</v>
      </c>
      <c r="D116" s="53" t="s">
        <v>69</v>
      </c>
      <c r="E116" s="53" t="s">
        <v>100</v>
      </c>
      <c r="F116" s="73" t="s">
        <v>21</v>
      </c>
      <c r="G116" s="71">
        <v>8.0143789459932724E-3</v>
      </c>
      <c r="H116" s="71">
        <v>1.5017717101993252E-2</v>
      </c>
      <c r="I116" s="71">
        <v>1.8479986402896713E-2</v>
      </c>
      <c r="J116" s="63">
        <v>2.1868446977817549E-2</v>
      </c>
      <c r="K116" s="71" t="s">
        <v>21</v>
      </c>
      <c r="L116" s="71">
        <v>4.3776516459932725E-3</v>
      </c>
      <c r="M116" s="71">
        <v>1.0395817801993249E-2</v>
      </c>
      <c r="N116" s="71">
        <v>1.2985278002896712E-2</v>
      </c>
      <c r="O116" s="71">
        <v>1.510919897781755E-2</v>
      </c>
      <c r="P116" s="55" t="s">
        <v>21</v>
      </c>
      <c r="Q116" s="53" t="s">
        <v>21</v>
      </c>
      <c r="R116" s="94" t="s">
        <v>21</v>
      </c>
      <c r="S116" s="71">
        <v>0</v>
      </c>
      <c r="T116" s="63">
        <v>1.5017717101993252E-2</v>
      </c>
      <c r="V116" s="114">
        <v>1.12930055</v>
      </c>
      <c r="W116" s="72">
        <v>2.8397388399999999</v>
      </c>
      <c r="X116" s="72">
        <v>4.3186390999999995</v>
      </c>
      <c r="Y116" s="72">
        <v>5.5645391499999999</v>
      </c>
      <c r="Z116" s="115">
        <v>7.0747668400000006</v>
      </c>
    </row>
    <row r="117" spans="2:26" x14ac:dyDescent="0.35">
      <c r="B117" s="57" t="s">
        <v>99</v>
      </c>
      <c r="C117" s="67" t="s">
        <v>35</v>
      </c>
      <c r="D117" s="67" t="s">
        <v>69</v>
      </c>
      <c r="E117" s="67" t="s">
        <v>226</v>
      </c>
      <c r="F117" s="74" t="s">
        <v>21</v>
      </c>
      <c r="G117" s="76">
        <v>1.1097226783105572E-2</v>
      </c>
      <c r="H117" s="76">
        <v>2.0140522602465977E-2</v>
      </c>
      <c r="I117" s="76">
        <v>2.5230994769959651E-2</v>
      </c>
      <c r="J117" s="64">
        <v>2.8875535550998657E-2</v>
      </c>
      <c r="K117" s="76" t="s">
        <v>21</v>
      </c>
      <c r="L117" s="76">
        <v>7.585100883105573E-3</v>
      </c>
      <c r="M117" s="76">
        <v>1.5615098402465978E-2</v>
      </c>
      <c r="N117" s="76">
        <v>1.9800019769959654E-2</v>
      </c>
      <c r="O117" s="76">
        <v>2.2173397550998661E-2</v>
      </c>
      <c r="P117" s="57" t="s">
        <v>457</v>
      </c>
      <c r="Q117" s="67" t="s">
        <v>458</v>
      </c>
      <c r="R117" s="96" t="s">
        <v>32</v>
      </c>
      <c r="S117" s="76">
        <v>1.492866E-2</v>
      </c>
      <c r="T117" s="64">
        <v>5.2118626024659775E-3</v>
      </c>
      <c r="V117" s="116">
        <v>1.1291836899999999</v>
      </c>
      <c r="W117" s="108">
        <v>2.83272682</v>
      </c>
      <c r="X117" s="108">
        <v>4.2911200799999998</v>
      </c>
      <c r="Y117" s="108">
        <v>5.5000543899999998</v>
      </c>
      <c r="Z117" s="117">
        <v>6.9489962899999993</v>
      </c>
    </row>
    <row r="118" spans="2:26" x14ac:dyDescent="0.35">
      <c r="B118" s="55" t="s">
        <v>101</v>
      </c>
      <c r="C118" s="53" t="s">
        <v>85</v>
      </c>
      <c r="D118" s="53" t="s">
        <v>31</v>
      </c>
      <c r="E118" s="53" t="s">
        <v>21</v>
      </c>
      <c r="F118" s="73" t="s">
        <v>21</v>
      </c>
      <c r="G118" s="71">
        <v>7.3104189755134174E-3</v>
      </c>
      <c r="H118" s="71">
        <v>1.3836020082581991E-2</v>
      </c>
      <c r="I118" s="71">
        <v>1.7255689376699235E-2</v>
      </c>
      <c r="J118" s="63">
        <v>2.0462480137343232E-2</v>
      </c>
      <c r="K118" s="71" t="s">
        <v>21</v>
      </c>
      <c r="L118" s="71">
        <v>3.6314453755134173E-3</v>
      </c>
      <c r="M118" s="71">
        <v>9.1746239825819913E-3</v>
      </c>
      <c r="N118" s="71">
        <v>1.1729887476699232E-2</v>
      </c>
      <c r="O118" s="71">
        <v>1.3669434237343231E-2</v>
      </c>
      <c r="P118" s="55" t="s">
        <v>21</v>
      </c>
      <c r="Q118" s="53" t="s">
        <v>21</v>
      </c>
      <c r="R118" s="94" t="s">
        <v>21</v>
      </c>
      <c r="S118" s="71">
        <v>0</v>
      </c>
      <c r="T118" s="63">
        <v>1.3836020082581991E-2</v>
      </c>
      <c r="V118" s="114">
        <v>1.13005076</v>
      </c>
      <c r="W118" s="72">
        <v>2.8456028899999999</v>
      </c>
      <c r="X118" s="72">
        <v>4.3378084599999998</v>
      </c>
      <c r="Y118" s="72">
        <v>5.6025401099999996</v>
      </c>
      <c r="Z118" s="115">
        <v>7.1484029000000007</v>
      </c>
    </row>
    <row r="119" spans="2:26" x14ac:dyDescent="0.35">
      <c r="B119" s="57" t="s">
        <v>101</v>
      </c>
      <c r="C119" s="67" t="s">
        <v>35</v>
      </c>
      <c r="D119" s="67" t="s">
        <v>31</v>
      </c>
      <c r="E119" s="67" t="s">
        <v>21</v>
      </c>
      <c r="F119" s="74" t="s">
        <v>21</v>
      </c>
      <c r="G119" s="76">
        <v>1.0207810927993558E-2</v>
      </c>
      <c r="H119" s="76">
        <v>1.8592441523106591E-2</v>
      </c>
      <c r="I119" s="76">
        <v>2.2838913433430419E-2</v>
      </c>
      <c r="J119" s="64">
        <v>2.6375495558525645E-2</v>
      </c>
      <c r="K119" s="76" t="s">
        <v>21</v>
      </c>
      <c r="L119" s="76">
        <v>6.6703045279935605E-3</v>
      </c>
      <c r="M119" s="76">
        <v>1.405573232310659E-2</v>
      </c>
      <c r="N119" s="76">
        <v>1.7411487833430418E-2</v>
      </c>
      <c r="O119" s="76">
        <v>1.9672657158525644E-2</v>
      </c>
      <c r="P119" s="57" t="s">
        <v>21</v>
      </c>
      <c r="Q119" s="67" t="s">
        <v>21</v>
      </c>
      <c r="R119" s="96" t="s">
        <v>21</v>
      </c>
      <c r="S119" s="76">
        <v>0</v>
      </c>
      <c r="T119" s="64">
        <v>1.8592441523106591E-2</v>
      </c>
      <c r="V119" s="116">
        <v>1.1287965199999999</v>
      </c>
      <c r="W119" s="108">
        <v>2.8361977199999999</v>
      </c>
      <c r="X119" s="108">
        <v>4.3076709099999997</v>
      </c>
      <c r="Y119" s="108">
        <v>5.5418794799999995</v>
      </c>
      <c r="Z119" s="117">
        <v>7.0382168699999994</v>
      </c>
    </row>
    <row r="120" spans="2:26" x14ac:dyDescent="0.35">
      <c r="B120" s="55" t="s">
        <v>102</v>
      </c>
      <c r="C120" s="53" t="s">
        <v>85</v>
      </c>
      <c r="D120" s="53" t="s">
        <v>69</v>
      </c>
      <c r="E120" s="53" t="s">
        <v>459</v>
      </c>
      <c r="F120" s="73" t="s">
        <v>21</v>
      </c>
      <c r="G120" s="71">
        <v>7.9981643800782661E-3</v>
      </c>
      <c r="H120" s="71">
        <v>1.5010073797179304E-2</v>
      </c>
      <c r="I120" s="71">
        <v>1.8524845264374153E-2</v>
      </c>
      <c r="J120" s="63">
        <v>2.1714810029967099E-2</v>
      </c>
      <c r="K120" s="71" t="s">
        <v>21</v>
      </c>
      <c r="L120" s="71">
        <v>4.3603607800782665E-3</v>
      </c>
      <c r="M120" s="71">
        <v>1.0387036597179305E-2</v>
      </c>
      <c r="N120" s="71">
        <v>1.3029737464374152E-2</v>
      </c>
      <c r="O120" s="71">
        <v>1.4952789429967098E-2</v>
      </c>
      <c r="P120" s="55" t="s">
        <v>21</v>
      </c>
      <c r="Q120" s="53" t="s">
        <v>21</v>
      </c>
      <c r="R120" s="94" t="s">
        <v>21</v>
      </c>
      <c r="S120" s="71">
        <v>0</v>
      </c>
      <c r="T120" s="63">
        <v>1.5010073797179304E-2</v>
      </c>
      <c r="V120" s="114">
        <v>1.1282511099999999</v>
      </c>
      <c r="W120" s="72">
        <v>2.8379040799999999</v>
      </c>
      <c r="X120" s="72">
        <v>4.3169354499999999</v>
      </c>
      <c r="Y120" s="72">
        <v>5.56233705</v>
      </c>
      <c r="Z120" s="115">
        <v>7.07522012</v>
      </c>
    </row>
    <row r="121" spans="2:26" x14ac:dyDescent="0.35">
      <c r="B121" s="57" t="s">
        <v>102</v>
      </c>
      <c r="C121" s="67" t="s">
        <v>35</v>
      </c>
      <c r="D121" s="67" t="s">
        <v>69</v>
      </c>
      <c r="E121" s="67" t="s">
        <v>161</v>
      </c>
      <c r="F121" s="74" t="s">
        <v>21</v>
      </c>
      <c r="G121" s="76">
        <v>1.1075233314827491E-2</v>
      </c>
      <c r="H121" s="76">
        <v>2.0129806015945488E-2</v>
      </c>
      <c r="I121" s="76">
        <v>2.483661134864177E-2</v>
      </c>
      <c r="J121" s="64">
        <v>2.8830761793885922E-2</v>
      </c>
      <c r="K121" s="76" t="s">
        <v>21</v>
      </c>
      <c r="L121" s="76">
        <v>7.5628792148274906E-3</v>
      </c>
      <c r="M121" s="76">
        <v>1.5604055015945492E-2</v>
      </c>
      <c r="N121" s="76">
        <v>1.9407803548641765E-2</v>
      </c>
      <c r="O121" s="76">
        <v>2.2126124693885925E-2</v>
      </c>
      <c r="P121" s="57" t="s">
        <v>21</v>
      </c>
      <c r="Q121" s="67" t="s">
        <v>21</v>
      </c>
      <c r="R121" s="96" t="s">
        <v>21</v>
      </c>
      <c r="S121" s="76">
        <v>0</v>
      </c>
      <c r="T121" s="64">
        <v>2.0129806015945488E-2</v>
      </c>
      <c r="V121" s="114">
        <v>1.1281869899999999</v>
      </c>
      <c r="W121" s="72">
        <v>2.83100058</v>
      </c>
      <c r="X121" s="72">
        <v>4.2895174999999997</v>
      </c>
      <c r="Y121" s="72">
        <v>5.5020881200000007</v>
      </c>
      <c r="Z121" s="115">
        <v>6.9538890599999998</v>
      </c>
    </row>
    <row r="122" spans="2:26" x14ac:dyDescent="0.35">
      <c r="B122" s="56" t="s">
        <v>104</v>
      </c>
      <c r="C122" s="66" t="s">
        <v>85</v>
      </c>
      <c r="D122" s="66" t="s">
        <v>43</v>
      </c>
      <c r="E122" s="65" t="s">
        <v>417</v>
      </c>
      <c r="F122" s="80" t="s">
        <v>21</v>
      </c>
      <c r="G122" s="80">
        <v>6.5625024358185007E-3</v>
      </c>
      <c r="H122" s="80">
        <v>1.2794459992196061E-2</v>
      </c>
      <c r="I122" s="80">
        <v>1.5664668953943806E-2</v>
      </c>
      <c r="J122" s="62">
        <v>1.8400647175687165E-2</v>
      </c>
      <c r="K122" s="80" t="s">
        <v>21</v>
      </c>
      <c r="L122" s="80">
        <v>2.8303469358185009E-3</v>
      </c>
      <c r="M122" s="80">
        <v>8.0871367921960605E-3</v>
      </c>
      <c r="N122" s="80">
        <v>1.0082822253943807E-2</v>
      </c>
      <c r="O122" s="80">
        <v>1.1533443075687164E-2</v>
      </c>
      <c r="P122" s="56" t="s">
        <v>21</v>
      </c>
      <c r="Q122" s="66" t="s">
        <v>21</v>
      </c>
      <c r="R122" s="100" t="s">
        <v>21</v>
      </c>
      <c r="S122" s="80">
        <v>0</v>
      </c>
      <c r="T122" s="62">
        <v>1.2794459992196061E-2</v>
      </c>
      <c r="V122" s="118">
        <v>1.1300158600000001</v>
      </c>
      <c r="W122" s="61">
        <v>2.85077449</v>
      </c>
      <c r="X122" s="61">
        <v>4.35487571</v>
      </c>
      <c r="Y122" s="61">
        <v>5.6427551400000002</v>
      </c>
      <c r="Z122" s="119">
        <v>7.24094383</v>
      </c>
    </row>
    <row r="123" spans="2:26" x14ac:dyDescent="0.35">
      <c r="B123" s="57" t="s">
        <v>104</v>
      </c>
      <c r="C123" s="67" t="s">
        <v>35</v>
      </c>
      <c r="D123" s="67" t="s">
        <v>43</v>
      </c>
      <c r="E123" s="54" t="s">
        <v>417</v>
      </c>
      <c r="F123" s="76" t="s">
        <v>21</v>
      </c>
      <c r="G123" s="76">
        <v>1.0869739753155564E-2</v>
      </c>
      <c r="H123" s="76">
        <v>1.9652114757658289E-2</v>
      </c>
      <c r="I123" s="76">
        <v>2.3880546810296045E-2</v>
      </c>
      <c r="J123" s="64">
        <v>2.7308919107641685E-2</v>
      </c>
      <c r="K123" s="76" t="s">
        <v>21</v>
      </c>
      <c r="L123" s="76">
        <v>7.3511711531555664E-3</v>
      </c>
      <c r="M123" s="76">
        <v>1.5123475157658292E-2</v>
      </c>
      <c r="N123" s="76">
        <v>1.8454238810296043E-2</v>
      </c>
      <c r="O123" s="76">
        <v>2.0608252207641675E-2</v>
      </c>
      <c r="P123" s="67" t="s">
        <v>21</v>
      </c>
      <c r="Q123" s="67" t="s">
        <v>21</v>
      </c>
      <c r="R123" s="96" t="s">
        <v>21</v>
      </c>
      <c r="S123" s="76">
        <v>0</v>
      </c>
      <c r="T123" s="64">
        <v>1.9652114757658289E-2</v>
      </c>
      <c r="V123" s="116">
        <v>1.1283869900000001</v>
      </c>
      <c r="W123" s="108">
        <v>2.83234012</v>
      </c>
      <c r="X123" s="108">
        <v>4.2947825799999997</v>
      </c>
      <c r="Y123" s="108">
        <v>5.5171510700000006</v>
      </c>
      <c r="Z123" s="117">
        <v>6.9953728100000001</v>
      </c>
    </row>
    <row r="124" spans="2:26" x14ac:dyDescent="0.35">
      <c r="B124" s="55" t="s">
        <v>105</v>
      </c>
      <c r="C124" s="53" t="s">
        <v>85</v>
      </c>
      <c r="D124" s="53" t="s">
        <v>43</v>
      </c>
      <c r="E124" s="53" t="s">
        <v>417</v>
      </c>
      <c r="F124" s="73" t="s">
        <v>21</v>
      </c>
      <c r="G124" s="71">
        <v>6.6126291489036725E-3</v>
      </c>
      <c r="H124" s="71">
        <v>1.2688525451267514E-2</v>
      </c>
      <c r="I124" s="71">
        <v>1.556591801755839E-2</v>
      </c>
      <c r="J124" s="63">
        <v>1.8202801420519981E-2</v>
      </c>
      <c r="K124" s="71" t="s">
        <v>21</v>
      </c>
      <c r="L124" s="71">
        <v>2.8848293489036718E-3</v>
      </c>
      <c r="M124" s="71">
        <v>7.9763359512675172E-3</v>
      </c>
      <c r="N124" s="71">
        <v>9.9796914175583895E-3</v>
      </c>
      <c r="O124" s="71">
        <v>1.1326925220519979E-2</v>
      </c>
      <c r="P124" s="55" t="s">
        <v>21</v>
      </c>
      <c r="Q124" s="53" t="s">
        <v>21</v>
      </c>
      <c r="R124" s="94" t="s">
        <v>21</v>
      </c>
      <c r="S124" s="71">
        <v>0</v>
      </c>
      <c r="T124" s="63">
        <v>1.2688525451267514E-2</v>
      </c>
      <c r="V124" s="114">
        <v>1.1300899899999999</v>
      </c>
      <c r="W124" s="72">
        <v>2.8500971900000001</v>
      </c>
      <c r="X124" s="72">
        <v>4.35527468</v>
      </c>
      <c r="Y124" s="72">
        <v>5.6447556699999994</v>
      </c>
      <c r="Z124" s="115">
        <v>7.2476191199999995</v>
      </c>
    </row>
    <row r="125" spans="2:26" x14ac:dyDescent="0.35">
      <c r="B125" s="57" t="s">
        <v>105</v>
      </c>
      <c r="C125" s="67" t="s">
        <v>35</v>
      </c>
      <c r="D125" s="67" t="s">
        <v>43</v>
      </c>
      <c r="E125" s="67" t="s">
        <v>21</v>
      </c>
      <c r="F125" s="74" t="s">
        <v>21</v>
      </c>
      <c r="G125" s="76">
        <v>1.068595297177243E-2</v>
      </c>
      <c r="H125" s="76">
        <v>1.936117524950141E-2</v>
      </c>
      <c r="I125" s="76">
        <v>2.3497375537629733E-2</v>
      </c>
      <c r="J125" s="64">
        <v>2.7028889810948253E-2</v>
      </c>
      <c r="K125" s="76" t="s">
        <v>21</v>
      </c>
      <c r="L125" s="76">
        <v>7.162892771772433E-3</v>
      </c>
      <c r="M125" s="76">
        <v>1.4831201749501411E-2</v>
      </c>
      <c r="N125" s="76">
        <v>1.8071679537629733E-2</v>
      </c>
      <c r="O125" s="76">
        <v>2.0327710710948257E-2</v>
      </c>
      <c r="P125" s="57" t="s">
        <v>21</v>
      </c>
      <c r="Q125" s="67" t="s">
        <v>21</v>
      </c>
      <c r="R125" s="96" t="s">
        <v>21</v>
      </c>
      <c r="S125" s="76">
        <v>0</v>
      </c>
      <c r="T125" s="64">
        <v>1.936117524950141E-2</v>
      </c>
      <c r="V125" s="114">
        <v>1.1284933500000001</v>
      </c>
      <c r="W125" s="72">
        <v>2.8333930199999999</v>
      </c>
      <c r="X125" s="72">
        <v>4.2982982500000002</v>
      </c>
      <c r="Y125" s="72">
        <v>5.5247826099999999</v>
      </c>
      <c r="Z125" s="115">
        <v>7.0088284900000009</v>
      </c>
    </row>
    <row r="126" spans="2:26" x14ac:dyDescent="0.35">
      <c r="B126" s="56" t="s">
        <v>106</v>
      </c>
      <c r="C126" s="66" t="s">
        <v>85</v>
      </c>
      <c r="D126" s="66" t="s">
        <v>62</v>
      </c>
      <c r="E126" s="66" t="s">
        <v>460</v>
      </c>
      <c r="F126" s="75" t="s">
        <v>21</v>
      </c>
      <c r="G126" s="80">
        <v>7.4445044850974295E-3</v>
      </c>
      <c r="H126" s="80">
        <v>1.407589520326828E-2</v>
      </c>
      <c r="I126" s="80">
        <v>1.7287054582557991E-2</v>
      </c>
      <c r="J126" s="62">
        <v>2.0198544494121215E-2</v>
      </c>
      <c r="K126" s="80" t="s">
        <v>21</v>
      </c>
      <c r="L126" s="80">
        <v>3.7744596850974319E-3</v>
      </c>
      <c r="M126" s="80">
        <v>9.4233358032682814E-3</v>
      </c>
      <c r="N126" s="80">
        <v>1.1762986582557993E-2</v>
      </c>
      <c r="O126" s="80">
        <v>1.3399407994121214E-2</v>
      </c>
      <c r="P126" s="56" t="s">
        <v>461</v>
      </c>
      <c r="Q126" s="66" t="s">
        <v>462</v>
      </c>
      <c r="R126" s="100" t="s">
        <v>32</v>
      </c>
      <c r="S126" s="80">
        <v>1.1738930000000002E-2</v>
      </c>
      <c r="T126" s="62">
        <v>2.3369652032682788E-3</v>
      </c>
      <c r="V126" s="118">
        <v>1.1292886600000001</v>
      </c>
      <c r="W126" s="61">
        <v>2.8433324799999999</v>
      </c>
      <c r="X126" s="61">
        <v>4.3328376400000002</v>
      </c>
      <c r="Y126" s="61">
        <v>5.5964265500000003</v>
      </c>
      <c r="Z126" s="119">
        <v>7.1474236900000001</v>
      </c>
    </row>
    <row r="127" spans="2:26" x14ac:dyDescent="0.35">
      <c r="B127" s="57" t="s">
        <v>106</v>
      </c>
      <c r="C127" s="67" t="s">
        <v>35</v>
      </c>
      <c r="D127" s="67" t="s">
        <v>62</v>
      </c>
      <c r="E127" s="67" t="s">
        <v>463</v>
      </c>
      <c r="F127" s="74" t="s">
        <v>21</v>
      </c>
      <c r="G127" s="76">
        <v>1.1106639257330558E-2</v>
      </c>
      <c r="H127" s="76">
        <v>2.0034256893884231E-2</v>
      </c>
      <c r="I127" s="76">
        <v>2.4159414329471683E-2</v>
      </c>
      <c r="J127" s="64">
        <v>2.7975845353937372E-2</v>
      </c>
      <c r="K127" s="76" t="s">
        <v>21</v>
      </c>
      <c r="L127" s="76">
        <v>7.5948649573305627E-3</v>
      </c>
      <c r="M127" s="76">
        <v>1.5508161593884228E-2</v>
      </c>
      <c r="N127" s="76">
        <v>1.8733774929471689E-2</v>
      </c>
      <c r="O127" s="76">
        <v>2.1273544553937377E-2</v>
      </c>
      <c r="P127" s="67" t="s">
        <v>21</v>
      </c>
      <c r="Q127" s="67" t="s">
        <v>21</v>
      </c>
      <c r="R127" s="96" t="s">
        <v>21</v>
      </c>
      <c r="S127" s="76">
        <v>0</v>
      </c>
      <c r="T127" s="64">
        <v>2.0034256893884231E-2</v>
      </c>
      <c r="V127" s="116">
        <v>1.12837813</v>
      </c>
      <c r="W127" s="108">
        <v>2.8312054400000002</v>
      </c>
      <c r="X127" s="108">
        <v>4.2903707500000001</v>
      </c>
      <c r="Y127" s="108">
        <v>5.5093426299999999</v>
      </c>
      <c r="Z127" s="117">
        <v>6.9769174899999991</v>
      </c>
    </row>
    <row r="128" spans="2:26" x14ac:dyDescent="0.35">
      <c r="B128" s="55" t="s">
        <v>107</v>
      </c>
      <c r="C128" s="53" t="s">
        <v>85</v>
      </c>
      <c r="D128" s="53" t="s">
        <v>62</v>
      </c>
      <c r="E128" s="53" t="s">
        <v>266</v>
      </c>
      <c r="F128" s="73" t="s">
        <v>21</v>
      </c>
      <c r="G128" s="71">
        <v>7.3764284845458947E-3</v>
      </c>
      <c r="H128" s="71">
        <v>1.3972443332320381E-2</v>
      </c>
      <c r="I128" s="71">
        <v>1.7339268974394008E-2</v>
      </c>
      <c r="J128" s="63">
        <v>2.0197592343548423E-2</v>
      </c>
      <c r="K128" s="71" t="s">
        <v>21</v>
      </c>
      <c r="L128" s="71">
        <v>3.7022867845458926E-3</v>
      </c>
      <c r="M128" s="71">
        <v>9.3159571323203801E-3</v>
      </c>
      <c r="N128" s="71">
        <v>1.1815744574394008E-2</v>
      </c>
      <c r="O128" s="71">
        <v>1.3398672443548424E-2</v>
      </c>
      <c r="P128" s="55" t="s">
        <v>21</v>
      </c>
      <c r="Q128" s="53" t="s">
        <v>21</v>
      </c>
      <c r="R128" s="94" t="s">
        <v>21</v>
      </c>
      <c r="S128" s="71">
        <v>0</v>
      </c>
      <c r="T128" s="63">
        <v>1.3972443332320381E-2</v>
      </c>
      <c r="V128" s="114">
        <v>1.1289202599999999</v>
      </c>
      <c r="W128" s="72">
        <v>2.8430782000000003</v>
      </c>
      <c r="X128" s="72">
        <v>4.3337542100000004</v>
      </c>
      <c r="Y128" s="72">
        <v>5.5970112500000004</v>
      </c>
      <c r="Z128" s="115">
        <v>7.14750584</v>
      </c>
    </row>
    <row r="129" spans="2:26" x14ac:dyDescent="0.35">
      <c r="B129" s="55" t="s">
        <v>107</v>
      </c>
      <c r="C129" s="53" t="s">
        <v>35</v>
      </c>
      <c r="D129" s="53" t="s">
        <v>62</v>
      </c>
      <c r="E129" s="53" t="s">
        <v>291</v>
      </c>
      <c r="F129" s="73" t="s">
        <v>21</v>
      </c>
      <c r="G129" s="71">
        <v>1.0441415146907627E-2</v>
      </c>
      <c r="H129" s="71">
        <v>1.8973918410494062E-2</v>
      </c>
      <c r="I129" s="71">
        <v>2.2823726999252898E-2</v>
      </c>
      <c r="J129" s="63">
        <v>2.6660535672531568E-2</v>
      </c>
      <c r="K129" s="71" t="s">
        <v>21</v>
      </c>
      <c r="L129" s="71">
        <v>6.9114958469076275E-3</v>
      </c>
      <c r="M129" s="71">
        <v>1.4441065510494063E-2</v>
      </c>
      <c r="N129" s="71">
        <v>1.7397491399252899E-2</v>
      </c>
      <c r="O129" s="71">
        <v>1.9956849372531567E-2</v>
      </c>
      <c r="P129" s="55" t="s">
        <v>21</v>
      </c>
      <c r="Q129" s="53" t="s">
        <v>21</v>
      </c>
      <c r="R129" s="94" t="s">
        <v>21</v>
      </c>
      <c r="S129" s="71">
        <v>0</v>
      </c>
      <c r="T129" s="63">
        <v>1.8973918410494062E-2</v>
      </c>
      <c r="V129" s="114">
        <v>1.12848342</v>
      </c>
      <c r="W129" s="72">
        <v>2.8345213599999997</v>
      </c>
      <c r="X129" s="72">
        <v>4.3027296899999996</v>
      </c>
      <c r="Y129" s="72">
        <v>5.5362299500000001</v>
      </c>
      <c r="Z129" s="115">
        <v>7.0289627800000005</v>
      </c>
    </row>
    <row r="130" spans="2:26" x14ac:dyDescent="0.35">
      <c r="B130" s="97" t="s">
        <v>83</v>
      </c>
      <c r="C130" s="98"/>
      <c r="D130" s="98"/>
      <c r="E130" s="98"/>
      <c r="F130" s="78"/>
      <c r="G130" s="78"/>
      <c r="H130" s="78"/>
      <c r="I130" s="78"/>
      <c r="J130" s="78"/>
      <c r="K130" s="98"/>
      <c r="L130" s="98"/>
      <c r="M130" s="98"/>
      <c r="N130" s="98"/>
      <c r="O130" s="98"/>
      <c r="P130" s="97"/>
      <c r="Q130" s="98"/>
      <c r="R130" s="101"/>
      <c r="S130" s="98"/>
      <c r="T130" s="99"/>
      <c r="V130" s="120"/>
      <c r="W130" s="109"/>
      <c r="X130" s="109"/>
      <c r="Y130" s="109"/>
      <c r="Z130" s="121"/>
    </row>
    <row r="131" spans="2:26" x14ac:dyDescent="0.35">
      <c r="B131" s="56" t="s">
        <v>108</v>
      </c>
      <c r="C131" s="66" t="s">
        <v>85</v>
      </c>
      <c r="D131" s="66" t="s">
        <v>20</v>
      </c>
      <c r="E131" s="65" t="s">
        <v>58</v>
      </c>
      <c r="F131" s="80" t="s">
        <v>21</v>
      </c>
      <c r="G131" s="80">
        <v>7.336786727301231E-3</v>
      </c>
      <c r="H131" s="80">
        <v>1.3539391230948768E-2</v>
      </c>
      <c r="I131" s="80">
        <v>1.7700539738110737E-2</v>
      </c>
      <c r="J131" s="62">
        <v>2.0895679566469365E-2</v>
      </c>
      <c r="K131" s="80" t="s">
        <v>21</v>
      </c>
      <c r="L131" s="80">
        <v>3.660084727301231E-3</v>
      </c>
      <c r="M131" s="80">
        <v>8.8659491309487706E-3</v>
      </c>
      <c r="N131" s="80">
        <v>1.2183761438110736E-2</v>
      </c>
      <c r="O131" s="80">
        <v>1.4115157166469364E-2</v>
      </c>
      <c r="P131" s="56" t="s">
        <v>464</v>
      </c>
      <c r="Q131" s="66" t="s">
        <v>465</v>
      </c>
      <c r="R131" s="100">
        <v>47580</v>
      </c>
      <c r="S131" s="80">
        <v>1.094623E-2</v>
      </c>
      <c r="T131" s="62">
        <v>2.5931612309487689E-3</v>
      </c>
      <c r="V131" s="118">
        <v>1.12884491</v>
      </c>
      <c r="W131" s="61">
        <v>2.8435256600000001</v>
      </c>
      <c r="X131" s="61">
        <v>4.3395720200000003</v>
      </c>
      <c r="Y131" s="61">
        <v>5.5983652100000008</v>
      </c>
      <c r="Z131" s="119">
        <v>7.1312456100000006</v>
      </c>
    </row>
    <row r="132" spans="2:26" x14ac:dyDescent="0.35">
      <c r="B132" s="55" t="s">
        <v>109</v>
      </c>
      <c r="C132" s="53" t="s">
        <v>85</v>
      </c>
      <c r="D132" s="53" t="s">
        <v>20</v>
      </c>
      <c r="E132" s="59" t="s">
        <v>54</v>
      </c>
      <c r="F132" s="71">
        <v>1.3195780712491785E-3</v>
      </c>
      <c r="G132" s="71">
        <v>1.3325834931962779E-2</v>
      </c>
      <c r="H132" s="71">
        <v>2.3558573739878276E-2</v>
      </c>
      <c r="I132" s="71">
        <v>2.967248820938221E-2</v>
      </c>
      <c r="J132" s="63">
        <v>3.10249365129973E-2</v>
      </c>
      <c r="K132" s="71" t="s">
        <v>21</v>
      </c>
      <c r="L132" s="71">
        <v>9.8284143319627842E-3</v>
      </c>
      <c r="M132" s="71">
        <v>1.8960181239878277E-2</v>
      </c>
      <c r="N132" s="71">
        <v>2.4099829909382212E-2</v>
      </c>
      <c r="O132" s="71">
        <v>2.4258667812997292E-2</v>
      </c>
      <c r="P132" s="55" t="s">
        <v>466</v>
      </c>
      <c r="Q132" s="53" t="s">
        <v>467</v>
      </c>
      <c r="R132" s="94">
        <v>47618</v>
      </c>
      <c r="S132" s="71">
        <v>1.401322E-2</v>
      </c>
      <c r="T132" s="63">
        <v>9.5453537398782762E-3</v>
      </c>
      <c r="V132" s="114">
        <v>1.1227490099999999</v>
      </c>
      <c r="W132" s="72">
        <v>2.7962051000000003</v>
      </c>
      <c r="X132" s="72">
        <v>4.1797388400000006</v>
      </c>
      <c r="Y132" s="72">
        <v>5.2679484800000003</v>
      </c>
      <c r="Z132" s="115">
        <v>6.5564624899999995</v>
      </c>
    </row>
    <row r="133" spans="2:26" x14ac:dyDescent="0.35">
      <c r="B133" s="57" t="s">
        <v>111</v>
      </c>
      <c r="C133" s="67" t="s">
        <v>85</v>
      </c>
      <c r="D133" s="67" t="s">
        <v>20</v>
      </c>
      <c r="E133" s="54" t="s">
        <v>112</v>
      </c>
      <c r="F133" s="76" t="s">
        <v>21</v>
      </c>
      <c r="G133" s="76">
        <v>9.4796201142146423E-3</v>
      </c>
      <c r="H133" s="76">
        <v>1.6475618947218044E-2</v>
      </c>
      <c r="I133" s="76">
        <v>1.9986477319320302E-2</v>
      </c>
      <c r="J133" s="64">
        <v>2.3110187296846191E-2</v>
      </c>
      <c r="K133" s="76" t="s">
        <v>21</v>
      </c>
      <c r="L133" s="76">
        <v>5.9058904142146413E-3</v>
      </c>
      <c r="M133" s="76">
        <v>1.1884614347218048E-2</v>
      </c>
      <c r="N133" s="76">
        <v>1.4513000719320299E-2</v>
      </c>
      <c r="O133" s="76">
        <v>1.637372359684619E-2</v>
      </c>
      <c r="P133" s="57" t="s">
        <v>21</v>
      </c>
      <c r="Q133" s="67" t="s">
        <v>21</v>
      </c>
      <c r="R133" s="96" t="s">
        <v>21</v>
      </c>
      <c r="S133" s="76">
        <v>0</v>
      </c>
      <c r="T133" s="64">
        <v>1.6475618947218044E-2</v>
      </c>
      <c r="V133" s="116">
        <v>1.1268776</v>
      </c>
      <c r="W133" s="108">
        <v>2.82648703</v>
      </c>
      <c r="X133" s="108">
        <v>4.2892143899999997</v>
      </c>
      <c r="Y133" s="108">
        <v>5.5117296800000002</v>
      </c>
      <c r="Z133" s="117">
        <v>6.9829560500000003</v>
      </c>
    </row>
    <row r="134" spans="2:26" x14ac:dyDescent="0.35">
      <c r="P134" s="128"/>
      <c r="Q134" s="128"/>
      <c r="R134" s="44"/>
      <c r="S134" s="128"/>
      <c r="T134" s="128"/>
      <c r="V134" s="72"/>
      <c r="W134" s="72"/>
      <c r="X134" s="72"/>
      <c r="Y134" s="72"/>
      <c r="Z134" s="72"/>
    </row>
    <row r="135" spans="2:26" ht="15.5" x14ac:dyDescent="0.35">
      <c r="B135" s="122" t="s">
        <v>113</v>
      </c>
      <c r="R135" s="94"/>
      <c r="S135" s="71"/>
      <c r="T135" s="71"/>
      <c r="V135" s="72"/>
      <c r="W135" s="72"/>
      <c r="X135" s="72"/>
      <c r="Y135" s="72"/>
      <c r="Z135" s="72"/>
    </row>
    <row r="136" spans="2:26" x14ac:dyDescent="0.35">
      <c r="B136" s="85" t="s">
        <v>5</v>
      </c>
      <c r="C136" s="84" t="s">
        <v>6</v>
      </c>
      <c r="D136" s="84" t="s">
        <v>7</v>
      </c>
      <c r="E136" s="84" t="s">
        <v>8</v>
      </c>
      <c r="F136" s="83" t="s">
        <v>9</v>
      </c>
      <c r="G136" s="82" t="s">
        <v>10</v>
      </c>
      <c r="H136" s="82" t="s">
        <v>11</v>
      </c>
      <c r="I136" s="82" t="s">
        <v>12</v>
      </c>
      <c r="J136" s="81" t="s">
        <v>13</v>
      </c>
      <c r="K136" s="58" t="s">
        <v>9</v>
      </c>
      <c r="L136" s="58" t="s">
        <v>10</v>
      </c>
      <c r="M136" s="58" t="s">
        <v>11</v>
      </c>
      <c r="N136" s="58" t="s">
        <v>12</v>
      </c>
      <c r="O136" s="58" t="s">
        <v>13</v>
      </c>
      <c r="P136" s="70" t="s">
        <v>14</v>
      </c>
      <c r="Q136" s="58" t="s">
        <v>15</v>
      </c>
      <c r="R136" s="58" t="s">
        <v>16</v>
      </c>
      <c r="S136" s="58" t="s">
        <v>409</v>
      </c>
      <c r="T136" s="58" t="s">
        <v>18</v>
      </c>
      <c r="V136" s="110" t="s">
        <v>9</v>
      </c>
      <c r="W136" s="106" t="s">
        <v>10</v>
      </c>
      <c r="X136" s="106" t="s">
        <v>11</v>
      </c>
      <c r="Y136" s="106" t="s">
        <v>12</v>
      </c>
      <c r="Z136" s="111" t="s">
        <v>13</v>
      </c>
    </row>
    <row r="137" spans="2:26" x14ac:dyDescent="0.35">
      <c r="B137" s="79" t="s">
        <v>114</v>
      </c>
      <c r="C137" s="9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9"/>
      <c r="Q137" s="78"/>
      <c r="R137" s="95"/>
      <c r="S137" s="78"/>
      <c r="T137" s="77"/>
      <c r="V137" s="112"/>
      <c r="W137" s="107"/>
      <c r="X137" s="107"/>
      <c r="Y137" s="107"/>
      <c r="Z137" s="113"/>
    </row>
    <row r="138" spans="2:26" x14ac:dyDescent="0.35">
      <c r="B138" s="56" t="s">
        <v>319</v>
      </c>
      <c r="C138" s="66" t="s">
        <v>234</v>
      </c>
      <c r="D138" s="66" t="s">
        <v>20</v>
      </c>
      <c r="E138" s="66" t="s">
        <v>21</v>
      </c>
      <c r="F138" s="80">
        <v>9.8489126044735715E-4</v>
      </c>
      <c r="G138" s="80">
        <v>1.5410187392720258E-2</v>
      </c>
      <c r="H138" s="80">
        <v>3.091828131709384E-2</v>
      </c>
      <c r="I138" s="80">
        <v>3.7044197000865621E-2</v>
      </c>
      <c r="J138" s="62">
        <v>4.1206147118120644E-2</v>
      </c>
      <c r="K138" s="80" t="s">
        <v>21</v>
      </c>
      <c r="L138" s="80">
        <v>1.1909601892720258E-2</v>
      </c>
      <c r="M138" s="80">
        <v>2.6125150517093836E-2</v>
      </c>
      <c r="N138" s="80">
        <v>3.1224247600865625E-2</v>
      </c>
      <c r="O138" s="80">
        <v>3.4125482618120644E-2</v>
      </c>
      <c r="P138" s="56" t="s">
        <v>21</v>
      </c>
      <c r="Q138" s="66" t="s">
        <v>21</v>
      </c>
      <c r="R138" s="100" t="s">
        <v>21</v>
      </c>
      <c r="S138" s="75">
        <v>0</v>
      </c>
      <c r="T138" s="62">
        <v>3.091828131709384E-2</v>
      </c>
      <c r="V138" s="114">
        <v>1.1238932700000002</v>
      </c>
      <c r="W138" s="72">
        <v>2.7847178800000001</v>
      </c>
      <c r="X138" s="72">
        <v>4.0967280299999995</v>
      </c>
      <c r="Y138" s="72">
        <v>5.0839084200000002</v>
      </c>
      <c r="Z138" s="115">
        <v>6.1557034900000005</v>
      </c>
    </row>
    <row r="139" spans="2:26" x14ac:dyDescent="0.35">
      <c r="B139" s="55" t="s">
        <v>177</v>
      </c>
      <c r="C139" s="53" t="s">
        <v>234</v>
      </c>
      <c r="D139" s="53" t="s">
        <v>43</v>
      </c>
      <c r="E139" s="53" t="s">
        <v>21</v>
      </c>
      <c r="F139" s="71">
        <v>6.4307304890709807E-4</v>
      </c>
      <c r="G139" s="71">
        <v>1.60897581149478E-2</v>
      </c>
      <c r="H139" s="71">
        <v>2.9106683772057794E-2</v>
      </c>
      <c r="I139" s="71">
        <v>3.7343579711819376E-2</v>
      </c>
      <c r="J139" s="63">
        <v>4.065962233358527E-2</v>
      </c>
      <c r="K139" s="71" t="s">
        <v>21</v>
      </c>
      <c r="L139" s="71">
        <v>1.25868087149478E-2</v>
      </c>
      <c r="M139" s="71">
        <v>2.4375174772057799E-2</v>
      </c>
      <c r="N139" s="71">
        <v>3.1503652311819376E-2</v>
      </c>
      <c r="O139" s="71">
        <v>3.360265673358527E-2</v>
      </c>
      <c r="P139" s="55" t="s">
        <v>21</v>
      </c>
      <c r="Q139" s="53" t="s">
        <v>21</v>
      </c>
      <c r="R139" s="94" t="s">
        <v>21</v>
      </c>
      <c r="S139" s="73">
        <v>0</v>
      </c>
      <c r="T139" s="63">
        <v>2.9106683772057794E-2</v>
      </c>
      <c r="V139" s="114">
        <v>1.1246973499999999</v>
      </c>
      <c r="W139" s="72">
        <v>2.7798753400000003</v>
      </c>
      <c r="X139" s="72">
        <v>4.1058790599999995</v>
      </c>
      <c r="Y139" s="72">
        <v>5.0980652800000001</v>
      </c>
      <c r="Z139" s="115">
        <v>6.1786174000000003</v>
      </c>
    </row>
    <row r="140" spans="2:26" x14ac:dyDescent="0.35">
      <c r="B140" s="55" t="s">
        <v>122</v>
      </c>
      <c r="C140" s="53" t="s">
        <v>234</v>
      </c>
      <c r="D140" s="53" t="s">
        <v>97</v>
      </c>
      <c r="E140" s="53" t="s">
        <v>269</v>
      </c>
      <c r="F140" s="71">
        <v>1.6318782641935609E-4</v>
      </c>
      <c r="G140" s="71">
        <v>1.5628364662045143E-2</v>
      </c>
      <c r="H140" s="71">
        <v>2.8322853060877326E-2</v>
      </c>
      <c r="I140" s="71">
        <v>3.6373117154964066E-2</v>
      </c>
      <c r="J140" s="63">
        <v>4.2165674412106023E-2</v>
      </c>
      <c r="K140" s="71" t="s">
        <v>21</v>
      </c>
      <c r="L140" s="71">
        <v>1.2129812962045143E-2</v>
      </c>
      <c r="M140" s="71">
        <v>2.3616997760877327E-2</v>
      </c>
      <c r="N140" s="71">
        <v>3.0576350454964069E-2</v>
      </c>
      <c r="O140" s="71">
        <v>3.5037914412106026E-2</v>
      </c>
      <c r="P140" s="55" t="s">
        <v>21</v>
      </c>
      <c r="Q140" s="53" t="s">
        <v>21</v>
      </c>
      <c r="R140" s="94" t="s">
        <v>21</v>
      </c>
      <c r="S140" s="73">
        <v>0</v>
      </c>
      <c r="T140" s="63">
        <v>2.8322853060877326E-2</v>
      </c>
      <c r="V140" s="114">
        <v>1.1256993399999999</v>
      </c>
      <c r="W140" s="72">
        <v>2.7852722299999999</v>
      </c>
      <c r="X140" s="72">
        <v>4.1194612099999999</v>
      </c>
      <c r="Y140" s="72">
        <v>5.1237400400000004</v>
      </c>
      <c r="Z140" s="115">
        <v>6.1837904999999997</v>
      </c>
    </row>
    <row r="141" spans="2:26" x14ac:dyDescent="0.35">
      <c r="B141" s="55" t="s">
        <v>170</v>
      </c>
      <c r="C141" s="53" t="s">
        <v>234</v>
      </c>
      <c r="D141" s="53" t="s">
        <v>20</v>
      </c>
      <c r="E141" s="53" t="s">
        <v>21</v>
      </c>
      <c r="F141" s="71">
        <v>3.1538616328273608E-3</v>
      </c>
      <c r="G141" s="71">
        <v>1.5925468399505781E-2</v>
      </c>
      <c r="H141" s="71">
        <v>2.7044575701985027E-2</v>
      </c>
      <c r="I141" s="71">
        <v>3.1821213577797582E-2</v>
      </c>
      <c r="J141" s="63">
        <v>3.6117740921646643E-2</v>
      </c>
      <c r="K141" s="71">
        <v>1.0637731328273599E-3</v>
      </c>
      <c r="L141" s="71">
        <v>1.2425354899505784E-2</v>
      </c>
      <c r="M141" s="71">
        <v>2.2368963201985021E-2</v>
      </c>
      <c r="N141" s="71">
        <v>2.6191864177797577E-2</v>
      </c>
      <c r="O141" s="71">
        <v>2.9211713221646635E-2</v>
      </c>
      <c r="P141" s="55" t="s">
        <v>468</v>
      </c>
      <c r="Q141" s="53" t="s">
        <v>469</v>
      </c>
      <c r="R141" s="94">
        <v>47505</v>
      </c>
      <c r="S141" s="73">
        <v>2.0086159999999999E-2</v>
      </c>
      <c r="T141" s="63">
        <v>6.9584157019850282E-3</v>
      </c>
      <c r="V141" s="114">
        <v>1.1179228299999999</v>
      </c>
      <c r="W141" s="72">
        <v>2.7691026700000001</v>
      </c>
      <c r="X141" s="72">
        <v>4.1191513100000003</v>
      </c>
      <c r="Y141" s="72">
        <v>5.1671399600000001</v>
      </c>
      <c r="Z141" s="115">
        <v>6.3475623699999995</v>
      </c>
    </row>
    <row r="142" spans="2:26" x14ac:dyDescent="0.35">
      <c r="B142" s="55" t="s">
        <v>153</v>
      </c>
      <c r="C142" s="53" t="s">
        <v>234</v>
      </c>
      <c r="D142" s="53" t="s">
        <v>20</v>
      </c>
      <c r="E142" s="53" t="s">
        <v>123</v>
      </c>
      <c r="F142" s="71">
        <v>2.4753654329314288E-3</v>
      </c>
      <c r="G142" s="71">
        <v>1.7743103532817099E-2</v>
      </c>
      <c r="H142" s="71">
        <v>2.6275701065401863E-2</v>
      </c>
      <c r="I142" s="71">
        <v>3.1171470808781333E-2</v>
      </c>
      <c r="J142" s="63">
        <v>3.4069945455466308E-2</v>
      </c>
      <c r="K142" s="71">
        <v>3.6196753293142939E-4</v>
      </c>
      <c r="L142" s="71">
        <v>1.4222735432817098E-2</v>
      </c>
      <c r="M142" s="71">
        <v>2.1620910065401858E-2</v>
      </c>
      <c r="N142" s="71">
        <v>2.5554476808781333E-2</v>
      </c>
      <c r="O142" s="71">
        <v>2.7219532855466307E-2</v>
      </c>
      <c r="P142" s="55" t="s">
        <v>470</v>
      </c>
      <c r="Q142" s="53" t="s">
        <v>471</v>
      </c>
      <c r="R142" s="94">
        <v>47484</v>
      </c>
      <c r="S142" s="73">
        <v>1.7319810000000001E-2</v>
      </c>
      <c r="T142" s="63">
        <v>8.9558910654018616E-3</v>
      </c>
      <c r="V142" s="114">
        <v>1.11974372</v>
      </c>
      <c r="W142" s="72">
        <v>2.7613617000000001</v>
      </c>
      <c r="X142" s="72">
        <v>4.1113912299999997</v>
      </c>
      <c r="Y142" s="72">
        <v>5.1753449900000001</v>
      </c>
      <c r="Z142" s="115">
        <v>6.3965505199999999</v>
      </c>
    </row>
    <row r="143" spans="2:26" x14ac:dyDescent="0.35">
      <c r="B143" s="55" t="s">
        <v>176</v>
      </c>
      <c r="C143" s="53" t="s">
        <v>234</v>
      </c>
      <c r="D143" s="53" t="s">
        <v>47</v>
      </c>
      <c r="E143" s="53" t="s">
        <v>21</v>
      </c>
      <c r="F143" s="71">
        <v>2.905297117760163E-3</v>
      </c>
      <c r="G143" s="71">
        <v>1.4045315341604209E-2</v>
      </c>
      <c r="H143" s="71">
        <v>2.3310107936645837E-2</v>
      </c>
      <c r="I143" s="71">
        <v>2.658787637287232E-2</v>
      </c>
      <c r="J143" s="63">
        <v>2.9489173766068875E-2</v>
      </c>
      <c r="K143" s="71">
        <v>8.0450831776015998E-4</v>
      </c>
      <c r="L143" s="71">
        <v>1.0547141041604209E-2</v>
      </c>
      <c r="M143" s="71">
        <v>1.8710902936645835E-2</v>
      </c>
      <c r="N143" s="71">
        <v>2.1081615272872327E-2</v>
      </c>
      <c r="O143" s="71">
        <v>2.2732775166068874E-2</v>
      </c>
      <c r="P143" s="55" t="s">
        <v>21</v>
      </c>
      <c r="Q143" s="53" t="s">
        <v>21</v>
      </c>
      <c r="R143" s="94" t="s">
        <v>21</v>
      </c>
      <c r="S143" s="73">
        <v>0</v>
      </c>
      <c r="T143" s="63">
        <v>2.3310107936645837E-2</v>
      </c>
      <c r="V143" s="114">
        <v>1.1186997299999999</v>
      </c>
      <c r="W143" s="72">
        <v>2.78436621</v>
      </c>
      <c r="X143" s="72">
        <v>4.1686173899999996</v>
      </c>
      <c r="Y143" s="72">
        <v>5.2949366900000001</v>
      </c>
      <c r="Z143" s="115">
        <v>6.6181784199999996</v>
      </c>
    </row>
    <row r="144" spans="2:26" x14ac:dyDescent="0.35">
      <c r="B144" s="55" t="s">
        <v>325</v>
      </c>
      <c r="C144" s="53" t="s">
        <v>234</v>
      </c>
      <c r="D144" s="53" t="s">
        <v>69</v>
      </c>
      <c r="E144" s="53" t="s">
        <v>116</v>
      </c>
      <c r="F144" s="71">
        <v>5.0388050674490814E-4</v>
      </c>
      <c r="G144" s="71">
        <v>1.2233292918202548E-2</v>
      </c>
      <c r="H144" s="71">
        <v>2.3192726599535817E-2</v>
      </c>
      <c r="I144" s="71">
        <v>2.881245326951605E-2</v>
      </c>
      <c r="J144" s="63">
        <v>3.3064530729008036E-2</v>
      </c>
      <c r="K144" s="71" t="s">
        <v>21</v>
      </c>
      <c r="L144" s="71">
        <v>8.723335818202553E-3</v>
      </c>
      <c r="M144" s="71">
        <v>1.8597063599535817E-2</v>
      </c>
      <c r="N144" s="71">
        <v>2.3260620369516045E-2</v>
      </c>
      <c r="O144" s="71">
        <v>2.6247282229008038E-2</v>
      </c>
      <c r="P144" s="55" t="s">
        <v>376</v>
      </c>
      <c r="Q144" s="53" t="s">
        <v>377</v>
      </c>
      <c r="R144" s="94" t="s">
        <v>32</v>
      </c>
      <c r="S144" s="73">
        <v>1.3220300000000001E-2</v>
      </c>
      <c r="T144" s="63">
        <v>9.9724265995358163E-3</v>
      </c>
      <c r="V144" s="114">
        <v>1.1250247099999999</v>
      </c>
      <c r="W144" s="72">
        <v>2.8054512300000001</v>
      </c>
      <c r="X144" s="72">
        <v>4.1950182099999997</v>
      </c>
      <c r="Y144" s="72">
        <v>5.2946385399999993</v>
      </c>
      <c r="Z144" s="115">
        <v>6.5384510699999998</v>
      </c>
    </row>
    <row r="145" spans="2:26" x14ac:dyDescent="0.35">
      <c r="B145" s="55" t="s">
        <v>173</v>
      </c>
      <c r="C145" s="53" t="s">
        <v>234</v>
      </c>
      <c r="D145" s="53" t="s">
        <v>20</v>
      </c>
      <c r="E145" s="53" t="s">
        <v>290</v>
      </c>
      <c r="F145" s="71">
        <v>1.5297628652101826E-3</v>
      </c>
      <c r="G145" s="71">
        <v>1.2760436759513216E-2</v>
      </c>
      <c r="H145" s="71">
        <v>2.1967886020305014E-2</v>
      </c>
      <c r="I145" s="71">
        <v>2.644671605359759E-2</v>
      </c>
      <c r="J145" s="63">
        <v>3.0524294651816455E-2</v>
      </c>
      <c r="K145" s="71" t="s">
        <v>21</v>
      </c>
      <c r="L145" s="71">
        <v>9.2551894595132161E-3</v>
      </c>
      <c r="M145" s="71">
        <v>1.7388036120305012E-2</v>
      </c>
      <c r="N145" s="71">
        <v>2.0945147253597588E-2</v>
      </c>
      <c r="O145" s="71">
        <v>2.3756367851816455E-2</v>
      </c>
      <c r="P145" s="55" t="s">
        <v>472</v>
      </c>
      <c r="Q145" s="53" t="s">
        <v>473</v>
      </c>
      <c r="R145" s="94">
        <v>47644</v>
      </c>
      <c r="S145" s="73">
        <v>1.466869E-2</v>
      </c>
      <c r="T145" s="63">
        <v>7.2991960203050137E-3</v>
      </c>
      <c r="V145" s="114">
        <v>1.1222797899999999</v>
      </c>
      <c r="W145" s="72">
        <v>2.7996565800000002</v>
      </c>
      <c r="X145" s="72">
        <v>4.20022071</v>
      </c>
      <c r="Y145" s="72">
        <v>5.3281743500000003</v>
      </c>
      <c r="Z145" s="115">
        <v>6.6294081800000004</v>
      </c>
    </row>
    <row r="146" spans="2:26" x14ac:dyDescent="0.35">
      <c r="B146" s="55" t="s">
        <v>130</v>
      </c>
      <c r="C146" s="53" t="s">
        <v>234</v>
      </c>
      <c r="D146" s="53" t="s">
        <v>131</v>
      </c>
      <c r="E146" s="53" t="s">
        <v>21</v>
      </c>
      <c r="F146" s="71">
        <v>1.2893390846660871E-4</v>
      </c>
      <c r="G146" s="71">
        <v>1.1652516595831851E-2</v>
      </c>
      <c r="H146" s="71">
        <v>2.1385788292753088E-2</v>
      </c>
      <c r="I146" s="71">
        <v>2.7528390903182924E-2</v>
      </c>
      <c r="J146" s="63">
        <v>3.1517070022751364E-2</v>
      </c>
      <c r="K146" s="71" t="s">
        <v>21</v>
      </c>
      <c r="L146" s="71">
        <v>8.1335214958318559E-3</v>
      </c>
      <c r="M146" s="71">
        <v>1.6811028592753092E-2</v>
      </c>
      <c r="N146" s="71">
        <v>2.2001621803182918E-2</v>
      </c>
      <c r="O146" s="71">
        <v>2.4734448022751359E-2</v>
      </c>
      <c r="P146" s="55" t="s">
        <v>474</v>
      </c>
      <c r="Q146" s="53" t="s">
        <v>475</v>
      </c>
      <c r="R146" s="94">
        <v>47532</v>
      </c>
      <c r="S146" s="73">
        <v>1.277059E-2</v>
      </c>
      <c r="T146" s="63">
        <v>8.6151982927530884E-3</v>
      </c>
      <c r="V146" s="114">
        <v>1.1258293000000001</v>
      </c>
      <c r="W146" s="72">
        <v>2.8105460200000003</v>
      </c>
      <c r="X146" s="72">
        <v>4.2188301199999998</v>
      </c>
      <c r="Y146" s="72">
        <v>5.3381506099999996</v>
      </c>
      <c r="Z146" s="115">
        <v>6.61465572</v>
      </c>
    </row>
    <row r="147" spans="2:26" x14ac:dyDescent="0.35">
      <c r="B147" s="55" t="s">
        <v>118</v>
      </c>
      <c r="C147" s="53" t="s">
        <v>234</v>
      </c>
      <c r="D147" s="53" t="s">
        <v>20</v>
      </c>
      <c r="E147" s="53" t="s">
        <v>21</v>
      </c>
      <c r="F147" s="71">
        <v>3.9150055196073182E-4</v>
      </c>
      <c r="G147" s="71">
        <v>1.1628147934028429E-2</v>
      </c>
      <c r="H147" s="71">
        <v>2.1097929225470418E-2</v>
      </c>
      <c r="I147" s="71">
        <v>2.6383850715453648E-2</v>
      </c>
      <c r="J147" s="63">
        <v>2.9711037754016806E-2</v>
      </c>
      <c r="K147" s="71" t="s">
        <v>21</v>
      </c>
      <c r="L147" s="71">
        <v>8.1089822340284327E-3</v>
      </c>
      <c r="M147" s="71">
        <v>1.6526149525470418E-2</v>
      </c>
      <c r="N147" s="71">
        <v>2.087984421545365E-2</v>
      </c>
      <c r="O147" s="71">
        <v>2.2960826554016808E-2</v>
      </c>
      <c r="P147" s="55" t="s">
        <v>476</v>
      </c>
      <c r="Q147" s="53" t="s">
        <v>477</v>
      </c>
      <c r="R147" s="94">
        <v>47557</v>
      </c>
      <c r="S147" s="73">
        <v>1.303054E-2</v>
      </c>
      <c r="T147" s="63">
        <v>8.0673892254704178E-3</v>
      </c>
      <c r="V147" s="114">
        <v>1.1252846699999999</v>
      </c>
      <c r="W147" s="72">
        <v>2.8097642400000002</v>
      </c>
      <c r="X147" s="72">
        <v>4.2206856199999994</v>
      </c>
      <c r="Y147" s="72">
        <v>5.3577848800000005</v>
      </c>
      <c r="Z147" s="115">
        <v>6.6754124700000004</v>
      </c>
    </row>
    <row r="148" spans="2:26" x14ac:dyDescent="0.35">
      <c r="B148" s="55" t="s">
        <v>320</v>
      </c>
      <c r="C148" s="53" t="s">
        <v>234</v>
      </c>
      <c r="D148" s="53" t="s">
        <v>20</v>
      </c>
      <c r="E148" s="53" t="s">
        <v>123</v>
      </c>
      <c r="F148" s="71">
        <v>3.4391960102654693E-4</v>
      </c>
      <c r="G148" s="71">
        <v>1.1800498473144096E-2</v>
      </c>
      <c r="H148" s="71">
        <v>2.0210522148488112E-2</v>
      </c>
      <c r="I148" s="71">
        <v>2.4319737451970528E-2</v>
      </c>
      <c r="J148" s="63">
        <v>2.7524471727072706E-2</v>
      </c>
      <c r="K148" s="71" t="s">
        <v>21</v>
      </c>
      <c r="L148" s="71">
        <v>8.2847866731440983E-3</v>
      </c>
      <c r="M148" s="71">
        <v>1.5643589948488114E-2</v>
      </c>
      <c r="N148" s="71">
        <v>1.8845432751970526E-2</v>
      </c>
      <c r="O148" s="71">
        <v>2.0795288527072707E-2</v>
      </c>
      <c r="P148" s="55" t="s">
        <v>21</v>
      </c>
      <c r="Q148" s="53" t="s">
        <v>21</v>
      </c>
      <c r="R148" s="94" t="s">
        <v>21</v>
      </c>
      <c r="S148" s="73">
        <v>0</v>
      </c>
      <c r="T148" s="63">
        <v>2.0210522148488112E-2</v>
      </c>
      <c r="V148" s="114">
        <v>1.1253707900000001</v>
      </c>
      <c r="W148" s="72">
        <v>2.8074415200000002</v>
      </c>
      <c r="X148" s="72">
        <v>4.2270309800000003</v>
      </c>
      <c r="Y148" s="72">
        <v>5.3860622099999995</v>
      </c>
      <c r="Z148" s="115">
        <v>6.7526355999999996</v>
      </c>
    </row>
    <row r="149" spans="2:26" x14ac:dyDescent="0.35">
      <c r="B149" s="55" t="s">
        <v>334</v>
      </c>
      <c r="C149" s="53" t="s">
        <v>234</v>
      </c>
      <c r="D149" s="53" t="s">
        <v>20</v>
      </c>
      <c r="E149" s="53" t="s">
        <v>318</v>
      </c>
      <c r="F149" s="71" t="s">
        <v>21</v>
      </c>
      <c r="G149" s="71">
        <v>1.0179266492736729E-2</v>
      </c>
      <c r="H149" s="71">
        <v>1.9992606779965779E-2</v>
      </c>
      <c r="I149" s="71">
        <v>2.4203986423180661E-2</v>
      </c>
      <c r="J149" s="63">
        <v>2.8140607231308096E-2</v>
      </c>
      <c r="K149" s="71" t="s">
        <v>21</v>
      </c>
      <c r="L149" s="71">
        <v>6.6278695927367319E-3</v>
      </c>
      <c r="M149" s="71">
        <v>1.5423737579965782E-2</v>
      </c>
      <c r="N149" s="71">
        <v>1.8733045523180659E-2</v>
      </c>
      <c r="O149" s="71">
        <v>2.1406719331308097E-2</v>
      </c>
      <c r="P149" s="55" t="s">
        <v>21</v>
      </c>
      <c r="Q149" s="53" t="s">
        <v>21</v>
      </c>
      <c r="R149" s="94" t="s">
        <v>21</v>
      </c>
      <c r="S149" s="73">
        <v>0</v>
      </c>
      <c r="T149" s="63">
        <v>1.9992606779965779E-2</v>
      </c>
      <c r="V149" s="114">
        <v>1.12683391</v>
      </c>
      <c r="W149" s="72">
        <v>2.8202806000000002</v>
      </c>
      <c r="X149" s="72">
        <v>4.24631837</v>
      </c>
      <c r="Y149" s="72">
        <v>5.4034166699999995</v>
      </c>
      <c r="Z149" s="115">
        <v>6.7587476899999999</v>
      </c>
    </row>
    <row r="150" spans="2:26" x14ac:dyDescent="0.35">
      <c r="B150" s="55" t="s">
        <v>119</v>
      </c>
      <c r="C150" s="53" t="s">
        <v>234</v>
      </c>
      <c r="D150" s="53" t="s">
        <v>120</v>
      </c>
      <c r="E150" s="53" t="s">
        <v>21</v>
      </c>
      <c r="F150" s="71" t="s">
        <v>21</v>
      </c>
      <c r="G150" s="71">
        <v>1.0187163611072868E-2</v>
      </c>
      <c r="H150" s="71">
        <v>1.9397644622631726E-2</v>
      </c>
      <c r="I150" s="71">
        <v>2.5071993815107073E-2</v>
      </c>
      <c r="J150" s="63">
        <v>3.0771810052420315E-2</v>
      </c>
      <c r="K150" s="71" t="s">
        <v>21</v>
      </c>
      <c r="L150" s="71">
        <v>6.6356035110728693E-3</v>
      </c>
      <c r="M150" s="71">
        <v>1.4831801122631726E-2</v>
      </c>
      <c r="N150" s="71">
        <v>1.9587945315107075E-2</v>
      </c>
      <c r="O150" s="71">
        <v>2.3997579952420314E-2</v>
      </c>
      <c r="P150" s="55" t="s">
        <v>21</v>
      </c>
      <c r="Q150" s="53" t="s">
        <v>21</v>
      </c>
      <c r="R150" s="94" t="s">
        <v>21</v>
      </c>
      <c r="S150" s="73">
        <v>0</v>
      </c>
      <c r="T150" s="63">
        <v>1.9397644622631726E-2</v>
      </c>
      <c r="V150" s="114">
        <v>1.1283019400000001</v>
      </c>
      <c r="W150" s="72">
        <v>2.8253825900000002</v>
      </c>
      <c r="X150" s="72">
        <v>4.2568851099999998</v>
      </c>
      <c r="Y150" s="72">
        <v>5.4112174899999994</v>
      </c>
      <c r="Z150" s="115">
        <v>6.7162911699999999</v>
      </c>
    </row>
    <row r="151" spans="2:26" x14ac:dyDescent="0.35">
      <c r="B151" s="55" t="s">
        <v>321</v>
      </c>
      <c r="C151" s="53" t="s">
        <v>234</v>
      </c>
      <c r="D151" s="53" t="s">
        <v>97</v>
      </c>
      <c r="E151" s="53" t="s">
        <v>21</v>
      </c>
      <c r="F151" s="71" t="s">
        <v>21</v>
      </c>
      <c r="G151" s="71">
        <v>1.0045910693015482E-2</v>
      </c>
      <c r="H151" s="71">
        <v>1.915636799738309E-2</v>
      </c>
      <c r="I151" s="71">
        <v>2.4401755197560496E-2</v>
      </c>
      <c r="J151" s="63">
        <v>3.0044343272580383E-2</v>
      </c>
      <c r="K151" s="71" t="s">
        <v>21</v>
      </c>
      <c r="L151" s="71">
        <v>6.4910771930154817E-3</v>
      </c>
      <c r="M151" s="71">
        <v>1.4589791197383092E-2</v>
      </c>
      <c r="N151" s="71">
        <v>1.8924944497560495E-2</v>
      </c>
      <c r="O151" s="71">
        <v>2.3279724072580391E-2</v>
      </c>
      <c r="P151" s="55" t="s">
        <v>21</v>
      </c>
      <c r="Q151" s="53" t="s">
        <v>21</v>
      </c>
      <c r="R151" s="94" t="s">
        <v>21</v>
      </c>
      <c r="S151" s="73">
        <v>0</v>
      </c>
      <c r="T151" s="63">
        <v>1.915636799738309E-2</v>
      </c>
      <c r="V151" s="114">
        <v>1.1272702100000001</v>
      </c>
      <c r="W151" s="72">
        <v>2.8233113300000001</v>
      </c>
      <c r="X151" s="72">
        <v>4.2574942599999996</v>
      </c>
      <c r="Y151" s="72">
        <v>5.4204751900000003</v>
      </c>
      <c r="Z151" s="115">
        <v>6.7428437300000006</v>
      </c>
    </row>
    <row r="152" spans="2:26" x14ac:dyDescent="0.35">
      <c r="B152" s="55" t="s">
        <v>115</v>
      </c>
      <c r="C152" s="53" t="s">
        <v>234</v>
      </c>
      <c r="D152" s="53" t="s">
        <v>31</v>
      </c>
      <c r="E152" s="53" t="s">
        <v>36</v>
      </c>
      <c r="F152" s="71" t="s">
        <v>21</v>
      </c>
      <c r="G152" s="71">
        <v>9.5937734428624341E-3</v>
      </c>
      <c r="H152" s="71">
        <v>1.8925133401471578E-2</v>
      </c>
      <c r="I152" s="71">
        <v>2.4177283366848067E-2</v>
      </c>
      <c r="J152" s="63">
        <v>2.9161224135564216E-2</v>
      </c>
      <c r="K152" s="71" t="s">
        <v>21</v>
      </c>
      <c r="L152" s="71">
        <v>6.0249387428624344E-3</v>
      </c>
      <c r="M152" s="71">
        <v>1.4357815201471575E-2</v>
      </c>
      <c r="N152" s="71">
        <v>1.8702284066848068E-2</v>
      </c>
      <c r="O152" s="71">
        <v>2.2411969335564219E-2</v>
      </c>
      <c r="P152" s="55" t="s">
        <v>478</v>
      </c>
      <c r="Q152" s="53" t="s">
        <v>479</v>
      </c>
      <c r="R152" s="94">
        <v>47492</v>
      </c>
      <c r="S152" s="73">
        <v>1.0781130000000002E-2</v>
      </c>
      <c r="T152" s="63">
        <v>8.1440034014715768E-3</v>
      </c>
      <c r="V152" s="114">
        <v>1.1272544799999999</v>
      </c>
      <c r="W152" s="72">
        <v>2.8263293200000001</v>
      </c>
      <c r="X152" s="72">
        <v>4.2633670099999996</v>
      </c>
      <c r="Y152" s="72">
        <v>5.4285045700000003</v>
      </c>
      <c r="Z152" s="115">
        <v>6.7652772200000006</v>
      </c>
    </row>
    <row r="153" spans="2:26" x14ac:dyDescent="0.35">
      <c r="B153" s="55" t="s">
        <v>328</v>
      </c>
      <c r="C153" s="53" t="s">
        <v>234</v>
      </c>
      <c r="D153" s="53" t="s">
        <v>257</v>
      </c>
      <c r="E153" s="53" t="s">
        <v>480</v>
      </c>
      <c r="F153" s="71">
        <v>2.8345525873435268E-4</v>
      </c>
      <c r="G153" s="71">
        <v>1.0330098505818331E-2</v>
      </c>
      <c r="H153" s="71">
        <v>1.8403228000669524E-2</v>
      </c>
      <c r="I153" s="71">
        <v>2.2143444950227246E-2</v>
      </c>
      <c r="J153" s="63">
        <v>2.5772513918307784E-2</v>
      </c>
      <c r="K153" s="71" t="s">
        <v>21</v>
      </c>
      <c r="L153" s="71">
        <v>6.7835416058183379E-3</v>
      </c>
      <c r="M153" s="71">
        <v>1.3834086200669522E-2</v>
      </c>
      <c r="N153" s="71">
        <v>1.6680156350227245E-2</v>
      </c>
      <c r="O153" s="71">
        <v>1.9045548418307787E-2</v>
      </c>
      <c r="P153" s="55" t="s">
        <v>21</v>
      </c>
      <c r="Q153" s="53" t="s">
        <v>21</v>
      </c>
      <c r="R153" s="94" t="s">
        <v>21</v>
      </c>
      <c r="S153" s="73">
        <v>0</v>
      </c>
      <c r="T153" s="63">
        <v>1.8403228000669524E-2</v>
      </c>
      <c r="V153" s="114">
        <v>1.1254895500000002</v>
      </c>
      <c r="W153" s="72">
        <v>2.8181561300000002</v>
      </c>
      <c r="X153" s="72">
        <v>4.2585086600000004</v>
      </c>
      <c r="Y153" s="72">
        <v>5.45005206</v>
      </c>
      <c r="Z153" s="115">
        <v>6.8635875500000001</v>
      </c>
    </row>
    <row r="154" spans="2:26" x14ac:dyDescent="0.35">
      <c r="B154" s="55" t="s">
        <v>134</v>
      </c>
      <c r="C154" s="53" t="s">
        <v>234</v>
      </c>
      <c r="D154" s="53" t="s">
        <v>43</v>
      </c>
      <c r="E154" s="53" t="s">
        <v>21</v>
      </c>
      <c r="F154" s="71" t="s">
        <v>21</v>
      </c>
      <c r="G154" s="71">
        <v>9.5083907602448014E-3</v>
      </c>
      <c r="H154" s="71">
        <v>1.8344970851778008E-2</v>
      </c>
      <c r="I154" s="71">
        <v>2.3423289323292087E-2</v>
      </c>
      <c r="J154" s="63">
        <v>2.8709722382610412E-2</v>
      </c>
      <c r="K154" s="71" t="s">
        <v>21</v>
      </c>
      <c r="L154" s="71">
        <v>5.9372347602448024E-3</v>
      </c>
      <c r="M154" s="71">
        <v>1.3776388651778011E-2</v>
      </c>
      <c r="N154" s="71">
        <v>1.795481222329209E-2</v>
      </c>
      <c r="O154" s="71">
        <v>2.1963961882610409E-2</v>
      </c>
      <c r="P154" s="55" t="s">
        <v>481</v>
      </c>
      <c r="Q154" s="53" t="s">
        <v>482</v>
      </c>
      <c r="R154" s="94" t="s">
        <v>32</v>
      </c>
      <c r="S154" s="73">
        <v>1.3858580000000001E-2</v>
      </c>
      <c r="T154" s="63">
        <v>4.4863908517780073E-3</v>
      </c>
      <c r="V154" s="114">
        <v>1.12771048</v>
      </c>
      <c r="W154" s="72">
        <v>2.8279926399999997</v>
      </c>
      <c r="X154" s="72">
        <v>4.2708620499999999</v>
      </c>
      <c r="Y154" s="72">
        <v>5.44670202</v>
      </c>
      <c r="Z154" s="115">
        <v>6.7961368599999998</v>
      </c>
    </row>
    <row r="155" spans="2:26" x14ac:dyDescent="0.35">
      <c r="B155" s="55" t="s">
        <v>132</v>
      </c>
      <c r="C155" s="53" t="s">
        <v>234</v>
      </c>
      <c r="D155" s="53" t="s">
        <v>20</v>
      </c>
      <c r="E155" s="53" t="s">
        <v>21</v>
      </c>
      <c r="F155" s="71" t="s">
        <v>21</v>
      </c>
      <c r="G155" s="71">
        <v>1.0349992365476976E-2</v>
      </c>
      <c r="H155" s="71">
        <v>1.8619046049990495E-2</v>
      </c>
      <c r="I155" s="71">
        <v>2.182923427671728E-2</v>
      </c>
      <c r="J155" s="63">
        <v>2.5546708540025713E-2</v>
      </c>
      <c r="K155" s="71" t="s">
        <v>21</v>
      </c>
      <c r="L155" s="71">
        <v>6.8028181654769763E-3</v>
      </c>
      <c r="M155" s="71">
        <v>1.4051303449990496E-2</v>
      </c>
      <c r="N155" s="71">
        <v>1.637176777671728E-2</v>
      </c>
      <c r="O155" s="71">
        <v>1.8822805840025714E-2</v>
      </c>
      <c r="P155" s="55" t="s">
        <v>483</v>
      </c>
      <c r="Q155" s="53" t="s">
        <v>484</v>
      </c>
      <c r="R155" s="94">
        <v>47567</v>
      </c>
      <c r="S155" s="73">
        <v>1.296166E-2</v>
      </c>
      <c r="T155" s="63">
        <v>5.6573860499904947E-3</v>
      </c>
      <c r="V155" s="114">
        <v>1.12748637</v>
      </c>
      <c r="W155" s="72">
        <v>2.8223820399999999</v>
      </c>
      <c r="X155" s="72">
        <v>4.2604279900000002</v>
      </c>
      <c r="Y155" s="72">
        <v>5.4494729499999996</v>
      </c>
      <c r="Z155" s="115">
        <v>6.8670689199999995</v>
      </c>
    </row>
    <row r="156" spans="2:26" x14ac:dyDescent="0.35">
      <c r="B156" s="55" t="s">
        <v>335</v>
      </c>
      <c r="C156" s="53" t="s">
        <v>234</v>
      </c>
      <c r="D156" s="53" t="s">
        <v>20</v>
      </c>
      <c r="E156" s="53" t="s">
        <v>133</v>
      </c>
      <c r="F156" s="71" t="s">
        <v>21</v>
      </c>
      <c r="G156" s="71">
        <v>9.9953345687692485E-3</v>
      </c>
      <c r="H156" s="71">
        <v>1.8587655504809911E-2</v>
      </c>
      <c r="I156" s="71">
        <v>2.2163286639219661E-2</v>
      </c>
      <c r="J156" s="63">
        <v>2.5438952783850603E-2</v>
      </c>
      <c r="K156" s="71" t="s">
        <v>21</v>
      </c>
      <c r="L156" s="71">
        <v>6.4394946687692488E-3</v>
      </c>
      <c r="M156" s="71">
        <v>1.4019790504809908E-2</v>
      </c>
      <c r="N156" s="71">
        <v>1.670359423921966E-2</v>
      </c>
      <c r="O156" s="71">
        <v>1.87189600838506E-2</v>
      </c>
      <c r="P156" s="55" t="s">
        <v>21</v>
      </c>
      <c r="Q156" s="53" t="s">
        <v>21</v>
      </c>
      <c r="R156" s="94" t="s">
        <v>21</v>
      </c>
      <c r="S156" s="73">
        <v>0</v>
      </c>
      <c r="T156" s="63">
        <v>1.8587655504809911E-2</v>
      </c>
      <c r="V156" s="114">
        <v>1.1267692600000001</v>
      </c>
      <c r="W156" s="72">
        <v>2.82387743</v>
      </c>
      <c r="X156" s="72">
        <v>4.2642458999999997</v>
      </c>
      <c r="Y156" s="72">
        <v>5.4528988600000003</v>
      </c>
      <c r="Z156" s="115">
        <v>6.8698943799999999</v>
      </c>
    </row>
    <row r="157" spans="2:26" x14ac:dyDescent="0.35">
      <c r="B157" s="55" t="s">
        <v>126</v>
      </c>
      <c r="C157" s="53" t="s">
        <v>234</v>
      </c>
      <c r="D157" s="53" t="s">
        <v>69</v>
      </c>
      <c r="E157" s="53" t="s">
        <v>135</v>
      </c>
      <c r="F157" s="71" t="s">
        <v>21</v>
      </c>
      <c r="G157" s="71">
        <v>9.4581870991797476E-3</v>
      </c>
      <c r="H157" s="71">
        <v>1.8101577450850496E-2</v>
      </c>
      <c r="I157" s="71">
        <v>2.3142351922228334E-2</v>
      </c>
      <c r="J157" s="63">
        <v>2.8590276487064512E-2</v>
      </c>
      <c r="K157" s="71" t="s">
        <v>21</v>
      </c>
      <c r="L157" s="71">
        <v>5.8830774991797466E-3</v>
      </c>
      <c r="M157" s="71">
        <v>1.3531190050850498E-2</v>
      </c>
      <c r="N157" s="71">
        <v>1.7676159822228334E-2</v>
      </c>
      <c r="O157" s="71">
        <v>2.184642578706451E-2</v>
      </c>
      <c r="P157" s="55" t="s">
        <v>485</v>
      </c>
      <c r="Q157" s="53" t="s">
        <v>486</v>
      </c>
      <c r="R157" s="94">
        <v>47484</v>
      </c>
      <c r="S157" s="73">
        <v>1.215285E-2</v>
      </c>
      <c r="T157" s="63">
        <v>5.9487274508504967E-3</v>
      </c>
      <c r="V157" s="114">
        <v>1.1291248300000001</v>
      </c>
      <c r="W157" s="72">
        <v>2.8331331199999998</v>
      </c>
      <c r="X157" s="72">
        <v>4.2789805599999999</v>
      </c>
      <c r="Y157" s="72">
        <v>5.4597812599999997</v>
      </c>
      <c r="Z157" s="115">
        <v>6.8153077800000004</v>
      </c>
    </row>
    <row r="158" spans="2:26" x14ac:dyDescent="0.35">
      <c r="B158" s="55" t="s">
        <v>127</v>
      </c>
      <c r="C158" s="53" t="s">
        <v>234</v>
      </c>
      <c r="D158" s="53" t="s">
        <v>62</v>
      </c>
      <c r="E158" s="53" t="s">
        <v>487</v>
      </c>
      <c r="F158" s="71" t="s">
        <v>21</v>
      </c>
      <c r="G158" s="71">
        <v>9.3188861121831362E-3</v>
      </c>
      <c r="H158" s="71">
        <v>1.7846210281294364E-2</v>
      </c>
      <c r="I158" s="71">
        <v>2.2573678378308197E-2</v>
      </c>
      <c r="J158" s="63">
        <v>2.7362316935108762E-2</v>
      </c>
      <c r="K158" s="71" t="s">
        <v>21</v>
      </c>
      <c r="L158" s="71">
        <v>5.7399797121831337E-3</v>
      </c>
      <c r="M158" s="71">
        <v>1.3273466181294363E-2</v>
      </c>
      <c r="N158" s="71">
        <v>1.7109318778308201E-2</v>
      </c>
      <c r="O158" s="71">
        <v>2.0629793135108761E-2</v>
      </c>
      <c r="P158" s="55" t="s">
        <v>488</v>
      </c>
      <c r="Q158" s="53" t="s">
        <v>489</v>
      </c>
      <c r="R158" s="94">
        <v>47635</v>
      </c>
      <c r="S158" s="73">
        <v>1.210166E-2</v>
      </c>
      <c r="T158" s="63">
        <v>5.7445502812943638E-3</v>
      </c>
      <c r="V158" s="114">
        <v>1.1275789000000001</v>
      </c>
      <c r="W158" s="72">
        <v>2.8303126599999997</v>
      </c>
      <c r="X158" s="72">
        <v>4.2789505999999999</v>
      </c>
      <c r="Y158" s="72">
        <v>5.4673173300000002</v>
      </c>
      <c r="Z158" s="115">
        <v>6.8489658300000009</v>
      </c>
    </row>
    <row r="159" spans="2:26" x14ac:dyDescent="0.35">
      <c r="B159" s="55" t="s">
        <v>330</v>
      </c>
      <c r="C159" s="53" t="s">
        <v>234</v>
      </c>
      <c r="D159" s="53" t="s">
        <v>31</v>
      </c>
      <c r="E159" s="53" t="s">
        <v>21</v>
      </c>
      <c r="F159" s="71" t="s">
        <v>21</v>
      </c>
      <c r="G159" s="71">
        <v>9.7297226760338171E-3</v>
      </c>
      <c r="H159" s="71">
        <v>1.7514848538478237E-2</v>
      </c>
      <c r="I159" s="71">
        <v>2.1752785384888493E-2</v>
      </c>
      <c r="J159" s="63">
        <v>2.5857516705725343E-2</v>
      </c>
      <c r="K159" s="71" t="s">
        <v>21</v>
      </c>
      <c r="L159" s="71">
        <v>6.16475267603382E-3</v>
      </c>
      <c r="M159" s="71">
        <v>1.2938955338478239E-2</v>
      </c>
      <c r="N159" s="71">
        <v>1.6288294984888495E-2</v>
      </c>
      <c r="O159" s="71">
        <v>1.9129758605725335E-2</v>
      </c>
      <c r="P159" s="55" t="s">
        <v>21</v>
      </c>
      <c r="Q159" s="53" t="s">
        <v>21</v>
      </c>
      <c r="R159" s="94" t="s">
        <v>21</v>
      </c>
      <c r="S159" s="73">
        <v>0</v>
      </c>
      <c r="T159" s="63">
        <v>1.7514848538478237E-2</v>
      </c>
      <c r="V159" s="114">
        <v>1.1276922</v>
      </c>
      <c r="W159" s="72">
        <v>2.82598349</v>
      </c>
      <c r="X159" s="72">
        <v>4.2765293900000003</v>
      </c>
      <c r="Y159" s="72">
        <v>5.4752659399999999</v>
      </c>
      <c r="Z159" s="115">
        <v>6.8886826000000001</v>
      </c>
    </row>
    <row r="160" spans="2:26" x14ac:dyDescent="0.35">
      <c r="B160" s="55" t="s">
        <v>332</v>
      </c>
      <c r="C160" s="53" t="s">
        <v>234</v>
      </c>
      <c r="D160" s="53" t="s">
        <v>97</v>
      </c>
      <c r="E160" s="53" t="s">
        <v>21</v>
      </c>
      <c r="F160" s="71" t="s">
        <v>21</v>
      </c>
      <c r="G160" s="71">
        <v>9.3018098274155244E-3</v>
      </c>
      <c r="H160" s="71">
        <v>1.7466282920425458E-2</v>
      </c>
      <c r="I160" s="71">
        <v>2.1314210909556708E-2</v>
      </c>
      <c r="J160" s="63">
        <v>2.4265850244495048E-2</v>
      </c>
      <c r="K160" s="71" t="s">
        <v>21</v>
      </c>
      <c r="L160" s="71">
        <v>5.7221515274155244E-3</v>
      </c>
      <c r="M160" s="71">
        <v>1.2888886320425457E-2</v>
      </c>
      <c r="N160" s="71">
        <v>1.5849737009556705E-2</v>
      </c>
      <c r="O160" s="71">
        <v>1.7540328644495045E-2</v>
      </c>
      <c r="P160" s="55" t="s">
        <v>380</v>
      </c>
      <c r="Q160" s="53" t="s">
        <v>381</v>
      </c>
      <c r="R160" s="94">
        <v>47497</v>
      </c>
      <c r="S160" s="73">
        <v>1.1518980000000002E-2</v>
      </c>
      <c r="T160" s="63">
        <v>5.9473029204254561E-3</v>
      </c>
      <c r="V160" s="114">
        <v>1.1262633500000001</v>
      </c>
      <c r="W160" s="72">
        <v>2.8271995800000003</v>
      </c>
      <c r="X160" s="72">
        <v>4.2792302800000002</v>
      </c>
      <c r="Y160" s="72">
        <v>5.4832437199999999</v>
      </c>
      <c r="Z160" s="115">
        <v>6.9293032500000002</v>
      </c>
    </row>
    <row r="161" spans="2:26" x14ac:dyDescent="0.35">
      <c r="B161" s="55" t="s">
        <v>121</v>
      </c>
      <c r="C161" s="53" t="s">
        <v>234</v>
      </c>
      <c r="D161" s="53" t="s">
        <v>69</v>
      </c>
      <c r="E161" s="53" t="s">
        <v>133</v>
      </c>
      <c r="F161" s="71" t="s">
        <v>21</v>
      </c>
      <c r="G161" s="71">
        <v>8.7336086002461032E-3</v>
      </c>
      <c r="H161" s="71">
        <v>1.7430142338282568E-2</v>
      </c>
      <c r="I161" s="71">
        <v>2.3305327591413516E-2</v>
      </c>
      <c r="J161" s="63">
        <v>2.7511224052524087E-2</v>
      </c>
      <c r="K161" s="71" t="s">
        <v>21</v>
      </c>
      <c r="L161" s="71">
        <v>5.1304854002461016E-3</v>
      </c>
      <c r="M161" s="71">
        <v>1.2851572638282568E-2</v>
      </c>
      <c r="N161" s="71">
        <v>1.7833980891413519E-2</v>
      </c>
      <c r="O161" s="71">
        <v>2.0782883652524082E-2</v>
      </c>
      <c r="P161" s="55" t="s">
        <v>21</v>
      </c>
      <c r="Q161" s="53" t="s">
        <v>21</v>
      </c>
      <c r="R161" s="94" t="s">
        <v>21</v>
      </c>
      <c r="S161" s="73">
        <v>0</v>
      </c>
      <c r="T161" s="63">
        <v>1.7430142338282568E-2</v>
      </c>
      <c r="V161" s="114">
        <v>1.12867359</v>
      </c>
      <c r="W161" s="72">
        <v>2.8341412699999999</v>
      </c>
      <c r="X161" s="72">
        <v>4.2884001600000001</v>
      </c>
      <c r="Y161" s="72">
        <v>5.4691793400000002</v>
      </c>
      <c r="Z161" s="115">
        <v>6.8423345400000004</v>
      </c>
    </row>
    <row r="162" spans="2:26" x14ac:dyDescent="0.35">
      <c r="B162" s="55" t="s">
        <v>333</v>
      </c>
      <c r="C162" s="53" t="s">
        <v>234</v>
      </c>
      <c r="D162" s="53" t="s">
        <v>20</v>
      </c>
      <c r="E162" s="53" t="s">
        <v>238</v>
      </c>
      <c r="F162" s="71" t="s">
        <v>21</v>
      </c>
      <c r="G162" s="71">
        <v>9.2903966771460539E-3</v>
      </c>
      <c r="H162" s="71">
        <v>1.7624457595097946E-2</v>
      </c>
      <c r="I162" s="71">
        <v>2.1806495425946419E-2</v>
      </c>
      <c r="J162" s="63">
        <v>2.503957406064725E-2</v>
      </c>
      <c r="K162" s="71" t="s">
        <v>21</v>
      </c>
      <c r="L162" s="71">
        <v>5.7096293771460548E-3</v>
      </c>
      <c r="M162" s="71">
        <v>1.3048835995097945E-2</v>
      </c>
      <c r="N162" s="71">
        <v>1.6343798525946418E-2</v>
      </c>
      <c r="O162" s="71">
        <v>1.8319548260647248E-2</v>
      </c>
      <c r="P162" s="55" t="s">
        <v>21</v>
      </c>
      <c r="Q162" s="53" t="s">
        <v>21</v>
      </c>
      <c r="R162" s="94" t="s">
        <v>21</v>
      </c>
      <c r="S162" s="73">
        <v>0</v>
      </c>
      <c r="T162" s="63">
        <v>1.7624457595097946E-2</v>
      </c>
      <c r="V162" s="114">
        <v>1.12808387</v>
      </c>
      <c r="W162" s="72">
        <v>2.8301488999999997</v>
      </c>
      <c r="X162" s="72">
        <v>4.2807520100000005</v>
      </c>
      <c r="Y162" s="72">
        <v>5.4765221899999998</v>
      </c>
      <c r="Z162" s="115">
        <v>6.9022845799999999</v>
      </c>
    </row>
    <row r="163" spans="2:26" x14ac:dyDescent="0.35">
      <c r="B163" s="55" t="s">
        <v>329</v>
      </c>
      <c r="C163" s="53" t="s">
        <v>234</v>
      </c>
      <c r="D163" s="53" t="s">
        <v>43</v>
      </c>
      <c r="E163" s="53" t="s">
        <v>21</v>
      </c>
      <c r="F163" s="71" t="s">
        <v>21</v>
      </c>
      <c r="G163" s="71">
        <v>8.9234513766996999E-3</v>
      </c>
      <c r="H163" s="71">
        <v>1.6833988792645985E-2</v>
      </c>
      <c r="I163" s="71">
        <v>2.1405646426045123E-2</v>
      </c>
      <c r="J163" s="63">
        <v>2.5653045413327583E-2</v>
      </c>
      <c r="K163" s="71" t="s">
        <v>21</v>
      </c>
      <c r="L163" s="71">
        <v>5.328575376699703E-3</v>
      </c>
      <c r="M163" s="71">
        <v>1.2248401892645987E-2</v>
      </c>
      <c r="N163" s="71">
        <v>1.5939056926045123E-2</v>
      </c>
      <c r="O163" s="71">
        <v>1.8925461013327583E-2</v>
      </c>
      <c r="P163" s="55" t="s">
        <v>21</v>
      </c>
      <c r="Q163" s="53" t="s">
        <v>21</v>
      </c>
      <c r="R163" s="94" t="s">
        <v>21</v>
      </c>
      <c r="S163" s="73">
        <v>0</v>
      </c>
      <c r="T163" s="63">
        <v>1.6833988792645985E-2</v>
      </c>
      <c r="V163" s="114">
        <v>1.1280599099999999</v>
      </c>
      <c r="W163" s="72">
        <v>2.83180794</v>
      </c>
      <c r="X163" s="72">
        <v>4.2912459500000004</v>
      </c>
      <c r="Y163" s="72">
        <v>5.4967278400000001</v>
      </c>
      <c r="Z163" s="115">
        <v>6.9172153400000003</v>
      </c>
    </row>
    <row r="164" spans="2:26" x14ac:dyDescent="0.35">
      <c r="B164" s="55" t="s">
        <v>242</v>
      </c>
      <c r="C164" s="53" t="s">
        <v>234</v>
      </c>
      <c r="D164" s="53" t="s">
        <v>20</v>
      </c>
      <c r="E164" s="53" t="s">
        <v>21</v>
      </c>
      <c r="F164" s="71" t="s">
        <v>21</v>
      </c>
      <c r="G164" s="71">
        <v>8.4603127796726262E-3</v>
      </c>
      <c r="H164" s="71">
        <v>1.7230501411549339E-2</v>
      </c>
      <c r="I164" s="71">
        <v>2.0865034864642432E-2</v>
      </c>
      <c r="J164" s="63">
        <v>2.4547031251236032E-2</v>
      </c>
      <c r="K164" s="71" t="s">
        <v>21</v>
      </c>
      <c r="L164" s="71">
        <v>4.8447968796726257E-3</v>
      </c>
      <c r="M164" s="71">
        <v>1.2649396411549342E-2</v>
      </c>
      <c r="N164" s="71">
        <v>1.5401530364642431E-2</v>
      </c>
      <c r="O164" s="71">
        <v>1.7823865351236031E-2</v>
      </c>
      <c r="P164" s="55" t="s">
        <v>21</v>
      </c>
      <c r="Q164" s="53" t="s">
        <v>21</v>
      </c>
      <c r="R164" s="94" t="s">
        <v>21</v>
      </c>
      <c r="S164" s="73">
        <v>0</v>
      </c>
      <c r="T164" s="63">
        <v>1.7230501411549339E-2</v>
      </c>
      <c r="V164" s="114">
        <v>1.1292103899999999</v>
      </c>
      <c r="W164" s="72">
        <v>2.8374232500000001</v>
      </c>
      <c r="X164" s="72">
        <v>4.2951989500000005</v>
      </c>
      <c r="Y164" s="72">
        <v>5.5036038599999992</v>
      </c>
      <c r="Z164" s="115">
        <v>6.9438798899999998</v>
      </c>
    </row>
    <row r="165" spans="2:26" x14ac:dyDescent="0.35">
      <c r="B165" s="55" t="s">
        <v>237</v>
      </c>
      <c r="C165" s="53" t="s">
        <v>234</v>
      </c>
      <c r="D165" s="53" t="s">
        <v>31</v>
      </c>
      <c r="E165" s="53" t="s">
        <v>143</v>
      </c>
      <c r="F165" s="71" t="s">
        <v>21</v>
      </c>
      <c r="G165" s="71">
        <v>9.0404420869254452E-3</v>
      </c>
      <c r="H165" s="71">
        <v>1.6659979201408569E-2</v>
      </c>
      <c r="I165" s="71">
        <v>2.1505130997823432E-2</v>
      </c>
      <c r="J165" s="63">
        <v>2.6366689235253635E-2</v>
      </c>
      <c r="K165" s="71" t="s">
        <v>21</v>
      </c>
      <c r="L165" s="71">
        <v>5.4493743869254464E-3</v>
      </c>
      <c r="M165" s="71">
        <v>1.2071980101408569E-2</v>
      </c>
      <c r="N165" s="71">
        <v>1.6037690697823431E-2</v>
      </c>
      <c r="O165" s="71">
        <v>1.963511233525363E-2</v>
      </c>
      <c r="P165" s="55" t="s">
        <v>21</v>
      </c>
      <c r="Q165" s="53" t="s">
        <v>21</v>
      </c>
      <c r="R165" s="94" t="s">
        <v>21</v>
      </c>
      <c r="S165" s="73">
        <v>0</v>
      </c>
      <c r="T165" s="63">
        <v>1.6659979201408569E-2</v>
      </c>
      <c r="V165" s="114">
        <v>1.1287360499999999</v>
      </c>
      <c r="W165" s="72">
        <v>2.8327002700000001</v>
      </c>
      <c r="X165" s="72">
        <v>4.2933117300000001</v>
      </c>
      <c r="Y165" s="72">
        <v>5.49742307</v>
      </c>
      <c r="Z165" s="115">
        <v>6.9017980000000003</v>
      </c>
    </row>
    <row r="166" spans="2:26" x14ac:dyDescent="0.35">
      <c r="B166" s="55" t="s">
        <v>237</v>
      </c>
      <c r="C166" s="53" t="s">
        <v>234</v>
      </c>
      <c r="D166" s="53" t="s">
        <v>31</v>
      </c>
      <c r="E166" s="53" t="s">
        <v>21</v>
      </c>
      <c r="F166" s="71" t="s">
        <v>21</v>
      </c>
      <c r="G166" s="71">
        <v>9.0404420869254452E-3</v>
      </c>
      <c r="H166" s="71">
        <v>1.6659979201408569E-2</v>
      </c>
      <c r="I166" s="71">
        <v>2.1505130997823432E-2</v>
      </c>
      <c r="J166" s="63">
        <v>2.6366689235253635E-2</v>
      </c>
      <c r="K166" s="71" t="s">
        <v>21</v>
      </c>
      <c r="L166" s="71">
        <v>5.4493743869254464E-3</v>
      </c>
      <c r="M166" s="71">
        <v>1.2071980101408569E-2</v>
      </c>
      <c r="N166" s="71">
        <v>1.6037690697823431E-2</v>
      </c>
      <c r="O166" s="71">
        <v>1.963511233525363E-2</v>
      </c>
      <c r="P166" s="55" t="s">
        <v>21</v>
      </c>
      <c r="Q166" s="53" t="s">
        <v>21</v>
      </c>
      <c r="R166" s="94" t="s">
        <v>21</v>
      </c>
      <c r="S166" s="73">
        <v>0</v>
      </c>
      <c r="T166" s="63">
        <v>1.6659979201408569E-2</v>
      </c>
      <c r="V166" s="114">
        <v>1.1287360499999999</v>
      </c>
      <c r="W166" s="72">
        <v>2.8327002700000001</v>
      </c>
      <c r="X166" s="72">
        <v>4.2933117300000001</v>
      </c>
      <c r="Y166" s="72">
        <v>5.49742307</v>
      </c>
      <c r="Z166" s="115">
        <v>6.9017980000000003</v>
      </c>
    </row>
    <row r="167" spans="2:26" x14ac:dyDescent="0.35">
      <c r="B167" s="55" t="s">
        <v>239</v>
      </c>
      <c r="C167" s="53" t="s">
        <v>234</v>
      </c>
      <c r="D167" s="53" t="s">
        <v>43</v>
      </c>
      <c r="E167" s="53" t="s">
        <v>110</v>
      </c>
      <c r="F167" s="71" t="s">
        <v>21</v>
      </c>
      <c r="G167" s="71">
        <v>8.7382195919214704E-3</v>
      </c>
      <c r="H167" s="71">
        <v>1.6514641853371214E-2</v>
      </c>
      <c r="I167" s="71">
        <v>2.0976441240081578E-2</v>
      </c>
      <c r="J167" s="63">
        <v>2.4891869855431511E-2</v>
      </c>
      <c r="K167" s="71" t="s">
        <v>21</v>
      </c>
      <c r="L167" s="71">
        <v>5.1353431919214741E-3</v>
      </c>
      <c r="M167" s="71">
        <v>1.1924446353371216E-2</v>
      </c>
      <c r="N167" s="71">
        <v>1.5508726940081576E-2</v>
      </c>
      <c r="O167" s="71">
        <v>1.8165144155431509E-2</v>
      </c>
      <c r="P167" s="55" t="s">
        <v>21</v>
      </c>
      <c r="Q167" s="53" t="s">
        <v>21</v>
      </c>
      <c r="R167" s="94" t="s">
        <v>21</v>
      </c>
      <c r="S167" s="73">
        <v>0</v>
      </c>
      <c r="T167" s="63">
        <v>1.6514641853371214E-2</v>
      </c>
      <c r="V167" s="114">
        <v>1.1288977199999999</v>
      </c>
      <c r="W167" s="72">
        <v>2.8344477299999999</v>
      </c>
      <c r="X167" s="72">
        <v>4.2971899899999997</v>
      </c>
      <c r="Y167" s="72">
        <v>5.5080625400000001</v>
      </c>
      <c r="Z167" s="115">
        <v>6.9436168599999997</v>
      </c>
    </row>
    <row r="168" spans="2:26" x14ac:dyDescent="0.35">
      <c r="B168" s="55" t="s">
        <v>331</v>
      </c>
      <c r="C168" s="53" t="s">
        <v>234</v>
      </c>
      <c r="D168" s="53" t="s">
        <v>62</v>
      </c>
      <c r="E168" s="53" t="s">
        <v>21</v>
      </c>
      <c r="F168" s="71" t="s">
        <v>21</v>
      </c>
      <c r="G168" s="71">
        <v>8.5640291850464546E-3</v>
      </c>
      <c r="H168" s="71">
        <v>1.6311748280539808E-2</v>
      </c>
      <c r="I168" s="71">
        <v>2.0377995025776096E-2</v>
      </c>
      <c r="J168" s="63">
        <v>2.4756391625852043E-2</v>
      </c>
      <c r="K168" s="71" t="s">
        <v>21</v>
      </c>
      <c r="L168" s="71">
        <v>4.9535402850464545E-3</v>
      </c>
      <c r="M168" s="71">
        <v>1.1717595680539802E-2</v>
      </c>
      <c r="N168" s="71">
        <v>1.4910768525776098E-2</v>
      </c>
      <c r="O168" s="71">
        <v>1.8045259425852042E-2</v>
      </c>
      <c r="P168" s="55" t="s">
        <v>21</v>
      </c>
      <c r="Q168" s="53" t="s">
        <v>21</v>
      </c>
      <c r="R168" s="94" t="s">
        <v>21</v>
      </c>
      <c r="S168" s="73">
        <v>0</v>
      </c>
      <c r="T168" s="63">
        <v>1.6311748280539808E-2</v>
      </c>
      <c r="V168" s="114">
        <v>1.12827663</v>
      </c>
      <c r="W168" s="72">
        <v>2.8343947000000003</v>
      </c>
      <c r="X168" s="72">
        <v>4.2995151600000003</v>
      </c>
      <c r="Y168" s="72">
        <v>5.5111957900000004</v>
      </c>
      <c r="Z168" s="115">
        <v>6.9233966999999996</v>
      </c>
    </row>
    <row r="169" spans="2:26" x14ac:dyDescent="0.35">
      <c r="B169" s="55" t="s">
        <v>373</v>
      </c>
      <c r="C169" s="53" t="s">
        <v>234</v>
      </c>
      <c r="D169" s="53" t="s">
        <v>20</v>
      </c>
      <c r="E169" s="53" t="s">
        <v>21</v>
      </c>
      <c r="F169" s="71" t="s">
        <v>21</v>
      </c>
      <c r="G169" s="71">
        <v>4.9465337545904001E-3</v>
      </c>
      <c r="H169" s="71">
        <v>9.6606166663913001E-3</v>
      </c>
      <c r="I169" s="71">
        <v>1.2157587267781447E-2</v>
      </c>
      <c r="J169" s="63">
        <v>1.4628955388641892E-2</v>
      </c>
      <c r="K169" s="71" t="s">
        <v>21</v>
      </c>
      <c r="L169" s="71">
        <v>1.0572444545904011E-3</v>
      </c>
      <c r="M169" s="71">
        <v>4.7288880663912992E-3</v>
      </c>
      <c r="N169" s="71">
        <v>6.3442350677814473E-3</v>
      </c>
      <c r="O169" s="71">
        <v>7.5057656886418902E-3</v>
      </c>
      <c r="P169" s="55" t="s">
        <v>21</v>
      </c>
      <c r="Q169" s="53" t="s">
        <v>21</v>
      </c>
      <c r="R169" s="94" t="s">
        <v>21</v>
      </c>
      <c r="S169" s="73">
        <v>0</v>
      </c>
      <c r="T169" s="63">
        <v>9.6606166663913001E-3</v>
      </c>
      <c r="V169" s="114">
        <v>1.13132454</v>
      </c>
      <c r="W169" s="72">
        <v>2.8629392300000003</v>
      </c>
      <c r="X169" s="72">
        <v>4.4023858999999996</v>
      </c>
      <c r="Y169" s="72">
        <v>5.7454886099999998</v>
      </c>
      <c r="Z169" s="115">
        <v>7.4457310200000002</v>
      </c>
    </row>
    <row r="170" spans="2:26" x14ac:dyDescent="0.35">
      <c r="B170" s="55" t="s">
        <v>137</v>
      </c>
      <c r="C170" s="53" t="s">
        <v>234</v>
      </c>
      <c r="D170" s="53" t="s">
        <v>31</v>
      </c>
      <c r="E170" s="53" t="s">
        <v>81</v>
      </c>
      <c r="F170" s="71" t="s">
        <v>21</v>
      </c>
      <c r="G170" s="71">
        <v>7.7571963077557472E-3</v>
      </c>
      <c r="H170" s="71">
        <v>1.5020142301718328E-2</v>
      </c>
      <c r="I170" s="71">
        <v>1.8777396199618934E-2</v>
      </c>
      <c r="J170" s="63">
        <v>2.30413743378521E-2</v>
      </c>
      <c r="K170" s="71" t="s">
        <v>21</v>
      </c>
      <c r="L170" s="71">
        <v>4.1064517077557487E-3</v>
      </c>
      <c r="M170" s="71">
        <v>1.0397389401718329E-2</v>
      </c>
      <c r="N170" s="71">
        <v>1.3286788899618932E-2</v>
      </c>
      <c r="O170" s="71">
        <v>1.6295578537852101E-2</v>
      </c>
      <c r="P170" s="55" t="s">
        <v>490</v>
      </c>
      <c r="Q170" s="53" t="s">
        <v>491</v>
      </c>
      <c r="R170" s="94" t="s">
        <v>32</v>
      </c>
      <c r="S170" s="73">
        <v>9.72458E-3</v>
      </c>
      <c r="T170" s="63">
        <v>5.2955623017183276E-3</v>
      </c>
      <c r="V170" s="114">
        <v>1.1286665499999999</v>
      </c>
      <c r="W170" s="72">
        <v>2.8401881200000001</v>
      </c>
      <c r="X170" s="72">
        <v>4.3197220000000005</v>
      </c>
      <c r="Y170" s="72">
        <v>5.5618700099999998</v>
      </c>
      <c r="Z170" s="115">
        <v>7.0471764300000004</v>
      </c>
    </row>
    <row r="171" spans="2:26" x14ac:dyDescent="0.35">
      <c r="B171" s="55" t="s">
        <v>242</v>
      </c>
      <c r="C171" s="53" t="s">
        <v>234</v>
      </c>
      <c r="D171" s="53" t="s">
        <v>20</v>
      </c>
      <c r="E171" s="53" t="s">
        <v>21</v>
      </c>
      <c r="F171" s="71" t="s">
        <v>21</v>
      </c>
      <c r="G171" s="71">
        <v>8.4603127796726262E-3</v>
      </c>
      <c r="H171" s="71">
        <v>1.7230501411549339E-2</v>
      </c>
      <c r="I171" s="71">
        <v>2.0865034864642432E-2</v>
      </c>
      <c r="J171" s="63">
        <v>2.4547031251236032E-2</v>
      </c>
      <c r="K171" s="71" t="s">
        <v>21</v>
      </c>
      <c r="L171" s="71">
        <v>4.8447968796726257E-3</v>
      </c>
      <c r="M171" s="71">
        <v>1.2649396411549342E-2</v>
      </c>
      <c r="N171" s="71">
        <v>1.5401530364642431E-2</v>
      </c>
      <c r="O171" s="71">
        <v>1.7823865351236031E-2</v>
      </c>
      <c r="P171" s="55" t="s">
        <v>21</v>
      </c>
      <c r="Q171" s="53" t="s">
        <v>21</v>
      </c>
      <c r="R171" s="94" t="s">
        <v>21</v>
      </c>
      <c r="S171" s="73">
        <v>0</v>
      </c>
      <c r="T171" s="63">
        <v>1.7230501411549339E-2</v>
      </c>
      <c r="V171" s="114">
        <v>1.1292103899999999</v>
      </c>
      <c r="W171" s="72">
        <v>2.8374232500000001</v>
      </c>
      <c r="X171" s="72">
        <v>4.2951989500000005</v>
      </c>
      <c r="Y171" s="72">
        <v>5.5036038599999992</v>
      </c>
      <c r="Z171" s="115">
        <v>6.9438798899999998</v>
      </c>
    </row>
    <row r="172" spans="2:26" x14ac:dyDescent="0.35">
      <c r="B172" s="55" t="s">
        <v>151</v>
      </c>
      <c r="C172" s="53" t="s">
        <v>234</v>
      </c>
      <c r="D172" s="53" t="s">
        <v>43</v>
      </c>
      <c r="E172" s="53" t="s">
        <v>21</v>
      </c>
      <c r="F172" s="71" t="s">
        <v>21</v>
      </c>
      <c r="G172" s="71">
        <v>7.8989677882457827E-3</v>
      </c>
      <c r="H172" s="71">
        <v>1.4715540529446071E-2</v>
      </c>
      <c r="I172" s="71">
        <v>1.8689912495030755E-2</v>
      </c>
      <c r="J172" s="63">
        <v>2.3540248530183217E-2</v>
      </c>
      <c r="K172" s="71" t="s">
        <v>21</v>
      </c>
      <c r="L172" s="71">
        <v>4.2547623882457832E-3</v>
      </c>
      <c r="M172" s="71">
        <v>1.0083208229446075E-2</v>
      </c>
      <c r="N172" s="71">
        <v>1.3195137295030754E-2</v>
      </c>
      <c r="O172" s="71">
        <v>1.6794554530183217E-2</v>
      </c>
      <c r="P172" s="55" t="s">
        <v>21</v>
      </c>
      <c r="Q172" s="53" t="s">
        <v>21</v>
      </c>
      <c r="R172" s="94" t="s">
        <v>21</v>
      </c>
      <c r="S172" s="73">
        <v>0</v>
      </c>
      <c r="T172" s="63">
        <v>1.4715540529446071E-2</v>
      </c>
      <c r="V172" s="114">
        <v>1.1283310200000001</v>
      </c>
      <c r="W172" s="72">
        <v>2.8386987700000001</v>
      </c>
      <c r="X172" s="72">
        <v>4.3208845699999996</v>
      </c>
      <c r="Y172" s="72">
        <v>5.56520379</v>
      </c>
      <c r="Z172" s="115">
        <v>7.0415279799999997</v>
      </c>
    </row>
    <row r="173" spans="2:26" x14ac:dyDescent="0.35">
      <c r="B173" s="55" t="s">
        <v>142</v>
      </c>
      <c r="C173" s="53" t="s">
        <v>234</v>
      </c>
      <c r="D173" s="53" t="s">
        <v>53</v>
      </c>
      <c r="E173" s="53" t="s">
        <v>123</v>
      </c>
      <c r="F173" s="71" t="s">
        <v>21</v>
      </c>
      <c r="G173" s="71">
        <v>7.7669982680742492E-3</v>
      </c>
      <c r="H173" s="71">
        <v>1.4672474409846811E-2</v>
      </c>
      <c r="I173" s="71">
        <v>1.874495148560187E-2</v>
      </c>
      <c r="J173" s="63">
        <v>2.3394845111719218E-2</v>
      </c>
      <c r="K173" s="71" t="s">
        <v>21</v>
      </c>
      <c r="L173" s="71">
        <v>4.1164316680742464E-3</v>
      </c>
      <c r="M173" s="71">
        <v>1.0039844109846815E-2</v>
      </c>
      <c r="N173" s="71">
        <v>1.3252123285601871E-2</v>
      </c>
      <c r="O173" s="71">
        <v>1.6650563311719217E-2</v>
      </c>
      <c r="P173" s="55" t="s">
        <v>492</v>
      </c>
      <c r="Q173" s="53" t="s">
        <v>493</v>
      </c>
      <c r="R173" s="94" t="s">
        <v>32</v>
      </c>
      <c r="S173" s="73">
        <v>1.466285E-2</v>
      </c>
      <c r="T173" s="63">
        <v>9.624409846810747E-6</v>
      </c>
      <c r="V173" s="114">
        <v>1.12938575</v>
      </c>
      <c r="W173" s="72">
        <v>2.84078433</v>
      </c>
      <c r="X173" s="72">
        <v>4.32369979</v>
      </c>
      <c r="Y173" s="72">
        <v>5.5673954200000004</v>
      </c>
      <c r="Z173" s="115">
        <v>7.0459125499999997</v>
      </c>
    </row>
    <row r="174" spans="2:26" x14ac:dyDescent="0.35">
      <c r="B174" s="55" t="s">
        <v>341</v>
      </c>
      <c r="C174" s="53" t="s">
        <v>234</v>
      </c>
      <c r="D174" s="53" t="s">
        <v>69</v>
      </c>
      <c r="E174" s="53" t="s">
        <v>21</v>
      </c>
      <c r="F174" s="71" t="s">
        <v>21</v>
      </c>
      <c r="G174" s="71">
        <v>7.7374190408546657E-3</v>
      </c>
      <c r="H174" s="71">
        <v>1.463270360565334E-2</v>
      </c>
      <c r="I174" s="71">
        <v>1.8111367675732428E-2</v>
      </c>
      <c r="J174" s="63">
        <v>2.2295070141116896E-2</v>
      </c>
      <c r="K174" s="71" t="s">
        <v>21</v>
      </c>
      <c r="L174" s="71">
        <v>4.0837033408546632E-3</v>
      </c>
      <c r="M174" s="71">
        <v>9.997889805653342E-3</v>
      </c>
      <c r="N174" s="71">
        <v>1.2607162875732429E-2</v>
      </c>
      <c r="O174" s="71">
        <v>1.5536845741116898E-2</v>
      </c>
      <c r="P174" s="55" t="s">
        <v>494</v>
      </c>
      <c r="Q174" s="53" t="s">
        <v>495</v>
      </c>
      <c r="R174" s="94" t="s">
        <v>32</v>
      </c>
      <c r="S174" s="73">
        <v>1.175757E-2</v>
      </c>
      <c r="T174" s="63">
        <v>2.8751336056533402E-3</v>
      </c>
      <c r="V174" s="114">
        <v>1.1294815999999999</v>
      </c>
      <c r="W174" s="72">
        <v>2.8418583900000001</v>
      </c>
      <c r="X174" s="72">
        <v>4.3252860900000005</v>
      </c>
      <c r="Y174" s="72">
        <v>5.5769775200000007</v>
      </c>
      <c r="Z174" s="115">
        <v>7.0814996899999993</v>
      </c>
    </row>
    <row r="175" spans="2:26" x14ac:dyDescent="0.35">
      <c r="B175" s="55" t="s">
        <v>343</v>
      </c>
      <c r="C175" s="53" t="s">
        <v>234</v>
      </c>
      <c r="D175" s="53" t="s">
        <v>20</v>
      </c>
      <c r="E175" s="53" t="s">
        <v>339</v>
      </c>
      <c r="F175" s="71" t="s">
        <v>21</v>
      </c>
      <c r="G175" s="71">
        <v>7.875191785498583E-3</v>
      </c>
      <c r="H175" s="71">
        <v>1.4913939551323602E-2</v>
      </c>
      <c r="I175" s="71">
        <v>1.8585444961083809E-2</v>
      </c>
      <c r="J175" s="63">
        <v>2.2744938456359168E-2</v>
      </c>
      <c r="K175" s="71" t="s">
        <v>21</v>
      </c>
      <c r="L175" s="71">
        <v>4.2307734854985825E-3</v>
      </c>
      <c r="M175" s="71">
        <v>1.0288066651323603E-2</v>
      </c>
      <c r="N175" s="71">
        <v>1.309201076108381E-2</v>
      </c>
      <c r="O175" s="71">
        <v>1.599527525635917E-2</v>
      </c>
      <c r="P175" s="55" t="s">
        <v>21</v>
      </c>
      <c r="Q175" s="53" t="s">
        <v>21</v>
      </c>
      <c r="R175" s="94" t="s">
        <v>21</v>
      </c>
      <c r="S175" s="73">
        <v>0</v>
      </c>
      <c r="T175" s="63">
        <v>1.4913939551323602E-2</v>
      </c>
      <c r="V175" s="114">
        <v>1.12899664</v>
      </c>
      <c r="W175" s="72">
        <v>2.8400038700000003</v>
      </c>
      <c r="X175" s="72">
        <v>4.3211278599999998</v>
      </c>
      <c r="Y175" s="72">
        <v>5.5646882299999998</v>
      </c>
      <c r="Z175" s="115">
        <v>7.0575383899999995</v>
      </c>
    </row>
    <row r="176" spans="2:26" x14ac:dyDescent="0.35">
      <c r="B176" s="55" t="s">
        <v>150</v>
      </c>
      <c r="C176" s="53" t="s">
        <v>234</v>
      </c>
      <c r="D176" s="53" t="s">
        <v>53</v>
      </c>
      <c r="E176" s="53" t="s">
        <v>21</v>
      </c>
      <c r="F176" s="71" t="s">
        <v>21</v>
      </c>
      <c r="G176" s="71">
        <v>7.7209561038815641E-3</v>
      </c>
      <c r="H176" s="71">
        <v>1.4365212567006102E-2</v>
      </c>
      <c r="I176" s="71">
        <v>1.8160535247808904E-2</v>
      </c>
      <c r="J176" s="63">
        <v>2.2340912233616117E-2</v>
      </c>
      <c r="K176" s="71" t="s">
        <v>21</v>
      </c>
      <c r="L176" s="71">
        <v>4.0674521038815605E-3</v>
      </c>
      <c r="M176" s="71">
        <v>9.7226240670061064E-3</v>
      </c>
      <c r="N176" s="71">
        <v>1.2656179547808906E-2</v>
      </c>
      <c r="O176" s="71">
        <v>1.5583475633616117E-2</v>
      </c>
      <c r="P176" s="55" t="s">
        <v>496</v>
      </c>
      <c r="Q176" s="53" t="s">
        <v>497</v>
      </c>
      <c r="R176" s="94">
        <v>47498</v>
      </c>
      <c r="S176" s="73">
        <v>8.3595500000000003E-3</v>
      </c>
      <c r="T176" s="63">
        <v>6.0056625670061019E-3</v>
      </c>
      <c r="V176" s="114">
        <v>1.12867059</v>
      </c>
      <c r="W176" s="72">
        <v>2.84043841</v>
      </c>
      <c r="X176" s="72">
        <v>4.3264252299999999</v>
      </c>
      <c r="Y176" s="72">
        <v>5.5783206300000003</v>
      </c>
      <c r="Z176" s="115">
        <v>7.0813126300000002</v>
      </c>
    </row>
    <row r="177" spans="2:26" x14ac:dyDescent="0.35">
      <c r="B177" s="55" t="s">
        <v>138</v>
      </c>
      <c r="C177" s="53" t="s">
        <v>234</v>
      </c>
      <c r="D177" s="53" t="s">
        <v>20</v>
      </c>
      <c r="E177" s="53" t="s">
        <v>21</v>
      </c>
      <c r="F177" s="71" t="s">
        <v>21</v>
      </c>
      <c r="G177" s="71">
        <v>8.6398616232646712E-3</v>
      </c>
      <c r="H177" s="71">
        <v>1.4776472258104072E-2</v>
      </c>
      <c r="I177" s="71">
        <v>1.7730411106174744E-2</v>
      </c>
      <c r="J177" s="63">
        <v>2.0746454733513425E-2</v>
      </c>
      <c r="K177" s="71" t="s">
        <v>21</v>
      </c>
      <c r="L177" s="71">
        <v>5.0334278232646718E-3</v>
      </c>
      <c r="M177" s="71">
        <v>1.014683035810407E-2</v>
      </c>
      <c r="N177" s="71">
        <v>1.221984090617474E-2</v>
      </c>
      <c r="O177" s="71">
        <v>1.3970550233513426E-2</v>
      </c>
      <c r="P177" s="55" t="s">
        <v>498</v>
      </c>
      <c r="Q177" s="53" t="s">
        <v>499</v>
      </c>
      <c r="R177" s="94">
        <v>47423</v>
      </c>
      <c r="S177" s="73">
        <v>1.092858E-2</v>
      </c>
      <c r="T177" s="63">
        <v>3.8478922581040714E-3</v>
      </c>
      <c r="V177" s="114">
        <v>1.1268093299999999</v>
      </c>
      <c r="W177" s="72">
        <v>2.8313151400000001</v>
      </c>
      <c r="X177" s="72">
        <v>4.3126143399999997</v>
      </c>
      <c r="Y177" s="72">
        <v>5.5656113200000004</v>
      </c>
      <c r="Z177" s="115">
        <v>7.0870475700000002</v>
      </c>
    </row>
    <row r="178" spans="2:26" x14ac:dyDescent="0.35">
      <c r="B178" s="55" t="s">
        <v>159</v>
      </c>
      <c r="C178" s="53" t="s">
        <v>234</v>
      </c>
      <c r="D178" s="53" t="s">
        <v>20</v>
      </c>
      <c r="E178" s="53" t="s">
        <v>290</v>
      </c>
      <c r="F178" s="71" t="s">
        <v>21</v>
      </c>
      <c r="G178" s="71">
        <v>8.2606576148517626E-3</v>
      </c>
      <c r="H178" s="71">
        <v>1.4808063781088865E-2</v>
      </c>
      <c r="I178" s="71">
        <v>1.7768064312849816E-2</v>
      </c>
      <c r="J178" s="63">
        <v>2.0896866891035513E-2</v>
      </c>
      <c r="K178" s="71" t="s">
        <v>21</v>
      </c>
      <c r="L178" s="71">
        <v>4.6355867148517634E-3</v>
      </c>
      <c r="M178" s="71">
        <v>1.0179015081088866E-2</v>
      </c>
      <c r="N178" s="71">
        <v>1.2260275312849817E-2</v>
      </c>
      <c r="O178" s="71">
        <v>1.4116960791035513E-2</v>
      </c>
      <c r="P178" s="55" t="s">
        <v>500</v>
      </c>
      <c r="Q178" s="53" t="s">
        <v>501</v>
      </c>
      <c r="R178" s="94">
        <v>47543</v>
      </c>
      <c r="S178" s="73">
        <v>1.143593E-2</v>
      </c>
      <c r="T178" s="63">
        <v>3.3721337810888648E-3</v>
      </c>
      <c r="V178" s="114">
        <v>1.12809001</v>
      </c>
      <c r="W178" s="72">
        <v>2.8366608900000001</v>
      </c>
      <c r="X178" s="72">
        <v>4.3181624999999997</v>
      </c>
      <c r="Y178" s="72">
        <v>5.5687201399999999</v>
      </c>
      <c r="Z178" s="115">
        <v>7.1012020199999997</v>
      </c>
    </row>
    <row r="179" spans="2:26" x14ac:dyDescent="0.35">
      <c r="B179" s="55" t="s">
        <v>367</v>
      </c>
      <c r="C179" s="53" t="s">
        <v>234</v>
      </c>
      <c r="D179" s="53" t="s">
        <v>20</v>
      </c>
      <c r="E179" s="53" t="s">
        <v>21</v>
      </c>
      <c r="F179" s="71" t="s">
        <v>21</v>
      </c>
      <c r="G179" s="71">
        <v>6.1316421781523224E-3</v>
      </c>
      <c r="H179" s="71">
        <v>1.1237134731664065E-2</v>
      </c>
      <c r="I179" s="71">
        <v>1.3857381554959282E-2</v>
      </c>
      <c r="J179" s="63">
        <v>1.632736004427689E-2</v>
      </c>
      <c r="K179" s="71" t="s">
        <v>21</v>
      </c>
      <c r="L179" s="71">
        <v>2.3642515781523207E-3</v>
      </c>
      <c r="M179" s="71">
        <v>6.4382877316640713E-3</v>
      </c>
      <c r="N179" s="71">
        <v>8.1780283549592863E-3</v>
      </c>
      <c r="O179" s="71">
        <v>9.3426766442768899E-3</v>
      </c>
      <c r="P179" s="55" t="s">
        <v>394</v>
      </c>
      <c r="Q179" s="53" t="s">
        <v>395</v>
      </c>
      <c r="R179" s="94">
        <v>47270</v>
      </c>
      <c r="S179" s="73">
        <v>6.4248899999999999E-3</v>
      </c>
      <c r="T179" s="63">
        <v>4.8122447316640655E-3</v>
      </c>
      <c r="V179" s="114">
        <v>1.12966385</v>
      </c>
      <c r="W179" s="72">
        <v>2.8527662299999998</v>
      </c>
      <c r="X179" s="72">
        <v>4.3737890300000002</v>
      </c>
      <c r="Y179" s="72">
        <v>5.6889506000000001</v>
      </c>
      <c r="Z179" s="115">
        <v>7.3411539799999996</v>
      </c>
    </row>
    <row r="180" spans="2:26" x14ac:dyDescent="0.35">
      <c r="B180" s="55" t="s">
        <v>359</v>
      </c>
      <c r="C180" s="53" t="s">
        <v>234</v>
      </c>
      <c r="D180" s="53" t="s">
        <v>20</v>
      </c>
      <c r="E180" s="53" t="s">
        <v>128</v>
      </c>
      <c r="F180" s="71" t="s">
        <v>21</v>
      </c>
      <c r="G180" s="71">
        <v>7.6531420628012155E-3</v>
      </c>
      <c r="H180" s="71">
        <v>1.4445152081114212E-2</v>
      </c>
      <c r="I180" s="71">
        <v>1.7303038122616368E-2</v>
      </c>
      <c r="J180" s="63">
        <v>2.0418216347484607E-2</v>
      </c>
      <c r="K180" s="71" t="s">
        <v>21</v>
      </c>
      <c r="L180" s="71">
        <v>3.9948748628012131E-3</v>
      </c>
      <c r="M180" s="71">
        <v>9.8038152811142122E-3</v>
      </c>
      <c r="N180" s="71">
        <v>1.1781097222616367E-2</v>
      </c>
      <c r="O180" s="71">
        <v>1.3625693547484602E-2</v>
      </c>
      <c r="P180" s="55" t="s">
        <v>21</v>
      </c>
      <c r="Q180" s="53" t="s">
        <v>21</v>
      </c>
      <c r="R180" s="94" t="s">
        <v>21</v>
      </c>
      <c r="S180" s="73">
        <v>0</v>
      </c>
      <c r="T180" s="63">
        <v>1.4445152081114212E-2</v>
      </c>
      <c r="V180" s="114">
        <v>1.12882167</v>
      </c>
      <c r="W180" s="72">
        <v>2.8424578899999999</v>
      </c>
      <c r="X180" s="72">
        <v>4.32981237</v>
      </c>
      <c r="Y180" s="72">
        <v>5.5910939600000003</v>
      </c>
      <c r="Z180" s="115">
        <v>7.1356331900000001</v>
      </c>
    </row>
    <row r="181" spans="2:26" x14ac:dyDescent="0.35">
      <c r="B181" s="55" t="s">
        <v>155</v>
      </c>
      <c r="C181" s="53" t="s">
        <v>234</v>
      </c>
      <c r="D181" s="53" t="s">
        <v>43</v>
      </c>
      <c r="E181" s="53" t="s">
        <v>21</v>
      </c>
      <c r="F181" s="71" t="s">
        <v>21</v>
      </c>
      <c r="G181" s="71">
        <v>7.1612584006175012E-3</v>
      </c>
      <c r="H181" s="71">
        <v>1.392893006818488E-2</v>
      </c>
      <c r="I181" s="71">
        <v>1.7643294655742815E-2</v>
      </c>
      <c r="J181" s="63">
        <v>2.1238143893919457E-2</v>
      </c>
      <c r="K181" s="71" t="s">
        <v>21</v>
      </c>
      <c r="L181" s="71">
        <v>3.4733446006174986E-3</v>
      </c>
      <c r="M181" s="71">
        <v>9.2704958681848817E-3</v>
      </c>
      <c r="N181" s="71">
        <v>1.2126770455742814E-2</v>
      </c>
      <c r="O181" s="71">
        <v>1.4462955793919458E-2</v>
      </c>
      <c r="P181" s="55" t="s">
        <v>502</v>
      </c>
      <c r="Q181" s="53" t="s">
        <v>503</v>
      </c>
      <c r="R181" s="94">
        <v>47536</v>
      </c>
      <c r="S181" s="73">
        <v>6.6957100000000006E-3</v>
      </c>
      <c r="T181" s="63">
        <v>7.2332200681848799E-3</v>
      </c>
      <c r="V181" s="114">
        <v>1.1289699900000001</v>
      </c>
      <c r="W181" s="72">
        <v>2.8445294699999999</v>
      </c>
      <c r="X181" s="72">
        <v>4.3361791599999995</v>
      </c>
      <c r="Y181" s="72">
        <v>5.5957232000000001</v>
      </c>
      <c r="Z181" s="115">
        <v>7.1234317100000002</v>
      </c>
    </row>
    <row r="182" spans="2:26" x14ac:dyDescent="0.35">
      <c r="B182" s="55" t="s">
        <v>136</v>
      </c>
      <c r="C182" s="53" t="s">
        <v>234</v>
      </c>
      <c r="D182" s="53" t="s">
        <v>47</v>
      </c>
      <c r="E182" s="53" t="s">
        <v>21</v>
      </c>
      <c r="F182" s="71" t="s">
        <v>21</v>
      </c>
      <c r="G182" s="71">
        <v>7.1892002816267512E-3</v>
      </c>
      <c r="H182" s="71">
        <v>1.387485658649025E-2</v>
      </c>
      <c r="I182" s="71">
        <v>1.7394341730517619E-2</v>
      </c>
      <c r="J182" s="63">
        <v>2.1197475920714259E-2</v>
      </c>
      <c r="K182" s="71" t="s">
        <v>21</v>
      </c>
      <c r="L182" s="71">
        <v>3.5034301816267515E-3</v>
      </c>
      <c r="M182" s="71">
        <v>9.2150605864902528E-3</v>
      </c>
      <c r="N182" s="71">
        <v>1.1872379030517622E-2</v>
      </c>
      <c r="O182" s="71">
        <v>1.4419946320714255E-2</v>
      </c>
      <c r="P182" s="55" t="s">
        <v>504</v>
      </c>
      <c r="Q182" s="53" t="s">
        <v>505</v>
      </c>
      <c r="R182" s="94">
        <v>47559</v>
      </c>
      <c r="S182" s="73">
        <v>7.2705799999999996E-3</v>
      </c>
      <c r="T182" s="63">
        <v>6.6042765864902505E-3</v>
      </c>
      <c r="V182" s="114">
        <v>1.1288773300000001</v>
      </c>
      <c r="W182" s="72">
        <v>2.84480902</v>
      </c>
      <c r="X182" s="72">
        <v>4.3368581400000004</v>
      </c>
      <c r="Y182" s="72">
        <v>5.5996343400000006</v>
      </c>
      <c r="Z182" s="115">
        <v>7.1300026799999996</v>
      </c>
    </row>
    <row r="183" spans="2:26" x14ac:dyDescent="0.35">
      <c r="B183" s="55" t="s">
        <v>322</v>
      </c>
      <c r="C183" s="53" t="s">
        <v>234</v>
      </c>
      <c r="D183" s="53" t="s">
        <v>69</v>
      </c>
      <c r="E183" s="53" t="s">
        <v>423</v>
      </c>
      <c r="F183" s="71" t="s">
        <v>21</v>
      </c>
      <c r="G183" s="71">
        <v>7.2089933701607297E-3</v>
      </c>
      <c r="H183" s="71">
        <v>1.3783821243273622E-2</v>
      </c>
      <c r="I183" s="71">
        <v>1.7901629797717453E-2</v>
      </c>
      <c r="J183" s="63">
        <v>2.1383832280037787E-2</v>
      </c>
      <c r="K183" s="71" t="s">
        <v>21</v>
      </c>
      <c r="L183" s="71">
        <v>3.5235523701607312E-3</v>
      </c>
      <c r="M183" s="71">
        <v>9.1199815432736267E-3</v>
      </c>
      <c r="N183" s="71">
        <v>1.2389844497717451E-2</v>
      </c>
      <c r="O183" s="71">
        <v>1.4613171980037788E-2</v>
      </c>
      <c r="P183" s="55" t="s">
        <v>21</v>
      </c>
      <c r="Q183" s="53" t="s">
        <v>21</v>
      </c>
      <c r="R183" s="94" t="s">
        <v>21</v>
      </c>
      <c r="S183" s="73">
        <v>0</v>
      </c>
      <c r="T183" s="63">
        <v>1.3783821243273622E-2</v>
      </c>
      <c r="V183" s="114">
        <v>1.1295609200000001</v>
      </c>
      <c r="W183" s="72">
        <v>2.8453359800000002</v>
      </c>
      <c r="X183" s="72">
        <v>4.3383072600000006</v>
      </c>
      <c r="Y183" s="72">
        <v>5.5951404299999998</v>
      </c>
      <c r="Z183" s="115">
        <v>7.11790346</v>
      </c>
    </row>
    <row r="184" spans="2:26" x14ac:dyDescent="0.35">
      <c r="B184" s="55" t="s">
        <v>156</v>
      </c>
      <c r="C184" s="53" t="s">
        <v>234</v>
      </c>
      <c r="D184" s="53" t="s">
        <v>131</v>
      </c>
      <c r="E184" s="53" t="s">
        <v>75</v>
      </c>
      <c r="F184" s="71" t="s">
        <v>21</v>
      </c>
      <c r="G184" s="71">
        <v>7.180971737331167E-3</v>
      </c>
      <c r="H184" s="71">
        <v>1.378108912120574E-2</v>
      </c>
      <c r="I184" s="71">
        <v>1.7602457491113874E-2</v>
      </c>
      <c r="J184" s="63">
        <v>2.1592713203530869E-2</v>
      </c>
      <c r="K184" s="71" t="s">
        <v>21</v>
      </c>
      <c r="L184" s="71">
        <v>3.4938525373311652E-3</v>
      </c>
      <c r="M184" s="71">
        <v>9.1170087212057403E-3</v>
      </c>
      <c r="N184" s="71">
        <v>1.2084112091113874E-2</v>
      </c>
      <c r="O184" s="71">
        <v>1.4822450503530867E-2</v>
      </c>
      <c r="P184" s="55" t="s">
        <v>506</v>
      </c>
      <c r="Q184" s="53" t="s">
        <v>507</v>
      </c>
      <c r="R184" s="94">
        <v>47534</v>
      </c>
      <c r="S184" s="73">
        <v>1.0425390000000001E-2</v>
      </c>
      <c r="T184" s="63">
        <v>3.3556991212057383E-3</v>
      </c>
      <c r="V184" s="114">
        <v>1.1292502</v>
      </c>
      <c r="W184" s="72">
        <v>2.8449344500000002</v>
      </c>
      <c r="X184" s="72">
        <v>4.33799607</v>
      </c>
      <c r="Y184" s="72">
        <v>5.5985538100000003</v>
      </c>
      <c r="Z184" s="115">
        <v>7.1196157199999996</v>
      </c>
    </row>
    <row r="185" spans="2:26" x14ac:dyDescent="0.35">
      <c r="B185" s="55" t="s">
        <v>326</v>
      </c>
      <c r="C185" s="53" t="s">
        <v>234</v>
      </c>
      <c r="D185" s="53" t="s">
        <v>20</v>
      </c>
      <c r="E185" s="53" t="s">
        <v>21</v>
      </c>
      <c r="F185" s="71" t="s">
        <v>21</v>
      </c>
      <c r="G185" s="71">
        <v>7.2323849350016921E-3</v>
      </c>
      <c r="H185" s="71">
        <v>1.4264307564375033E-2</v>
      </c>
      <c r="I185" s="71">
        <v>1.8023310049171778E-2</v>
      </c>
      <c r="J185" s="63">
        <v>2.134493323588085E-2</v>
      </c>
      <c r="K185" s="71" t="s">
        <v>21</v>
      </c>
      <c r="L185" s="71">
        <v>3.5480669350016936E-3</v>
      </c>
      <c r="M185" s="71">
        <v>9.6177590643750331E-3</v>
      </c>
      <c r="N185" s="71">
        <v>1.251766954917178E-2</v>
      </c>
      <c r="O185" s="71">
        <v>1.4577656335880849E-2</v>
      </c>
      <c r="P185" s="55" t="s">
        <v>21</v>
      </c>
      <c r="Q185" s="53" t="s">
        <v>21</v>
      </c>
      <c r="R185" s="94" t="s">
        <v>21</v>
      </c>
      <c r="S185" s="73">
        <v>0</v>
      </c>
      <c r="T185" s="63">
        <v>1.4264307564375033E-2</v>
      </c>
      <c r="V185" s="114">
        <v>1.13018131</v>
      </c>
      <c r="W185" s="72">
        <v>2.8470262399999999</v>
      </c>
      <c r="X185" s="72">
        <v>4.3353040299999996</v>
      </c>
      <c r="Y185" s="72">
        <v>5.5875903099999995</v>
      </c>
      <c r="Z185" s="115">
        <v>7.10795171</v>
      </c>
    </row>
    <row r="186" spans="2:26" x14ac:dyDescent="0.35">
      <c r="B186" s="55" t="s">
        <v>267</v>
      </c>
      <c r="C186" s="53" t="s">
        <v>234</v>
      </c>
      <c r="D186" s="53" t="s">
        <v>31</v>
      </c>
      <c r="E186" s="53" t="s">
        <v>21</v>
      </c>
      <c r="F186" s="71" t="s">
        <v>21</v>
      </c>
      <c r="G186" s="71">
        <v>7.3472385438100377E-3</v>
      </c>
      <c r="H186" s="71">
        <v>1.3729455825296647E-2</v>
      </c>
      <c r="I186" s="71">
        <v>1.695780507803011E-2</v>
      </c>
      <c r="J186" s="63">
        <v>1.9368529571743506E-2</v>
      </c>
      <c r="K186" s="71" t="s">
        <v>21</v>
      </c>
      <c r="L186" s="71">
        <v>3.6704882438100377E-3</v>
      </c>
      <c r="M186" s="71">
        <v>9.063746825296648E-3</v>
      </c>
      <c r="N186" s="71">
        <v>1.1423158078030109E-2</v>
      </c>
      <c r="O186" s="71">
        <v>1.2544544771743504E-2</v>
      </c>
      <c r="P186" s="55" t="s">
        <v>508</v>
      </c>
      <c r="Q186" s="53" t="s">
        <v>509</v>
      </c>
      <c r="R186" s="94">
        <v>47679</v>
      </c>
      <c r="S186" s="73">
        <v>1.2686310000000001E-2</v>
      </c>
      <c r="T186" s="63">
        <v>1.0431458252966458E-3</v>
      </c>
      <c r="V186" s="114">
        <v>1.12958782</v>
      </c>
      <c r="W186" s="72">
        <v>2.8445149999999999</v>
      </c>
      <c r="X186" s="72">
        <v>4.3376656999999996</v>
      </c>
      <c r="Y186" s="72">
        <v>5.6064861299999995</v>
      </c>
      <c r="Z186" s="115">
        <v>7.1760593699999999</v>
      </c>
    </row>
    <row r="187" spans="2:26" x14ac:dyDescent="0.35">
      <c r="B187" s="55" t="s">
        <v>243</v>
      </c>
      <c r="C187" s="53" t="s">
        <v>234</v>
      </c>
      <c r="D187" s="53" t="s">
        <v>43</v>
      </c>
      <c r="E187" s="53" t="s">
        <v>112</v>
      </c>
      <c r="F187" s="71" t="s">
        <v>21</v>
      </c>
      <c r="G187" s="71">
        <v>7.1330082825165906E-3</v>
      </c>
      <c r="H187" s="71">
        <v>1.3683578411142268E-2</v>
      </c>
      <c r="I187" s="71">
        <v>1.7608505530754659E-2</v>
      </c>
      <c r="J187" s="63">
        <v>2.1496829064691136E-2</v>
      </c>
      <c r="K187" s="71" t="s">
        <v>21</v>
      </c>
      <c r="L187" s="71">
        <v>3.4424473825165943E-3</v>
      </c>
      <c r="M187" s="71">
        <v>9.015772411142273E-3</v>
      </c>
      <c r="N187" s="71">
        <v>1.2090015930754658E-2</v>
      </c>
      <c r="O187" s="71">
        <v>1.4725525864691136E-2</v>
      </c>
      <c r="P187" s="55" t="s">
        <v>510</v>
      </c>
      <c r="Q187" s="53" t="s">
        <v>511</v>
      </c>
      <c r="R187" s="94" t="s">
        <v>32</v>
      </c>
      <c r="S187" s="73">
        <v>1.1033280000000001E-2</v>
      </c>
      <c r="T187" s="63">
        <v>2.6502984111422666E-3</v>
      </c>
      <c r="V187" s="114">
        <v>1.1293301499999999</v>
      </c>
      <c r="W187" s="72">
        <v>2.8459078099999999</v>
      </c>
      <c r="X187" s="72">
        <v>4.3400282499999996</v>
      </c>
      <c r="Y187" s="72">
        <v>5.6007941300000006</v>
      </c>
      <c r="Z187" s="115">
        <v>7.1235342800000003</v>
      </c>
    </row>
    <row r="188" spans="2:26" x14ac:dyDescent="0.35">
      <c r="B188" s="55" t="s">
        <v>244</v>
      </c>
      <c r="C188" s="53" t="s">
        <v>234</v>
      </c>
      <c r="D188" s="53" t="s">
        <v>43</v>
      </c>
      <c r="E188" s="53" t="s">
        <v>245</v>
      </c>
      <c r="F188" s="71" t="s">
        <v>21</v>
      </c>
      <c r="G188" s="71">
        <v>7.127915217095715E-3</v>
      </c>
      <c r="H188" s="71">
        <v>1.362937601651289E-2</v>
      </c>
      <c r="I188" s="71">
        <v>1.7754777494506505E-2</v>
      </c>
      <c r="J188" s="63">
        <v>2.1638168167712832E-2</v>
      </c>
      <c r="K188" s="71" t="s">
        <v>21</v>
      </c>
      <c r="L188" s="71">
        <v>3.437271017095712E-3</v>
      </c>
      <c r="M188" s="71">
        <v>8.9600247165128946E-3</v>
      </c>
      <c r="N188" s="71">
        <v>1.2239985294506504E-2</v>
      </c>
      <c r="O188" s="71">
        <v>1.487043406771283E-2</v>
      </c>
      <c r="P188" s="55" t="s">
        <v>512</v>
      </c>
      <c r="Q188" s="53" t="s">
        <v>513</v>
      </c>
      <c r="R188" s="94">
        <v>47492</v>
      </c>
      <c r="S188" s="73">
        <v>1.1734359999999999E-2</v>
      </c>
      <c r="T188" s="63">
        <v>1.8950160165128911E-3</v>
      </c>
      <c r="V188" s="114">
        <v>1.1294105999999999</v>
      </c>
      <c r="W188" s="72">
        <v>2.84596538</v>
      </c>
      <c r="X188" s="72">
        <v>4.3400253700000002</v>
      </c>
      <c r="Y188" s="72">
        <v>5.5983738000000001</v>
      </c>
      <c r="Z188" s="115">
        <v>7.1172484300000001</v>
      </c>
    </row>
    <row r="189" spans="2:26" x14ac:dyDescent="0.35">
      <c r="B189" s="55" t="s">
        <v>124</v>
      </c>
      <c r="C189" s="53" t="s">
        <v>234</v>
      </c>
      <c r="D189" s="53" t="s">
        <v>69</v>
      </c>
      <c r="E189" s="53" t="s">
        <v>81</v>
      </c>
      <c r="F189" s="71" t="s">
        <v>21</v>
      </c>
      <c r="G189" s="71">
        <v>6.886316484445763E-3</v>
      </c>
      <c r="H189" s="71">
        <v>1.3645730300415722E-2</v>
      </c>
      <c r="I189" s="71">
        <v>1.7568445884384908E-2</v>
      </c>
      <c r="J189" s="63">
        <v>2.1652683892884411E-2</v>
      </c>
      <c r="K189" s="71" t="s">
        <v>21</v>
      </c>
      <c r="L189" s="71">
        <v>3.178723684445764E-3</v>
      </c>
      <c r="M189" s="71">
        <v>8.9759799004157231E-3</v>
      </c>
      <c r="N189" s="71">
        <v>1.2049057084384907E-2</v>
      </c>
      <c r="O189" s="71">
        <v>1.4883981092884408E-2</v>
      </c>
      <c r="P189" s="55" t="s">
        <v>21</v>
      </c>
      <c r="Q189" s="53" t="s">
        <v>21</v>
      </c>
      <c r="R189" s="94" t="s">
        <v>21</v>
      </c>
      <c r="S189" s="73">
        <v>0</v>
      </c>
      <c r="T189" s="63">
        <v>1.3645730300415722E-2</v>
      </c>
      <c r="V189" s="114">
        <v>1.1298668200000002</v>
      </c>
      <c r="W189" s="72">
        <v>2.8479486299999999</v>
      </c>
      <c r="X189" s="72">
        <v>4.3431041300000004</v>
      </c>
      <c r="Y189" s="72">
        <v>5.60443494</v>
      </c>
      <c r="Z189" s="115">
        <v>7.1243260899999994</v>
      </c>
    </row>
    <row r="190" spans="2:26" x14ac:dyDescent="0.35">
      <c r="B190" s="55" t="s">
        <v>246</v>
      </c>
      <c r="C190" s="53" t="s">
        <v>234</v>
      </c>
      <c r="D190" s="53" t="s">
        <v>31</v>
      </c>
      <c r="E190" s="53" t="s">
        <v>255</v>
      </c>
      <c r="F190" s="71" t="s">
        <v>21</v>
      </c>
      <c r="G190" s="71">
        <v>7.2004523715735857E-3</v>
      </c>
      <c r="H190" s="71">
        <v>1.3527388693860706E-2</v>
      </c>
      <c r="I190" s="71">
        <v>1.6766569262315428E-2</v>
      </c>
      <c r="J190" s="63">
        <v>2.0288171405303739E-2</v>
      </c>
      <c r="K190" s="71" t="s">
        <v>21</v>
      </c>
      <c r="L190" s="71">
        <v>3.5145011715735871E-3</v>
      </c>
      <c r="M190" s="71">
        <v>8.8535347938607095E-3</v>
      </c>
      <c r="N190" s="71">
        <v>1.1225506162315432E-2</v>
      </c>
      <c r="O190" s="71">
        <v>1.348629430530374E-2</v>
      </c>
      <c r="P190" s="55" t="s">
        <v>514</v>
      </c>
      <c r="Q190" s="53" t="s">
        <v>515</v>
      </c>
      <c r="R190" s="94">
        <v>47491</v>
      </c>
      <c r="S190" s="73">
        <v>1.050301E-2</v>
      </c>
      <c r="T190" s="63">
        <v>3.0243786938607062E-3</v>
      </c>
      <c r="V190" s="114">
        <v>1.12936572</v>
      </c>
      <c r="W190" s="72">
        <v>2.8450275</v>
      </c>
      <c r="X190" s="72">
        <v>4.3405046299999999</v>
      </c>
      <c r="Y190" s="72">
        <v>5.6123237399999999</v>
      </c>
      <c r="Z190" s="115">
        <v>7.1652431700000001</v>
      </c>
    </row>
    <row r="191" spans="2:26" x14ac:dyDescent="0.35">
      <c r="B191" s="55" t="s">
        <v>336</v>
      </c>
      <c r="C191" s="53" t="s">
        <v>234</v>
      </c>
      <c r="D191" s="53" t="s">
        <v>20</v>
      </c>
      <c r="E191" s="53" t="s">
        <v>123</v>
      </c>
      <c r="F191" s="71" t="s">
        <v>21</v>
      </c>
      <c r="G191" s="71">
        <v>7.8389341181304452E-3</v>
      </c>
      <c r="H191" s="71">
        <v>1.3841873290394758E-2</v>
      </c>
      <c r="I191" s="71">
        <v>1.699049139697505E-2</v>
      </c>
      <c r="J191" s="63">
        <v>2.0533193655659757E-2</v>
      </c>
      <c r="K191" s="71" t="s">
        <v>21</v>
      </c>
      <c r="L191" s="71">
        <v>4.1916284181304428E-3</v>
      </c>
      <c r="M191" s="71">
        <v>9.1800173903947586E-3</v>
      </c>
      <c r="N191" s="71">
        <v>1.1456045596975052E-2</v>
      </c>
      <c r="O191" s="71">
        <v>1.3735630155659756E-2</v>
      </c>
      <c r="P191" s="55" t="s">
        <v>21</v>
      </c>
      <c r="Q191" s="53" t="s">
        <v>21</v>
      </c>
      <c r="R191" s="94" t="s">
        <v>21</v>
      </c>
      <c r="S191" s="73">
        <v>0</v>
      </c>
      <c r="T191" s="63">
        <v>1.3841873290394758E-2</v>
      </c>
      <c r="V191" s="114">
        <v>1.12669076</v>
      </c>
      <c r="W191" s="72">
        <v>2.83645105</v>
      </c>
      <c r="X191" s="72">
        <v>4.3274252400000002</v>
      </c>
      <c r="Y191" s="72">
        <v>5.5942007600000005</v>
      </c>
      <c r="Z191" s="115">
        <v>7.1410513600000005</v>
      </c>
    </row>
    <row r="192" spans="2:26" x14ac:dyDescent="0.35">
      <c r="B192" s="55" t="s">
        <v>337</v>
      </c>
      <c r="C192" s="53" t="s">
        <v>234</v>
      </c>
      <c r="D192" s="53" t="s">
        <v>20</v>
      </c>
      <c r="E192" s="53" t="s">
        <v>251</v>
      </c>
      <c r="F192" s="71" t="s">
        <v>21</v>
      </c>
      <c r="G192" s="71">
        <v>7.4011941353198576E-3</v>
      </c>
      <c r="H192" s="71">
        <v>1.3877440270692959E-2</v>
      </c>
      <c r="I192" s="71">
        <v>1.766222371927418E-2</v>
      </c>
      <c r="J192" s="63">
        <v>2.0824367658561296E-2</v>
      </c>
      <c r="K192" s="71" t="s">
        <v>21</v>
      </c>
      <c r="L192" s="71">
        <v>3.7278094353198577E-3</v>
      </c>
      <c r="M192" s="71">
        <v>9.2171817706929605E-3</v>
      </c>
      <c r="N192" s="71">
        <v>1.214630861927418E-2</v>
      </c>
      <c r="O192" s="71">
        <v>1.4045162858561295E-2</v>
      </c>
      <c r="P192" s="55" t="s">
        <v>382</v>
      </c>
      <c r="Q192" s="53" t="s">
        <v>383</v>
      </c>
      <c r="R192" s="94">
        <v>47624</v>
      </c>
      <c r="S192" s="73">
        <v>1.1669249999999999E-2</v>
      </c>
      <c r="T192" s="63">
        <v>2.2081902706929599E-3</v>
      </c>
      <c r="V192" s="114">
        <v>1.12952908</v>
      </c>
      <c r="W192" s="72">
        <v>2.84477936</v>
      </c>
      <c r="X192" s="72">
        <v>4.3371523300000003</v>
      </c>
      <c r="Y192" s="72">
        <v>5.5958319000000003</v>
      </c>
      <c r="Z192" s="115">
        <v>7.1268183499999997</v>
      </c>
    </row>
    <row r="193" spans="2:26" x14ac:dyDescent="0.35">
      <c r="B193" s="55" t="s">
        <v>146</v>
      </c>
      <c r="C193" s="53" t="s">
        <v>234</v>
      </c>
      <c r="D193" s="53" t="s">
        <v>69</v>
      </c>
      <c r="E193" s="53" t="s">
        <v>348</v>
      </c>
      <c r="F193" s="71" t="s">
        <v>21</v>
      </c>
      <c r="G193" s="71">
        <v>7.0408053847397928E-3</v>
      </c>
      <c r="H193" s="71">
        <v>1.3377468965746325E-2</v>
      </c>
      <c r="I193" s="71">
        <v>1.6923429644817457E-2</v>
      </c>
      <c r="J193" s="63">
        <v>2.1430773932560203E-2</v>
      </c>
      <c r="K193" s="71" t="s">
        <v>21</v>
      </c>
      <c r="L193" s="71">
        <v>3.3443453847397911E-3</v>
      </c>
      <c r="M193" s="71">
        <v>8.6970878657463297E-3</v>
      </c>
      <c r="N193" s="71">
        <v>1.1385937544817456E-2</v>
      </c>
      <c r="O193" s="71">
        <v>1.4652167032560202E-2</v>
      </c>
      <c r="P193" s="55" t="s">
        <v>516</v>
      </c>
      <c r="Q193" s="53" t="s">
        <v>517</v>
      </c>
      <c r="R193" s="94" t="s">
        <v>32</v>
      </c>
      <c r="S193" s="73">
        <v>1.220923E-2</v>
      </c>
      <c r="T193" s="63">
        <v>1.1682389657463252E-3</v>
      </c>
      <c r="V193" s="114">
        <v>1.12920233</v>
      </c>
      <c r="W193" s="72">
        <v>2.8455584200000001</v>
      </c>
      <c r="X193" s="72">
        <v>4.3429047499999998</v>
      </c>
      <c r="Y193" s="72">
        <v>5.6132142700000003</v>
      </c>
      <c r="Z193" s="115">
        <v>7.1423967899999994</v>
      </c>
    </row>
    <row r="194" spans="2:26" x14ac:dyDescent="0.35">
      <c r="B194" s="55" t="s">
        <v>145</v>
      </c>
      <c r="C194" s="53" t="s">
        <v>234</v>
      </c>
      <c r="D194" s="53" t="s">
        <v>20</v>
      </c>
      <c r="E194" s="53" t="s">
        <v>21</v>
      </c>
      <c r="F194" s="71" t="s">
        <v>21</v>
      </c>
      <c r="G194" s="71">
        <v>8.0310317504233425E-3</v>
      </c>
      <c r="H194" s="71">
        <v>1.3761165635428516E-2</v>
      </c>
      <c r="I194" s="71">
        <v>1.6986132988285642E-2</v>
      </c>
      <c r="J194" s="63">
        <v>2.0260654628175431E-2</v>
      </c>
      <c r="K194" s="71" t="s">
        <v>21</v>
      </c>
      <c r="L194" s="71">
        <v>4.3950807504233406E-3</v>
      </c>
      <c r="M194" s="71">
        <v>9.0971489354285152E-3</v>
      </c>
      <c r="N194" s="71">
        <v>1.1451011788285646E-2</v>
      </c>
      <c r="O194" s="71">
        <v>1.3458324128175433E-2</v>
      </c>
      <c r="P194" s="55" t="s">
        <v>518</v>
      </c>
      <c r="Q194" s="53" t="s">
        <v>519</v>
      </c>
      <c r="R194" s="94" t="s">
        <v>32</v>
      </c>
      <c r="S194" s="73">
        <v>8.7329799999999996E-3</v>
      </c>
      <c r="T194" s="63">
        <v>5.0281856354285163E-3</v>
      </c>
      <c r="V194" s="114">
        <v>1.1265943599999999</v>
      </c>
      <c r="W194" s="72">
        <v>2.8344449699999998</v>
      </c>
      <c r="X194" s="72">
        <v>4.3260605299999995</v>
      </c>
      <c r="Y194" s="72">
        <v>5.5939287499999999</v>
      </c>
      <c r="Z194" s="115">
        <v>7.1436062800000002</v>
      </c>
    </row>
    <row r="195" spans="2:26" x14ac:dyDescent="0.35">
      <c r="B195" s="55" t="s">
        <v>152</v>
      </c>
      <c r="C195" s="53" t="s">
        <v>234</v>
      </c>
      <c r="D195" s="53" t="s">
        <v>47</v>
      </c>
      <c r="E195" s="53" t="s">
        <v>141</v>
      </c>
      <c r="F195" s="71" t="s">
        <v>21</v>
      </c>
      <c r="G195" s="71">
        <v>7.1429657646346779E-3</v>
      </c>
      <c r="H195" s="71">
        <v>1.3319427957869391E-2</v>
      </c>
      <c r="I195" s="71">
        <v>1.6871118634094323E-2</v>
      </c>
      <c r="J195" s="63">
        <v>2.0984743615089473E-2</v>
      </c>
      <c r="K195" s="71" t="s">
        <v>21</v>
      </c>
      <c r="L195" s="71">
        <v>3.4535795646346758E-3</v>
      </c>
      <c r="M195" s="71">
        <v>8.6369460578693928E-3</v>
      </c>
      <c r="N195" s="71">
        <v>1.1331874634094319E-2</v>
      </c>
      <c r="O195" s="71">
        <v>1.4197850315089473E-2</v>
      </c>
      <c r="P195" s="55" t="s">
        <v>520</v>
      </c>
      <c r="Q195" s="53" t="s">
        <v>521</v>
      </c>
      <c r="R195" s="94" t="s">
        <v>32</v>
      </c>
      <c r="S195" s="73">
        <v>8.0087600000000002E-3</v>
      </c>
      <c r="T195" s="63">
        <v>5.3106679578693913E-3</v>
      </c>
      <c r="V195" s="114">
        <v>1.1289345799999999</v>
      </c>
      <c r="W195" s="72">
        <v>2.8445851000000002</v>
      </c>
      <c r="X195" s="72">
        <v>4.3422079699999996</v>
      </c>
      <c r="Y195" s="72">
        <v>5.6133763199999995</v>
      </c>
      <c r="Z195" s="115">
        <v>7.1516648099999998</v>
      </c>
    </row>
    <row r="196" spans="2:26" x14ac:dyDescent="0.35">
      <c r="B196" s="55" t="s">
        <v>241</v>
      </c>
      <c r="C196" s="53" t="s">
        <v>234</v>
      </c>
      <c r="D196" s="53" t="s">
        <v>69</v>
      </c>
      <c r="E196" s="53" t="s">
        <v>342</v>
      </c>
      <c r="F196" s="71" t="s">
        <v>21</v>
      </c>
      <c r="G196" s="71">
        <v>6.7681505676086915E-3</v>
      </c>
      <c r="H196" s="71">
        <v>1.329201878910757E-2</v>
      </c>
      <c r="I196" s="71">
        <v>1.7085999181728893E-2</v>
      </c>
      <c r="J196" s="63">
        <v>2.0636630332310363E-2</v>
      </c>
      <c r="K196" s="71" t="s">
        <v>21</v>
      </c>
      <c r="L196" s="71">
        <v>3.0523334676086904E-3</v>
      </c>
      <c r="M196" s="71">
        <v>8.607989689107573E-3</v>
      </c>
      <c r="N196" s="71">
        <v>1.1553316481728894E-2</v>
      </c>
      <c r="O196" s="71">
        <v>1.3846559932310366E-2</v>
      </c>
      <c r="P196" s="55" t="s">
        <v>522</v>
      </c>
      <c r="Q196" s="53" t="s">
        <v>523</v>
      </c>
      <c r="R196" s="94" t="s">
        <v>32</v>
      </c>
      <c r="S196" s="73">
        <v>1.563496E-2</v>
      </c>
      <c r="T196" s="63">
        <v>-2.3429412108924297E-3</v>
      </c>
      <c r="V196" s="114">
        <v>1.1299566599999999</v>
      </c>
      <c r="W196" s="72">
        <v>2.8488568600000002</v>
      </c>
      <c r="X196" s="72">
        <v>4.3477341200000001</v>
      </c>
      <c r="Y196" s="72">
        <v>5.6161848700000006</v>
      </c>
      <c r="Z196" s="115">
        <v>7.1593126099999997</v>
      </c>
    </row>
    <row r="197" spans="2:26" x14ac:dyDescent="0.35">
      <c r="B197" s="55" t="s">
        <v>340</v>
      </c>
      <c r="C197" s="53" t="s">
        <v>234</v>
      </c>
      <c r="D197" s="53" t="s">
        <v>20</v>
      </c>
      <c r="E197" s="53" t="s">
        <v>123</v>
      </c>
      <c r="F197" s="71" t="s">
        <v>21</v>
      </c>
      <c r="G197" s="71">
        <v>7.4919362001875127E-3</v>
      </c>
      <c r="H197" s="71">
        <v>1.3725746886283856E-2</v>
      </c>
      <c r="I197" s="71">
        <v>1.6786055794414178E-2</v>
      </c>
      <c r="J197" s="63">
        <v>1.9945623672115206E-2</v>
      </c>
      <c r="K197" s="71" t="s">
        <v>21</v>
      </c>
      <c r="L197" s="71">
        <v>3.8230830001875103E-3</v>
      </c>
      <c r="M197" s="71">
        <v>9.0589048862838636E-3</v>
      </c>
      <c r="N197" s="71">
        <v>1.1246755194414178E-2</v>
      </c>
      <c r="O197" s="71">
        <v>1.3136414972115207E-2</v>
      </c>
      <c r="P197" s="55" t="s">
        <v>21</v>
      </c>
      <c r="Q197" s="53" t="s">
        <v>21</v>
      </c>
      <c r="R197" s="94" t="s">
        <v>21</v>
      </c>
      <c r="S197" s="73">
        <v>0</v>
      </c>
      <c r="T197" s="63">
        <v>1.3725746886283856E-2</v>
      </c>
      <c r="V197" s="114">
        <v>1.12873449</v>
      </c>
      <c r="W197" s="72">
        <v>2.8430096700000003</v>
      </c>
      <c r="X197" s="72">
        <v>4.3363072699999998</v>
      </c>
      <c r="Y197" s="72">
        <v>5.6049988100000006</v>
      </c>
      <c r="Z197" s="115">
        <v>7.1624788199999996</v>
      </c>
    </row>
    <row r="198" spans="2:26" x14ac:dyDescent="0.35">
      <c r="B198" s="55" t="s">
        <v>240</v>
      </c>
      <c r="C198" s="53" t="s">
        <v>234</v>
      </c>
      <c r="D198" s="53" t="s">
        <v>20</v>
      </c>
      <c r="E198" s="53" t="s">
        <v>245</v>
      </c>
      <c r="F198" s="71" t="s">
        <v>21</v>
      </c>
      <c r="G198" s="71">
        <v>7.5067194366689686E-3</v>
      </c>
      <c r="H198" s="71">
        <v>1.3706237692314216E-2</v>
      </c>
      <c r="I198" s="71">
        <v>1.7704436968419068E-2</v>
      </c>
      <c r="J198" s="63">
        <v>2.1249222273674477E-2</v>
      </c>
      <c r="K198" s="71" t="s">
        <v>21</v>
      </c>
      <c r="L198" s="71">
        <v>3.8392777366689644E-3</v>
      </c>
      <c r="M198" s="71">
        <v>9.039077492314215E-3</v>
      </c>
      <c r="N198" s="71">
        <v>1.2187475268419068E-2</v>
      </c>
      <c r="O198" s="71">
        <v>1.4475473873674476E-2</v>
      </c>
      <c r="P198" s="55" t="s">
        <v>524</v>
      </c>
      <c r="Q198" s="53" t="s">
        <v>525</v>
      </c>
      <c r="R198" s="94">
        <v>47515</v>
      </c>
      <c r="S198" s="73">
        <v>1.186486E-2</v>
      </c>
      <c r="T198" s="63">
        <v>1.8413776923142163E-3</v>
      </c>
      <c r="V198" s="114">
        <v>1.12943843</v>
      </c>
      <c r="W198" s="72">
        <v>2.8429049700000002</v>
      </c>
      <c r="X198" s="72">
        <v>4.3360653899999999</v>
      </c>
      <c r="Y198" s="72">
        <v>5.5944103100000007</v>
      </c>
      <c r="Z198" s="115">
        <v>7.1179833499999994</v>
      </c>
    </row>
    <row r="199" spans="2:26" x14ac:dyDescent="0.35">
      <c r="B199" s="55" t="s">
        <v>147</v>
      </c>
      <c r="C199" s="53" t="s">
        <v>234</v>
      </c>
      <c r="D199" s="53" t="s">
        <v>69</v>
      </c>
      <c r="E199" s="53" t="s">
        <v>21</v>
      </c>
      <c r="F199" s="71" t="s">
        <v>21</v>
      </c>
      <c r="G199" s="71">
        <v>6.7192450303801728E-3</v>
      </c>
      <c r="H199" s="71">
        <v>1.3194921590024731E-2</v>
      </c>
      <c r="I199" s="71">
        <v>1.679431257288512E-2</v>
      </c>
      <c r="J199" s="63">
        <v>2.0653240416143172E-2</v>
      </c>
      <c r="K199" s="71" t="s">
        <v>21</v>
      </c>
      <c r="L199" s="71">
        <v>2.9994347303801752E-3</v>
      </c>
      <c r="M199" s="71">
        <v>8.5063180900247313E-3</v>
      </c>
      <c r="N199" s="71">
        <v>1.1252809872885116E-2</v>
      </c>
      <c r="O199" s="71">
        <v>1.3860773816143174E-2</v>
      </c>
      <c r="P199" s="55" t="s">
        <v>526</v>
      </c>
      <c r="Q199" s="53" t="s">
        <v>527</v>
      </c>
      <c r="R199" s="94" t="s">
        <v>32</v>
      </c>
      <c r="S199" s="73">
        <v>1.0172170000000001E-2</v>
      </c>
      <c r="T199" s="63">
        <v>3.0227515900247293E-3</v>
      </c>
      <c r="V199" s="114">
        <v>1.1300394599999999</v>
      </c>
      <c r="W199" s="72">
        <v>2.8493286900000001</v>
      </c>
      <c r="X199" s="72">
        <v>4.3493020700000002</v>
      </c>
      <c r="Y199" s="72">
        <v>5.6217252799999997</v>
      </c>
      <c r="Z199" s="115">
        <v>7.1667849699999993</v>
      </c>
    </row>
    <row r="200" spans="2:26" x14ac:dyDescent="0.35">
      <c r="B200" s="55" t="s">
        <v>178</v>
      </c>
      <c r="C200" s="53" t="s">
        <v>234</v>
      </c>
      <c r="D200" s="53" t="s">
        <v>47</v>
      </c>
      <c r="E200" s="53" t="s">
        <v>128</v>
      </c>
      <c r="F200" s="71" t="s">
        <v>21</v>
      </c>
      <c r="G200" s="71">
        <v>6.5312883199521287E-3</v>
      </c>
      <c r="H200" s="71">
        <v>1.3158289437605634E-2</v>
      </c>
      <c r="I200" s="71">
        <v>1.7043638463577673E-2</v>
      </c>
      <c r="J200" s="63">
        <v>2.1353292172390369E-2</v>
      </c>
      <c r="K200" s="71" t="s">
        <v>21</v>
      </c>
      <c r="L200" s="71">
        <v>2.7968492199521282E-3</v>
      </c>
      <c r="M200" s="71">
        <v>8.4670382376056345E-3</v>
      </c>
      <c r="N200" s="71">
        <v>1.1507823363577675E-2</v>
      </c>
      <c r="O200" s="71">
        <v>1.457472257239037E-2</v>
      </c>
      <c r="P200" s="55" t="s">
        <v>21</v>
      </c>
      <c r="Q200" s="53" t="s">
        <v>21</v>
      </c>
      <c r="R200" s="94" t="s">
        <v>21</v>
      </c>
      <c r="S200" s="73">
        <v>0</v>
      </c>
      <c r="T200" s="63">
        <v>1.3158289437605634E-2</v>
      </c>
      <c r="V200" s="114">
        <v>1.12981417</v>
      </c>
      <c r="W200" s="72">
        <v>2.8503624400000001</v>
      </c>
      <c r="X200" s="72">
        <v>4.35131961</v>
      </c>
      <c r="Y200" s="72">
        <v>5.6211871699999998</v>
      </c>
      <c r="Z200" s="115">
        <v>7.1519698199999997</v>
      </c>
    </row>
    <row r="201" spans="2:26" x14ac:dyDescent="0.35">
      <c r="B201" s="55" t="s">
        <v>327</v>
      </c>
      <c r="C201" s="53" t="s">
        <v>234</v>
      </c>
      <c r="D201" s="53" t="s">
        <v>169</v>
      </c>
      <c r="E201" s="53" t="s">
        <v>81</v>
      </c>
      <c r="F201" s="71" t="s">
        <v>21</v>
      </c>
      <c r="G201" s="71">
        <v>6.8255611830029955E-3</v>
      </c>
      <c r="H201" s="71">
        <v>1.3468551197305693E-2</v>
      </c>
      <c r="I201" s="71">
        <v>1.8100258866372336E-2</v>
      </c>
      <c r="J201" s="63">
        <v>2.1490331209644328E-2</v>
      </c>
      <c r="K201" s="71" t="s">
        <v>21</v>
      </c>
      <c r="L201" s="71">
        <v>3.1134093830029979E-3</v>
      </c>
      <c r="M201" s="71">
        <v>8.7914421973056996E-3</v>
      </c>
      <c r="N201" s="71">
        <v>1.2591672766372334E-2</v>
      </c>
      <c r="O201" s="71">
        <v>1.4725270509644325E-2</v>
      </c>
      <c r="P201" s="55" t="s">
        <v>378</v>
      </c>
      <c r="Q201" s="53" t="s">
        <v>379</v>
      </c>
      <c r="R201" s="94">
        <v>47588</v>
      </c>
      <c r="S201" s="73">
        <v>9.5381700000000003E-3</v>
      </c>
      <c r="T201" s="63">
        <v>3.9303811973056928E-3</v>
      </c>
      <c r="V201" s="114">
        <v>1.1298907499999999</v>
      </c>
      <c r="W201" s="72">
        <v>2.84874728</v>
      </c>
      <c r="X201" s="72">
        <v>4.3457596499999998</v>
      </c>
      <c r="Y201" s="72">
        <v>5.5994910000000004</v>
      </c>
      <c r="Z201" s="115">
        <v>7.1165260499999992</v>
      </c>
    </row>
    <row r="202" spans="2:26" x14ac:dyDescent="0.35">
      <c r="B202" s="55" t="s">
        <v>338</v>
      </c>
      <c r="C202" s="53" t="s">
        <v>234</v>
      </c>
      <c r="D202" s="53" t="s">
        <v>69</v>
      </c>
      <c r="E202" s="53" t="s">
        <v>21</v>
      </c>
      <c r="F202" s="71" t="s">
        <v>21</v>
      </c>
      <c r="G202" s="71">
        <v>6.9081772899420761E-3</v>
      </c>
      <c r="H202" s="71">
        <v>1.2778185377521237E-2</v>
      </c>
      <c r="I202" s="71">
        <v>1.6005889882201807E-2</v>
      </c>
      <c r="J202" s="63">
        <v>2.0093916052085495E-2</v>
      </c>
      <c r="K202" s="71" t="s">
        <v>21</v>
      </c>
      <c r="L202" s="71">
        <v>3.2020027899420768E-3</v>
      </c>
      <c r="M202" s="71">
        <v>8.070794277521243E-3</v>
      </c>
      <c r="N202" s="71">
        <v>1.0436440182201807E-2</v>
      </c>
      <c r="O202" s="71">
        <v>1.3280893152085495E-2</v>
      </c>
      <c r="P202" s="55" t="s">
        <v>21</v>
      </c>
      <c r="Q202" s="53" t="s">
        <v>21</v>
      </c>
      <c r="R202" s="94" t="s">
        <v>21</v>
      </c>
      <c r="S202" s="73">
        <v>0</v>
      </c>
      <c r="T202" s="63">
        <v>1.2778185377521237E-2</v>
      </c>
      <c r="V202" s="114">
        <v>1.12979787</v>
      </c>
      <c r="W202" s="72">
        <v>2.8476853000000002</v>
      </c>
      <c r="X202" s="72">
        <v>4.3512229900000001</v>
      </c>
      <c r="Y202" s="72">
        <v>5.6349685699999998</v>
      </c>
      <c r="Z202" s="115">
        <v>7.1971239199999992</v>
      </c>
    </row>
    <row r="203" spans="2:26" x14ac:dyDescent="0.35">
      <c r="B203" s="55" t="s">
        <v>354</v>
      </c>
      <c r="C203" s="53" t="s">
        <v>234</v>
      </c>
      <c r="D203" s="53" t="s">
        <v>20</v>
      </c>
      <c r="E203" s="53" t="s">
        <v>128</v>
      </c>
      <c r="F203" s="71" t="s">
        <v>21</v>
      </c>
      <c r="G203" s="71">
        <v>7.4247781267864892E-3</v>
      </c>
      <c r="H203" s="71">
        <v>1.3063346118089165E-2</v>
      </c>
      <c r="I203" s="71">
        <v>1.6140782687103873E-2</v>
      </c>
      <c r="J203" s="63">
        <v>1.9224586421906005E-2</v>
      </c>
      <c r="K203" s="71" t="s">
        <v>21</v>
      </c>
      <c r="L203" s="71">
        <v>3.7514320267864865E-3</v>
      </c>
      <c r="M203" s="71">
        <v>8.3687876180891692E-3</v>
      </c>
      <c r="N203" s="71">
        <v>1.0576846087103874E-2</v>
      </c>
      <c r="O203" s="71">
        <v>1.2386851421906004E-2</v>
      </c>
      <c r="P203" s="55" t="s">
        <v>388</v>
      </c>
      <c r="Q203" s="53" t="s">
        <v>389</v>
      </c>
      <c r="R203" s="94" t="s">
        <v>32</v>
      </c>
      <c r="S203" s="73">
        <v>9.7546899999999999E-3</v>
      </c>
      <c r="T203" s="63">
        <v>3.3086561180891653E-3</v>
      </c>
      <c r="V203" s="114">
        <v>1.1285123799999999</v>
      </c>
      <c r="W203" s="72">
        <v>2.8430835700000001</v>
      </c>
      <c r="X203" s="72">
        <v>4.34283997</v>
      </c>
      <c r="Y203" s="72">
        <v>5.6226450799999999</v>
      </c>
      <c r="Z203" s="115">
        <v>7.2015362500000002</v>
      </c>
    </row>
    <row r="204" spans="2:26" x14ac:dyDescent="0.35">
      <c r="B204" s="55" t="s">
        <v>349</v>
      </c>
      <c r="C204" s="53" t="s">
        <v>234</v>
      </c>
      <c r="D204" s="53" t="s">
        <v>20</v>
      </c>
      <c r="E204" s="53" t="s">
        <v>528</v>
      </c>
      <c r="F204" s="71" t="s">
        <v>21</v>
      </c>
      <c r="G204" s="71">
        <v>6.5856628269559568E-3</v>
      </c>
      <c r="H204" s="71">
        <v>1.2735822285353313E-2</v>
      </c>
      <c r="I204" s="71">
        <v>1.6314290439790883E-2</v>
      </c>
      <c r="J204" s="63">
        <v>1.9299320611937426E-2</v>
      </c>
      <c r="K204" s="71" t="s">
        <v>21</v>
      </c>
      <c r="L204" s="71">
        <v>2.8554906269559581E-3</v>
      </c>
      <c r="M204" s="71">
        <v>8.0250883853533114E-3</v>
      </c>
      <c r="N204" s="71">
        <v>1.0754375339790883E-2</v>
      </c>
      <c r="O204" s="71">
        <v>1.2469270411937424E-2</v>
      </c>
      <c r="P204" s="55" t="s">
        <v>384</v>
      </c>
      <c r="Q204" s="53" t="s">
        <v>385</v>
      </c>
      <c r="R204" s="94">
        <v>47529</v>
      </c>
      <c r="S204" s="73">
        <v>1.0438179999999998E-2</v>
      </c>
      <c r="T204" s="63">
        <v>2.2976422853533147E-3</v>
      </c>
      <c r="V204" s="114">
        <v>1.1296047999999999</v>
      </c>
      <c r="W204" s="72">
        <v>2.8498512499999999</v>
      </c>
      <c r="X204" s="72">
        <v>4.3552602299999998</v>
      </c>
      <c r="Y204" s="72">
        <v>5.63620448</v>
      </c>
      <c r="Z204" s="115">
        <v>7.2089921599999993</v>
      </c>
    </row>
    <row r="205" spans="2:26" x14ac:dyDescent="0.35">
      <c r="B205" s="55" t="s">
        <v>253</v>
      </c>
      <c r="C205" s="53" t="s">
        <v>234</v>
      </c>
      <c r="D205" s="53" t="s">
        <v>53</v>
      </c>
      <c r="E205" s="53" t="s">
        <v>125</v>
      </c>
      <c r="F205" s="71" t="s">
        <v>21</v>
      </c>
      <c r="G205" s="71">
        <v>6.3558314425652945E-3</v>
      </c>
      <c r="H205" s="71">
        <v>1.2244562456110398E-2</v>
      </c>
      <c r="I205" s="71">
        <v>1.5544127847843597E-2</v>
      </c>
      <c r="J205" s="63">
        <v>1.9083288809123793E-2</v>
      </c>
      <c r="K205" s="71" t="s">
        <v>21</v>
      </c>
      <c r="L205" s="71">
        <v>2.607078442565294E-3</v>
      </c>
      <c r="M205" s="71">
        <v>7.5085657561104E-3</v>
      </c>
      <c r="N205" s="71">
        <v>9.9545522478435965E-3</v>
      </c>
      <c r="O205" s="71">
        <v>1.2238736409123796E-2</v>
      </c>
      <c r="P205" s="55" t="s">
        <v>529</v>
      </c>
      <c r="Q205" s="53" t="s">
        <v>530</v>
      </c>
      <c r="R205" s="94" t="s">
        <v>32</v>
      </c>
      <c r="S205" s="73">
        <v>1.220948E-2</v>
      </c>
      <c r="T205" s="63">
        <v>3.508245611039823E-5</v>
      </c>
      <c r="V205" s="114">
        <v>1.13036044</v>
      </c>
      <c r="W205" s="72">
        <v>2.8526416000000001</v>
      </c>
      <c r="X205" s="72">
        <v>4.3628444000000002</v>
      </c>
      <c r="Y205" s="72">
        <v>5.6540276199999999</v>
      </c>
      <c r="Z205" s="115">
        <v>7.2392273100000004</v>
      </c>
    </row>
    <row r="206" spans="2:26" x14ac:dyDescent="0.35">
      <c r="B206" s="55" t="s">
        <v>144</v>
      </c>
      <c r="C206" s="53" t="s">
        <v>234</v>
      </c>
      <c r="D206" s="53" t="s">
        <v>20</v>
      </c>
      <c r="E206" s="53" t="s">
        <v>57</v>
      </c>
      <c r="F206" s="71" t="s">
        <v>21</v>
      </c>
      <c r="G206" s="71">
        <v>6.6023423795374256E-3</v>
      </c>
      <c r="H206" s="71">
        <v>1.2612395609172381E-2</v>
      </c>
      <c r="I206" s="71">
        <v>1.5851846751244358E-2</v>
      </c>
      <c r="J206" s="63">
        <v>1.9365656474078532E-2</v>
      </c>
      <c r="K206" s="71" t="s">
        <v>21</v>
      </c>
      <c r="L206" s="71">
        <v>2.8741281795374276E-3</v>
      </c>
      <c r="M206" s="71">
        <v>7.8957935091723865E-3</v>
      </c>
      <c r="N206" s="71">
        <v>1.0276157051244357E-2</v>
      </c>
      <c r="O206" s="71">
        <v>1.2533176574078533E-2</v>
      </c>
      <c r="P206" s="55" t="s">
        <v>531</v>
      </c>
      <c r="Q206" s="53" t="s">
        <v>532</v>
      </c>
      <c r="R206" s="94">
        <v>47498</v>
      </c>
      <c r="S206" s="73">
        <v>1.070778E-2</v>
      </c>
      <c r="T206" s="63">
        <v>1.9046156091723811E-3</v>
      </c>
      <c r="V206" s="114">
        <v>1.1292307399999999</v>
      </c>
      <c r="W206" s="72">
        <v>2.8489280200000002</v>
      </c>
      <c r="X206" s="72">
        <v>4.3553245800000004</v>
      </c>
      <c r="Y206" s="72">
        <v>5.6398464800000001</v>
      </c>
      <c r="Z206" s="115">
        <v>7.2151407700000005</v>
      </c>
    </row>
    <row r="207" spans="2:26" x14ac:dyDescent="0.35">
      <c r="B207" s="55" t="s">
        <v>344</v>
      </c>
      <c r="C207" s="53" t="s">
        <v>234</v>
      </c>
      <c r="D207" s="53" t="s">
        <v>31</v>
      </c>
      <c r="E207" s="53" t="s">
        <v>21</v>
      </c>
      <c r="F207" s="71" t="s">
        <v>21</v>
      </c>
      <c r="G207" s="71">
        <v>6.1235730918662483E-3</v>
      </c>
      <c r="H207" s="71">
        <v>1.1981980887125571E-2</v>
      </c>
      <c r="I207" s="71">
        <v>1.5197996172119921E-2</v>
      </c>
      <c r="J207" s="63">
        <v>1.8545956842952259E-2</v>
      </c>
      <c r="K207" s="71" t="s">
        <v>21</v>
      </c>
      <c r="L207" s="71">
        <v>2.356440891866248E-3</v>
      </c>
      <c r="M207" s="71">
        <v>7.2308185871255704E-3</v>
      </c>
      <c r="N207" s="71">
        <v>9.5922260721199182E-3</v>
      </c>
      <c r="O207" s="71">
        <v>1.1679498842952262E-2</v>
      </c>
      <c r="P207" s="55" t="s">
        <v>21</v>
      </c>
      <c r="Q207" s="53" t="s">
        <v>21</v>
      </c>
      <c r="R207" s="94" t="s">
        <v>21</v>
      </c>
      <c r="S207" s="73">
        <v>0</v>
      </c>
      <c r="T207" s="63">
        <v>1.1981980887125571E-2</v>
      </c>
      <c r="V207" s="114">
        <v>1.12949514</v>
      </c>
      <c r="W207" s="72">
        <v>2.8520848399999998</v>
      </c>
      <c r="X207" s="72">
        <v>4.3654110500000005</v>
      </c>
      <c r="Y207" s="72">
        <v>5.6617559999999996</v>
      </c>
      <c r="Z207" s="115">
        <v>7.2601670199999999</v>
      </c>
    </row>
    <row r="208" spans="2:26" x14ac:dyDescent="0.35">
      <c r="B208" s="55" t="s">
        <v>345</v>
      </c>
      <c r="C208" s="53" t="s">
        <v>234</v>
      </c>
      <c r="D208" s="53" t="s">
        <v>97</v>
      </c>
      <c r="E208" s="53" t="s">
        <v>21</v>
      </c>
      <c r="F208" s="71" t="s">
        <v>21</v>
      </c>
      <c r="G208" s="71">
        <v>6.3839039857561466E-3</v>
      </c>
      <c r="H208" s="71">
        <v>1.1938295694782814E-2</v>
      </c>
      <c r="I208" s="71">
        <v>1.5256078655962711E-2</v>
      </c>
      <c r="J208" s="63">
        <v>1.8498392725395548E-2</v>
      </c>
      <c r="K208" s="71" t="s">
        <v>21</v>
      </c>
      <c r="L208" s="71">
        <v>2.6375415857561443E-3</v>
      </c>
      <c r="M208" s="71">
        <v>7.1852038947828167E-3</v>
      </c>
      <c r="N208" s="71">
        <v>9.6528269559627133E-3</v>
      </c>
      <c r="O208" s="71">
        <v>1.1630695425395549E-2</v>
      </c>
      <c r="P208" s="55" t="s">
        <v>21</v>
      </c>
      <c r="Q208" s="53" t="s">
        <v>21</v>
      </c>
      <c r="R208" s="94" t="s">
        <v>21</v>
      </c>
      <c r="S208" s="73">
        <v>0</v>
      </c>
      <c r="T208" s="63">
        <v>1.1938295694782814E-2</v>
      </c>
      <c r="V208" s="114">
        <v>1.13066898</v>
      </c>
      <c r="W208" s="72">
        <v>2.8526336900000002</v>
      </c>
      <c r="X208" s="72">
        <v>4.3657674000000002</v>
      </c>
      <c r="Y208" s="72">
        <v>5.661632</v>
      </c>
      <c r="Z208" s="115">
        <v>7.2606166099999996</v>
      </c>
    </row>
    <row r="209" spans="2:26" x14ac:dyDescent="0.35">
      <c r="B209" s="55" t="s">
        <v>154</v>
      </c>
      <c r="C209" s="53" t="s">
        <v>234</v>
      </c>
      <c r="D209" s="53" t="s">
        <v>20</v>
      </c>
      <c r="E209" s="53" t="s">
        <v>133</v>
      </c>
      <c r="F209" s="71" t="s">
        <v>21</v>
      </c>
      <c r="G209" s="71">
        <v>6.1316090089376003E-3</v>
      </c>
      <c r="H209" s="71">
        <v>1.2400869487970456E-2</v>
      </c>
      <c r="I209" s="71">
        <v>1.5961149800160383E-2</v>
      </c>
      <c r="J209" s="63">
        <v>1.9038872861228181E-2</v>
      </c>
      <c r="K209" s="71" t="s">
        <v>21</v>
      </c>
      <c r="L209" s="71">
        <v>2.3639776089376019E-3</v>
      </c>
      <c r="M209" s="71">
        <v>7.6732380879704579E-3</v>
      </c>
      <c r="N209" s="71">
        <v>1.0389657300160383E-2</v>
      </c>
      <c r="O209" s="71">
        <v>1.2199489461228178E-2</v>
      </c>
      <c r="P209" s="55" t="s">
        <v>533</v>
      </c>
      <c r="Q209" s="53" t="s">
        <v>534</v>
      </c>
      <c r="R209" s="94">
        <v>47529</v>
      </c>
      <c r="S209" s="73">
        <v>1.0633419999999999E-2</v>
      </c>
      <c r="T209" s="63">
        <v>1.7674494879704565E-3</v>
      </c>
      <c r="V209" s="114">
        <v>1.1304974699999999</v>
      </c>
      <c r="W209" s="72">
        <v>2.8547566999999998</v>
      </c>
      <c r="X209" s="72">
        <v>4.36354475</v>
      </c>
      <c r="Y209" s="72">
        <v>5.6475516299999997</v>
      </c>
      <c r="Z209" s="115">
        <v>7.2279292300000009</v>
      </c>
    </row>
    <row r="210" spans="2:26" x14ac:dyDescent="0.35">
      <c r="B210" s="55" t="s">
        <v>252</v>
      </c>
      <c r="C210" s="53" t="s">
        <v>234</v>
      </c>
      <c r="D210" s="53" t="s">
        <v>43</v>
      </c>
      <c r="E210" s="53" t="s">
        <v>21</v>
      </c>
      <c r="F210" s="71" t="s">
        <v>21</v>
      </c>
      <c r="G210" s="71">
        <v>6.1320540353857695E-3</v>
      </c>
      <c r="H210" s="71">
        <v>1.1888551925954643E-2</v>
      </c>
      <c r="I210" s="71">
        <v>1.5107625721159748E-2</v>
      </c>
      <c r="J210" s="63">
        <v>1.8557032241838321E-2</v>
      </c>
      <c r="K210" s="71" t="s">
        <v>21</v>
      </c>
      <c r="L210" s="71">
        <v>2.3650813353857693E-3</v>
      </c>
      <c r="M210" s="71">
        <v>7.1319168259546479E-3</v>
      </c>
      <c r="N210" s="71">
        <v>9.4974565211597469E-3</v>
      </c>
      <c r="O210" s="71">
        <v>1.1690315841838319E-2</v>
      </c>
      <c r="P210" s="55" t="s">
        <v>21</v>
      </c>
      <c r="Q210" s="53" t="s">
        <v>21</v>
      </c>
      <c r="R210" s="94" t="s">
        <v>21</v>
      </c>
      <c r="S210" s="73">
        <v>0</v>
      </c>
      <c r="T210" s="63">
        <v>1.1888551925954643E-2</v>
      </c>
      <c r="V210" s="114">
        <v>1.1301439499999999</v>
      </c>
      <c r="W210" s="72">
        <v>2.8532473199999999</v>
      </c>
      <c r="X210" s="72">
        <v>4.3675003700000001</v>
      </c>
      <c r="Y210" s="72">
        <v>5.6653239699999993</v>
      </c>
      <c r="Z210" s="115">
        <v>7.2642156400000006</v>
      </c>
    </row>
    <row r="211" spans="2:26" x14ac:dyDescent="0.35">
      <c r="B211" s="55" t="s">
        <v>357</v>
      </c>
      <c r="C211" s="53" t="s">
        <v>234</v>
      </c>
      <c r="D211" s="53" t="s">
        <v>20</v>
      </c>
      <c r="E211" s="53" t="s">
        <v>21</v>
      </c>
      <c r="F211" s="71" t="s">
        <v>21</v>
      </c>
      <c r="G211" s="71">
        <v>6.548668993771628E-3</v>
      </c>
      <c r="H211" s="71">
        <v>1.2315967655661678E-2</v>
      </c>
      <c r="I211" s="71">
        <v>1.5401551735308395E-2</v>
      </c>
      <c r="J211" s="63">
        <v>1.853649071928563E-2</v>
      </c>
      <c r="K211" s="71" t="s">
        <v>21</v>
      </c>
      <c r="L211" s="71">
        <v>2.8160309937716285E-3</v>
      </c>
      <c r="M211" s="71">
        <v>7.58350115566168E-3</v>
      </c>
      <c r="N211" s="71">
        <v>9.8060695353084006E-3</v>
      </c>
      <c r="O211" s="71">
        <v>1.1672153919285628E-2</v>
      </c>
      <c r="P211" s="55" t="s">
        <v>21</v>
      </c>
      <c r="Q211" s="53" t="s">
        <v>21</v>
      </c>
      <c r="R211" s="94" t="s">
        <v>21</v>
      </c>
      <c r="S211" s="73">
        <v>0</v>
      </c>
      <c r="T211" s="63">
        <v>1.2315967655661678E-2</v>
      </c>
      <c r="V211" s="114">
        <v>1.1295608800000001</v>
      </c>
      <c r="W211" s="72">
        <v>2.84886361</v>
      </c>
      <c r="X211" s="72">
        <v>4.3584655300000001</v>
      </c>
      <c r="Y211" s="72">
        <v>5.6502614099999997</v>
      </c>
      <c r="Z211" s="115">
        <v>7.24525036</v>
      </c>
    </row>
    <row r="212" spans="2:26" x14ac:dyDescent="0.35">
      <c r="B212" s="55" t="s">
        <v>360</v>
      </c>
      <c r="C212" s="53" t="s">
        <v>234</v>
      </c>
      <c r="D212" s="53" t="s">
        <v>20</v>
      </c>
      <c r="E212" s="53" t="s">
        <v>535</v>
      </c>
      <c r="F212" s="71" t="s">
        <v>21</v>
      </c>
      <c r="G212" s="71">
        <v>6.5367269620188947E-3</v>
      </c>
      <c r="H212" s="71">
        <v>1.2317823468170541E-2</v>
      </c>
      <c r="I212" s="71">
        <v>1.5382594156460844E-2</v>
      </c>
      <c r="J212" s="63">
        <v>1.8644678581082437E-2</v>
      </c>
      <c r="K212" s="71" t="s">
        <v>21</v>
      </c>
      <c r="L212" s="71">
        <v>2.8030090620188922E-3</v>
      </c>
      <c r="M212" s="71">
        <v>7.5853499681705436E-3</v>
      </c>
      <c r="N212" s="71">
        <v>9.7865596564608442E-3</v>
      </c>
      <c r="O212" s="71">
        <v>1.1784391981082432E-2</v>
      </c>
      <c r="P212" s="55" t="s">
        <v>21</v>
      </c>
      <c r="Q212" s="53" t="s">
        <v>21</v>
      </c>
      <c r="R212" s="94" t="s">
        <v>21</v>
      </c>
      <c r="S212" s="73">
        <v>0</v>
      </c>
      <c r="T212" s="63">
        <v>1.2317823468170541E-2</v>
      </c>
      <c r="V212" s="114">
        <v>1.1293656299999999</v>
      </c>
      <c r="W212" s="72">
        <v>2.8491814500000001</v>
      </c>
      <c r="X212" s="72">
        <v>4.35893686</v>
      </c>
      <c r="Y212" s="72">
        <v>5.6506328199999993</v>
      </c>
      <c r="Z212" s="115">
        <v>7.2434247100000002</v>
      </c>
    </row>
    <row r="213" spans="2:26" x14ac:dyDescent="0.35">
      <c r="B213" s="55" t="s">
        <v>353</v>
      </c>
      <c r="C213" s="53" t="s">
        <v>234</v>
      </c>
      <c r="D213" s="53" t="s">
        <v>31</v>
      </c>
      <c r="E213" s="53" t="s">
        <v>21</v>
      </c>
      <c r="F213" s="71" t="s">
        <v>21</v>
      </c>
      <c r="G213" s="71">
        <v>6.0541094703312343E-3</v>
      </c>
      <c r="H213" s="71">
        <v>1.1849975023335402E-2</v>
      </c>
      <c r="I213" s="71">
        <v>1.5017339587114114E-2</v>
      </c>
      <c r="J213" s="63">
        <v>1.8416293668986131E-2</v>
      </c>
      <c r="K213" s="71" t="s">
        <v>21</v>
      </c>
      <c r="L213" s="71">
        <v>2.2796436703312341E-3</v>
      </c>
      <c r="M213" s="71">
        <v>7.090710023335404E-3</v>
      </c>
      <c r="N213" s="71">
        <v>9.4029058871141109E-3</v>
      </c>
      <c r="O213" s="71">
        <v>1.154381766898613E-2</v>
      </c>
      <c r="P213" s="55" t="s">
        <v>21</v>
      </c>
      <c r="Q213" s="53" t="s">
        <v>21</v>
      </c>
      <c r="R213" s="94" t="s">
        <v>21</v>
      </c>
      <c r="S213" s="73">
        <v>0</v>
      </c>
      <c r="T213" s="63">
        <v>1.1849975023335402E-2</v>
      </c>
      <c r="V213" s="114">
        <v>1.1307722200000001</v>
      </c>
      <c r="W213" s="72">
        <v>2.8549228900000001</v>
      </c>
      <c r="X213" s="72">
        <v>4.3698021699999998</v>
      </c>
      <c r="Y213" s="72">
        <v>5.66890362</v>
      </c>
      <c r="Z213" s="115">
        <v>7.2713038499999989</v>
      </c>
    </row>
    <row r="214" spans="2:26" x14ac:dyDescent="0.35">
      <c r="B214" s="55" t="s">
        <v>250</v>
      </c>
      <c r="C214" s="53" t="s">
        <v>234</v>
      </c>
      <c r="D214" s="53" t="s">
        <v>97</v>
      </c>
      <c r="E214" s="53" t="s">
        <v>227</v>
      </c>
      <c r="F214" s="71" t="s">
        <v>21</v>
      </c>
      <c r="G214" s="71">
        <v>6.1225882619458313E-3</v>
      </c>
      <c r="H214" s="71">
        <v>1.1788657532671888E-2</v>
      </c>
      <c r="I214" s="71">
        <v>1.4711038202517531E-2</v>
      </c>
      <c r="J214" s="63">
        <v>1.8073283951244606E-2</v>
      </c>
      <c r="K214" s="71" t="s">
        <v>21</v>
      </c>
      <c r="L214" s="71">
        <v>2.3544037619458347E-3</v>
      </c>
      <c r="M214" s="71">
        <v>7.0256296326718943E-3</v>
      </c>
      <c r="N214" s="71">
        <v>9.0812445025175315E-3</v>
      </c>
      <c r="O214" s="71">
        <v>1.1183608951244603E-2</v>
      </c>
      <c r="P214" s="55" t="s">
        <v>536</v>
      </c>
      <c r="Q214" s="53" t="s">
        <v>537</v>
      </c>
      <c r="R214" s="94">
        <v>47551</v>
      </c>
      <c r="S214" s="73">
        <v>7.3794300000000002E-3</v>
      </c>
      <c r="T214" s="63">
        <v>4.4092275326718883E-3</v>
      </c>
      <c r="V214" s="114">
        <v>1.1300827899999999</v>
      </c>
      <c r="W214" s="72">
        <v>2.8532033599999997</v>
      </c>
      <c r="X214" s="72">
        <v>4.3684866099999997</v>
      </c>
      <c r="Y214" s="72">
        <v>5.6716873899999998</v>
      </c>
      <c r="Z214" s="115">
        <v>7.2834697500000001</v>
      </c>
    </row>
    <row r="215" spans="2:26" x14ac:dyDescent="0.35">
      <c r="B215" s="55" t="s">
        <v>261</v>
      </c>
      <c r="C215" s="53" t="s">
        <v>234</v>
      </c>
      <c r="D215" s="53" t="s">
        <v>31</v>
      </c>
      <c r="E215" s="53" t="s">
        <v>538</v>
      </c>
      <c r="F215" s="71" t="s">
        <v>21</v>
      </c>
      <c r="G215" s="71">
        <v>6.0805385646567622E-3</v>
      </c>
      <c r="H215" s="71">
        <v>1.1790643863082942E-2</v>
      </c>
      <c r="I215" s="71">
        <v>1.4712107986738584E-2</v>
      </c>
      <c r="J215" s="63">
        <v>1.7410933533315902E-2</v>
      </c>
      <c r="K215" s="71" t="s">
        <v>21</v>
      </c>
      <c r="L215" s="71">
        <v>2.3088304646567636E-3</v>
      </c>
      <c r="M215" s="71">
        <v>7.0278817630829446E-3</v>
      </c>
      <c r="N215" s="71">
        <v>9.0826596867385825E-3</v>
      </c>
      <c r="O215" s="71">
        <v>1.0492525633315904E-2</v>
      </c>
      <c r="P215" s="55" t="s">
        <v>539</v>
      </c>
      <c r="Q215" s="53" t="s">
        <v>540</v>
      </c>
      <c r="R215" s="94">
        <v>47517</v>
      </c>
      <c r="S215" s="73">
        <v>9.5072999999999998E-3</v>
      </c>
      <c r="T215" s="63">
        <v>2.2833438630829421E-3</v>
      </c>
      <c r="V215" s="114">
        <v>1.1302580899999999</v>
      </c>
      <c r="W215" s="72">
        <v>2.85379176</v>
      </c>
      <c r="X215" s="72">
        <v>4.3691550299999999</v>
      </c>
      <c r="Y215" s="72">
        <v>5.6723114900000002</v>
      </c>
      <c r="Z215" s="115">
        <v>7.2972679999999999</v>
      </c>
    </row>
    <row r="216" spans="2:26" x14ac:dyDescent="0.35">
      <c r="B216" s="55" t="s">
        <v>361</v>
      </c>
      <c r="C216" s="53" t="s">
        <v>234</v>
      </c>
      <c r="D216" s="53" t="s">
        <v>306</v>
      </c>
      <c r="E216" s="53" t="s">
        <v>21</v>
      </c>
      <c r="F216" s="71" t="s">
        <v>21</v>
      </c>
      <c r="G216" s="71">
        <v>6.0429470560808413E-3</v>
      </c>
      <c r="H216" s="71">
        <v>1.174590264577261E-2</v>
      </c>
      <c r="I216" s="71">
        <v>1.476893594979093E-2</v>
      </c>
      <c r="J216" s="63">
        <v>1.7718888754861498E-2</v>
      </c>
      <c r="K216" s="71" t="s">
        <v>21</v>
      </c>
      <c r="L216" s="71">
        <v>2.2675001560808422E-3</v>
      </c>
      <c r="M216" s="71">
        <v>6.9801408457726127E-3</v>
      </c>
      <c r="N216" s="71">
        <v>9.1419188497909344E-3</v>
      </c>
      <c r="O216" s="71">
        <v>1.08151040548615E-2</v>
      </c>
      <c r="P216" s="55" t="s">
        <v>21</v>
      </c>
      <c r="Q216" s="53" t="s">
        <v>21</v>
      </c>
      <c r="R216" s="94" t="s">
        <v>21</v>
      </c>
      <c r="S216" s="73">
        <v>0</v>
      </c>
      <c r="T216" s="63">
        <v>1.174590264577261E-2</v>
      </c>
      <c r="V216" s="114">
        <v>1.13052332</v>
      </c>
      <c r="W216" s="72">
        <v>2.85453227</v>
      </c>
      <c r="X216" s="72">
        <v>4.3704609400000001</v>
      </c>
      <c r="Y216" s="72">
        <v>5.6730608600000005</v>
      </c>
      <c r="Z216" s="115">
        <v>7.2913699900000006</v>
      </c>
    </row>
    <row r="217" spans="2:26" x14ac:dyDescent="0.35">
      <c r="B217" s="55" t="s">
        <v>259</v>
      </c>
      <c r="C217" s="53" t="s">
        <v>234</v>
      </c>
      <c r="D217" s="53" t="s">
        <v>69</v>
      </c>
      <c r="E217" s="53" t="s">
        <v>21</v>
      </c>
      <c r="F217" s="71" t="s">
        <v>21</v>
      </c>
      <c r="G217" s="71">
        <v>6.1162719121333232E-3</v>
      </c>
      <c r="H217" s="71">
        <v>1.1730496095899096E-2</v>
      </c>
      <c r="I217" s="71">
        <v>1.4822355085350524E-2</v>
      </c>
      <c r="J217" s="63">
        <v>1.80373518719677E-2</v>
      </c>
      <c r="K217" s="71" t="s">
        <v>21</v>
      </c>
      <c r="L217" s="71">
        <v>2.3469623121333233E-3</v>
      </c>
      <c r="M217" s="71">
        <v>6.9636203958990967E-3</v>
      </c>
      <c r="N217" s="71">
        <v>9.1972805853505236E-3</v>
      </c>
      <c r="O217" s="71">
        <v>1.1146729471967695E-2</v>
      </c>
      <c r="P217" s="55" t="s">
        <v>541</v>
      </c>
      <c r="Q217" s="53" t="s">
        <v>542</v>
      </c>
      <c r="R217" s="94" t="s">
        <v>32</v>
      </c>
      <c r="S217" s="73">
        <v>4.5244700000000001E-3</v>
      </c>
      <c r="T217" s="63">
        <v>7.2060260958990959E-3</v>
      </c>
      <c r="V217" s="114">
        <v>1.12990477</v>
      </c>
      <c r="W217" s="72">
        <v>2.8534545800000002</v>
      </c>
      <c r="X217" s="72">
        <v>4.3692279100000002</v>
      </c>
      <c r="Y217" s="72">
        <v>5.6714070400000001</v>
      </c>
      <c r="Z217" s="115">
        <v>7.2833884500000003</v>
      </c>
    </row>
    <row r="218" spans="2:26" x14ac:dyDescent="0.35">
      <c r="B218" s="55" t="s">
        <v>262</v>
      </c>
      <c r="C218" s="53" t="s">
        <v>234</v>
      </c>
      <c r="D218" s="53" t="s">
        <v>31</v>
      </c>
      <c r="E218" s="53" t="s">
        <v>123</v>
      </c>
      <c r="F218" s="71" t="s">
        <v>21</v>
      </c>
      <c r="G218" s="71">
        <v>6.003008739179627E-3</v>
      </c>
      <c r="H218" s="71">
        <v>1.1694142672966779E-2</v>
      </c>
      <c r="I218" s="71">
        <v>1.4669970968750379E-2</v>
      </c>
      <c r="J218" s="63">
        <v>1.8030422726779911E-2</v>
      </c>
      <c r="K218" s="71" t="s">
        <v>21</v>
      </c>
      <c r="L218" s="71">
        <v>2.2239867391796279E-3</v>
      </c>
      <c r="M218" s="71">
        <v>6.9248786729667836E-3</v>
      </c>
      <c r="N218" s="71">
        <v>9.0375152687503825E-3</v>
      </c>
      <c r="O218" s="71">
        <v>1.1138704926779913E-2</v>
      </c>
      <c r="P218" s="55" t="s">
        <v>543</v>
      </c>
      <c r="Q218" s="53" t="s">
        <v>544</v>
      </c>
      <c r="R218" s="94">
        <v>47660</v>
      </c>
      <c r="S218" s="73">
        <v>9.5743100000000008E-3</v>
      </c>
      <c r="T218" s="63">
        <v>2.1198326729667781E-3</v>
      </c>
      <c r="V218" s="114">
        <v>1.1302614500000001</v>
      </c>
      <c r="W218" s="72">
        <v>2.85430093</v>
      </c>
      <c r="X218" s="72">
        <v>4.3708452299999996</v>
      </c>
      <c r="Y218" s="72">
        <v>5.6748714200000006</v>
      </c>
      <c r="Z218" s="115">
        <v>7.2877548700000006</v>
      </c>
    </row>
    <row r="219" spans="2:26" x14ac:dyDescent="0.35">
      <c r="B219" s="55" t="s">
        <v>247</v>
      </c>
      <c r="C219" s="53" t="s">
        <v>234</v>
      </c>
      <c r="D219" s="53" t="s">
        <v>20</v>
      </c>
      <c r="E219" s="53" t="s">
        <v>36</v>
      </c>
      <c r="F219" s="71" t="s">
        <v>21</v>
      </c>
      <c r="G219" s="71">
        <v>6.6408455693573324E-3</v>
      </c>
      <c r="H219" s="71">
        <v>1.2152187043753914E-2</v>
      </c>
      <c r="I219" s="71">
        <v>1.5150998374281121E-2</v>
      </c>
      <c r="J219" s="63">
        <v>1.8282274019154339E-2</v>
      </c>
      <c r="K219" s="71" t="s">
        <v>21</v>
      </c>
      <c r="L219" s="71">
        <v>2.9148199693573339E-3</v>
      </c>
      <c r="M219" s="71">
        <v>7.4111179437539188E-3</v>
      </c>
      <c r="N219" s="71">
        <v>9.5432930742811277E-3</v>
      </c>
      <c r="O219" s="71">
        <v>1.140477631915434E-2</v>
      </c>
      <c r="P219" s="55" t="s">
        <v>248</v>
      </c>
      <c r="Q219" s="53" t="s">
        <v>249</v>
      </c>
      <c r="R219" s="94">
        <v>47543</v>
      </c>
      <c r="S219" s="73">
        <v>8.6424699999999993E-3</v>
      </c>
      <c r="T219" s="63">
        <v>3.5097170437539144E-3</v>
      </c>
      <c r="V219" s="114">
        <v>1.1293637299999999</v>
      </c>
      <c r="W219" s="72">
        <v>2.8490158000000001</v>
      </c>
      <c r="X219" s="72">
        <v>4.3595492899999995</v>
      </c>
      <c r="Y219" s="72">
        <v>5.6553758299999997</v>
      </c>
      <c r="Z219" s="115">
        <v>7.2580195599999993</v>
      </c>
    </row>
    <row r="220" spans="2:26" x14ac:dyDescent="0.35">
      <c r="B220" s="55" t="s">
        <v>254</v>
      </c>
      <c r="C220" s="53" t="s">
        <v>234</v>
      </c>
      <c r="D220" s="53" t="s">
        <v>20</v>
      </c>
      <c r="E220" s="53" t="s">
        <v>161</v>
      </c>
      <c r="F220" s="71" t="s">
        <v>21</v>
      </c>
      <c r="G220" s="71">
        <v>7.2200757469044197E-3</v>
      </c>
      <c r="H220" s="71">
        <v>1.2102846806195042E-2</v>
      </c>
      <c r="I220" s="71">
        <v>1.4633741737874822E-2</v>
      </c>
      <c r="J220" s="63">
        <v>1.8303820435279696E-2</v>
      </c>
      <c r="K220" s="71" t="s">
        <v>21</v>
      </c>
      <c r="L220" s="71">
        <v>3.5341831469044185E-3</v>
      </c>
      <c r="M220" s="71">
        <v>7.3599667061950459E-3</v>
      </c>
      <c r="N220" s="71">
        <v>9.0005864378748211E-3</v>
      </c>
      <c r="O220" s="71">
        <v>1.1415718135279697E-2</v>
      </c>
      <c r="P220" s="55" t="s">
        <v>545</v>
      </c>
      <c r="Q220" s="53" t="s">
        <v>546</v>
      </c>
      <c r="R220" s="94">
        <v>47545</v>
      </c>
      <c r="S220" s="73">
        <v>7.8604299999999998E-3</v>
      </c>
      <c r="T220" s="63">
        <v>4.2424168061950419E-3</v>
      </c>
      <c r="V220" s="114">
        <v>1.12916846</v>
      </c>
      <c r="W220" s="72">
        <v>2.8445662399999998</v>
      </c>
      <c r="X220" s="72">
        <v>4.3542200900000001</v>
      </c>
      <c r="Y220" s="72">
        <v>5.6580785300000001</v>
      </c>
      <c r="Z220" s="115">
        <v>7.2719898000000001</v>
      </c>
    </row>
    <row r="221" spans="2:26" x14ac:dyDescent="0.35">
      <c r="B221" s="55" t="s">
        <v>347</v>
      </c>
      <c r="C221" s="53" t="s">
        <v>234</v>
      </c>
      <c r="D221" s="53" t="s">
        <v>97</v>
      </c>
      <c r="E221" s="53" t="s">
        <v>21</v>
      </c>
      <c r="F221" s="71" t="s">
        <v>21</v>
      </c>
      <c r="G221" s="71">
        <v>6.0188166949225906E-3</v>
      </c>
      <c r="H221" s="71">
        <v>1.1644318790348532E-2</v>
      </c>
      <c r="I221" s="71">
        <v>1.4521690639947708E-2</v>
      </c>
      <c r="J221" s="63">
        <v>1.8039601573210402E-2</v>
      </c>
      <c r="K221" s="71" t="s">
        <v>21</v>
      </c>
      <c r="L221" s="71">
        <v>2.2412717949225926E-3</v>
      </c>
      <c r="M221" s="71">
        <v>6.8722839903485305E-3</v>
      </c>
      <c r="N221" s="71">
        <v>8.8817723399477067E-3</v>
      </c>
      <c r="O221" s="71">
        <v>1.1147117373210402E-2</v>
      </c>
      <c r="P221" s="55" t="s">
        <v>21</v>
      </c>
      <c r="Q221" s="53" t="s">
        <v>21</v>
      </c>
      <c r="R221" s="94" t="s">
        <v>21</v>
      </c>
      <c r="S221" s="73">
        <v>0</v>
      </c>
      <c r="T221" s="63">
        <v>1.1644318790348532E-2</v>
      </c>
      <c r="V221" s="114">
        <v>1.1305610500000001</v>
      </c>
      <c r="W221" s="72">
        <v>2.8547543100000001</v>
      </c>
      <c r="X221" s="72">
        <v>4.3717373799999999</v>
      </c>
      <c r="Y221" s="72">
        <v>5.6778038400000002</v>
      </c>
      <c r="Z221" s="115">
        <v>7.2916954399999998</v>
      </c>
    </row>
    <row r="222" spans="2:26" x14ac:dyDescent="0.35">
      <c r="B222" s="55" t="s">
        <v>350</v>
      </c>
      <c r="C222" s="53" t="s">
        <v>234</v>
      </c>
      <c r="D222" s="53" t="s">
        <v>20</v>
      </c>
      <c r="E222" s="53" t="s">
        <v>21</v>
      </c>
      <c r="F222" s="71" t="s">
        <v>21</v>
      </c>
      <c r="G222" s="71">
        <v>6.0845321451241741E-3</v>
      </c>
      <c r="H222" s="71">
        <v>1.1873850300998089E-2</v>
      </c>
      <c r="I222" s="71">
        <v>1.489755986108323E-2</v>
      </c>
      <c r="J222" s="63">
        <v>1.7657959774209996E-2</v>
      </c>
      <c r="K222" s="71" t="s">
        <v>21</v>
      </c>
      <c r="L222" s="71">
        <v>2.3135540451241733E-3</v>
      </c>
      <c r="M222" s="71">
        <v>7.1163958009980953E-3</v>
      </c>
      <c r="N222" s="71">
        <v>9.2782888610832316E-3</v>
      </c>
      <c r="O222" s="71">
        <v>1.0754333074209997E-2</v>
      </c>
      <c r="P222" s="55" t="s">
        <v>386</v>
      </c>
      <c r="Q222" s="53" t="s">
        <v>387</v>
      </c>
      <c r="R222" s="94">
        <v>47802</v>
      </c>
      <c r="S222" s="73">
        <v>1.024721E-2</v>
      </c>
      <c r="T222" s="63">
        <v>1.6266403009980897E-3</v>
      </c>
      <c r="V222" s="114">
        <v>1.13023254</v>
      </c>
      <c r="W222" s="72">
        <v>2.8537529999999998</v>
      </c>
      <c r="X222" s="72">
        <v>4.3682223499999999</v>
      </c>
      <c r="Y222" s="72">
        <v>5.6677918399999996</v>
      </c>
      <c r="Z222" s="115">
        <v>7.2844877899999991</v>
      </c>
    </row>
    <row r="223" spans="2:26" x14ac:dyDescent="0.35">
      <c r="B223" s="55" t="s">
        <v>256</v>
      </c>
      <c r="C223" s="53" t="s">
        <v>234</v>
      </c>
      <c r="D223" s="53" t="s">
        <v>257</v>
      </c>
      <c r="E223" s="53" t="s">
        <v>103</v>
      </c>
      <c r="F223" s="71" t="s">
        <v>21</v>
      </c>
      <c r="G223" s="71">
        <v>5.7751364998463988E-3</v>
      </c>
      <c r="H223" s="71">
        <v>1.134107304721205E-2</v>
      </c>
      <c r="I223" s="71">
        <v>1.4486635201187818E-2</v>
      </c>
      <c r="J223" s="63">
        <v>1.7847076012174619E-2</v>
      </c>
      <c r="K223" s="71" t="s">
        <v>21</v>
      </c>
      <c r="L223" s="71">
        <v>1.9753761998463969E-3</v>
      </c>
      <c r="M223" s="71">
        <v>6.5486417472120544E-3</v>
      </c>
      <c r="N223" s="71">
        <v>8.8428951011878185E-3</v>
      </c>
      <c r="O223" s="71">
        <v>1.0945979912174617E-2</v>
      </c>
      <c r="P223" s="55" t="s">
        <v>547</v>
      </c>
      <c r="Q223" s="53" t="s">
        <v>548</v>
      </c>
      <c r="R223" s="94" t="s">
        <v>32</v>
      </c>
      <c r="S223" s="73">
        <v>8.2403800000000003E-3</v>
      </c>
      <c r="T223" s="63">
        <v>3.1006930472120501E-3</v>
      </c>
      <c r="V223" s="114">
        <v>1.1301715000000001</v>
      </c>
      <c r="W223" s="72">
        <v>2.8555746800000001</v>
      </c>
      <c r="X223" s="72">
        <v>4.3761612999999997</v>
      </c>
      <c r="Y223" s="72">
        <v>5.6836403299999994</v>
      </c>
      <c r="Z223" s="115">
        <v>7.3013778599999997</v>
      </c>
    </row>
    <row r="224" spans="2:26" x14ac:dyDescent="0.35">
      <c r="B224" s="55" t="s">
        <v>157</v>
      </c>
      <c r="C224" s="53" t="s">
        <v>234</v>
      </c>
      <c r="D224" s="53" t="s">
        <v>31</v>
      </c>
      <c r="E224" s="53" t="s">
        <v>549</v>
      </c>
      <c r="F224" s="71" t="s">
        <v>21</v>
      </c>
      <c r="G224" s="71">
        <v>5.6510378297882254E-3</v>
      </c>
      <c r="H224" s="71">
        <v>1.1256611866978128E-2</v>
      </c>
      <c r="I224" s="71">
        <v>1.4300975368126408E-2</v>
      </c>
      <c r="J224" s="63">
        <v>1.7663582993072871E-2</v>
      </c>
      <c r="K224" s="71" t="s">
        <v>21</v>
      </c>
      <c r="L224" s="71">
        <v>1.8383089297882263E-3</v>
      </c>
      <c r="M224" s="71">
        <v>6.4578930669781306E-3</v>
      </c>
      <c r="N224" s="71">
        <v>8.6468829681264035E-3</v>
      </c>
      <c r="O224" s="71">
        <v>1.0752975693072871E-2</v>
      </c>
      <c r="P224" s="55" t="s">
        <v>21</v>
      </c>
      <c r="Q224" s="53" t="s">
        <v>21</v>
      </c>
      <c r="R224" s="94" t="s">
        <v>21</v>
      </c>
      <c r="S224" s="73">
        <v>0</v>
      </c>
      <c r="T224" s="63">
        <v>1.1256611866978128E-2</v>
      </c>
      <c r="V224" s="114">
        <v>1.13100124</v>
      </c>
      <c r="W224" s="72">
        <v>2.8579259400000003</v>
      </c>
      <c r="X224" s="72">
        <v>4.3797341799999998</v>
      </c>
      <c r="Y224" s="72">
        <v>5.6898697900000004</v>
      </c>
      <c r="Z224" s="115">
        <v>7.312770239999999</v>
      </c>
    </row>
    <row r="225" spans="2:26" x14ac:dyDescent="0.35">
      <c r="B225" s="55" t="s">
        <v>149</v>
      </c>
      <c r="C225" s="53" t="s">
        <v>234</v>
      </c>
      <c r="D225" s="53" t="s">
        <v>97</v>
      </c>
      <c r="E225" s="53" t="s">
        <v>346</v>
      </c>
      <c r="F225" s="71" t="s">
        <v>21</v>
      </c>
      <c r="G225" s="71">
        <v>5.7423563785481248E-3</v>
      </c>
      <c r="H225" s="71">
        <v>1.1151651856276125E-2</v>
      </c>
      <c r="I225" s="71">
        <v>1.4303935565383492E-2</v>
      </c>
      <c r="J225" s="63">
        <v>1.7766968601782441E-2</v>
      </c>
      <c r="K225" s="71" t="s">
        <v>21</v>
      </c>
      <c r="L225" s="71">
        <v>1.9386096785481222E-3</v>
      </c>
      <c r="M225" s="71">
        <v>6.3462265562761267E-3</v>
      </c>
      <c r="N225" s="71">
        <v>8.6496960653834887E-3</v>
      </c>
      <c r="O225" s="71">
        <v>1.0861030501782443E-2</v>
      </c>
      <c r="P225" s="55" t="s">
        <v>550</v>
      </c>
      <c r="Q225" s="53" t="s">
        <v>551</v>
      </c>
      <c r="R225" s="94" t="s">
        <v>32</v>
      </c>
      <c r="S225" s="73">
        <v>1.1649059999999999E-2</v>
      </c>
      <c r="T225" s="63">
        <v>-4.9740814372387435E-4</v>
      </c>
      <c r="V225" s="114">
        <v>1.1312344999999999</v>
      </c>
      <c r="W225" s="72">
        <v>2.8577747499999999</v>
      </c>
      <c r="X225" s="72">
        <v>4.3803594100000005</v>
      </c>
      <c r="Y225" s="72">
        <v>5.6908254399999993</v>
      </c>
      <c r="Z225" s="115">
        <v>7.3115791699999999</v>
      </c>
    </row>
    <row r="226" spans="2:26" x14ac:dyDescent="0.35">
      <c r="B226" s="55" t="s">
        <v>260</v>
      </c>
      <c r="C226" s="53" t="s">
        <v>234</v>
      </c>
      <c r="D226" s="53" t="s">
        <v>43</v>
      </c>
      <c r="E226" s="53" t="s">
        <v>21</v>
      </c>
      <c r="F226" s="71" t="s">
        <v>21</v>
      </c>
      <c r="G226" s="71">
        <v>5.9619755795551109E-3</v>
      </c>
      <c r="H226" s="71">
        <v>1.1124517920998809E-2</v>
      </c>
      <c r="I226" s="71">
        <v>1.39835092690304E-2</v>
      </c>
      <c r="J226" s="63">
        <v>1.7364332909177216E-2</v>
      </c>
      <c r="K226" s="71" t="s">
        <v>21</v>
      </c>
      <c r="L226" s="71">
        <v>2.1797450795551111E-3</v>
      </c>
      <c r="M226" s="71">
        <v>6.3177043209988112E-3</v>
      </c>
      <c r="N226" s="71">
        <v>8.3106004690303957E-3</v>
      </c>
      <c r="O226" s="71">
        <v>1.0435410809177219E-2</v>
      </c>
      <c r="P226" s="55" t="s">
        <v>552</v>
      </c>
      <c r="Q226" s="53" t="s">
        <v>553</v>
      </c>
      <c r="R226" s="94" t="s">
        <v>32</v>
      </c>
      <c r="S226" s="73">
        <v>8.7718899999999992E-3</v>
      </c>
      <c r="T226" s="63">
        <v>2.3526279209988097E-3</v>
      </c>
      <c r="V226" s="114">
        <v>1.1298187799999999</v>
      </c>
      <c r="W226" s="72">
        <v>2.85372921</v>
      </c>
      <c r="X226" s="72">
        <v>4.3759303599999999</v>
      </c>
      <c r="Y226" s="72">
        <v>5.69058098</v>
      </c>
      <c r="Z226" s="115">
        <v>7.3221657699999998</v>
      </c>
    </row>
    <row r="227" spans="2:26" x14ac:dyDescent="0.35">
      <c r="B227" s="55" t="s">
        <v>324</v>
      </c>
      <c r="C227" s="53" t="s">
        <v>234</v>
      </c>
      <c r="D227" s="53" t="s">
        <v>31</v>
      </c>
      <c r="E227" s="53" t="s">
        <v>21</v>
      </c>
      <c r="F227" s="71" t="s">
        <v>21</v>
      </c>
      <c r="G227" s="71">
        <v>5.4979672665180727E-3</v>
      </c>
      <c r="H227" s="71">
        <v>1.1062020259885983E-2</v>
      </c>
      <c r="I227" s="71">
        <v>1.502054763841618E-2</v>
      </c>
      <c r="J227" s="63">
        <v>1.8348003793088551E-2</v>
      </c>
      <c r="K227" s="71" t="s">
        <v>21</v>
      </c>
      <c r="L227" s="71">
        <v>1.6695412665180703E-3</v>
      </c>
      <c r="M227" s="71">
        <v>6.2492221598859851E-3</v>
      </c>
      <c r="N227" s="71">
        <v>9.4014818384161834E-3</v>
      </c>
      <c r="O227" s="71">
        <v>1.1473150993088556E-2</v>
      </c>
      <c r="P227" s="55" t="s">
        <v>21</v>
      </c>
      <c r="Q227" s="53" t="s">
        <v>21</v>
      </c>
      <c r="R227" s="94" t="s">
        <v>21</v>
      </c>
      <c r="S227" s="73">
        <v>0</v>
      </c>
      <c r="T227" s="63">
        <v>1.1062020259885983E-2</v>
      </c>
      <c r="V227" s="114">
        <v>1.1313109700000001</v>
      </c>
      <c r="W227" s="72">
        <v>2.8594825500000001</v>
      </c>
      <c r="X227" s="72">
        <v>4.3836304100000003</v>
      </c>
      <c r="Y227" s="72">
        <v>5.6852631799999997</v>
      </c>
      <c r="Z227" s="115">
        <v>7.2882794200000003</v>
      </c>
    </row>
    <row r="228" spans="2:26" x14ac:dyDescent="0.35">
      <c r="B228" s="55" t="s">
        <v>373</v>
      </c>
      <c r="C228" s="53" t="s">
        <v>234</v>
      </c>
      <c r="D228" s="53" t="s">
        <v>20</v>
      </c>
      <c r="E228" s="53" t="s">
        <v>554</v>
      </c>
      <c r="F228" s="71" t="s">
        <v>21</v>
      </c>
      <c r="G228" s="71">
        <v>4.9465337545904001E-3</v>
      </c>
      <c r="H228" s="71">
        <v>9.6606166663913001E-3</v>
      </c>
      <c r="I228" s="71">
        <v>1.2157587267781447E-2</v>
      </c>
      <c r="J228" s="63">
        <v>1.4628955388641892E-2</v>
      </c>
      <c r="K228" s="71" t="s">
        <v>21</v>
      </c>
      <c r="L228" s="71">
        <v>1.0572444545904011E-3</v>
      </c>
      <c r="M228" s="71">
        <v>4.7288880663912992E-3</v>
      </c>
      <c r="N228" s="71">
        <v>6.3442350677814473E-3</v>
      </c>
      <c r="O228" s="71">
        <v>7.5057656886418902E-3</v>
      </c>
      <c r="P228" s="55" t="s">
        <v>21</v>
      </c>
      <c r="Q228" s="53" t="s">
        <v>21</v>
      </c>
      <c r="R228" s="94" t="s">
        <v>21</v>
      </c>
      <c r="S228" s="73">
        <v>0</v>
      </c>
      <c r="T228" s="63">
        <v>9.6606166663913001E-3</v>
      </c>
      <c r="V228" s="114">
        <v>1.13132454</v>
      </c>
      <c r="W228" s="72">
        <v>2.8629392300000003</v>
      </c>
      <c r="X228" s="72">
        <v>4.4023858999999996</v>
      </c>
      <c r="Y228" s="72">
        <v>5.7454886099999998</v>
      </c>
      <c r="Z228" s="115">
        <v>7.4457310200000002</v>
      </c>
    </row>
    <row r="229" spans="2:26" x14ac:dyDescent="0.35">
      <c r="B229" s="55" t="s">
        <v>352</v>
      </c>
      <c r="C229" s="53" t="s">
        <v>234</v>
      </c>
      <c r="D229" s="53" t="s">
        <v>20</v>
      </c>
      <c r="E229" s="53" t="s">
        <v>21</v>
      </c>
      <c r="F229" s="71" t="s">
        <v>21</v>
      </c>
      <c r="G229" s="71">
        <v>5.9661912530491641E-3</v>
      </c>
      <c r="H229" s="71">
        <v>1.1535680780270154E-2</v>
      </c>
      <c r="I229" s="71">
        <v>1.4876053035457887E-2</v>
      </c>
      <c r="J229" s="63">
        <v>1.7987635828746556E-2</v>
      </c>
      <c r="K229" s="71" t="s">
        <v>21</v>
      </c>
      <c r="L229" s="71">
        <v>2.1826219530491635E-3</v>
      </c>
      <c r="M229" s="71">
        <v>6.7555289802701535E-3</v>
      </c>
      <c r="N229" s="71">
        <v>9.2530192354578853E-3</v>
      </c>
      <c r="O229" s="71">
        <v>1.1097852628746553E-2</v>
      </c>
      <c r="P229" s="55" t="s">
        <v>21</v>
      </c>
      <c r="Q229" s="53" t="s">
        <v>21</v>
      </c>
      <c r="R229" s="94" t="s">
        <v>21</v>
      </c>
      <c r="S229" s="73">
        <v>0</v>
      </c>
      <c r="T229" s="63">
        <v>1.1535680780270154E-2</v>
      </c>
      <c r="V229" s="114">
        <v>1.13062573</v>
      </c>
      <c r="W229" s="72">
        <v>2.8559692399999999</v>
      </c>
      <c r="X229" s="72">
        <v>4.3747632300000001</v>
      </c>
      <c r="Y229" s="72">
        <v>5.67552916</v>
      </c>
      <c r="Z229" s="115">
        <v>7.2850630700000005</v>
      </c>
    </row>
    <row r="230" spans="2:26" x14ac:dyDescent="0.35">
      <c r="B230" s="55" t="s">
        <v>158</v>
      </c>
      <c r="C230" s="53" t="s">
        <v>234</v>
      </c>
      <c r="D230" s="53" t="s">
        <v>31</v>
      </c>
      <c r="E230" s="53" t="s">
        <v>21</v>
      </c>
      <c r="F230" s="71" t="s">
        <v>21</v>
      </c>
      <c r="G230" s="71">
        <v>5.7116987022016747E-3</v>
      </c>
      <c r="H230" s="71">
        <v>1.0986144404754638E-2</v>
      </c>
      <c r="I230" s="71">
        <v>1.3899037050124012E-2</v>
      </c>
      <c r="J230" s="63">
        <v>1.6970477281956872E-2</v>
      </c>
      <c r="K230" s="71" t="s">
        <v>21</v>
      </c>
      <c r="L230" s="71">
        <v>1.9054399022016746E-3</v>
      </c>
      <c r="M230" s="71">
        <v>6.1683371047546402E-3</v>
      </c>
      <c r="N230" s="71">
        <v>8.2199771501240138E-3</v>
      </c>
      <c r="O230" s="71">
        <v>1.0021096681956873E-2</v>
      </c>
      <c r="P230" s="55" t="s">
        <v>21</v>
      </c>
      <c r="Q230" s="53" t="s">
        <v>21</v>
      </c>
      <c r="R230" s="94" t="s">
        <v>21</v>
      </c>
      <c r="S230" s="73">
        <v>0</v>
      </c>
      <c r="T230" s="63">
        <v>1.0986144404754638E-2</v>
      </c>
      <c r="V230" s="114">
        <v>1.1300304299999999</v>
      </c>
      <c r="W230" s="72">
        <v>2.8557267300000002</v>
      </c>
      <c r="X230" s="72">
        <v>4.3799965500000004</v>
      </c>
      <c r="Y230" s="72">
        <v>5.6961743799999995</v>
      </c>
      <c r="Z230" s="115">
        <v>7.3362494900000002</v>
      </c>
    </row>
    <row r="231" spans="2:26" x14ac:dyDescent="0.35">
      <c r="B231" s="55" t="s">
        <v>372</v>
      </c>
      <c r="C231" s="53" t="s">
        <v>234</v>
      </c>
      <c r="D231" s="53" t="s">
        <v>69</v>
      </c>
      <c r="E231" s="53" t="s">
        <v>258</v>
      </c>
      <c r="F231" s="71" t="s">
        <v>21</v>
      </c>
      <c r="G231" s="71">
        <v>5.6120020151610587E-3</v>
      </c>
      <c r="H231" s="71">
        <v>1.0998799527761425E-2</v>
      </c>
      <c r="I231" s="71">
        <v>1.3704364299312445E-2</v>
      </c>
      <c r="J231" s="63">
        <v>1.6421247228655206E-2</v>
      </c>
      <c r="K231" s="71" t="s">
        <v>21</v>
      </c>
      <c r="L231" s="71">
        <v>1.7957768151610582E-3</v>
      </c>
      <c r="M231" s="71">
        <v>6.1821608277614244E-3</v>
      </c>
      <c r="N231" s="71">
        <v>8.0143351993124459E-3</v>
      </c>
      <c r="O231" s="71">
        <v>9.4407258286552075E-3</v>
      </c>
      <c r="P231" s="55" t="s">
        <v>21</v>
      </c>
      <c r="Q231" s="53" t="s">
        <v>21</v>
      </c>
      <c r="R231" s="94" t="s">
        <v>21</v>
      </c>
      <c r="S231" s="73">
        <v>0</v>
      </c>
      <c r="T231" s="63">
        <v>1.0998799527761425E-2</v>
      </c>
      <c r="V231" s="114">
        <v>1.13098196</v>
      </c>
      <c r="W231" s="72">
        <v>2.8581293300000001</v>
      </c>
      <c r="X231" s="72">
        <v>4.3825452799999995</v>
      </c>
      <c r="Y231" s="72">
        <v>5.7011227</v>
      </c>
      <c r="Z231" s="115">
        <v>7.3538577399999996</v>
      </c>
    </row>
    <row r="232" spans="2:26" x14ac:dyDescent="0.35">
      <c r="B232" s="55" t="s">
        <v>365</v>
      </c>
      <c r="C232" s="53" t="s">
        <v>234</v>
      </c>
      <c r="D232" s="53" t="s">
        <v>69</v>
      </c>
      <c r="E232" s="53" t="s">
        <v>21</v>
      </c>
      <c r="F232" s="71" t="s">
        <v>21</v>
      </c>
      <c r="G232" s="71">
        <v>5.550404149442122E-3</v>
      </c>
      <c r="H232" s="71">
        <v>1.0785848922635231E-2</v>
      </c>
      <c r="I232" s="71">
        <v>1.360717324725897E-2</v>
      </c>
      <c r="J232" s="63">
        <v>1.6480230587581409E-2</v>
      </c>
      <c r="K232" s="71" t="s">
        <v>21</v>
      </c>
      <c r="L232" s="71">
        <v>1.7284875494421197E-3</v>
      </c>
      <c r="M232" s="71">
        <v>5.9530487226352336E-3</v>
      </c>
      <c r="N232" s="71">
        <v>7.909273947258974E-3</v>
      </c>
      <c r="O232" s="71">
        <v>9.5013209875814079E-3</v>
      </c>
      <c r="P232" s="55" t="s">
        <v>21</v>
      </c>
      <c r="Q232" s="53" t="s">
        <v>21</v>
      </c>
      <c r="R232" s="94" t="s">
        <v>21</v>
      </c>
      <c r="S232" s="73">
        <v>0</v>
      </c>
      <c r="T232" s="63">
        <v>1.0785848922635231E-2</v>
      </c>
      <c r="V232" s="114">
        <v>1.13015215</v>
      </c>
      <c r="W232" s="72">
        <v>2.8569708199999999</v>
      </c>
      <c r="X232" s="72">
        <v>4.3836164799999997</v>
      </c>
      <c r="Y232" s="72">
        <v>5.7041434899999999</v>
      </c>
      <c r="Z232" s="115">
        <v>7.356374240000001</v>
      </c>
    </row>
    <row r="233" spans="2:26" x14ac:dyDescent="0.35">
      <c r="B233" s="55" t="s">
        <v>373</v>
      </c>
      <c r="C233" s="53" t="s">
        <v>234</v>
      </c>
      <c r="D233" s="53" t="s">
        <v>20</v>
      </c>
      <c r="E233" s="53" t="s">
        <v>251</v>
      </c>
      <c r="F233" s="71" t="s">
        <v>21</v>
      </c>
      <c r="G233" s="71">
        <v>4.9465337545904001E-3</v>
      </c>
      <c r="H233" s="71">
        <v>9.6606166663913001E-3</v>
      </c>
      <c r="I233" s="71">
        <v>1.2157587267781447E-2</v>
      </c>
      <c r="J233" s="63">
        <v>1.4628955388641892E-2</v>
      </c>
      <c r="K233" s="71" t="s">
        <v>21</v>
      </c>
      <c r="L233" s="71">
        <v>1.0572444545904011E-3</v>
      </c>
      <c r="M233" s="71">
        <v>4.7288880663912992E-3</v>
      </c>
      <c r="N233" s="71">
        <v>6.3442350677814473E-3</v>
      </c>
      <c r="O233" s="71">
        <v>7.5057656886418902E-3</v>
      </c>
      <c r="P233" s="55" t="s">
        <v>21</v>
      </c>
      <c r="Q233" s="53" t="s">
        <v>21</v>
      </c>
      <c r="R233" s="94" t="s">
        <v>21</v>
      </c>
      <c r="S233" s="73">
        <v>0</v>
      </c>
      <c r="T233" s="63">
        <v>9.6606166663913001E-3</v>
      </c>
      <c r="V233" s="114">
        <v>1.13132454</v>
      </c>
      <c r="W233" s="72">
        <v>2.8629392300000003</v>
      </c>
      <c r="X233" s="72">
        <v>4.4023858999999996</v>
      </c>
      <c r="Y233" s="72">
        <v>5.7454886099999998</v>
      </c>
      <c r="Z233" s="115">
        <v>7.4457310200000002</v>
      </c>
    </row>
    <row r="234" spans="2:26" x14ac:dyDescent="0.35">
      <c r="B234" s="55" t="s">
        <v>357</v>
      </c>
      <c r="C234" s="53" t="s">
        <v>234</v>
      </c>
      <c r="D234" s="53" t="s">
        <v>20</v>
      </c>
      <c r="E234" s="53" t="s">
        <v>58</v>
      </c>
      <c r="F234" s="71" t="s">
        <v>21</v>
      </c>
      <c r="G234" s="71">
        <v>6.548668993771628E-3</v>
      </c>
      <c r="H234" s="71">
        <v>1.2315967655661678E-2</v>
      </c>
      <c r="I234" s="71">
        <v>1.5401551735308395E-2</v>
      </c>
      <c r="J234" s="63">
        <v>1.853649071928563E-2</v>
      </c>
      <c r="K234" s="71" t="s">
        <v>21</v>
      </c>
      <c r="L234" s="71">
        <v>2.8160309937716285E-3</v>
      </c>
      <c r="M234" s="71">
        <v>7.58350115566168E-3</v>
      </c>
      <c r="N234" s="71">
        <v>9.8060695353084006E-3</v>
      </c>
      <c r="O234" s="71">
        <v>1.1672153919285628E-2</v>
      </c>
      <c r="P234" s="55" t="s">
        <v>21</v>
      </c>
      <c r="Q234" s="53" t="s">
        <v>21</v>
      </c>
      <c r="R234" s="94" t="s">
        <v>21</v>
      </c>
      <c r="S234" s="73">
        <v>0</v>
      </c>
      <c r="T234" s="63">
        <v>1.2315967655661678E-2</v>
      </c>
      <c r="V234" s="114">
        <v>1.1295608800000001</v>
      </c>
      <c r="W234" s="72">
        <v>2.84886361</v>
      </c>
      <c r="X234" s="72">
        <v>4.3584655300000001</v>
      </c>
      <c r="Y234" s="72">
        <v>5.6502614099999997</v>
      </c>
      <c r="Z234" s="115">
        <v>7.24525036</v>
      </c>
    </row>
    <row r="235" spans="2:26" x14ac:dyDescent="0.35">
      <c r="B235" s="55" t="s">
        <v>263</v>
      </c>
      <c r="C235" s="53" t="s">
        <v>234</v>
      </c>
      <c r="D235" s="53" t="s">
        <v>62</v>
      </c>
      <c r="E235" s="53" t="s">
        <v>128</v>
      </c>
      <c r="F235" s="71" t="s">
        <v>21</v>
      </c>
      <c r="G235" s="71">
        <v>5.6106422111906681E-3</v>
      </c>
      <c r="H235" s="71">
        <v>1.0679461643347155E-2</v>
      </c>
      <c r="I235" s="71">
        <v>1.3457411873553347E-2</v>
      </c>
      <c r="J235" s="63">
        <v>1.6335488932171894E-2</v>
      </c>
      <c r="K235" s="71" t="s">
        <v>21</v>
      </c>
      <c r="L235" s="71">
        <v>1.7948931111906683E-3</v>
      </c>
      <c r="M235" s="71">
        <v>5.8387916433471562E-3</v>
      </c>
      <c r="N235" s="71">
        <v>7.749293373553348E-3</v>
      </c>
      <c r="O235" s="71">
        <v>9.3463443321718902E-3</v>
      </c>
      <c r="P235" s="55" t="s">
        <v>555</v>
      </c>
      <c r="Q235" s="53" t="s">
        <v>556</v>
      </c>
      <c r="R235" s="94">
        <v>47649</v>
      </c>
      <c r="S235" s="73">
        <v>6.8950299999999999E-3</v>
      </c>
      <c r="T235" s="63">
        <v>3.7844316433471546E-3</v>
      </c>
      <c r="V235" s="114">
        <v>1.1301151</v>
      </c>
      <c r="W235" s="72">
        <v>2.8565156800000002</v>
      </c>
      <c r="X235" s="72">
        <v>4.3840356099999997</v>
      </c>
      <c r="Y235" s="72">
        <v>5.7068457099999996</v>
      </c>
      <c r="Z235" s="115">
        <v>7.3632338399999995</v>
      </c>
    </row>
    <row r="236" spans="2:26" x14ac:dyDescent="0.35">
      <c r="B236" s="55" t="s">
        <v>265</v>
      </c>
      <c r="C236" s="53" t="s">
        <v>234</v>
      </c>
      <c r="D236" s="53" t="s">
        <v>31</v>
      </c>
      <c r="E236" s="53" t="s">
        <v>21</v>
      </c>
      <c r="F236" s="71" t="s">
        <v>21</v>
      </c>
      <c r="G236" s="71">
        <v>5.3316261894924399E-3</v>
      </c>
      <c r="H236" s="71">
        <v>1.0697703119342823E-2</v>
      </c>
      <c r="I236" s="71">
        <v>1.362086331709525E-2</v>
      </c>
      <c r="J236" s="63">
        <v>1.6179491545958821E-2</v>
      </c>
      <c r="K236" s="71" t="s">
        <v>21</v>
      </c>
      <c r="L236" s="71">
        <v>1.4865921894924423E-3</v>
      </c>
      <c r="M236" s="71">
        <v>5.8575104193428233E-3</v>
      </c>
      <c r="N236" s="71">
        <v>7.9233787170952426E-3</v>
      </c>
      <c r="O236" s="71">
        <v>9.1834021459588199E-3</v>
      </c>
      <c r="P236" s="55" t="s">
        <v>21</v>
      </c>
      <c r="Q236" s="53" t="s">
        <v>21</v>
      </c>
      <c r="R236" s="94" t="s">
        <v>21</v>
      </c>
      <c r="S236" s="73">
        <v>0</v>
      </c>
      <c r="T236" s="63">
        <v>1.0697703119342823E-2</v>
      </c>
      <c r="V236" s="114">
        <v>1.1306087300000001</v>
      </c>
      <c r="W236" s="72">
        <v>2.8592185099999998</v>
      </c>
      <c r="X236" s="72">
        <v>4.3873384499999997</v>
      </c>
      <c r="Y236" s="72">
        <v>5.7079581499999996</v>
      </c>
      <c r="Z236" s="115">
        <v>7.3660191499999996</v>
      </c>
    </row>
    <row r="237" spans="2:26" x14ac:dyDescent="0.35">
      <c r="B237" s="55" t="s">
        <v>366</v>
      </c>
      <c r="C237" s="53" t="s">
        <v>234</v>
      </c>
      <c r="D237" s="53" t="s">
        <v>20</v>
      </c>
      <c r="E237" s="53" t="s">
        <v>21</v>
      </c>
      <c r="F237" s="71" t="s">
        <v>21</v>
      </c>
      <c r="G237" s="71">
        <v>5.7532971569807037E-3</v>
      </c>
      <c r="H237" s="71">
        <v>1.102903901037949E-2</v>
      </c>
      <c r="I237" s="71">
        <v>1.4047263869658315E-2</v>
      </c>
      <c r="J237" s="63">
        <v>1.7412753904272382E-2</v>
      </c>
      <c r="K237" s="71" t="s">
        <v>21</v>
      </c>
      <c r="L237" s="71">
        <v>1.9502021569807034E-3</v>
      </c>
      <c r="M237" s="71">
        <v>6.2142267103794946E-3</v>
      </c>
      <c r="N237" s="71">
        <v>8.3778963696583171E-3</v>
      </c>
      <c r="O237" s="71">
        <v>1.0489440904272382E-2</v>
      </c>
      <c r="P237" s="55" t="s">
        <v>392</v>
      </c>
      <c r="Q237" s="53" t="s">
        <v>393</v>
      </c>
      <c r="R237" s="94">
        <v>47710</v>
      </c>
      <c r="S237" s="73">
        <v>1.1340049999999999E-2</v>
      </c>
      <c r="T237" s="63">
        <v>-3.1101098962050926E-4</v>
      </c>
      <c r="V237" s="114">
        <v>1.1307381999999999</v>
      </c>
      <c r="W237" s="72">
        <v>2.8574033600000002</v>
      </c>
      <c r="X237" s="72">
        <v>4.3816206199999996</v>
      </c>
      <c r="Y237" s="72">
        <v>5.6948309699999999</v>
      </c>
      <c r="Z237" s="115">
        <v>7.3219995899999999</v>
      </c>
    </row>
    <row r="238" spans="2:26" x14ac:dyDescent="0.35">
      <c r="B238" s="55" t="s">
        <v>160</v>
      </c>
      <c r="C238" s="53" t="s">
        <v>234</v>
      </c>
      <c r="D238" s="53" t="s">
        <v>43</v>
      </c>
      <c r="E238" s="53" t="s">
        <v>21</v>
      </c>
      <c r="F238" s="71" t="s">
        <v>21</v>
      </c>
      <c r="G238" s="71">
        <v>5.3089970821076273E-3</v>
      </c>
      <c r="H238" s="71">
        <v>1.045026112986374E-2</v>
      </c>
      <c r="I238" s="71">
        <v>1.3131582915844743E-2</v>
      </c>
      <c r="J238" s="63">
        <v>1.5702439658411504E-2</v>
      </c>
      <c r="K238" s="71" t="s">
        <v>21</v>
      </c>
      <c r="L238" s="71">
        <v>1.4609979821076282E-3</v>
      </c>
      <c r="M238" s="71">
        <v>5.5903613298637425E-3</v>
      </c>
      <c r="N238" s="71">
        <v>7.4000978158447464E-3</v>
      </c>
      <c r="O238" s="71">
        <v>8.6705296584115056E-3</v>
      </c>
      <c r="P238" s="55" t="s">
        <v>557</v>
      </c>
      <c r="Q238" s="53" t="s">
        <v>558</v>
      </c>
      <c r="R238" s="94">
        <v>47557</v>
      </c>
      <c r="S238" s="73">
        <v>7.887729999999999E-3</v>
      </c>
      <c r="T238" s="63">
        <v>2.5625311298637411E-3</v>
      </c>
      <c r="V238" s="114">
        <v>1.13123046</v>
      </c>
      <c r="W238" s="72">
        <v>2.8605288999999998</v>
      </c>
      <c r="X238" s="72">
        <v>4.3911775999999998</v>
      </c>
      <c r="Y238" s="72">
        <v>5.7189191399999997</v>
      </c>
      <c r="Z238" s="115">
        <v>7.3907296100000002</v>
      </c>
    </row>
    <row r="239" spans="2:26" x14ac:dyDescent="0.35">
      <c r="B239" s="55" t="s">
        <v>364</v>
      </c>
      <c r="C239" s="53" t="s">
        <v>234</v>
      </c>
      <c r="D239" s="53" t="s">
        <v>20</v>
      </c>
      <c r="E239" s="53" t="s">
        <v>21</v>
      </c>
      <c r="F239" s="71" t="s">
        <v>21</v>
      </c>
      <c r="G239" s="71">
        <v>5.3202419309450813E-3</v>
      </c>
      <c r="H239" s="71">
        <v>1.0891888859451122E-2</v>
      </c>
      <c r="I239" s="71">
        <v>1.3770940673181357E-2</v>
      </c>
      <c r="J239" s="63">
        <v>1.6716822749401571E-2</v>
      </c>
      <c r="K239" s="71" t="s">
        <v>21</v>
      </c>
      <c r="L239" s="71">
        <v>1.4737110309450802E-3</v>
      </c>
      <c r="M239" s="71">
        <v>6.0652397594511253E-3</v>
      </c>
      <c r="N239" s="71">
        <v>8.0838820731813574E-3</v>
      </c>
      <c r="O239" s="71">
        <v>9.7553035494015693E-3</v>
      </c>
      <c r="P239" s="55" t="s">
        <v>390</v>
      </c>
      <c r="Q239" s="53" t="s">
        <v>391</v>
      </c>
      <c r="R239" s="94">
        <v>47708</v>
      </c>
      <c r="S239" s="73">
        <v>8.4738599999999997E-3</v>
      </c>
      <c r="T239" s="63">
        <v>2.4180288594511223E-3</v>
      </c>
      <c r="V239" s="114">
        <v>1.1307395899999999</v>
      </c>
      <c r="W239" s="72">
        <v>2.85927533</v>
      </c>
      <c r="X239" s="72">
        <v>4.3866851000000002</v>
      </c>
      <c r="Y239" s="72">
        <v>5.7037417899999996</v>
      </c>
      <c r="Z239" s="115">
        <v>7.3469323500000003</v>
      </c>
    </row>
    <row r="240" spans="2:26" x14ac:dyDescent="0.35">
      <c r="B240" s="55" t="s">
        <v>362</v>
      </c>
      <c r="C240" s="53" t="s">
        <v>234</v>
      </c>
      <c r="D240" s="53" t="s">
        <v>20</v>
      </c>
      <c r="E240" s="53" t="s">
        <v>21</v>
      </c>
      <c r="F240" s="71" t="s">
        <v>21</v>
      </c>
      <c r="G240" s="71">
        <v>5.7562686387881562E-3</v>
      </c>
      <c r="H240" s="71">
        <v>1.0869910729263254E-2</v>
      </c>
      <c r="I240" s="71">
        <v>1.3385901213121897E-2</v>
      </c>
      <c r="J240" s="63">
        <v>1.5962222597242889E-2</v>
      </c>
      <c r="K240" s="71" t="s">
        <v>21</v>
      </c>
      <c r="L240" s="71">
        <v>1.9534386387881578E-3</v>
      </c>
      <c r="M240" s="71">
        <v>6.0434626292632547E-3</v>
      </c>
      <c r="N240" s="71">
        <v>7.6756151131218923E-3</v>
      </c>
      <c r="O240" s="71">
        <v>8.9556526972428899E-3</v>
      </c>
      <c r="P240" s="55" t="s">
        <v>21</v>
      </c>
      <c r="Q240" s="53" t="s">
        <v>21</v>
      </c>
      <c r="R240" s="94" t="s">
        <v>21</v>
      </c>
      <c r="S240" s="73">
        <v>0</v>
      </c>
      <c r="T240" s="63">
        <v>1.0869910729263254E-2</v>
      </c>
      <c r="V240" s="114">
        <v>1.13094966</v>
      </c>
      <c r="W240" s="72">
        <v>2.85736641</v>
      </c>
      <c r="X240" s="72">
        <v>4.3831176699999999</v>
      </c>
      <c r="Y240" s="72">
        <v>5.7039357800000001</v>
      </c>
      <c r="Z240" s="115">
        <v>7.3607901500000006</v>
      </c>
    </row>
    <row r="241" spans="2:26" x14ac:dyDescent="0.35">
      <c r="B241" s="55" t="s">
        <v>363</v>
      </c>
      <c r="C241" s="53" t="s">
        <v>234</v>
      </c>
      <c r="D241" s="53" t="s">
        <v>20</v>
      </c>
      <c r="E241" s="53" t="s">
        <v>266</v>
      </c>
      <c r="F241" s="71" t="s">
        <v>21</v>
      </c>
      <c r="G241" s="71">
        <v>5.5784516640534632E-3</v>
      </c>
      <c r="H241" s="71">
        <v>1.0849332311628015E-2</v>
      </c>
      <c r="I241" s="71">
        <v>1.3875720216578326E-2</v>
      </c>
      <c r="J241" s="63">
        <v>1.7068786474369341E-2</v>
      </c>
      <c r="K241" s="71" t="s">
        <v>21</v>
      </c>
      <c r="L241" s="71">
        <v>1.7584008640534636E-3</v>
      </c>
      <c r="M241" s="71">
        <v>6.0208327116280172E-3</v>
      </c>
      <c r="N241" s="71">
        <v>8.1940888165783245E-3</v>
      </c>
      <c r="O241" s="71">
        <v>1.0125853674369346E-2</v>
      </c>
      <c r="P241" s="55" t="s">
        <v>21</v>
      </c>
      <c r="Q241" s="53" t="s">
        <v>21</v>
      </c>
      <c r="R241" s="94" t="s">
        <v>21</v>
      </c>
      <c r="S241" s="73">
        <v>0</v>
      </c>
      <c r="T241" s="63">
        <v>1.0849332311628015E-2</v>
      </c>
      <c r="V241" s="114">
        <v>1.1310395200000001</v>
      </c>
      <c r="W241" s="72">
        <v>2.8586417399999999</v>
      </c>
      <c r="X241" s="72">
        <v>4.3853456099999999</v>
      </c>
      <c r="Y241" s="72">
        <v>5.7031186199999997</v>
      </c>
      <c r="Z241" s="115">
        <v>7.3395481199999999</v>
      </c>
    </row>
    <row r="242" spans="2:26" x14ac:dyDescent="0.35">
      <c r="B242" s="55" t="s">
        <v>375</v>
      </c>
      <c r="C242" s="53" t="s">
        <v>234</v>
      </c>
      <c r="D242" s="53" t="s">
        <v>20</v>
      </c>
      <c r="E242" s="53" t="s">
        <v>112</v>
      </c>
      <c r="F242" s="71" t="s">
        <v>21</v>
      </c>
      <c r="G242" s="71">
        <v>5.2003828585600312E-3</v>
      </c>
      <c r="H242" s="71">
        <v>1.0835983066190311E-2</v>
      </c>
      <c r="I242" s="71">
        <v>1.3592397742774471E-2</v>
      </c>
      <c r="J242" s="63">
        <v>1.6434276393457854E-2</v>
      </c>
      <c r="K242" s="71" t="s">
        <v>21</v>
      </c>
      <c r="L242" s="71">
        <v>1.3400066585600333E-3</v>
      </c>
      <c r="M242" s="71">
        <v>6.0053510661903118E-3</v>
      </c>
      <c r="N242" s="71">
        <v>7.8950093427744717E-3</v>
      </c>
      <c r="O242" s="71">
        <v>9.4552357934578543E-3</v>
      </c>
      <c r="P242" s="55" t="s">
        <v>398</v>
      </c>
      <c r="Q242" s="53" t="s">
        <v>399</v>
      </c>
      <c r="R242" s="94">
        <v>47825</v>
      </c>
      <c r="S242" s="73">
        <v>1.0036940000000001E-2</v>
      </c>
      <c r="T242" s="63">
        <v>7.9904306619030946E-4</v>
      </c>
      <c r="V242" s="114">
        <v>1.1310774299999999</v>
      </c>
      <c r="W242" s="72">
        <v>2.86113931</v>
      </c>
      <c r="X242" s="72">
        <v>4.3884599800000004</v>
      </c>
      <c r="Y242" s="72">
        <v>5.7067871200000004</v>
      </c>
      <c r="Z242" s="115">
        <v>7.3580866199999999</v>
      </c>
    </row>
    <row r="243" spans="2:26" x14ac:dyDescent="0.35">
      <c r="B243" s="55" t="s">
        <v>355</v>
      </c>
      <c r="C243" s="53" t="s">
        <v>234</v>
      </c>
      <c r="D243" s="53" t="s">
        <v>20</v>
      </c>
      <c r="E243" s="53" t="s">
        <v>21</v>
      </c>
      <c r="F243" s="71" t="s">
        <v>21</v>
      </c>
      <c r="G243" s="71">
        <v>5.1057887952212309E-3</v>
      </c>
      <c r="H243" s="71">
        <v>1.0735571885515275E-2</v>
      </c>
      <c r="I243" s="71">
        <v>1.4150953116053938E-2</v>
      </c>
      <c r="J243" s="63">
        <v>1.7553455697964786E-2</v>
      </c>
      <c r="K243" s="71" t="s">
        <v>21</v>
      </c>
      <c r="L243" s="71">
        <v>1.2349681952212323E-3</v>
      </c>
      <c r="M243" s="71">
        <v>5.8970472855152771E-3</v>
      </c>
      <c r="N243" s="71">
        <v>8.4860982160539378E-3</v>
      </c>
      <c r="O243" s="71">
        <v>1.0638540497964788E-2</v>
      </c>
      <c r="P243" s="55" t="s">
        <v>21</v>
      </c>
      <c r="Q243" s="53" t="s">
        <v>21</v>
      </c>
      <c r="R243" s="94" t="s">
        <v>21</v>
      </c>
      <c r="S243" s="73">
        <v>0</v>
      </c>
      <c r="T243" s="63">
        <v>1.0735571885515275E-2</v>
      </c>
      <c r="V243" s="114">
        <v>1.13135512</v>
      </c>
      <c r="W243" s="72">
        <v>2.8623986000000001</v>
      </c>
      <c r="X243" s="72">
        <v>4.3916059000000001</v>
      </c>
      <c r="Y243" s="72">
        <v>5.70402889</v>
      </c>
      <c r="Z243" s="115">
        <v>7.3279372399999998</v>
      </c>
    </row>
    <row r="244" spans="2:26" x14ac:dyDescent="0.35">
      <c r="B244" s="55" t="s">
        <v>358</v>
      </c>
      <c r="C244" s="53" t="s">
        <v>234</v>
      </c>
      <c r="D244" s="53" t="s">
        <v>20</v>
      </c>
      <c r="E244" s="53" t="s">
        <v>21</v>
      </c>
      <c r="F244" s="71" t="s">
        <v>21</v>
      </c>
      <c r="G244" s="71">
        <v>5.4340872944030815E-3</v>
      </c>
      <c r="H244" s="71">
        <v>1.0711980105870426E-2</v>
      </c>
      <c r="I244" s="71">
        <v>1.4243013133634014E-2</v>
      </c>
      <c r="J244" s="63">
        <v>1.7708668840266353E-2</v>
      </c>
      <c r="K244" s="71" t="s">
        <v>21</v>
      </c>
      <c r="L244" s="71">
        <v>1.5988052944030844E-3</v>
      </c>
      <c r="M244" s="71">
        <v>5.872655705870429E-3</v>
      </c>
      <c r="N244" s="71">
        <v>8.5818559336340097E-3</v>
      </c>
      <c r="O244" s="71">
        <v>1.0800358140266348E-2</v>
      </c>
      <c r="P244" s="55" t="s">
        <v>21</v>
      </c>
      <c r="Q244" s="53" t="s">
        <v>21</v>
      </c>
      <c r="R244" s="94" t="s">
        <v>21</v>
      </c>
      <c r="S244" s="73">
        <v>0</v>
      </c>
      <c r="T244" s="63">
        <v>1.0711980105870426E-2</v>
      </c>
      <c r="V244" s="114">
        <v>1.1309655300000001</v>
      </c>
      <c r="W244" s="72">
        <v>2.8597868900000001</v>
      </c>
      <c r="X244" s="72">
        <v>4.3877722199999996</v>
      </c>
      <c r="Y244" s="72">
        <v>5.7008354299999997</v>
      </c>
      <c r="Z244" s="115">
        <v>7.3207806200000007</v>
      </c>
    </row>
    <row r="245" spans="2:26" x14ac:dyDescent="0.35">
      <c r="B245" s="55" t="s">
        <v>370</v>
      </c>
      <c r="C245" s="53" t="s">
        <v>234</v>
      </c>
      <c r="D245" s="53" t="s">
        <v>31</v>
      </c>
      <c r="E245" s="53" t="s">
        <v>21</v>
      </c>
      <c r="F245" s="71" t="s">
        <v>21</v>
      </c>
      <c r="G245" s="71">
        <v>5.1386609633994494E-3</v>
      </c>
      <c r="H245" s="71">
        <v>1.0143203500296486E-2</v>
      </c>
      <c r="I245" s="71">
        <v>1.2841599207592518E-2</v>
      </c>
      <c r="J245" s="63">
        <v>1.5624883799088368E-2</v>
      </c>
      <c r="K245" s="71" t="s">
        <v>21</v>
      </c>
      <c r="L245" s="71">
        <v>1.2721470633994484E-3</v>
      </c>
      <c r="M245" s="71">
        <v>5.2567169002964865E-3</v>
      </c>
      <c r="N245" s="71">
        <v>7.0868070075925209E-3</v>
      </c>
      <c r="O245" s="71">
        <v>8.5840659990883729E-3</v>
      </c>
      <c r="P245" s="55" t="s">
        <v>21</v>
      </c>
      <c r="Q245" s="53" t="s">
        <v>21</v>
      </c>
      <c r="R245" s="94" t="s">
        <v>21</v>
      </c>
      <c r="S245" s="73">
        <v>0</v>
      </c>
      <c r="T245" s="63">
        <v>1.0143203500296486E-2</v>
      </c>
      <c r="V245" s="114">
        <v>1.13080705</v>
      </c>
      <c r="W245" s="72">
        <v>2.86082203</v>
      </c>
      <c r="X245" s="72">
        <v>4.3949393500000005</v>
      </c>
      <c r="Y245" s="72">
        <v>5.72742167</v>
      </c>
      <c r="Z245" s="115">
        <v>7.4030937199999993</v>
      </c>
    </row>
    <row r="246" spans="2:26" x14ac:dyDescent="0.35">
      <c r="B246" s="55" t="s">
        <v>264</v>
      </c>
      <c r="C246" s="53" t="s">
        <v>234</v>
      </c>
      <c r="D246" s="53" t="s">
        <v>97</v>
      </c>
      <c r="E246" s="53" t="s">
        <v>291</v>
      </c>
      <c r="F246" s="71" t="s">
        <v>21</v>
      </c>
      <c r="G246" s="71">
        <v>5.2506977627759625E-3</v>
      </c>
      <c r="H246" s="71">
        <v>1.0041457463217707E-2</v>
      </c>
      <c r="I246" s="71">
        <v>1.2745797741403485E-2</v>
      </c>
      <c r="J246" s="63">
        <v>1.5220204269961592E-2</v>
      </c>
      <c r="K246" s="71" t="s">
        <v>21</v>
      </c>
      <c r="L246" s="71">
        <v>1.3962121627759607E-3</v>
      </c>
      <c r="M246" s="71">
        <v>5.1462641632177078E-3</v>
      </c>
      <c r="N246" s="71">
        <v>6.9831385414034844E-3</v>
      </c>
      <c r="O246" s="71">
        <v>8.1492629699615928E-3</v>
      </c>
      <c r="P246" s="55" t="s">
        <v>559</v>
      </c>
      <c r="Q246" s="53" t="s">
        <v>560</v>
      </c>
      <c r="R246" s="94">
        <v>47648</v>
      </c>
      <c r="S246" s="73">
        <v>7.28E-3</v>
      </c>
      <c r="T246" s="63">
        <v>2.7614574632177074E-3</v>
      </c>
      <c r="V246" s="114">
        <v>1.1311357899999999</v>
      </c>
      <c r="W246" s="72">
        <v>2.8607288400000002</v>
      </c>
      <c r="X246" s="72">
        <v>4.3955761899999999</v>
      </c>
      <c r="Y246" s="72">
        <v>5.7296869900000003</v>
      </c>
      <c r="Z246" s="115">
        <v>7.41443794</v>
      </c>
    </row>
    <row r="247" spans="2:26" x14ac:dyDescent="0.35">
      <c r="B247" s="55" t="s">
        <v>371</v>
      </c>
      <c r="C247" s="53" t="s">
        <v>234</v>
      </c>
      <c r="D247" s="53" t="s">
        <v>20</v>
      </c>
      <c r="E247" s="53" t="s">
        <v>21</v>
      </c>
      <c r="F247" s="71" t="s">
        <v>21</v>
      </c>
      <c r="G247" s="71">
        <v>5.2330908000944674E-3</v>
      </c>
      <c r="H247" s="71">
        <v>1.016615667881092E-2</v>
      </c>
      <c r="I247" s="71">
        <v>1.2687864459203609E-2</v>
      </c>
      <c r="J247" s="63">
        <v>1.551906498430613E-2</v>
      </c>
      <c r="K247" s="71" t="s">
        <v>21</v>
      </c>
      <c r="L247" s="71">
        <v>1.3768071000944677E-3</v>
      </c>
      <c r="M247" s="71">
        <v>5.2815766788109194E-3</v>
      </c>
      <c r="N247" s="71">
        <v>6.9216923592036158E-3</v>
      </c>
      <c r="O247" s="71">
        <v>8.4704489843061351E-3</v>
      </c>
      <c r="P247" s="55" t="s">
        <v>21</v>
      </c>
      <c r="Q247" s="53" t="s">
        <v>21</v>
      </c>
      <c r="R247" s="94" t="s">
        <v>21</v>
      </c>
      <c r="S247" s="73">
        <v>0</v>
      </c>
      <c r="T247" s="63">
        <v>1.016615667881092E-2</v>
      </c>
      <c r="V247" s="114">
        <v>1.13092036</v>
      </c>
      <c r="W247" s="72">
        <v>2.8604815700000001</v>
      </c>
      <c r="X247" s="72">
        <v>4.3944730299999994</v>
      </c>
      <c r="Y247" s="72">
        <v>5.7282973999999998</v>
      </c>
      <c r="Z247" s="115">
        <v>7.4055356099999994</v>
      </c>
    </row>
    <row r="248" spans="2:26" x14ac:dyDescent="0.35">
      <c r="B248" s="55" t="s">
        <v>148</v>
      </c>
      <c r="C248" s="53" t="s">
        <v>234</v>
      </c>
      <c r="D248" s="53" t="s">
        <v>20</v>
      </c>
      <c r="E248" s="53" t="s">
        <v>21</v>
      </c>
      <c r="F248" s="71" t="s">
        <v>21</v>
      </c>
      <c r="G248" s="71">
        <v>4.7312233378043467E-3</v>
      </c>
      <c r="H248" s="71">
        <v>1.0153534465028717E-2</v>
      </c>
      <c r="I248" s="71">
        <v>1.3455455315473874E-2</v>
      </c>
      <c r="J248" s="63">
        <v>1.6688186500378538E-2</v>
      </c>
      <c r="K248" s="71" t="s">
        <v>21</v>
      </c>
      <c r="L248" s="71">
        <v>8.1484133780434804E-4</v>
      </c>
      <c r="M248" s="71">
        <v>5.2660674650287179E-3</v>
      </c>
      <c r="N248" s="71">
        <v>7.7442197154738721E-3</v>
      </c>
      <c r="O248" s="71">
        <v>9.7225570003785337E-3</v>
      </c>
      <c r="P248" s="55" t="s">
        <v>561</v>
      </c>
      <c r="Q248" s="53" t="s">
        <v>562</v>
      </c>
      <c r="R248" s="94">
        <v>47515</v>
      </c>
      <c r="S248" s="73">
        <v>9.7237899999999995E-3</v>
      </c>
      <c r="T248" s="63">
        <v>4.2974446502871792E-4</v>
      </c>
      <c r="V248" s="114">
        <v>1.1316386199999999</v>
      </c>
      <c r="W248" s="72">
        <v>2.86525126</v>
      </c>
      <c r="X248" s="72">
        <v>4.40072435</v>
      </c>
      <c r="Y248" s="72">
        <v>5.7241299699999999</v>
      </c>
      <c r="Z248" s="115">
        <v>7.3702217900000004</v>
      </c>
    </row>
    <row r="249" spans="2:26" x14ac:dyDescent="0.35">
      <c r="B249" s="55" t="s">
        <v>369</v>
      </c>
      <c r="C249" s="53" t="s">
        <v>234</v>
      </c>
      <c r="D249" s="53" t="s">
        <v>20</v>
      </c>
      <c r="E249" s="53" t="s">
        <v>258</v>
      </c>
      <c r="F249" s="71" t="s">
        <v>21</v>
      </c>
      <c r="G249" s="71">
        <v>4.9776050702737612E-3</v>
      </c>
      <c r="H249" s="71">
        <v>1.0055002354234238E-2</v>
      </c>
      <c r="I249" s="71">
        <v>1.3278083564448769E-2</v>
      </c>
      <c r="J249" s="63">
        <v>1.5850967220768196E-2</v>
      </c>
      <c r="K249" s="71" t="s">
        <v>21</v>
      </c>
      <c r="L249" s="71">
        <v>1.0913092702737612E-3</v>
      </c>
      <c r="M249" s="71">
        <v>5.1600133542342389E-3</v>
      </c>
      <c r="N249" s="71">
        <v>7.5538437644487753E-3</v>
      </c>
      <c r="O249" s="71">
        <v>8.8302240207681973E-3</v>
      </c>
      <c r="P249" s="55" t="s">
        <v>21</v>
      </c>
      <c r="Q249" s="53" t="s">
        <v>21</v>
      </c>
      <c r="R249" s="94" t="s">
        <v>21</v>
      </c>
      <c r="S249" s="73">
        <v>0</v>
      </c>
      <c r="T249" s="63">
        <v>1.0055002354234238E-2</v>
      </c>
      <c r="V249" s="114">
        <v>1.1316830199999999</v>
      </c>
      <c r="W249" s="72">
        <v>2.86368337</v>
      </c>
      <c r="X249" s="72">
        <v>4.3990223000000004</v>
      </c>
      <c r="Y249" s="72">
        <v>5.7261328599999999</v>
      </c>
      <c r="Z249" s="115">
        <v>7.3935473400000005</v>
      </c>
    </row>
    <row r="250" spans="2:26" x14ac:dyDescent="0.35">
      <c r="B250" s="55" t="s">
        <v>368</v>
      </c>
      <c r="C250" s="53" t="s">
        <v>234</v>
      </c>
      <c r="D250" s="53" t="s">
        <v>20</v>
      </c>
      <c r="E250" s="53" t="s">
        <v>294</v>
      </c>
      <c r="F250" s="71" t="s">
        <v>21</v>
      </c>
      <c r="G250" s="71">
        <v>4.9303638290488141E-3</v>
      </c>
      <c r="H250" s="71">
        <v>9.9620109165987278E-3</v>
      </c>
      <c r="I250" s="71">
        <v>1.3057884506563536E-2</v>
      </c>
      <c r="J250" s="63">
        <v>1.6048934618441153E-2</v>
      </c>
      <c r="K250" s="71" t="s">
        <v>21</v>
      </c>
      <c r="L250" s="71">
        <v>1.0383664290488145E-3</v>
      </c>
      <c r="M250" s="71">
        <v>5.0576939165987286E-3</v>
      </c>
      <c r="N250" s="71">
        <v>7.3181613065635342E-3</v>
      </c>
      <c r="O250" s="71">
        <v>9.0459231184411501E-3</v>
      </c>
      <c r="P250" s="55" t="s">
        <v>21</v>
      </c>
      <c r="Q250" s="53" t="s">
        <v>21</v>
      </c>
      <c r="R250" s="94" t="s">
        <v>21</v>
      </c>
      <c r="S250" s="73">
        <v>0</v>
      </c>
      <c r="T250" s="63">
        <v>9.9620109165987278E-3</v>
      </c>
      <c r="V250" s="114">
        <v>1.1316036599999999</v>
      </c>
      <c r="W250" s="72">
        <v>2.86390638</v>
      </c>
      <c r="X250" s="72">
        <v>4.4012553299999997</v>
      </c>
      <c r="Y250" s="72">
        <v>5.7301395300000006</v>
      </c>
      <c r="Z250" s="115">
        <v>7.3852573899999996</v>
      </c>
    </row>
    <row r="251" spans="2:26" x14ac:dyDescent="0.35">
      <c r="B251" s="55" t="s">
        <v>373</v>
      </c>
      <c r="C251" s="53" t="s">
        <v>234</v>
      </c>
      <c r="D251" s="53" t="s">
        <v>20</v>
      </c>
      <c r="E251" s="53" t="s">
        <v>21</v>
      </c>
      <c r="F251" s="71" t="s">
        <v>21</v>
      </c>
      <c r="G251" s="71">
        <v>4.9465337545904001E-3</v>
      </c>
      <c r="H251" s="71">
        <v>9.6606166663913001E-3</v>
      </c>
      <c r="I251" s="71">
        <v>1.2157587267781447E-2</v>
      </c>
      <c r="J251" s="63">
        <v>1.4628955388641892E-2</v>
      </c>
      <c r="K251" s="71" t="s">
        <v>21</v>
      </c>
      <c r="L251" s="71">
        <v>1.0572444545904011E-3</v>
      </c>
      <c r="M251" s="71">
        <v>4.7288880663912992E-3</v>
      </c>
      <c r="N251" s="71">
        <v>6.3442350677814473E-3</v>
      </c>
      <c r="O251" s="71">
        <v>7.5057656886418902E-3</v>
      </c>
      <c r="P251" s="55" t="s">
        <v>21</v>
      </c>
      <c r="Q251" s="53" t="s">
        <v>21</v>
      </c>
      <c r="R251" s="94" t="s">
        <v>21</v>
      </c>
      <c r="S251" s="73">
        <v>0</v>
      </c>
      <c r="T251" s="63">
        <v>9.6606166663913001E-3</v>
      </c>
      <c r="V251" s="114">
        <v>1.13132454</v>
      </c>
      <c r="W251" s="72">
        <v>2.8629392300000003</v>
      </c>
      <c r="X251" s="72">
        <v>4.4023858999999996</v>
      </c>
      <c r="Y251" s="72">
        <v>5.7454886099999998</v>
      </c>
      <c r="Z251" s="115">
        <v>7.4457310200000002</v>
      </c>
    </row>
    <row r="252" spans="2:26" x14ac:dyDescent="0.35">
      <c r="B252" s="55" t="s">
        <v>268</v>
      </c>
      <c r="C252" s="53" t="s">
        <v>234</v>
      </c>
      <c r="D252" s="53" t="s">
        <v>20</v>
      </c>
      <c r="E252" s="53" t="s">
        <v>318</v>
      </c>
      <c r="F252" s="71" t="s">
        <v>21</v>
      </c>
      <c r="G252" s="71">
        <v>5.0692907488803732E-3</v>
      </c>
      <c r="H252" s="71">
        <v>9.6495200438995888E-3</v>
      </c>
      <c r="I252" s="71">
        <v>1.2124874130714912E-2</v>
      </c>
      <c r="J252" s="63">
        <v>1.459819218522407E-2</v>
      </c>
      <c r="K252" s="71" t="s">
        <v>21</v>
      </c>
      <c r="L252" s="71">
        <v>1.1942246488803715E-3</v>
      </c>
      <c r="M252" s="71">
        <v>4.7161922438995873E-3</v>
      </c>
      <c r="N252" s="71">
        <v>6.3084475307149156E-3</v>
      </c>
      <c r="O252" s="71">
        <v>7.4714627852240697E-3</v>
      </c>
      <c r="P252" s="55" t="s">
        <v>563</v>
      </c>
      <c r="Q252" s="53" t="s">
        <v>564</v>
      </c>
      <c r="R252" s="94" t="s">
        <v>32</v>
      </c>
      <c r="S252" s="73">
        <v>7.1795499999999998E-3</v>
      </c>
      <c r="T252" s="63">
        <v>2.469970043899589E-3</v>
      </c>
      <c r="V252" s="114">
        <v>1.1307257100000001</v>
      </c>
      <c r="W252" s="72">
        <v>2.8612366200000001</v>
      </c>
      <c r="X252" s="72">
        <v>4.4011645399999999</v>
      </c>
      <c r="Y252" s="72">
        <v>5.7440358099999997</v>
      </c>
      <c r="Z252" s="115">
        <v>7.4452584700000006</v>
      </c>
    </row>
    <row r="253" spans="2:26" x14ac:dyDescent="0.35">
      <c r="B253" s="55" t="s">
        <v>374</v>
      </c>
      <c r="C253" s="53" t="s">
        <v>234</v>
      </c>
      <c r="D253" s="53" t="s">
        <v>20</v>
      </c>
      <c r="E253" s="53" t="s">
        <v>266</v>
      </c>
      <c r="F253" s="71" t="s">
        <v>21</v>
      </c>
      <c r="G253" s="71">
        <v>4.9271151657111984E-3</v>
      </c>
      <c r="H253" s="71">
        <v>9.5515341285587925E-3</v>
      </c>
      <c r="I253" s="71">
        <v>1.1995770741681455E-2</v>
      </c>
      <c r="J253" s="63">
        <v>1.4580501277929502E-2</v>
      </c>
      <c r="K253" s="71" t="s">
        <v>21</v>
      </c>
      <c r="L253" s="71">
        <v>1.0349501657111954E-3</v>
      </c>
      <c r="M253" s="71">
        <v>4.6088172285587911E-3</v>
      </c>
      <c r="N253" s="71">
        <v>6.1678615416814568E-3</v>
      </c>
      <c r="O253" s="71">
        <v>7.4588210779294988E-3</v>
      </c>
      <c r="P253" s="55" t="s">
        <v>396</v>
      </c>
      <c r="Q253" s="53" t="s">
        <v>397</v>
      </c>
      <c r="R253" s="94">
        <v>47515</v>
      </c>
      <c r="S253" s="73">
        <v>9.6392700000000001E-3</v>
      </c>
      <c r="T253" s="63">
        <v>-8.7735871441207633E-5</v>
      </c>
      <c r="V253" s="114">
        <v>1.13165676</v>
      </c>
      <c r="W253" s="72">
        <v>2.86373262</v>
      </c>
      <c r="X253" s="72">
        <v>4.4043557900000003</v>
      </c>
      <c r="Y253" s="72">
        <v>5.7492645900000001</v>
      </c>
      <c r="Z253" s="115">
        <v>7.4421127800000004</v>
      </c>
    </row>
    <row r="254" spans="2:26" x14ac:dyDescent="0.35">
      <c r="B254" s="79" t="s">
        <v>162</v>
      </c>
      <c r="C254" s="136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9"/>
      <c r="Q254" s="78"/>
      <c r="R254" s="95"/>
      <c r="S254" s="78"/>
      <c r="T254" s="77"/>
      <c r="V254" s="120"/>
      <c r="W254" s="109"/>
      <c r="X254" s="109"/>
      <c r="Y254" s="109"/>
      <c r="Z254" s="121"/>
    </row>
    <row r="255" spans="2:26" x14ac:dyDescent="0.35">
      <c r="B255" s="56" t="s">
        <v>164</v>
      </c>
      <c r="C255" s="53" t="s">
        <v>234</v>
      </c>
      <c r="D255" s="66" t="s">
        <v>20</v>
      </c>
      <c r="E255" s="66" t="s">
        <v>292</v>
      </c>
      <c r="F255" s="80">
        <v>6.9296665333601617E-3</v>
      </c>
      <c r="G255" s="80">
        <v>2.9118292547885134E-2</v>
      </c>
      <c r="H255" s="80">
        <v>4.8484533814596054E-2</v>
      </c>
      <c r="I255" s="80">
        <v>5.7614008957648455E-2</v>
      </c>
      <c r="J255" s="62">
        <v>5.9789643425508271E-2</v>
      </c>
      <c r="K255" s="80">
        <v>4.8370270333601617E-3</v>
      </c>
      <c r="L255" s="80">
        <v>2.5255229947885132E-2</v>
      </c>
      <c r="M255" s="80">
        <v>4.2762153714596053E-2</v>
      </c>
      <c r="N255" s="80">
        <v>5.0501300457648432E-2</v>
      </c>
      <c r="O255" s="80">
        <v>5.153887602550826E-2</v>
      </c>
      <c r="P255" s="56" t="s">
        <v>21</v>
      </c>
      <c r="Q255" s="66" t="s">
        <v>21</v>
      </c>
      <c r="R255" s="100" t="s">
        <v>21</v>
      </c>
      <c r="S255" s="75">
        <v>0</v>
      </c>
      <c r="T255" s="62">
        <v>4.8484533814596054E-2</v>
      </c>
      <c r="V255" s="118">
        <v>1.10838115</v>
      </c>
      <c r="W255" s="61">
        <v>2.6718932500000001</v>
      </c>
      <c r="X255" s="61">
        <v>3.8098271599999998</v>
      </c>
      <c r="Y255" s="61">
        <v>4.5645503700000001</v>
      </c>
      <c r="Z255" s="119">
        <v>5.3203863999999994</v>
      </c>
    </row>
    <row r="256" spans="2:26" x14ac:dyDescent="0.35">
      <c r="B256" s="55" t="s">
        <v>167</v>
      </c>
      <c r="C256" s="53" t="s">
        <v>234</v>
      </c>
      <c r="D256" s="53" t="s">
        <v>97</v>
      </c>
      <c r="E256" s="53" t="s">
        <v>236</v>
      </c>
      <c r="F256" s="71">
        <v>2.0920480489583322E-3</v>
      </c>
      <c r="G256" s="71">
        <v>2.0042773164529459E-2</v>
      </c>
      <c r="H256" s="71">
        <v>3.4435985297169264E-2</v>
      </c>
      <c r="I256" s="71">
        <v>3.9048489863897334E-2</v>
      </c>
      <c r="J256" s="63">
        <v>4.2913223770352879E-2</v>
      </c>
      <c r="K256" s="71" t="s">
        <v>21</v>
      </c>
      <c r="L256" s="71">
        <v>1.6490209164529462E-2</v>
      </c>
      <c r="M256" s="71">
        <v>2.9514431397169263E-2</v>
      </c>
      <c r="N256" s="71">
        <v>3.3142739563897329E-2</v>
      </c>
      <c r="O256" s="71">
        <v>3.5747146870352881E-2</v>
      </c>
      <c r="P256" s="55" t="s">
        <v>21</v>
      </c>
      <c r="Q256" s="53" t="s">
        <v>21</v>
      </c>
      <c r="R256" s="94" t="s">
        <v>21</v>
      </c>
      <c r="S256" s="73">
        <v>0</v>
      </c>
      <c r="T256" s="63">
        <v>3.4435985297169264E-2</v>
      </c>
      <c r="V256" s="114">
        <v>1.1205044100000001</v>
      </c>
      <c r="W256" s="72">
        <v>2.74719969</v>
      </c>
      <c r="X256" s="72">
        <v>4.0167189099999998</v>
      </c>
      <c r="Y256" s="72">
        <v>4.9787268500000001</v>
      </c>
      <c r="Z256" s="115">
        <v>6.0230545000000006</v>
      </c>
    </row>
    <row r="257" spans="2:26" x14ac:dyDescent="0.35">
      <c r="B257" s="55" t="s">
        <v>235</v>
      </c>
      <c r="C257" s="53" t="s">
        <v>234</v>
      </c>
      <c r="D257" s="53" t="s">
        <v>43</v>
      </c>
      <c r="E257" s="53" t="s">
        <v>565</v>
      </c>
      <c r="F257" s="71">
        <v>1.4219767303862204E-3</v>
      </c>
      <c r="G257" s="71">
        <v>1.6100542795067854E-2</v>
      </c>
      <c r="H257" s="71">
        <v>3.0046037375632637E-2</v>
      </c>
      <c r="I257" s="71">
        <v>3.6852400791787802E-2</v>
      </c>
      <c r="J257" s="63">
        <v>4.1002138690813671E-2</v>
      </c>
      <c r="K257" s="71" t="s">
        <v>21</v>
      </c>
      <c r="L257" s="71">
        <v>1.2598559895067854E-2</v>
      </c>
      <c r="M257" s="71">
        <v>2.528359597563264E-2</v>
      </c>
      <c r="N257" s="71">
        <v>3.1033505091787802E-2</v>
      </c>
      <c r="O257" s="71">
        <v>3.3922881290813674E-2</v>
      </c>
      <c r="P257" s="55" t="s">
        <v>21</v>
      </c>
      <c r="Q257" s="53" t="s">
        <v>21</v>
      </c>
      <c r="R257" s="94" t="s">
        <v>21</v>
      </c>
      <c r="S257" s="73">
        <v>0</v>
      </c>
      <c r="T257" s="63">
        <v>3.0046037375632637E-2</v>
      </c>
      <c r="V257" s="114">
        <v>1.122509</v>
      </c>
      <c r="W257" s="72">
        <v>2.7800325199999998</v>
      </c>
      <c r="X257" s="72">
        <v>4.0960287900000001</v>
      </c>
      <c r="Y257" s="72">
        <v>5.0893545399999995</v>
      </c>
      <c r="Z257" s="115">
        <v>6.1650962800000002</v>
      </c>
    </row>
    <row r="258" spans="2:26" x14ac:dyDescent="0.35">
      <c r="B258" s="55" t="s">
        <v>163</v>
      </c>
      <c r="C258" s="53" t="s">
        <v>234</v>
      </c>
      <c r="D258" s="53" t="s">
        <v>97</v>
      </c>
      <c r="E258" s="53" t="s">
        <v>116</v>
      </c>
      <c r="F258" s="71">
        <v>2.632113708824959E-4</v>
      </c>
      <c r="G258" s="71">
        <v>1.3607404229087629E-2</v>
      </c>
      <c r="H258" s="71">
        <v>2.4112234669571818E-2</v>
      </c>
      <c r="I258" s="71">
        <v>2.9846242442151494E-2</v>
      </c>
      <c r="J258" s="63">
        <v>3.429378385535909E-2</v>
      </c>
      <c r="K258" s="71" t="s">
        <v>21</v>
      </c>
      <c r="L258" s="71">
        <v>1.0108668129087631E-2</v>
      </c>
      <c r="M258" s="71">
        <v>1.9502016469571819E-2</v>
      </c>
      <c r="N258" s="71">
        <v>2.4268105942151494E-2</v>
      </c>
      <c r="O258" s="71">
        <v>2.7444957055359091E-2</v>
      </c>
      <c r="P258" s="55" t="s">
        <v>566</v>
      </c>
      <c r="Q258" s="53" t="s">
        <v>567</v>
      </c>
      <c r="R258" s="94">
        <v>47542</v>
      </c>
      <c r="S258" s="73">
        <v>1.357906E-2</v>
      </c>
      <c r="T258" s="63">
        <v>1.0533174669571817E-2</v>
      </c>
      <c r="V258" s="114">
        <v>1.1255834899999999</v>
      </c>
      <c r="W258" s="72">
        <v>2.7939234399999999</v>
      </c>
      <c r="X258" s="72">
        <v>4.1724474100000002</v>
      </c>
      <c r="Y258" s="72">
        <v>5.2598583300000001</v>
      </c>
      <c r="Z258" s="115">
        <v>6.4765230800000007</v>
      </c>
    </row>
    <row r="259" spans="2:26" x14ac:dyDescent="0.35">
      <c r="B259" s="55" t="s">
        <v>174</v>
      </c>
      <c r="C259" s="53" t="s">
        <v>234</v>
      </c>
      <c r="D259" s="53" t="s">
        <v>43</v>
      </c>
      <c r="E259" s="53" t="s">
        <v>568</v>
      </c>
      <c r="F259" s="71">
        <v>1.0471226967417443E-3</v>
      </c>
      <c r="G259" s="71">
        <v>1.3040137767787275E-2</v>
      </c>
      <c r="H259" s="71">
        <v>2.3167450702519396E-2</v>
      </c>
      <c r="I259" s="71">
        <v>2.8706824576966231E-2</v>
      </c>
      <c r="J259" s="63">
        <v>3.2599316708412748E-2</v>
      </c>
      <c r="K259" s="71" t="s">
        <v>21</v>
      </c>
      <c r="L259" s="71">
        <v>9.5386594677872773E-3</v>
      </c>
      <c r="M259" s="71">
        <v>1.8573428102519392E-2</v>
      </c>
      <c r="N259" s="71">
        <v>2.315716487696623E-2</v>
      </c>
      <c r="O259" s="71">
        <v>2.5792608508412748E-2</v>
      </c>
      <c r="P259" s="55" t="s">
        <v>569</v>
      </c>
      <c r="Q259" s="53" t="s">
        <v>570</v>
      </c>
      <c r="R259" s="94">
        <v>47535</v>
      </c>
      <c r="S259" s="73">
        <v>1.0739439999999999E-2</v>
      </c>
      <c r="T259" s="63">
        <v>1.2428010702519397E-2</v>
      </c>
      <c r="V259" s="114">
        <v>1.1235306899999999</v>
      </c>
      <c r="W259" s="72">
        <v>2.7997078900000001</v>
      </c>
      <c r="X259" s="72">
        <v>4.18756562</v>
      </c>
      <c r="Y259" s="72">
        <v>5.2888502800000001</v>
      </c>
      <c r="Z259" s="115">
        <v>6.5419928899999995</v>
      </c>
    </row>
    <row r="260" spans="2:26" x14ac:dyDescent="0.35">
      <c r="B260" s="55" t="s">
        <v>172</v>
      </c>
      <c r="C260" s="53" t="s">
        <v>234</v>
      </c>
      <c r="D260" s="53" t="s">
        <v>31</v>
      </c>
      <c r="E260" s="53" t="s">
        <v>571</v>
      </c>
      <c r="F260" s="71" t="s">
        <v>21</v>
      </c>
      <c r="G260" s="71">
        <v>1.1361825527395964E-2</v>
      </c>
      <c r="H260" s="71">
        <v>2.2168479838069247E-2</v>
      </c>
      <c r="I260" s="71">
        <v>2.9205230644802009E-2</v>
      </c>
      <c r="J260" s="63">
        <v>3.4787025939536975E-2</v>
      </c>
      <c r="K260" s="71" t="s">
        <v>21</v>
      </c>
      <c r="L260" s="71">
        <v>7.8378008273959649E-3</v>
      </c>
      <c r="M260" s="71">
        <v>1.758658783806925E-2</v>
      </c>
      <c r="N260" s="71">
        <v>2.3641927244802012E-2</v>
      </c>
      <c r="O260" s="71">
        <v>2.7924267139536978E-2</v>
      </c>
      <c r="P260" s="55" t="s">
        <v>572</v>
      </c>
      <c r="Q260" s="53" t="s">
        <v>573</v>
      </c>
      <c r="R260" s="94">
        <v>47664</v>
      </c>
      <c r="S260" s="73">
        <v>1.3498309999999999E-2</v>
      </c>
      <c r="T260" s="63">
        <v>8.6701698380692478E-3</v>
      </c>
      <c r="V260" s="114">
        <v>1.1264854399999999</v>
      </c>
      <c r="W260" s="72">
        <v>2.81534861</v>
      </c>
      <c r="X260" s="72">
        <v>4.2166693799999999</v>
      </c>
      <c r="Y260" s="72">
        <v>5.3138662800000001</v>
      </c>
      <c r="Z260" s="115">
        <v>6.5227472499999992</v>
      </c>
    </row>
    <row r="261" spans="2:26" x14ac:dyDescent="0.35">
      <c r="B261" s="55" t="s">
        <v>175</v>
      </c>
      <c r="C261" s="53" t="s">
        <v>234</v>
      </c>
      <c r="D261" s="53" t="s">
        <v>43</v>
      </c>
      <c r="E261" s="53" t="s">
        <v>141</v>
      </c>
      <c r="F261" s="71">
        <v>3.9147875186730371E-3</v>
      </c>
      <c r="G261" s="71">
        <v>1.3685923440172929E-2</v>
      </c>
      <c r="H261" s="71">
        <v>2.1579531799115967E-2</v>
      </c>
      <c r="I261" s="71">
        <v>2.6949665301846226E-2</v>
      </c>
      <c r="J261" s="63">
        <v>3.2403618081200451E-2</v>
      </c>
      <c r="K261" s="71">
        <v>1.8292531186730387E-3</v>
      </c>
      <c r="L261" s="71">
        <v>1.0183554640172926E-2</v>
      </c>
      <c r="M261" s="71">
        <v>1.6998636299115966E-2</v>
      </c>
      <c r="N261" s="71">
        <v>2.1427694201846224E-2</v>
      </c>
      <c r="O261" s="71">
        <v>2.5583805981200445E-2</v>
      </c>
      <c r="P261" s="55" t="s">
        <v>21</v>
      </c>
      <c r="Q261" s="53" t="s">
        <v>21</v>
      </c>
      <c r="R261" s="94" t="s">
        <v>21</v>
      </c>
      <c r="S261" s="73">
        <v>0</v>
      </c>
      <c r="T261" s="63">
        <v>2.1579531799115967E-2</v>
      </c>
      <c r="V261" s="114">
        <v>1.11625207</v>
      </c>
      <c r="W261" s="72">
        <v>2.7820057899999999</v>
      </c>
      <c r="X261" s="72">
        <v>4.1838513600000002</v>
      </c>
      <c r="Y261" s="72">
        <v>5.3092610599999999</v>
      </c>
      <c r="Z261" s="115">
        <v>6.5733512999999997</v>
      </c>
    </row>
    <row r="262" spans="2:26" x14ac:dyDescent="0.35">
      <c r="B262" s="55" t="s">
        <v>129</v>
      </c>
      <c r="C262" s="53" t="s">
        <v>234</v>
      </c>
      <c r="D262" s="53" t="s">
        <v>62</v>
      </c>
      <c r="E262" s="53" t="s">
        <v>574</v>
      </c>
      <c r="F262" s="71">
        <v>1.227582858806104E-3</v>
      </c>
      <c r="G262" s="71">
        <v>1.2636128639758324E-2</v>
      </c>
      <c r="H262" s="71">
        <v>2.1237653928387661E-2</v>
      </c>
      <c r="I262" s="71">
        <v>2.598861642837634E-2</v>
      </c>
      <c r="J262" s="63">
        <v>2.9651562930369326E-2</v>
      </c>
      <c r="K262" s="71" t="s">
        <v>21</v>
      </c>
      <c r="L262" s="71">
        <v>9.1318261397583221E-3</v>
      </c>
      <c r="M262" s="71">
        <v>1.6665613128387657E-2</v>
      </c>
      <c r="N262" s="71">
        <v>2.0491022828376334E-2</v>
      </c>
      <c r="O262" s="71">
        <v>2.2895573430369329E-2</v>
      </c>
      <c r="P262" s="55" t="s">
        <v>21</v>
      </c>
      <c r="Q262" s="53" t="s">
        <v>21</v>
      </c>
      <c r="R262" s="94" t="s">
        <v>21</v>
      </c>
      <c r="S262" s="73">
        <v>0</v>
      </c>
      <c r="T262" s="63">
        <v>2.1237653928387661E-2</v>
      </c>
      <c r="V262" s="114">
        <v>1.12304012</v>
      </c>
      <c r="W262" s="72">
        <v>2.7993032699999998</v>
      </c>
      <c r="X262" s="72">
        <v>4.2066550999999999</v>
      </c>
      <c r="Y262" s="72">
        <v>5.3450459200000005</v>
      </c>
      <c r="Z262" s="115">
        <v>6.6657256999999994</v>
      </c>
    </row>
    <row r="263" spans="2:26" x14ac:dyDescent="0.35">
      <c r="B263" s="55" t="s">
        <v>400</v>
      </c>
      <c r="C263" s="53" t="s">
        <v>234</v>
      </c>
      <c r="D263" s="53" t="s">
        <v>20</v>
      </c>
      <c r="E263" s="53" t="s">
        <v>288</v>
      </c>
      <c r="F263" s="71" t="s">
        <v>21</v>
      </c>
      <c r="G263" s="71">
        <v>1.097429924820985E-2</v>
      </c>
      <c r="H263" s="71">
        <v>1.9569775718229165E-2</v>
      </c>
      <c r="I263" s="71">
        <v>2.5100404032205596E-2</v>
      </c>
      <c r="J263" s="63">
        <v>2.7966271989452538E-2</v>
      </c>
      <c r="K263" s="71" t="s">
        <v>21</v>
      </c>
      <c r="L263" s="71">
        <v>7.4400448482098546E-3</v>
      </c>
      <c r="M263" s="71">
        <v>1.5001393618229164E-2</v>
      </c>
      <c r="N263" s="71">
        <v>1.9613011832205599E-2</v>
      </c>
      <c r="O263" s="71">
        <v>2.1237828789452545E-2</v>
      </c>
      <c r="P263" s="55" t="s">
        <v>403</v>
      </c>
      <c r="Q263" s="53" t="s">
        <v>404</v>
      </c>
      <c r="R263" s="94">
        <v>47771</v>
      </c>
      <c r="S263" s="73">
        <v>1.276509E-2</v>
      </c>
      <c r="T263" s="63">
        <v>6.8046857182291649E-3</v>
      </c>
      <c r="V263" s="114">
        <v>1.12703245</v>
      </c>
      <c r="W263" s="72">
        <v>2.8167475799999999</v>
      </c>
      <c r="X263" s="72">
        <v>4.2455069099999996</v>
      </c>
      <c r="Y263" s="72">
        <v>5.3980505900000004</v>
      </c>
      <c r="Z263" s="115">
        <v>6.7531109000000002</v>
      </c>
    </row>
    <row r="264" spans="2:26" x14ac:dyDescent="0.35">
      <c r="B264" s="55" t="s">
        <v>165</v>
      </c>
      <c r="C264" s="53" t="s">
        <v>234</v>
      </c>
      <c r="D264" s="53" t="s">
        <v>47</v>
      </c>
      <c r="E264" s="53" t="s">
        <v>48</v>
      </c>
      <c r="F264" s="71" t="s">
        <v>21</v>
      </c>
      <c r="G264" s="71">
        <v>9.7789818288392741E-3</v>
      </c>
      <c r="H264" s="71">
        <v>1.8034836342027093E-2</v>
      </c>
      <c r="I264" s="71">
        <v>2.3804567597101783E-2</v>
      </c>
      <c r="J264" s="63">
        <v>2.8607000612260697E-2</v>
      </c>
      <c r="K264" s="71" t="s">
        <v>21</v>
      </c>
      <c r="L264" s="71">
        <v>6.216318428839275E-3</v>
      </c>
      <c r="M264" s="71">
        <v>1.346358214202709E-2</v>
      </c>
      <c r="N264" s="71">
        <v>1.8329589597101782E-2</v>
      </c>
      <c r="O264" s="71">
        <v>2.1863457212260691E-2</v>
      </c>
      <c r="P264" s="55" t="s">
        <v>21</v>
      </c>
      <c r="Q264" s="53" t="s">
        <v>21</v>
      </c>
      <c r="R264" s="94" t="s">
        <v>21</v>
      </c>
      <c r="S264" s="73">
        <v>0</v>
      </c>
      <c r="T264" s="63">
        <v>1.8034836342027093E-2</v>
      </c>
      <c r="V264" s="114">
        <v>1.12613444</v>
      </c>
      <c r="W264" s="72">
        <v>2.82398017</v>
      </c>
      <c r="X264" s="72">
        <v>4.2692251600000004</v>
      </c>
      <c r="Y264" s="72">
        <v>5.44157344</v>
      </c>
      <c r="Z264" s="115">
        <v>6.7901524599999998</v>
      </c>
    </row>
    <row r="265" spans="2:26" x14ac:dyDescent="0.35">
      <c r="B265" s="55" t="s">
        <v>166</v>
      </c>
      <c r="C265" s="53" t="s">
        <v>234</v>
      </c>
      <c r="D265" s="53" t="s">
        <v>43</v>
      </c>
      <c r="E265" s="53" t="s">
        <v>575</v>
      </c>
      <c r="F265" s="71" t="s">
        <v>21</v>
      </c>
      <c r="G265" s="71">
        <v>9.5206700832339407E-3</v>
      </c>
      <c r="H265" s="71">
        <v>1.7483806566147887E-2</v>
      </c>
      <c r="I265" s="71">
        <v>2.0932974920843866E-2</v>
      </c>
      <c r="J265" s="63">
        <v>2.3454035180762174E-2</v>
      </c>
      <c r="K265" s="71" t="s">
        <v>21</v>
      </c>
      <c r="L265" s="71">
        <v>5.947001883233943E-3</v>
      </c>
      <c r="M265" s="71">
        <v>1.2905718966147889E-2</v>
      </c>
      <c r="N265" s="71">
        <v>1.5468156220843869E-2</v>
      </c>
      <c r="O265" s="71">
        <v>1.6722277080762175E-2</v>
      </c>
      <c r="P265" s="55" t="s">
        <v>21</v>
      </c>
      <c r="Q265" s="53" t="s">
        <v>21</v>
      </c>
      <c r="R265" s="94" t="s">
        <v>21</v>
      </c>
      <c r="S265" s="73">
        <v>0</v>
      </c>
      <c r="T265" s="63">
        <v>1.7483806566147887E-2</v>
      </c>
      <c r="V265" s="114">
        <v>1.1275542300000001</v>
      </c>
      <c r="W265" s="72">
        <v>2.8281121499999999</v>
      </c>
      <c r="X265" s="72">
        <v>4.2801686200000004</v>
      </c>
      <c r="Y265" s="72">
        <v>5.4875760500000004</v>
      </c>
      <c r="Z265" s="115">
        <v>6.9540652600000001</v>
      </c>
    </row>
    <row r="266" spans="2:26" x14ac:dyDescent="0.35">
      <c r="B266" s="55" t="s">
        <v>401</v>
      </c>
      <c r="C266" s="53" t="s">
        <v>234</v>
      </c>
      <c r="D266" s="53" t="s">
        <v>53</v>
      </c>
      <c r="E266" s="53" t="s">
        <v>293</v>
      </c>
      <c r="F266" s="71" t="s">
        <v>21</v>
      </c>
      <c r="G266" s="71">
        <v>8.8792359272895603E-3</v>
      </c>
      <c r="H266" s="71">
        <v>1.7259589759196628E-2</v>
      </c>
      <c r="I266" s="71">
        <v>2.1895023838468131E-2</v>
      </c>
      <c r="J266" s="63">
        <v>2.7300537158529266E-2</v>
      </c>
      <c r="K266" s="71" t="s">
        <v>21</v>
      </c>
      <c r="L266" s="71">
        <v>5.2827240272895629E-3</v>
      </c>
      <c r="M266" s="71">
        <v>1.2680552059196628E-2</v>
      </c>
      <c r="N266" s="71">
        <v>1.643134023846813E-2</v>
      </c>
      <c r="O266" s="71">
        <v>2.0565236158529267E-2</v>
      </c>
      <c r="P266" s="55" t="s">
        <v>21</v>
      </c>
      <c r="Q266" s="53" t="s">
        <v>21</v>
      </c>
      <c r="R266" s="94" t="s">
        <v>21</v>
      </c>
      <c r="S266" s="73">
        <v>0</v>
      </c>
      <c r="T266" s="63">
        <v>1.7259589759196628E-2</v>
      </c>
      <c r="V266" s="114">
        <v>1.1289722099999999</v>
      </c>
      <c r="W266" s="72">
        <v>2.8348022099999999</v>
      </c>
      <c r="X266" s="72">
        <v>4.2902501900000001</v>
      </c>
      <c r="Y266" s="72">
        <v>5.4884379399999998</v>
      </c>
      <c r="Z266" s="115">
        <v>6.8752483200000007</v>
      </c>
    </row>
    <row r="267" spans="2:26" x14ac:dyDescent="0.35">
      <c r="B267" s="55" t="s">
        <v>170</v>
      </c>
      <c r="C267" s="53" t="s">
        <v>234</v>
      </c>
      <c r="D267" s="53" t="s">
        <v>20</v>
      </c>
      <c r="E267" s="53" t="s">
        <v>402</v>
      </c>
      <c r="F267" s="71">
        <v>3.1538616328273608E-3</v>
      </c>
      <c r="G267" s="71">
        <v>1.5925468399505781E-2</v>
      </c>
      <c r="H267" s="71">
        <v>2.7044575701985027E-2</v>
      </c>
      <c r="I267" s="71">
        <v>3.1821213577797582E-2</v>
      </c>
      <c r="J267" s="63">
        <v>3.6117740921646643E-2</v>
      </c>
      <c r="K267" s="71">
        <v>1.0637731328273599E-3</v>
      </c>
      <c r="L267" s="71">
        <v>1.2425354899505784E-2</v>
      </c>
      <c r="M267" s="71">
        <v>2.2368963201985021E-2</v>
      </c>
      <c r="N267" s="71">
        <v>2.6191864177797577E-2</v>
      </c>
      <c r="O267" s="71">
        <v>2.9211713221646635E-2</v>
      </c>
      <c r="P267" s="55" t="s">
        <v>468</v>
      </c>
      <c r="Q267" s="53" t="s">
        <v>469</v>
      </c>
      <c r="R267" s="94">
        <v>47505</v>
      </c>
      <c r="S267" s="73">
        <v>2.0086159999999999E-2</v>
      </c>
      <c r="T267" s="63">
        <v>6.9584157019850282E-3</v>
      </c>
      <c r="V267" s="114">
        <v>1.1179228299999999</v>
      </c>
      <c r="W267" s="72">
        <v>2.7691026700000001</v>
      </c>
      <c r="X267" s="72">
        <v>4.1191513100000003</v>
      </c>
      <c r="Y267" s="72">
        <v>5.1671399600000001</v>
      </c>
      <c r="Z267" s="115">
        <v>6.3475623699999995</v>
      </c>
    </row>
    <row r="268" spans="2:26" x14ac:dyDescent="0.35">
      <c r="B268" s="55" t="s">
        <v>168</v>
      </c>
      <c r="C268" s="53" t="s">
        <v>234</v>
      </c>
      <c r="D268" s="53" t="s">
        <v>169</v>
      </c>
      <c r="E268" s="53" t="s">
        <v>576</v>
      </c>
      <c r="F268" s="71">
        <v>1.381561683283977E-3</v>
      </c>
      <c r="G268" s="71">
        <v>1.0301827705731259E-2</v>
      </c>
      <c r="H268" s="71">
        <v>1.6246300753060432E-2</v>
      </c>
      <c r="I268" s="71">
        <v>1.8912063900340642E-2</v>
      </c>
      <c r="J268" s="63">
        <v>2.1346030788317337E-2</v>
      </c>
      <c r="K268" s="71" t="s">
        <v>21</v>
      </c>
      <c r="L268" s="71">
        <v>6.7516706057312633E-3</v>
      </c>
      <c r="M268" s="71">
        <v>1.1650137853060433E-2</v>
      </c>
      <c r="N268" s="71">
        <v>1.3422448900340642E-2</v>
      </c>
      <c r="O268" s="71">
        <v>1.4572639188317336E-2</v>
      </c>
      <c r="P268" s="55" t="s">
        <v>21</v>
      </c>
      <c r="Q268" s="53" t="s">
        <v>21</v>
      </c>
      <c r="R268" s="94" t="s">
        <v>21</v>
      </c>
      <c r="S268" s="73">
        <v>0</v>
      </c>
      <c r="T268" s="63">
        <v>1.6246300753060432E-2</v>
      </c>
      <c r="V268" s="114">
        <v>1.1231408999999999</v>
      </c>
      <c r="W268" s="72">
        <v>2.81396523</v>
      </c>
      <c r="X268" s="72">
        <v>4.2754116600000005</v>
      </c>
      <c r="Y268" s="72">
        <v>5.5127725400000003</v>
      </c>
      <c r="Z268" s="115">
        <v>7.0317595600000002</v>
      </c>
    </row>
    <row r="269" spans="2:26" x14ac:dyDescent="0.35">
      <c r="B269" s="55" t="s">
        <v>117</v>
      </c>
      <c r="C269" s="53" t="s">
        <v>234</v>
      </c>
      <c r="D269" s="53" t="s">
        <v>31</v>
      </c>
      <c r="E269" s="53" t="s">
        <v>123</v>
      </c>
      <c r="F269" s="71" t="s">
        <v>21</v>
      </c>
      <c r="G269" s="71">
        <v>9.2044004098025579E-3</v>
      </c>
      <c r="H269" s="71">
        <v>1.4180035790664274E-2</v>
      </c>
      <c r="I269" s="71">
        <v>1.7701671665885581E-2</v>
      </c>
      <c r="J269" s="63">
        <v>2.0411757435387874E-2</v>
      </c>
      <c r="K269" s="71" t="s">
        <v>21</v>
      </c>
      <c r="L269" s="71">
        <v>5.6201425098025594E-3</v>
      </c>
      <c r="M269" s="71">
        <v>9.5336354906642752E-3</v>
      </c>
      <c r="N269" s="71">
        <v>1.2186933165885584E-2</v>
      </c>
      <c r="O269" s="71">
        <v>1.3617968535387876E-2</v>
      </c>
      <c r="P269" s="55" t="s">
        <v>21</v>
      </c>
      <c r="Q269" s="53" t="s">
        <v>21</v>
      </c>
      <c r="R269" s="94" t="s">
        <v>21</v>
      </c>
      <c r="S269" s="73">
        <v>0</v>
      </c>
      <c r="T269" s="63">
        <v>1.4180035790664274E-2</v>
      </c>
      <c r="V269" s="114">
        <v>1.1291607299999999</v>
      </c>
      <c r="W269" s="72">
        <v>2.8326460299999998</v>
      </c>
      <c r="X269" s="72">
        <v>4.3190807499999995</v>
      </c>
      <c r="Y269" s="72">
        <v>5.5776091599999997</v>
      </c>
      <c r="Z269" s="115">
        <v>7.1218996000000008</v>
      </c>
    </row>
    <row r="270" spans="2:26" x14ac:dyDescent="0.35">
      <c r="B270" s="55" t="s">
        <v>139</v>
      </c>
      <c r="C270" s="53" t="s">
        <v>234</v>
      </c>
      <c r="D270" s="53" t="s">
        <v>140</v>
      </c>
      <c r="E270" s="53" t="s">
        <v>161</v>
      </c>
      <c r="F270" s="71" t="s">
        <v>21</v>
      </c>
      <c r="G270" s="71">
        <v>7.4568810627831245E-3</v>
      </c>
      <c r="H270" s="71">
        <v>1.3249618706540754E-2</v>
      </c>
      <c r="I270" s="71">
        <v>1.7245006575713602E-2</v>
      </c>
      <c r="J270" s="63">
        <v>2.1647886772735672E-2</v>
      </c>
      <c r="K270" s="71" t="s">
        <v>21</v>
      </c>
      <c r="L270" s="71">
        <v>3.7889781627831261E-3</v>
      </c>
      <c r="M270" s="71">
        <v>8.5647834065407588E-3</v>
      </c>
      <c r="N270" s="71">
        <v>1.1714141175713604E-2</v>
      </c>
      <c r="O270" s="71">
        <v>1.4872381772735671E-2</v>
      </c>
      <c r="P270" s="55" t="s">
        <v>21</v>
      </c>
      <c r="Q270" s="53" t="s">
        <v>21</v>
      </c>
      <c r="R270" s="94" t="s">
        <v>21</v>
      </c>
      <c r="S270" s="73">
        <v>0</v>
      </c>
      <c r="T270" s="63">
        <v>1.3249618706540754E-2</v>
      </c>
      <c r="V270" s="114">
        <v>1.1270453499999999</v>
      </c>
      <c r="W270" s="72">
        <v>2.8391050399999997</v>
      </c>
      <c r="X270" s="72">
        <v>4.3365888900000007</v>
      </c>
      <c r="Y270" s="72">
        <v>5.6037951399999999</v>
      </c>
      <c r="Z270" s="115">
        <v>7.1277295299999999</v>
      </c>
    </row>
    <row r="271" spans="2:26" x14ac:dyDescent="0.35">
      <c r="B271" s="57" t="s">
        <v>171</v>
      </c>
      <c r="C271" s="67" t="s">
        <v>234</v>
      </c>
      <c r="D271" s="67" t="s">
        <v>69</v>
      </c>
      <c r="E271" s="67" t="s">
        <v>110</v>
      </c>
      <c r="F271" s="76" t="s">
        <v>21</v>
      </c>
      <c r="G271" s="76">
        <v>6.3503005660657816E-3</v>
      </c>
      <c r="H271" s="76">
        <v>1.2393082515193806E-2</v>
      </c>
      <c r="I271" s="76">
        <v>1.5484771908631352E-2</v>
      </c>
      <c r="J271" s="64">
        <v>1.9483132900565202E-2</v>
      </c>
      <c r="K271" s="76" t="s">
        <v>21</v>
      </c>
      <c r="L271" s="76">
        <v>2.6013699660657787E-3</v>
      </c>
      <c r="M271" s="76">
        <v>7.6647799151938079E-3</v>
      </c>
      <c r="N271" s="76">
        <v>9.8932143086313505E-3</v>
      </c>
      <c r="O271" s="76">
        <v>1.2649881700565205E-2</v>
      </c>
      <c r="P271" s="57" t="s">
        <v>21</v>
      </c>
      <c r="Q271" s="67" t="s">
        <v>21</v>
      </c>
      <c r="R271" s="96" t="s">
        <v>21</v>
      </c>
      <c r="S271" s="74">
        <v>0</v>
      </c>
      <c r="T271" s="64">
        <v>1.2393082515193806E-2</v>
      </c>
      <c r="V271" s="116">
        <v>1.12998566</v>
      </c>
      <c r="W271" s="108">
        <v>2.8515765599999998</v>
      </c>
      <c r="X271" s="108">
        <v>4.3603504699999993</v>
      </c>
      <c r="Y271" s="108">
        <v>5.6517988900000002</v>
      </c>
      <c r="Z271" s="117">
        <v>7.2297078299999997</v>
      </c>
    </row>
    <row r="272" spans="2:26" x14ac:dyDescent="0.35">
      <c r="P272" s="128"/>
      <c r="Q272" s="128"/>
      <c r="R272" s="44"/>
      <c r="S272" s="128"/>
      <c r="T272" s="128"/>
      <c r="V272" s="72"/>
      <c r="W272" s="72"/>
      <c r="X272" s="72"/>
      <c r="Y272" s="72"/>
      <c r="Z272" s="72"/>
    </row>
    <row r="273" spans="2:26" ht="15.5" x14ac:dyDescent="0.35">
      <c r="B273" s="122" t="s">
        <v>179</v>
      </c>
      <c r="R273" s="94"/>
      <c r="S273" s="71"/>
      <c r="T273" s="71"/>
      <c r="V273" s="72"/>
      <c r="W273" s="72"/>
      <c r="X273" s="72"/>
      <c r="Y273" s="72"/>
      <c r="Z273" s="72"/>
    </row>
    <row r="274" spans="2:26" x14ac:dyDescent="0.35">
      <c r="B274" s="85" t="s">
        <v>5</v>
      </c>
      <c r="C274" s="84" t="s">
        <v>6</v>
      </c>
      <c r="D274" s="84" t="s">
        <v>7</v>
      </c>
      <c r="E274" s="84" t="s">
        <v>8</v>
      </c>
      <c r="F274" s="83" t="s">
        <v>9</v>
      </c>
      <c r="G274" s="82" t="s">
        <v>10</v>
      </c>
      <c r="H274" s="82" t="s">
        <v>11</v>
      </c>
      <c r="I274" s="82" t="s">
        <v>12</v>
      </c>
      <c r="J274" s="81" t="s">
        <v>13</v>
      </c>
      <c r="K274" s="58" t="s">
        <v>9</v>
      </c>
      <c r="L274" s="58" t="s">
        <v>10</v>
      </c>
      <c r="M274" s="58" t="s">
        <v>11</v>
      </c>
      <c r="N274" s="58" t="s">
        <v>12</v>
      </c>
      <c r="O274" s="58" t="s">
        <v>13</v>
      </c>
      <c r="P274" s="70" t="s">
        <v>14</v>
      </c>
      <c r="Q274" s="58" t="s">
        <v>15</v>
      </c>
      <c r="R274" s="58" t="s">
        <v>16</v>
      </c>
      <c r="S274" s="58" t="s">
        <v>409</v>
      </c>
      <c r="T274" s="58" t="s">
        <v>18</v>
      </c>
      <c r="V274" s="106" t="s">
        <v>9</v>
      </c>
      <c r="W274" s="106" t="s">
        <v>10</v>
      </c>
      <c r="X274" s="106" t="s">
        <v>11</v>
      </c>
      <c r="Y274" s="106" t="s">
        <v>12</v>
      </c>
      <c r="Z274" s="111" t="s">
        <v>13</v>
      </c>
    </row>
    <row r="275" spans="2:26" x14ac:dyDescent="0.35">
      <c r="B275" s="56" t="s">
        <v>180</v>
      </c>
      <c r="C275" s="53" t="s">
        <v>234</v>
      </c>
      <c r="D275" s="66" t="s">
        <v>47</v>
      </c>
      <c r="E275" s="66" t="s">
        <v>577</v>
      </c>
      <c r="F275" s="80"/>
      <c r="G275" s="80"/>
      <c r="H275" s="80"/>
      <c r="I275" s="80"/>
      <c r="J275" s="62"/>
      <c r="K275" s="80"/>
      <c r="L275" s="80"/>
      <c r="M275" s="80"/>
      <c r="N275" s="80"/>
      <c r="O275" s="80"/>
      <c r="P275" s="56" t="s">
        <v>578</v>
      </c>
      <c r="Q275" s="66" t="s">
        <v>579</v>
      </c>
      <c r="R275" s="100" t="s">
        <v>32</v>
      </c>
      <c r="S275" s="75">
        <v>7.1364899999999997E-3</v>
      </c>
      <c r="T275" s="63">
        <v>-7.1364899999999997E-3</v>
      </c>
      <c r="V275" s="72">
        <v>1.13064714</v>
      </c>
      <c r="W275" s="72">
        <v>2.8566576299999999</v>
      </c>
      <c r="X275" s="72">
        <v>4.3775044000000003</v>
      </c>
      <c r="Y275" s="72">
        <v>5.6855076699999998</v>
      </c>
      <c r="Z275" s="115">
        <v>7.3042386400000003</v>
      </c>
    </row>
    <row r="276" spans="2:26" x14ac:dyDescent="0.35">
      <c r="B276" s="55" t="s">
        <v>271</v>
      </c>
      <c r="C276" s="53" t="s">
        <v>234</v>
      </c>
      <c r="D276" s="53" t="s">
        <v>20</v>
      </c>
      <c r="E276" s="53" t="s">
        <v>580</v>
      </c>
      <c r="F276" s="71" t="s">
        <v>21</v>
      </c>
      <c r="G276" s="71">
        <v>7.7353550721306419E-3</v>
      </c>
      <c r="H276" s="71">
        <v>1.1624682544592781E-2</v>
      </c>
      <c r="I276" s="71">
        <v>1.4436340910693207E-2</v>
      </c>
      <c r="J276" s="63">
        <v>1.6519769982234454E-2</v>
      </c>
      <c r="K276" s="71" t="s">
        <v>21</v>
      </c>
      <c r="L276" s="71">
        <v>4.0177958721306405E-3</v>
      </c>
      <c r="M276" s="71">
        <v>6.8230909445927837E-3</v>
      </c>
      <c r="N276" s="71">
        <v>8.7332887106932114E-3</v>
      </c>
      <c r="O276" s="71">
        <v>9.4738015822344555E-3</v>
      </c>
      <c r="P276" s="55" t="s">
        <v>581</v>
      </c>
      <c r="Q276" s="53" t="s">
        <v>582</v>
      </c>
      <c r="R276" s="94" t="s">
        <v>32</v>
      </c>
      <c r="S276" s="73">
        <v>4.54449E-3</v>
      </c>
      <c r="T276" s="63">
        <v>7.0801925445927814E-3</v>
      </c>
      <c r="V276" s="72">
        <v>1.1291351000000001</v>
      </c>
      <c r="W276" s="72">
        <v>2.8466073199999999</v>
      </c>
      <c r="X276" s="72">
        <v>4.3663419399999999</v>
      </c>
      <c r="Y276" s="72">
        <v>5.6873448499999997</v>
      </c>
      <c r="Z276" s="115">
        <v>7.3615121199999995</v>
      </c>
    </row>
    <row r="277" spans="2:26" x14ac:dyDescent="0.35">
      <c r="B277" s="55" t="s">
        <v>182</v>
      </c>
      <c r="C277" s="53" t="s">
        <v>234</v>
      </c>
      <c r="D277" s="53" t="s">
        <v>69</v>
      </c>
      <c r="E277" s="53" t="s">
        <v>272</v>
      </c>
      <c r="F277" s="71" t="s">
        <v>21</v>
      </c>
      <c r="G277" s="71">
        <v>5.376640202580941E-3</v>
      </c>
      <c r="H277" s="71">
        <v>9.5885773540356004E-3</v>
      </c>
      <c r="I277" s="71">
        <v>1.2565239753004522E-2</v>
      </c>
      <c r="J277" s="63">
        <v>1.5320174681037947E-2</v>
      </c>
      <c r="K277" s="71" t="s">
        <v>21</v>
      </c>
      <c r="L277" s="71">
        <v>1.425374102580943E-3</v>
      </c>
      <c r="M277" s="71">
        <v>4.6099987540356028E-3</v>
      </c>
      <c r="N277" s="71">
        <v>6.7140613530045209E-3</v>
      </c>
      <c r="O277" s="71">
        <v>8.1721478810379486E-3</v>
      </c>
      <c r="P277" s="55" t="s">
        <v>583</v>
      </c>
      <c r="Q277" s="53" t="s">
        <v>584</v>
      </c>
      <c r="R277" s="94" t="s">
        <v>32</v>
      </c>
      <c r="S277" s="73">
        <v>3.7830799999999999E-3</v>
      </c>
      <c r="T277" s="63">
        <v>5.8054973540356009E-3</v>
      </c>
      <c r="V277" s="72">
        <v>1.1317748699999999</v>
      </c>
      <c r="W277" s="72">
        <v>2.8669545099999998</v>
      </c>
      <c r="X277" s="72">
        <v>4.4121066799999999</v>
      </c>
      <c r="Y277" s="72">
        <v>5.7615276899999994</v>
      </c>
      <c r="Z277" s="115">
        <v>7.4710708099999996</v>
      </c>
    </row>
    <row r="278" spans="2:26" x14ac:dyDescent="0.35">
      <c r="B278" s="55" t="s">
        <v>183</v>
      </c>
      <c r="C278" s="53" t="s">
        <v>234</v>
      </c>
      <c r="D278" s="53" t="s">
        <v>184</v>
      </c>
      <c r="E278" s="53" t="s">
        <v>323</v>
      </c>
      <c r="F278" s="71" t="s">
        <v>21</v>
      </c>
      <c r="G278" s="71">
        <v>6.3817509011847929E-3</v>
      </c>
      <c r="H278" s="71">
        <v>1.122115212273965E-2</v>
      </c>
      <c r="I278" s="71">
        <v>1.539836603346862E-2</v>
      </c>
      <c r="J278" s="63">
        <v>1.95706421521127E-2</v>
      </c>
      <c r="K278" s="71" t="s">
        <v>21</v>
      </c>
      <c r="L278" s="71">
        <v>2.5465855011847921E-3</v>
      </c>
      <c r="M278" s="71">
        <v>6.3881089227396477E-3</v>
      </c>
      <c r="N278" s="71">
        <v>9.7471885334686204E-3</v>
      </c>
      <c r="O278" s="71">
        <v>1.2689318652112702E-2</v>
      </c>
      <c r="P278" s="55" t="s">
        <v>585</v>
      </c>
      <c r="Q278" s="53" t="s">
        <v>586</v>
      </c>
      <c r="R278" s="94" t="s">
        <v>32</v>
      </c>
      <c r="S278" s="73">
        <v>1.0131879999999999E-2</v>
      </c>
      <c r="T278" s="63">
        <v>1.0892721227396505E-3</v>
      </c>
      <c r="V278" s="72">
        <v>1.1317327699999999</v>
      </c>
      <c r="W278" s="72">
        <v>2.8606786299999998</v>
      </c>
      <c r="X278" s="72">
        <v>4.3877189400000001</v>
      </c>
      <c r="Y278" s="72">
        <v>5.6981601099999999</v>
      </c>
      <c r="Z278" s="115">
        <v>7.3065577899999994</v>
      </c>
    </row>
    <row r="279" spans="2:26" x14ac:dyDescent="0.35">
      <c r="B279" s="55" t="s">
        <v>185</v>
      </c>
      <c r="C279" s="53" t="s">
        <v>234</v>
      </c>
      <c r="D279" s="53" t="s">
        <v>53</v>
      </c>
      <c r="E279" s="53" t="s">
        <v>181</v>
      </c>
      <c r="F279" s="71" t="s">
        <v>21</v>
      </c>
      <c r="G279" s="71">
        <v>5.3979056666677077E-3</v>
      </c>
      <c r="H279" s="71">
        <v>9.5945419479809627E-3</v>
      </c>
      <c r="I279" s="71">
        <v>1.279319505188636E-2</v>
      </c>
      <c r="J279" s="63">
        <v>1.5653944264492629E-2</v>
      </c>
      <c r="K279" s="71" t="s">
        <v>21</v>
      </c>
      <c r="L279" s="71">
        <v>1.4490723666677066E-3</v>
      </c>
      <c r="M279" s="71">
        <v>4.6166128479809615E-3</v>
      </c>
      <c r="N279" s="71">
        <v>6.9617030518863568E-3</v>
      </c>
      <c r="O279" s="71">
        <v>8.5347128644926301E-3</v>
      </c>
      <c r="P279" s="55" t="s">
        <v>587</v>
      </c>
      <c r="Q279" s="53" t="s">
        <v>588</v>
      </c>
      <c r="R279" s="94" t="s">
        <v>32</v>
      </c>
      <c r="S279" s="73">
        <v>4.6057800000000003E-3</v>
      </c>
      <c r="T279" s="63">
        <v>4.9887619479809624E-3</v>
      </c>
      <c r="V279" s="72">
        <v>1.13215325</v>
      </c>
      <c r="W279" s="72">
        <v>2.8675322799999998</v>
      </c>
      <c r="X279" s="72">
        <v>4.4125962699999999</v>
      </c>
      <c r="Y279" s="72">
        <v>5.7592636800000001</v>
      </c>
      <c r="Z279" s="115">
        <v>7.4605733699999996</v>
      </c>
    </row>
    <row r="280" spans="2:26" x14ac:dyDescent="0.35">
      <c r="B280" s="55" t="s">
        <v>186</v>
      </c>
      <c r="C280" s="53" t="s">
        <v>234</v>
      </c>
      <c r="D280" s="53" t="s">
        <v>31</v>
      </c>
      <c r="E280" s="53" t="s">
        <v>589</v>
      </c>
      <c r="F280" s="71" t="s">
        <v>21</v>
      </c>
      <c r="G280" s="71">
        <v>6.2357811136974682E-3</v>
      </c>
      <c r="H280" s="71">
        <v>1.1022596907384625E-2</v>
      </c>
      <c r="I280" s="71">
        <v>1.4506458865309782E-2</v>
      </c>
      <c r="J280" s="63">
        <v>1.7807685258147091E-2</v>
      </c>
      <c r="K280" s="71" t="s">
        <v>21</v>
      </c>
      <c r="L280" s="71">
        <v>2.3858079136974669E-3</v>
      </c>
      <c r="M280" s="71">
        <v>6.1741746073846271E-3</v>
      </c>
      <c r="N280" s="71">
        <v>8.8051122653097849E-3</v>
      </c>
      <c r="O280" s="71">
        <v>1.084104335814709E-2</v>
      </c>
      <c r="P280" s="55" t="s">
        <v>590</v>
      </c>
      <c r="Q280" s="53" t="s">
        <v>591</v>
      </c>
      <c r="R280" s="94" t="s">
        <v>32</v>
      </c>
      <c r="S280" s="73">
        <v>5.9093399999999999E-3</v>
      </c>
      <c r="T280" s="63">
        <v>5.113256907384625E-3</v>
      </c>
      <c r="V280" s="72">
        <v>1.1312255</v>
      </c>
      <c r="W280" s="72">
        <v>2.8606304700000003</v>
      </c>
      <c r="X280" s="72">
        <v>4.38990861</v>
      </c>
      <c r="Y280" s="72">
        <v>5.7115643600000006</v>
      </c>
      <c r="Z280" s="115">
        <v>7.3596766300000009</v>
      </c>
    </row>
    <row r="281" spans="2:26" x14ac:dyDescent="0.35">
      <c r="B281" s="57" t="s">
        <v>187</v>
      </c>
      <c r="C281" s="67" t="s">
        <v>234</v>
      </c>
      <c r="D281" s="67" t="s">
        <v>140</v>
      </c>
      <c r="E281" s="67" t="s">
        <v>592</v>
      </c>
      <c r="F281" s="76" t="s">
        <v>21</v>
      </c>
      <c r="G281" s="76">
        <v>5.337089925851698E-3</v>
      </c>
      <c r="H281" s="76">
        <v>9.3297854062572814E-3</v>
      </c>
      <c r="I281" s="76">
        <v>1.2980059165995483E-2</v>
      </c>
      <c r="J281" s="64">
        <v>1.5885029726715856E-2</v>
      </c>
      <c r="K281" s="76" t="s">
        <v>21</v>
      </c>
      <c r="L281" s="76">
        <v>1.3800206258516969E-3</v>
      </c>
      <c r="M281" s="76">
        <v>4.3235006062572806E-3</v>
      </c>
      <c r="N281" s="76">
        <v>7.1623915659954811E-3</v>
      </c>
      <c r="O281" s="76">
        <v>8.7848604267158591E-3</v>
      </c>
      <c r="P281" s="57" t="s">
        <v>593</v>
      </c>
      <c r="Q281" s="67" t="s">
        <v>594</v>
      </c>
      <c r="R281" s="96" t="s">
        <v>32</v>
      </c>
      <c r="S281" s="74">
        <v>3.4055200000000004E-3</v>
      </c>
      <c r="T281" s="64">
        <v>5.924265406257281E-3</v>
      </c>
      <c r="V281" s="108">
        <v>1.1323375</v>
      </c>
      <c r="W281" s="108">
        <v>2.8682545999999998</v>
      </c>
      <c r="X281" s="108">
        <v>4.4160229600000003</v>
      </c>
      <c r="Y281" s="108">
        <v>5.7613014800000002</v>
      </c>
      <c r="Z281" s="117">
        <v>7.4564753000000001</v>
      </c>
    </row>
    <row r="282" spans="2:26" x14ac:dyDescent="0.35">
      <c r="V282" s="72"/>
      <c r="W282" s="72"/>
      <c r="X282" s="72"/>
      <c r="Y282" s="72"/>
      <c r="Z282" s="72"/>
    </row>
    <row r="283" spans="2:26" ht="15.5" x14ac:dyDescent="0.35">
      <c r="B283" s="122" t="s">
        <v>188</v>
      </c>
      <c r="R283" s="94"/>
      <c r="S283" s="71"/>
      <c r="T283" s="71"/>
      <c r="V283" s="72"/>
      <c r="W283" s="72"/>
      <c r="X283" s="72"/>
      <c r="Y283" s="72"/>
      <c r="Z283" s="72"/>
    </row>
    <row r="284" spans="2:26" x14ac:dyDescent="0.35">
      <c r="B284" s="85" t="s">
        <v>5</v>
      </c>
      <c r="C284" s="84" t="s">
        <v>6</v>
      </c>
      <c r="D284" s="84" t="s">
        <v>7</v>
      </c>
      <c r="E284" s="84" t="s">
        <v>8</v>
      </c>
      <c r="F284" s="83" t="s">
        <v>9</v>
      </c>
      <c r="G284" s="82" t="s">
        <v>10</v>
      </c>
      <c r="H284" s="82" t="s">
        <v>11</v>
      </c>
      <c r="I284" s="82" t="s">
        <v>12</v>
      </c>
      <c r="J284" s="81" t="s">
        <v>13</v>
      </c>
      <c r="K284" s="58" t="s">
        <v>9</v>
      </c>
      <c r="L284" s="58" t="s">
        <v>10</v>
      </c>
      <c r="M284" s="58" t="s">
        <v>11</v>
      </c>
      <c r="N284" s="58" t="s">
        <v>12</v>
      </c>
      <c r="O284" s="58" t="s">
        <v>13</v>
      </c>
      <c r="P284" s="70" t="s">
        <v>14</v>
      </c>
      <c r="Q284" s="58" t="s">
        <v>15</v>
      </c>
      <c r="R284" s="58" t="s">
        <v>16</v>
      </c>
      <c r="S284" s="58" t="s">
        <v>409</v>
      </c>
      <c r="T284" s="58" t="s">
        <v>18</v>
      </c>
      <c r="V284" s="106" t="s">
        <v>9</v>
      </c>
      <c r="W284" s="106" t="s">
        <v>10</v>
      </c>
      <c r="X284" s="106" t="s">
        <v>11</v>
      </c>
      <c r="Y284" s="106" t="s">
        <v>12</v>
      </c>
      <c r="Z284" s="111" t="s">
        <v>13</v>
      </c>
    </row>
    <row r="285" spans="2:26" x14ac:dyDescent="0.35">
      <c r="B285" s="57" t="s">
        <v>298</v>
      </c>
      <c r="C285" s="67"/>
      <c r="D285" s="69"/>
      <c r="E285" s="69"/>
      <c r="F285" s="103" t="s">
        <v>21</v>
      </c>
      <c r="G285" s="103"/>
      <c r="H285" s="103">
        <v>2.0276196925671508E-2</v>
      </c>
      <c r="I285" s="103" t="s">
        <v>21</v>
      </c>
      <c r="J285" s="104" t="s">
        <v>21</v>
      </c>
      <c r="K285" s="80" t="s">
        <v>21</v>
      </c>
      <c r="L285" s="80"/>
      <c r="M285" s="80">
        <v>1.5747034425671512E-2</v>
      </c>
      <c r="N285" s="80" t="s">
        <v>21</v>
      </c>
      <c r="O285" s="80" t="s">
        <v>21</v>
      </c>
      <c r="P285" s="56"/>
      <c r="Q285" s="69"/>
      <c r="R285" s="105"/>
      <c r="S285" s="75"/>
      <c r="T285" s="62"/>
      <c r="V285" s="72">
        <v>1.11261078</v>
      </c>
      <c r="W285" s="72">
        <v>2.7769235699999997</v>
      </c>
      <c r="X285" s="72">
        <v>4.2243036700000003</v>
      </c>
      <c r="Y285" s="72">
        <v>5.4665206799999995</v>
      </c>
      <c r="Z285" s="115">
        <v>7.0171531199999997</v>
      </c>
    </row>
    <row r="286" spans="2:26" x14ac:dyDescent="0.35">
      <c r="B286" s="55" t="s">
        <v>189</v>
      </c>
      <c r="C286" s="53" t="s">
        <v>234</v>
      </c>
      <c r="D286" s="66" t="s">
        <v>190</v>
      </c>
      <c r="E286" s="66" t="s">
        <v>273</v>
      </c>
      <c r="F286" s="80" t="s">
        <v>21</v>
      </c>
      <c r="G286" s="80">
        <v>5.8835141601368711E-3</v>
      </c>
      <c r="H286" s="80">
        <v>1.1167715257399081E-2</v>
      </c>
      <c r="I286" s="80" t="s">
        <v>21</v>
      </c>
      <c r="J286" s="62" t="s">
        <v>21</v>
      </c>
      <c r="K286" s="80" t="s">
        <v>21</v>
      </c>
      <c r="L286" s="80">
        <v>1.9457944601368711E-3</v>
      </c>
      <c r="M286" s="80">
        <v>6.2501375573990811E-3</v>
      </c>
      <c r="N286" s="80" t="s">
        <v>21</v>
      </c>
      <c r="O286" s="80" t="s">
        <v>21</v>
      </c>
      <c r="P286" s="56" t="s">
        <v>21</v>
      </c>
      <c r="Q286" s="66" t="s">
        <v>21</v>
      </c>
      <c r="R286" s="100" t="s">
        <v>21</v>
      </c>
      <c r="S286" s="75">
        <v>0</v>
      </c>
      <c r="T286" s="63">
        <v>1.1167715257399081E-2</v>
      </c>
      <c r="V286" s="72">
        <v>1.1320348600000001</v>
      </c>
      <c r="W286" s="72">
        <v>2.8685260000000001</v>
      </c>
      <c r="X286" s="72">
        <v>4.4137593299999995</v>
      </c>
      <c r="Y286" s="72">
        <v>5.75759037</v>
      </c>
      <c r="Z286" s="115">
        <v>7.4543520200000009</v>
      </c>
    </row>
    <row r="287" spans="2:26" x14ac:dyDescent="0.35">
      <c r="B287" s="55" t="s">
        <v>191</v>
      </c>
      <c r="C287" s="53" t="s">
        <v>234</v>
      </c>
      <c r="D287" s="53" t="s">
        <v>192</v>
      </c>
      <c r="E287" s="53" t="s">
        <v>595</v>
      </c>
      <c r="F287" s="71" t="s">
        <v>21</v>
      </c>
      <c r="G287" s="71">
        <v>8.6986791289603849E-3</v>
      </c>
      <c r="H287" s="71">
        <v>1.4877842706716441E-2</v>
      </c>
      <c r="I287" s="71" t="s">
        <v>21</v>
      </c>
      <c r="J287" s="63" t="s">
        <v>21</v>
      </c>
      <c r="K287" s="71" t="s">
        <v>21</v>
      </c>
      <c r="L287" s="71">
        <v>5.0415274289603851E-3</v>
      </c>
      <c r="M287" s="71">
        <v>1.0221069606716444E-2</v>
      </c>
      <c r="N287" s="71" t="s">
        <v>21</v>
      </c>
      <c r="O287" s="71" t="s">
        <v>21</v>
      </c>
      <c r="P287" s="55" t="s">
        <v>596</v>
      </c>
      <c r="Q287" s="53" t="s">
        <v>597</v>
      </c>
      <c r="R287" s="94" t="s">
        <v>32</v>
      </c>
      <c r="S287" s="73">
        <v>1.170421E-2</v>
      </c>
      <c r="T287" s="63">
        <v>3.1736327067164415E-3</v>
      </c>
      <c r="V287" s="72">
        <v>1.1275119999999998</v>
      </c>
      <c r="W287" s="72">
        <v>2.8451265499999998</v>
      </c>
      <c r="X287" s="72">
        <v>4.3528498200000003</v>
      </c>
      <c r="Y287" s="72">
        <v>5.6464091000000005</v>
      </c>
      <c r="Z287" s="115">
        <v>7.2464640100000004</v>
      </c>
    </row>
    <row r="288" spans="2:26" x14ac:dyDescent="0.35">
      <c r="B288" s="55" t="s">
        <v>194</v>
      </c>
      <c r="C288" s="53" t="s">
        <v>234</v>
      </c>
      <c r="D288" s="53" t="s">
        <v>195</v>
      </c>
      <c r="E288" s="53" t="s">
        <v>294</v>
      </c>
      <c r="F288" s="71" t="s">
        <v>21</v>
      </c>
      <c r="G288" s="71">
        <v>5.9279561271397361E-3</v>
      </c>
      <c r="H288" s="71">
        <v>1.1202395022771313E-2</v>
      </c>
      <c r="I288" s="71" t="s">
        <v>21</v>
      </c>
      <c r="J288" s="63" t="s">
        <v>21</v>
      </c>
      <c r="K288" s="71" t="s">
        <v>21</v>
      </c>
      <c r="L288" s="71">
        <v>1.9970201271397345E-3</v>
      </c>
      <c r="M288" s="71">
        <v>6.2884782227713119E-3</v>
      </c>
      <c r="N288" s="71" t="s">
        <v>21</v>
      </c>
      <c r="O288" s="71" t="s">
        <v>21</v>
      </c>
      <c r="P288" s="55" t="s">
        <v>598</v>
      </c>
      <c r="Q288" s="53" t="s">
        <v>599</v>
      </c>
      <c r="R288" s="94" t="s">
        <v>32</v>
      </c>
      <c r="S288" s="73">
        <v>9.8249800000000005E-3</v>
      </c>
      <c r="T288" s="63">
        <v>1.3774150227713125E-3</v>
      </c>
      <c r="V288" s="72">
        <v>1.1316969099999998</v>
      </c>
      <c r="W288" s="72">
        <v>2.8677211900000001</v>
      </c>
      <c r="X288" s="72">
        <v>4.4126921399999999</v>
      </c>
      <c r="Y288" s="72">
        <v>5.7574580299999996</v>
      </c>
      <c r="Z288" s="115">
        <v>7.4422045300000006</v>
      </c>
    </row>
    <row r="289" spans="2:26" x14ac:dyDescent="0.35">
      <c r="B289" s="55" t="s">
        <v>196</v>
      </c>
      <c r="C289" s="53" t="s">
        <v>234</v>
      </c>
      <c r="D289" s="53" t="s">
        <v>197</v>
      </c>
      <c r="E289" s="53" t="s">
        <v>600</v>
      </c>
      <c r="F289" s="71" t="s">
        <v>21</v>
      </c>
      <c r="G289" s="71">
        <v>1.1901113427271758E-2</v>
      </c>
      <c r="H289" s="71">
        <v>2.1564583435179419E-2</v>
      </c>
      <c r="I289" s="71" t="s">
        <v>21</v>
      </c>
      <c r="J289" s="63" t="s">
        <v>21</v>
      </c>
      <c r="K289" s="71" t="s">
        <v>21</v>
      </c>
      <c r="L289" s="71">
        <v>8.3858143272717567E-3</v>
      </c>
      <c r="M289" s="71">
        <v>1.7028610235179421E-2</v>
      </c>
      <c r="N289" s="71" t="s">
        <v>21</v>
      </c>
      <c r="O289" s="71" t="s">
        <v>21</v>
      </c>
      <c r="P289" s="55" t="s">
        <v>601</v>
      </c>
      <c r="Q289" s="53" t="s">
        <v>602</v>
      </c>
      <c r="R289" s="94" t="s">
        <v>32</v>
      </c>
      <c r="S289" s="73">
        <v>2.1454240000000003E-2</v>
      </c>
      <c r="T289" s="63">
        <v>1.1034343517941567E-4</v>
      </c>
      <c r="V289" s="72">
        <v>1.1275798400000001</v>
      </c>
      <c r="W289" s="72">
        <v>2.8291888800000002</v>
      </c>
      <c r="X289" s="72">
        <v>4.2727678300000003</v>
      </c>
      <c r="Y289" s="72">
        <v>5.4498520399999997</v>
      </c>
      <c r="Z289" s="115">
        <v>6.79350744</v>
      </c>
    </row>
    <row r="290" spans="2:26" x14ac:dyDescent="0.35">
      <c r="B290" s="55" t="s">
        <v>198</v>
      </c>
      <c r="C290" s="53" t="s">
        <v>234</v>
      </c>
      <c r="D290" s="53" t="s">
        <v>199</v>
      </c>
      <c r="E290" s="53" t="s">
        <v>55</v>
      </c>
      <c r="F290" s="71" t="s">
        <v>21</v>
      </c>
      <c r="G290" s="71">
        <v>1.1662839161162286E-2</v>
      </c>
      <c r="H290" s="71">
        <v>1.8975450304318145E-2</v>
      </c>
      <c r="I290" s="71" t="s">
        <v>21</v>
      </c>
      <c r="J290" s="63" t="s">
        <v>21</v>
      </c>
      <c r="K290" s="71" t="s">
        <v>21</v>
      </c>
      <c r="L290" s="71">
        <v>8.1414848611622865E-3</v>
      </c>
      <c r="M290" s="71">
        <v>1.4429442604318143E-2</v>
      </c>
      <c r="N290" s="71" t="s">
        <v>21</v>
      </c>
      <c r="O290" s="71" t="s">
        <v>21</v>
      </c>
      <c r="P290" s="55" t="s">
        <v>603</v>
      </c>
      <c r="Q290" s="53" t="s">
        <v>604</v>
      </c>
      <c r="R290" s="94">
        <v>47586</v>
      </c>
      <c r="S290" s="73">
        <v>1.5553250000000001E-2</v>
      </c>
      <c r="T290" s="63">
        <v>3.4222003043181438E-3</v>
      </c>
      <c r="V290" s="72">
        <v>1.12545786</v>
      </c>
      <c r="W290" s="72">
        <v>2.8254420499999999</v>
      </c>
      <c r="X290" s="72">
        <v>4.29250694</v>
      </c>
      <c r="Y290" s="72">
        <v>5.5147561400000003</v>
      </c>
      <c r="Z290" s="115">
        <v>6.9615776899999995</v>
      </c>
    </row>
    <row r="291" spans="2:26" x14ac:dyDescent="0.35">
      <c r="B291" s="55" t="s">
        <v>200</v>
      </c>
      <c r="C291" s="53" t="s">
        <v>234</v>
      </c>
      <c r="D291" s="53" t="s">
        <v>201</v>
      </c>
      <c r="E291" s="53" t="s">
        <v>295</v>
      </c>
      <c r="F291" s="71" t="s">
        <v>21</v>
      </c>
      <c r="G291" s="71">
        <v>1.3345297084172267E-2</v>
      </c>
      <c r="H291" s="71">
        <v>2.186113708819714E-2</v>
      </c>
      <c r="I291" s="71" t="s">
        <v>21</v>
      </c>
      <c r="J291" s="63" t="s">
        <v>21</v>
      </c>
      <c r="K291" s="71" t="s">
        <v>21</v>
      </c>
      <c r="L291" s="71">
        <v>9.8604032841722658E-3</v>
      </c>
      <c r="M291" s="71">
        <v>1.7329104588197142E-2</v>
      </c>
      <c r="N291" s="71" t="s">
        <v>21</v>
      </c>
      <c r="O291" s="71" t="s">
        <v>21</v>
      </c>
      <c r="P291" s="55" t="s">
        <v>605</v>
      </c>
      <c r="Q291" s="53" t="s">
        <v>606</v>
      </c>
      <c r="R291" s="94" t="s">
        <v>32</v>
      </c>
      <c r="S291" s="73">
        <v>1.5629589999999999E-2</v>
      </c>
      <c r="T291" s="63">
        <v>6.231547088197141E-3</v>
      </c>
      <c r="V291" s="72">
        <v>1.1245001299999999</v>
      </c>
      <c r="W291" s="72">
        <v>2.81494504</v>
      </c>
      <c r="X291" s="72">
        <v>4.2548212899999998</v>
      </c>
      <c r="Y291" s="72">
        <v>5.4316352999999999</v>
      </c>
      <c r="Z291" s="115">
        <v>6.7863805799999994</v>
      </c>
    </row>
    <row r="292" spans="2:26" x14ac:dyDescent="0.35">
      <c r="B292" s="55" t="s">
        <v>202</v>
      </c>
      <c r="C292" s="53" t="s">
        <v>234</v>
      </c>
      <c r="D292" s="53" t="s">
        <v>203</v>
      </c>
      <c r="E292" s="53" t="s">
        <v>181</v>
      </c>
      <c r="F292" s="71" t="s">
        <v>21</v>
      </c>
      <c r="G292" s="71">
        <v>9.8260362840380117E-3</v>
      </c>
      <c r="H292" s="71">
        <v>1.6392573096716372E-2</v>
      </c>
      <c r="I292" s="71" t="s">
        <v>21</v>
      </c>
      <c r="J292" s="63" t="s">
        <v>21</v>
      </c>
      <c r="K292" s="71" t="s">
        <v>21</v>
      </c>
      <c r="L292" s="71">
        <v>6.2429874840380121E-3</v>
      </c>
      <c r="M292" s="71">
        <v>1.1798729496716369E-2</v>
      </c>
      <c r="N292" s="71" t="s">
        <v>21</v>
      </c>
      <c r="O292" s="71" t="s">
        <v>21</v>
      </c>
      <c r="P292" s="55" t="s">
        <v>607</v>
      </c>
      <c r="Q292" s="53" t="s">
        <v>608</v>
      </c>
      <c r="R292" s="94" t="s">
        <v>32</v>
      </c>
      <c r="S292" s="73">
        <v>-2.9756019999999998E-2</v>
      </c>
      <c r="T292" s="63">
        <v>4.6148593096716373E-2</v>
      </c>
      <c r="V292" s="72">
        <v>1.1270769300000001</v>
      </c>
      <c r="W292" s="72">
        <v>2.8373737699999997</v>
      </c>
      <c r="X292" s="72">
        <v>4.3278215800000002</v>
      </c>
      <c r="Y292" s="72">
        <v>5.5892689000000004</v>
      </c>
      <c r="Z292" s="115">
        <v>7.1260383299999992</v>
      </c>
    </row>
    <row r="293" spans="2:26" x14ac:dyDescent="0.35">
      <c r="B293" s="55" t="s">
        <v>204</v>
      </c>
      <c r="C293" s="53" t="s">
        <v>234</v>
      </c>
      <c r="D293" s="53" t="s">
        <v>205</v>
      </c>
      <c r="E293" s="53" t="s">
        <v>609</v>
      </c>
      <c r="F293" s="71" t="s">
        <v>21</v>
      </c>
      <c r="G293" s="71">
        <v>1.9007644961133982E-2</v>
      </c>
      <c r="H293" s="71">
        <v>2.9513669608437019E-2</v>
      </c>
      <c r="I293" s="71" t="s">
        <v>21</v>
      </c>
      <c r="J293" s="63" t="s">
        <v>21</v>
      </c>
      <c r="K293" s="71" t="s">
        <v>21</v>
      </c>
      <c r="L293" s="71">
        <v>1.5523491261133985E-2</v>
      </c>
      <c r="M293" s="71">
        <v>2.4866777208437021E-2</v>
      </c>
      <c r="N293" s="71" t="s">
        <v>21</v>
      </c>
      <c r="O293" s="71" t="s">
        <v>21</v>
      </c>
      <c r="P293" s="55" t="s">
        <v>21</v>
      </c>
      <c r="Q293" s="53" t="s">
        <v>21</v>
      </c>
      <c r="R293" s="94" t="s">
        <v>21</v>
      </c>
      <c r="S293" s="73">
        <v>0</v>
      </c>
      <c r="T293" s="63">
        <v>2.9513669608437019E-2</v>
      </c>
      <c r="V293" s="72">
        <v>1.1186530700000001</v>
      </c>
      <c r="W293" s="72">
        <v>2.7716590499999998</v>
      </c>
      <c r="X293" s="72">
        <v>4.1388993699999999</v>
      </c>
      <c r="Y293" s="72">
        <v>5.2124394800000005</v>
      </c>
      <c r="Z293" s="115">
        <v>6.397976700000001</v>
      </c>
    </row>
    <row r="294" spans="2:26" x14ac:dyDescent="0.35">
      <c r="B294" s="55" t="s">
        <v>206</v>
      </c>
      <c r="C294" s="53" t="s">
        <v>234</v>
      </c>
      <c r="D294" s="53" t="s">
        <v>207</v>
      </c>
      <c r="E294" s="53" t="s">
        <v>193</v>
      </c>
      <c r="F294" s="71" t="s">
        <v>21</v>
      </c>
      <c r="G294" s="71">
        <v>8.7044419439605714E-3</v>
      </c>
      <c r="H294" s="71">
        <v>1.4427584978963572E-2</v>
      </c>
      <c r="I294" s="71" t="s">
        <v>21</v>
      </c>
      <c r="J294" s="63" t="s">
        <v>21</v>
      </c>
      <c r="K294" s="71" t="s">
        <v>21</v>
      </c>
      <c r="L294" s="71">
        <v>5.0484794439605712E-3</v>
      </c>
      <c r="M294" s="71">
        <v>9.7513241789635736E-3</v>
      </c>
      <c r="N294" s="71" t="s">
        <v>21</v>
      </c>
      <c r="O294" s="71" t="s">
        <v>21</v>
      </c>
      <c r="P294" s="55" t="s">
        <v>610</v>
      </c>
      <c r="Q294" s="53" t="s">
        <v>611</v>
      </c>
      <c r="R294" s="94" t="s">
        <v>32</v>
      </c>
      <c r="S294" s="73">
        <v>8.4469699999999998E-3</v>
      </c>
      <c r="T294" s="63">
        <v>5.9806149789635721E-3</v>
      </c>
      <c r="V294" s="72">
        <v>1.12819329</v>
      </c>
      <c r="W294" s="72">
        <v>2.8460788400000001</v>
      </c>
      <c r="X294" s="72">
        <v>4.3574842</v>
      </c>
      <c r="Y294" s="72">
        <v>5.6532056199999996</v>
      </c>
      <c r="Z294" s="115">
        <v>7.2588846700000005</v>
      </c>
    </row>
    <row r="295" spans="2:26" x14ac:dyDescent="0.35">
      <c r="B295" s="55" t="s">
        <v>208</v>
      </c>
      <c r="C295" s="53" t="s">
        <v>234</v>
      </c>
      <c r="D295" s="53" t="s">
        <v>209</v>
      </c>
      <c r="E295" s="53" t="s">
        <v>181</v>
      </c>
      <c r="F295" s="71" t="s">
        <v>21</v>
      </c>
      <c r="G295" s="71">
        <v>1.2592686421383094E-2</v>
      </c>
      <c r="H295" s="71">
        <v>2.0557168005365504E-2</v>
      </c>
      <c r="I295" s="71" t="s">
        <v>21</v>
      </c>
      <c r="J295" s="63" t="s">
        <v>21</v>
      </c>
      <c r="K295" s="71" t="s">
        <v>21</v>
      </c>
      <c r="L295" s="71">
        <v>9.0959730213830952E-3</v>
      </c>
      <c r="M295" s="71">
        <v>1.6023561705365504E-2</v>
      </c>
      <c r="N295" s="71" t="s">
        <v>21</v>
      </c>
      <c r="O295" s="71" t="s">
        <v>21</v>
      </c>
      <c r="P295" s="55" t="s">
        <v>21</v>
      </c>
      <c r="Q295" s="53" t="s">
        <v>21</v>
      </c>
      <c r="R295" s="94" t="s">
        <v>21</v>
      </c>
      <c r="S295" s="73">
        <v>0</v>
      </c>
      <c r="T295" s="63">
        <v>2.0557168005365504E-2</v>
      </c>
      <c r="V295" s="72">
        <v>1.1245069200000002</v>
      </c>
      <c r="W295" s="72">
        <v>2.8180970100000002</v>
      </c>
      <c r="X295" s="72">
        <v>4.2696570300000003</v>
      </c>
      <c r="Y295" s="72">
        <v>5.4678109399999997</v>
      </c>
      <c r="Z295" s="115">
        <v>6.8671237100000004</v>
      </c>
    </row>
    <row r="296" spans="2:26" x14ac:dyDescent="0.35">
      <c r="B296" s="55" t="s">
        <v>405</v>
      </c>
      <c r="C296" s="53" t="s">
        <v>234</v>
      </c>
      <c r="D296" s="53" t="s">
        <v>405</v>
      </c>
      <c r="E296" s="53" t="s">
        <v>612</v>
      </c>
      <c r="F296" s="71" t="s">
        <v>21</v>
      </c>
      <c r="G296" s="71">
        <v>3.6132235767308556E-2</v>
      </c>
      <c r="H296" s="71">
        <v>4.5828399898488872E-2</v>
      </c>
      <c r="I296" s="71" t="s">
        <v>21</v>
      </c>
      <c r="J296" s="63" t="s">
        <v>21</v>
      </c>
      <c r="K296" s="71" t="s">
        <v>21</v>
      </c>
      <c r="L296" s="71">
        <v>3.2097737767308558E-2</v>
      </c>
      <c r="M296" s="71">
        <v>4.0470392898488868E-2</v>
      </c>
      <c r="N296" s="71" t="s">
        <v>21</v>
      </c>
      <c r="O296" s="71" t="s">
        <v>21</v>
      </c>
      <c r="P296" s="55" t="s">
        <v>613</v>
      </c>
      <c r="Q296" s="53" t="s">
        <v>614</v>
      </c>
      <c r="R296" s="94" t="s">
        <v>32</v>
      </c>
      <c r="S296" s="73">
        <v>3.7120689999999998E-2</v>
      </c>
      <c r="T296" s="63">
        <v>8.7077098984888746E-3</v>
      </c>
      <c r="V296" s="72">
        <v>1.0838566599999999</v>
      </c>
      <c r="W296" s="72">
        <v>2.6211884699999999</v>
      </c>
      <c r="X296" s="72">
        <v>3.8306633299999997</v>
      </c>
      <c r="Y296" s="72">
        <v>4.7531098299999996</v>
      </c>
      <c r="Z296" s="115">
        <v>5.7440511700000005</v>
      </c>
    </row>
    <row r="297" spans="2:26" x14ac:dyDescent="0.35">
      <c r="B297" s="55" t="s">
        <v>210</v>
      </c>
      <c r="C297" s="53" t="s">
        <v>234</v>
      </c>
      <c r="D297" s="53" t="s">
        <v>210</v>
      </c>
      <c r="E297" s="53" t="s">
        <v>615</v>
      </c>
      <c r="F297" s="71" t="s">
        <v>21</v>
      </c>
      <c r="G297" s="71">
        <v>1.002999956548902E-2</v>
      </c>
      <c r="H297" s="71">
        <v>1.5981710113218115E-2</v>
      </c>
      <c r="I297" s="71" t="s">
        <v>21</v>
      </c>
      <c r="J297" s="63" t="s">
        <v>21</v>
      </c>
      <c r="K297" s="71" t="s">
        <v>21</v>
      </c>
      <c r="L297" s="71">
        <v>6.448404265489021E-3</v>
      </c>
      <c r="M297" s="71">
        <v>1.1370947513218115E-2</v>
      </c>
      <c r="N297" s="71" t="s">
        <v>21</v>
      </c>
      <c r="O297" s="71" t="s">
        <v>21</v>
      </c>
      <c r="P297" s="55" t="s">
        <v>616</v>
      </c>
      <c r="Q297" s="53" t="s">
        <v>617</v>
      </c>
      <c r="R297" s="94" t="s">
        <v>32</v>
      </c>
      <c r="S297" s="73">
        <v>1.18256E-2</v>
      </c>
      <c r="T297" s="63">
        <v>4.1561101132181148E-3</v>
      </c>
      <c r="V297" s="72">
        <v>1.12728966</v>
      </c>
      <c r="W297" s="72">
        <v>2.83757591</v>
      </c>
      <c r="X297" s="72">
        <v>4.3323723300000001</v>
      </c>
      <c r="Y297" s="72">
        <v>5.6103162700000002</v>
      </c>
      <c r="Z297" s="115">
        <v>7.1899462999999999</v>
      </c>
    </row>
    <row r="298" spans="2:26" x14ac:dyDescent="0.35">
      <c r="B298" s="55" t="s">
        <v>211</v>
      </c>
      <c r="C298" s="53" t="s">
        <v>234</v>
      </c>
      <c r="D298" s="53" t="s">
        <v>211</v>
      </c>
      <c r="E298" s="53" t="s">
        <v>618</v>
      </c>
      <c r="F298" s="71" t="s">
        <v>21</v>
      </c>
      <c r="G298" s="71">
        <v>1.6339649735164011E-2</v>
      </c>
      <c r="H298" s="71">
        <v>2.500477936709793E-2</v>
      </c>
      <c r="I298" s="71" t="s">
        <v>21</v>
      </c>
      <c r="J298" s="63" t="s">
        <v>21</v>
      </c>
      <c r="K298" s="71" t="s">
        <v>21</v>
      </c>
      <c r="L298" s="71">
        <v>1.286113373516401E-2</v>
      </c>
      <c r="M298" s="71">
        <v>2.041463646709793E-2</v>
      </c>
      <c r="N298" s="71" t="s">
        <v>21</v>
      </c>
      <c r="O298" s="71" t="s">
        <v>21</v>
      </c>
      <c r="P298" s="55" t="s">
        <v>619</v>
      </c>
      <c r="Q298" s="53" t="s">
        <v>620</v>
      </c>
      <c r="R298" s="94" t="s">
        <v>32</v>
      </c>
      <c r="S298" s="73">
        <v>3.4801470000000001E-2</v>
      </c>
      <c r="T298" s="63">
        <v>-9.7966906329020713E-3</v>
      </c>
      <c r="V298" s="72">
        <v>1.11816687</v>
      </c>
      <c r="W298" s="72">
        <v>2.7766941199999997</v>
      </c>
      <c r="X298" s="72">
        <v>4.1660441600000002</v>
      </c>
      <c r="Y298" s="72">
        <v>5.2935278500000003</v>
      </c>
      <c r="Z298" s="115">
        <v>6.6097465399999997</v>
      </c>
    </row>
    <row r="299" spans="2:26" x14ac:dyDescent="0.35">
      <c r="B299" s="55" t="s">
        <v>212</v>
      </c>
      <c r="C299" s="53" t="s">
        <v>234</v>
      </c>
      <c r="D299" s="53" t="s">
        <v>212</v>
      </c>
      <c r="E299" s="53" t="s">
        <v>574</v>
      </c>
      <c r="F299" s="71" t="s">
        <v>21</v>
      </c>
      <c r="G299" s="71">
        <v>2.6498001100949627E-2</v>
      </c>
      <c r="H299" s="71">
        <v>3.8051571696057065E-2</v>
      </c>
      <c r="I299" s="71" t="s">
        <v>21</v>
      </c>
      <c r="J299" s="63" t="s">
        <v>21</v>
      </c>
      <c r="K299" s="71" t="s">
        <v>21</v>
      </c>
      <c r="L299" s="71">
        <v>2.2842484800949622E-2</v>
      </c>
      <c r="M299" s="71">
        <v>3.3098747496057068E-2</v>
      </c>
      <c r="N299" s="71" t="s">
        <v>21</v>
      </c>
      <c r="O299" s="71" t="s">
        <v>21</v>
      </c>
      <c r="P299" s="55" t="s">
        <v>621</v>
      </c>
      <c r="Q299" s="53" t="s">
        <v>622</v>
      </c>
      <c r="R299" s="94" t="s">
        <v>32</v>
      </c>
      <c r="S299" s="73">
        <v>2.8956550000000001E-2</v>
      </c>
      <c r="T299" s="63">
        <v>9.0950216960570644E-3</v>
      </c>
      <c r="V299" s="72">
        <v>1.1068135700000001</v>
      </c>
      <c r="W299" s="72">
        <v>2.7130794199999997</v>
      </c>
      <c r="X299" s="72">
        <v>4.0003759499999996</v>
      </c>
      <c r="Y299" s="72">
        <v>4.99933855</v>
      </c>
      <c r="Z299" s="115">
        <v>6.1022557200000005</v>
      </c>
    </row>
    <row r="300" spans="2:26" x14ac:dyDescent="0.35">
      <c r="B300" s="55" t="s">
        <v>213</v>
      </c>
      <c r="C300" s="53" t="s">
        <v>234</v>
      </c>
      <c r="D300" s="53" t="s">
        <v>213</v>
      </c>
      <c r="E300" s="53" t="s">
        <v>623</v>
      </c>
      <c r="F300" s="71" t="s">
        <v>21</v>
      </c>
      <c r="G300" s="71">
        <v>2.6619652182817411E-2</v>
      </c>
      <c r="H300" s="71">
        <v>3.7017409813919953E-2</v>
      </c>
      <c r="I300" s="71" t="s">
        <v>21</v>
      </c>
      <c r="J300" s="63" t="s">
        <v>21</v>
      </c>
      <c r="K300" s="71" t="s">
        <v>21</v>
      </c>
      <c r="L300" s="71">
        <v>2.2957842582817415E-2</v>
      </c>
      <c r="M300" s="71">
        <v>3.2104547513919952E-2</v>
      </c>
      <c r="N300" s="71" t="s">
        <v>21</v>
      </c>
      <c r="O300" s="71" t="s">
        <v>21</v>
      </c>
      <c r="P300" s="55" t="s">
        <v>624</v>
      </c>
      <c r="Q300" s="53" t="s">
        <v>625</v>
      </c>
      <c r="R300" s="94" t="s">
        <v>32</v>
      </c>
      <c r="S300" s="73">
        <v>2.844967E-2</v>
      </c>
      <c r="T300" s="63">
        <v>8.5677398139199536E-3</v>
      </c>
      <c r="V300" s="72">
        <v>1.10686515</v>
      </c>
      <c r="W300" s="72">
        <v>2.7091167299999999</v>
      </c>
      <c r="X300" s="72">
        <v>4.00156168</v>
      </c>
      <c r="Y300" s="72">
        <v>5.0038756400000004</v>
      </c>
      <c r="Z300" s="115">
        <v>6.0989680800000006</v>
      </c>
    </row>
    <row r="301" spans="2:26" x14ac:dyDescent="0.35">
      <c r="B301" s="55" t="s">
        <v>274</v>
      </c>
      <c r="C301" s="53" t="s">
        <v>234</v>
      </c>
      <c r="D301" s="53" t="s">
        <v>274</v>
      </c>
      <c r="E301" s="53" t="s">
        <v>288</v>
      </c>
      <c r="F301" s="71" t="s">
        <v>21</v>
      </c>
      <c r="G301" s="71">
        <v>8.2005306659807004E-3</v>
      </c>
      <c r="H301" s="71">
        <v>1.5351494826536053E-2</v>
      </c>
      <c r="I301" s="71" t="s">
        <v>21</v>
      </c>
      <c r="J301" s="63" t="s">
        <v>21</v>
      </c>
      <c r="K301" s="71" t="s">
        <v>21</v>
      </c>
      <c r="L301" s="71">
        <v>4.5090835659807021E-3</v>
      </c>
      <c r="M301" s="71">
        <v>1.0715020326536052E-2</v>
      </c>
      <c r="N301" s="71" t="s">
        <v>21</v>
      </c>
      <c r="O301" s="71" t="s">
        <v>21</v>
      </c>
      <c r="P301" s="55" t="s">
        <v>21</v>
      </c>
      <c r="Q301" s="53" t="s">
        <v>21</v>
      </c>
      <c r="R301" s="94" t="s">
        <v>21</v>
      </c>
      <c r="S301" s="73">
        <v>0</v>
      </c>
      <c r="T301" s="63">
        <v>1.5351494826536053E-2</v>
      </c>
      <c r="V301" s="72">
        <v>1.1297047600000001</v>
      </c>
      <c r="W301" s="72">
        <v>2.85197403</v>
      </c>
      <c r="X301" s="72">
        <v>4.3575263299999998</v>
      </c>
      <c r="Y301" s="72">
        <v>5.6263111800000001</v>
      </c>
      <c r="Z301" s="115">
        <v>7.1852243499999995</v>
      </c>
    </row>
    <row r="302" spans="2:26" x14ac:dyDescent="0.35">
      <c r="B302" s="55" t="s">
        <v>275</v>
      </c>
      <c r="C302" s="53" t="s">
        <v>234</v>
      </c>
      <c r="D302" s="53" t="s">
        <v>275</v>
      </c>
      <c r="E302" s="53" t="s">
        <v>276</v>
      </c>
      <c r="F302" s="71" t="s">
        <v>21</v>
      </c>
      <c r="G302" s="71">
        <v>1.1834333700982046E-2</v>
      </c>
      <c r="H302" s="71">
        <v>1.9063258090373798E-2</v>
      </c>
      <c r="I302" s="71" t="s">
        <v>21</v>
      </c>
      <c r="J302" s="63" t="s">
        <v>21</v>
      </c>
      <c r="K302" s="71" t="s">
        <v>21</v>
      </c>
      <c r="L302" s="71">
        <v>8.3141614009820432E-3</v>
      </c>
      <c r="M302" s="71">
        <v>1.4517217990373796E-2</v>
      </c>
      <c r="N302" s="71" t="s">
        <v>21</v>
      </c>
      <c r="O302" s="71" t="s">
        <v>21</v>
      </c>
      <c r="P302" s="55" t="s">
        <v>626</v>
      </c>
      <c r="Q302" s="53" t="s">
        <v>627</v>
      </c>
      <c r="R302" s="94" t="s">
        <v>32</v>
      </c>
      <c r="S302" s="73">
        <v>1.6174000000000001E-2</v>
      </c>
      <c r="T302" s="63">
        <v>2.8892580903737974E-3</v>
      </c>
      <c r="V302" s="72">
        <v>1.12768154</v>
      </c>
      <c r="W302" s="72">
        <v>2.82919484</v>
      </c>
      <c r="X302" s="72">
        <v>4.2947536099999999</v>
      </c>
      <c r="Y302" s="72">
        <v>5.5212379199999999</v>
      </c>
      <c r="Z302" s="115">
        <v>7.0015356999999998</v>
      </c>
    </row>
    <row r="303" spans="2:26" x14ac:dyDescent="0.35">
      <c r="B303" s="138" t="s">
        <v>279</v>
      </c>
      <c r="C303" s="139" t="s">
        <v>234</v>
      </c>
      <c r="D303" s="139" t="s">
        <v>279</v>
      </c>
      <c r="E303" s="139" t="s">
        <v>280</v>
      </c>
      <c r="F303" s="141" t="s">
        <v>21</v>
      </c>
      <c r="G303" s="141">
        <v>8.3172676233786175E-3</v>
      </c>
      <c r="H303" s="141">
        <v>1.434317384910319E-2</v>
      </c>
      <c r="I303" s="141" t="s">
        <v>21</v>
      </c>
      <c r="J303" s="142" t="s">
        <v>21</v>
      </c>
      <c r="K303" s="141" t="s">
        <v>21</v>
      </c>
      <c r="L303" s="141">
        <v>4.6339193233786175E-3</v>
      </c>
      <c r="M303" s="141">
        <v>9.6628430491031928E-3</v>
      </c>
      <c r="N303" s="141" t="s">
        <v>21</v>
      </c>
      <c r="O303" s="141" t="s">
        <v>21</v>
      </c>
      <c r="P303" s="138" t="s">
        <v>628</v>
      </c>
      <c r="Q303" s="139" t="s">
        <v>629</v>
      </c>
      <c r="R303" s="143" t="s">
        <v>32</v>
      </c>
      <c r="S303" s="140">
        <v>6.8085399999999992E-3</v>
      </c>
      <c r="T303" s="142">
        <v>7.5346338491031903E-3</v>
      </c>
      <c r="V303" s="145">
        <v>1.12982542</v>
      </c>
      <c r="W303" s="145">
        <v>2.8509272800000001</v>
      </c>
      <c r="X303" s="145">
        <v>4.3633723099999999</v>
      </c>
      <c r="Y303" s="145">
        <v>5.66096222</v>
      </c>
      <c r="Z303" s="146">
        <v>7.2701430100000008</v>
      </c>
    </row>
    <row r="304" spans="2:26" x14ac:dyDescent="0.35">
      <c r="B304" s="138" t="s">
        <v>281</v>
      </c>
      <c r="C304" s="139" t="s">
        <v>234</v>
      </c>
      <c r="D304" s="139" t="s">
        <v>281</v>
      </c>
      <c r="E304" s="139" t="s">
        <v>48</v>
      </c>
      <c r="F304" s="141" t="s">
        <v>21</v>
      </c>
      <c r="G304" s="141">
        <v>1.4614534034935962E-2</v>
      </c>
      <c r="H304" s="141">
        <v>2.3055312406462931E-2</v>
      </c>
      <c r="I304" s="141" t="s">
        <v>21</v>
      </c>
      <c r="J304" s="142" t="s">
        <v>21</v>
      </c>
      <c r="K304" s="141" t="s">
        <v>21</v>
      </c>
      <c r="L304" s="141">
        <v>1.1145655534935959E-2</v>
      </c>
      <c r="M304" s="141">
        <v>1.8517579006462934E-2</v>
      </c>
      <c r="N304" s="141" t="s">
        <v>21</v>
      </c>
      <c r="O304" s="141" t="s">
        <v>21</v>
      </c>
      <c r="P304" s="138" t="s">
        <v>630</v>
      </c>
      <c r="Q304" s="139" t="s">
        <v>631</v>
      </c>
      <c r="R304" s="143" t="s">
        <v>32</v>
      </c>
      <c r="S304" s="140">
        <v>1.9249860000000001E-2</v>
      </c>
      <c r="T304" s="142">
        <v>3.8054524064629301E-3</v>
      </c>
      <c r="V304" s="145">
        <v>1.1235719099999999</v>
      </c>
      <c r="W304" s="145">
        <v>2.8042950000000002</v>
      </c>
      <c r="X304" s="145">
        <v>4.2304402300000001</v>
      </c>
      <c r="Y304" s="145">
        <v>5.4034295199999995</v>
      </c>
      <c r="Z304" s="146">
        <v>6.7567114799999999</v>
      </c>
    </row>
    <row r="305" spans="2:26" x14ac:dyDescent="0.35">
      <c r="B305" s="147" t="s">
        <v>277</v>
      </c>
      <c r="C305" s="148" t="s">
        <v>234</v>
      </c>
      <c r="D305" s="148" t="s">
        <v>278</v>
      </c>
      <c r="E305" s="148" t="s">
        <v>123</v>
      </c>
      <c r="F305" s="150" t="s">
        <v>21</v>
      </c>
      <c r="G305" s="150">
        <v>1.193896543174874E-2</v>
      </c>
      <c r="H305" s="150">
        <v>1.8371238443565131E-2</v>
      </c>
      <c r="I305" s="150" t="s">
        <v>21</v>
      </c>
      <c r="J305" s="151" t="s">
        <v>21</v>
      </c>
      <c r="K305" s="150" t="s">
        <v>21</v>
      </c>
      <c r="L305" s="150">
        <v>8.4077454317487456E-3</v>
      </c>
      <c r="M305" s="150">
        <v>1.3795394943565126E-2</v>
      </c>
      <c r="N305" s="150" t="s">
        <v>21</v>
      </c>
      <c r="O305" s="150" t="s">
        <v>21</v>
      </c>
      <c r="P305" s="147" t="s">
        <v>632</v>
      </c>
      <c r="Q305" s="148" t="s">
        <v>633</v>
      </c>
      <c r="R305" s="152" t="s">
        <v>32</v>
      </c>
      <c r="S305" s="149">
        <v>1.237277E-2</v>
      </c>
      <c r="T305" s="151">
        <v>5.9984684435651307E-3</v>
      </c>
      <c r="V305" s="154">
        <v>1.1231469700000001</v>
      </c>
      <c r="W305" s="154">
        <v>2.8106203400000003</v>
      </c>
      <c r="X305" s="154">
        <v>4.2602101500000007</v>
      </c>
      <c r="Y305" s="154">
        <v>5.4724122299999998</v>
      </c>
      <c r="Z305" s="155">
        <v>6.9056320700000011</v>
      </c>
    </row>
    <row r="306" spans="2:26" x14ac:dyDescent="0.35">
      <c r="B306" s="55" t="s">
        <v>214</v>
      </c>
      <c r="C306" s="53" t="s">
        <v>234</v>
      </c>
      <c r="D306" s="53" t="s">
        <v>201</v>
      </c>
      <c r="E306" s="53" t="s">
        <v>295</v>
      </c>
      <c r="F306" s="71" t="s">
        <v>21</v>
      </c>
      <c r="G306" s="71">
        <v>1.2771281252269506E-2</v>
      </c>
      <c r="H306" s="71">
        <v>2.2111087866437135E-2</v>
      </c>
      <c r="I306" s="71" t="s">
        <v>21</v>
      </c>
      <c r="J306" s="63" t="s">
        <v>21</v>
      </c>
      <c r="K306" s="71" t="s">
        <v>21</v>
      </c>
      <c r="L306" s="71">
        <v>9.2848351522695095E-3</v>
      </c>
      <c r="M306" s="71">
        <v>1.7574222966437136E-2</v>
      </c>
      <c r="N306" s="71" t="s">
        <v>21</v>
      </c>
      <c r="O306" s="71" t="s">
        <v>21</v>
      </c>
      <c r="P306" s="55" t="s">
        <v>634</v>
      </c>
      <c r="Q306" s="53" t="s">
        <v>635</v>
      </c>
      <c r="R306" s="94" t="s">
        <v>32</v>
      </c>
      <c r="S306" s="73">
        <v>1.6659839999999999E-2</v>
      </c>
      <c r="T306" s="63">
        <v>5.4512478664371367E-3</v>
      </c>
      <c r="V306" s="72">
        <v>1.12598043</v>
      </c>
      <c r="W306" s="72">
        <v>2.8172759799999998</v>
      </c>
      <c r="X306" s="72">
        <v>4.2498320600000001</v>
      </c>
      <c r="Y306" s="72">
        <v>5.4141326099999993</v>
      </c>
      <c r="Z306" s="115">
        <v>6.7542860299999994</v>
      </c>
    </row>
    <row r="307" spans="2:26" x14ac:dyDescent="0.35">
      <c r="B307" s="55" t="s">
        <v>215</v>
      </c>
      <c r="C307" s="53" t="s">
        <v>234</v>
      </c>
      <c r="D307" s="53" t="s">
        <v>199</v>
      </c>
      <c r="E307" s="53" t="s">
        <v>636</v>
      </c>
      <c r="F307" s="71" t="s">
        <v>21</v>
      </c>
      <c r="G307" s="71">
        <v>2.9181392397602916E-2</v>
      </c>
      <c r="H307" s="71">
        <v>3.836834406378252E-2</v>
      </c>
      <c r="I307" s="71" t="s">
        <v>21</v>
      </c>
      <c r="J307" s="63" t="s">
        <v>21</v>
      </c>
      <c r="K307" s="71" t="s">
        <v>21</v>
      </c>
      <c r="L307" s="71">
        <v>2.543330549760291E-2</v>
      </c>
      <c r="M307" s="71">
        <v>3.338683886378252E-2</v>
      </c>
      <c r="N307" s="71" t="s">
        <v>21</v>
      </c>
      <c r="O307" s="71" t="s">
        <v>21</v>
      </c>
      <c r="P307" s="55" t="s">
        <v>21</v>
      </c>
      <c r="Q307" s="53" t="s">
        <v>21</v>
      </c>
      <c r="R307" s="94" t="s">
        <v>21</v>
      </c>
      <c r="S307" s="73">
        <v>0</v>
      </c>
      <c r="T307" s="63">
        <v>3.836834406378252E-2</v>
      </c>
      <c r="V307" s="72">
        <v>1.09660091</v>
      </c>
      <c r="W307" s="72">
        <v>2.6759741999999997</v>
      </c>
      <c r="X307" s="72">
        <v>3.9531449900000002</v>
      </c>
      <c r="Y307" s="72">
        <v>4.9358203700000001</v>
      </c>
      <c r="Z307" s="115">
        <v>6.0075364100000002</v>
      </c>
    </row>
    <row r="308" spans="2:26" x14ac:dyDescent="0.35">
      <c r="B308" s="55" t="s">
        <v>282</v>
      </c>
      <c r="C308" s="53" t="s">
        <v>234</v>
      </c>
      <c r="D308" s="53" t="s">
        <v>201</v>
      </c>
      <c r="E308" s="53" t="s">
        <v>133</v>
      </c>
      <c r="F308" s="71" t="s">
        <v>21</v>
      </c>
      <c r="G308" s="71"/>
      <c r="H308" s="71">
        <v>1.1738734458745712E-2</v>
      </c>
      <c r="I308" s="71" t="s">
        <v>21</v>
      </c>
      <c r="J308" s="63" t="s">
        <v>21</v>
      </c>
      <c r="K308" s="71" t="s">
        <v>21</v>
      </c>
      <c r="L308" s="71"/>
      <c r="M308" s="71">
        <v>7.0731465587457118E-3</v>
      </c>
      <c r="N308" s="71" t="s">
        <v>21</v>
      </c>
      <c r="O308" s="71" t="s">
        <v>21</v>
      </c>
      <c r="P308" s="55" t="s">
        <v>296</v>
      </c>
      <c r="Q308" s="53" t="s">
        <v>297</v>
      </c>
      <c r="R308" s="94">
        <v>47581</v>
      </c>
      <c r="S308" s="73">
        <v>1.4271600000000001E-2</v>
      </c>
      <c r="T308" s="63">
        <v>-2.5328655412542884E-3</v>
      </c>
      <c r="V308" s="72">
        <v>1.12751483</v>
      </c>
      <c r="W308" s="72">
        <v>2.8456493699999998</v>
      </c>
      <c r="X308" s="72">
        <v>4.3549531500000001</v>
      </c>
      <c r="Y308" s="72">
        <v>5.6474838399999996</v>
      </c>
      <c r="Z308" s="115">
        <v>7.2260431599999997</v>
      </c>
    </row>
    <row r="309" spans="2:26" x14ac:dyDescent="0.35">
      <c r="B309" s="55" t="s">
        <v>283</v>
      </c>
      <c r="C309" s="53" t="s">
        <v>234</v>
      </c>
      <c r="D309" s="53" t="s">
        <v>197</v>
      </c>
      <c r="E309" s="53" t="s">
        <v>637</v>
      </c>
      <c r="F309" s="71" t="s">
        <v>21</v>
      </c>
      <c r="G309" s="71"/>
      <c r="H309" s="71">
        <v>3.7041299885551465E-2</v>
      </c>
      <c r="I309" s="71" t="s">
        <v>21</v>
      </c>
      <c r="J309" s="63" t="s">
        <v>21</v>
      </c>
      <c r="K309" s="71" t="s">
        <v>21</v>
      </c>
      <c r="L309" s="71"/>
      <c r="M309" s="71">
        <v>3.2101286885551465E-2</v>
      </c>
      <c r="N309" s="71" t="s">
        <v>21</v>
      </c>
      <c r="O309" s="71" t="s">
        <v>21</v>
      </c>
      <c r="P309" s="55" t="s">
        <v>21</v>
      </c>
      <c r="Q309" s="53" t="s">
        <v>21</v>
      </c>
      <c r="R309" s="94" t="s">
        <v>21</v>
      </c>
      <c r="S309" s="73">
        <v>0</v>
      </c>
      <c r="T309" s="63">
        <v>3.7041299885551465E-2</v>
      </c>
      <c r="V309" s="72">
        <v>1.09674425</v>
      </c>
      <c r="W309" s="72">
        <v>2.6656359200000002</v>
      </c>
      <c r="X309" s="72">
        <v>3.9434896900000003</v>
      </c>
      <c r="Y309" s="72">
        <v>4.9715401000000004</v>
      </c>
      <c r="Z309" s="115">
        <v>6.1600737699999994</v>
      </c>
    </row>
    <row r="310" spans="2:26" x14ac:dyDescent="0.35">
      <c r="B310" s="55" t="s">
        <v>284</v>
      </c>
      <c r="C310" s="53" t="s">
        <v>234</v>
      </c>
      <c r="D310" s="53" t="s">
        <v>197</v>
      </c>
      <c r="E310" s="53" t="s">
        <v>638</v>
      </c>
      <c r="F310" s="71" t="s">
        <v>21</v>
      </c>
      <c r="G310" s="71"/>
      <c r="H310" s="71">
        <v>4.1503970961596401E-2</v>
      </c>
      <c r="I310" s="71" t="s">
        <v>21</v>
      </c>
      <c r="J310" s="63" t="s">
        <v>21</v>
      </c>
      <c r="K310" s="71" t="s">
        <v>21</v>
      </c>
      <c r="L310" s="71"/>
      <c r="M310" s="71">
        <v>3.6605322461596396E-2</v>
      </c>
      <c r="N310" s="71" t="s">
        <v>21</v>
      </c>
      <c r="O310" s="71" t="s">
        <v>21</v>
      </c>
      <c r="P310" s="55" t="s">
        <v>21</v>
      </c>
      <c r="Q310" s="53" t="s">
        <v>21</v>
      </c>
      <c r="R310" s="94" t="s">
        <v>21</v>
      </c>
      <c r="S310" s="73">
        <v>0</v>
      </c>
      <c r="T310" s="63">
        <v>4.1503970961596401E-2</v>
      </c>
      <c r="V310" s="72">
        <v>1.0997593999999999</v>
      </c>
      <c r="W310" s="72">
        <v>2.6928465200000002</v>
      </c>
      <c r="X310" s="72">
        <v>3.9842358299999998</v>
      </c>
      <c r="Y310" s="72">
        <v>4.9909648100000004</v>
      </c>
      <c r="Z310" s="115">
        <v>6.0750400600000001</v>
      </c>
    </row>
    <row r="311" spans="2:26" x14ac:dyDescent="0.35">
      <c r="B311" s="57" t="s">
        <v>285</v>
      </c>
      <c r="C311" s="53" t="s">
        <v>234</v>
      </c>
      <c r="D311" s="67" t="s">
        <v>197</v>
      </c>
      <c r="E311" s="67" t="s">
        <v>270</v>
      </c>
      <c r="F311" s="76" t="s">
        <v>21</v>
      </c>
      <c r="G311" s="76"/>
      <c r="H311" s="76">
        <v>4.373416988656921E-2</v>
      </c>
      <c r="I311" s="76" t="s">
        <v>21</v>
      </c>
      <c r="J311" s="64" t="s">
        <v>21</v>
      </c>
      <c r="K311" s="76" t="s">
        <v>21</v>
      </c>
      <c r="L311" s="76"/>
      <c r="M311" s="76">
        <v>3.8233563586569215E-2</v>
      </c>
      <c r="N311" s="76" t="s">
        <v>21</v>
      </c>
      <c r="O311" s="76" t="s">
        <v>21</v>
      </c>
      <c r="P311" s="57" t="s">
        <v>639</v>
      </c>
      <c r="Q311" s="67" t="s">
        <v>640</v>
      </c>
      <c r="R311" s="96">
        <v>47560</v>
      </c>
      <c r="S311" s="74">
        <v>3.8632859999999998E-2</v>
      </c>
      <c r="T311" s="64">
        <v>5.1013098865692122E-3</v>
      </c>
      <c r="V311" s="108">
        <v>1.0912331900000001</v>
      </c>
      <c r="W311" s="108">
        <v>2.6155031100000001</v>
      </c>
      <c r="X311" s="108">
        <v>3.8055550600000001</v>
      </c>
      <c r="Y311" s="108">
        <v>4.7196414300000002</v>
      </c>
      <c r="Z311" s="117">
        <v>5.6629170899999997</v>
      </c>
    </row>
    <row r="312" spans="2:26" x14ac:dyDescent="0.35"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V312" s="66"/>
      <c r="W312" s="66"/>
      <c r="X312" s="66"/>
      <c r="Y312" s="66"/>
      <c r="Z312" s="66"/>
    </row>
    <row r="313" spans="2:26" ht="15.5" x14ac:dyDescent="0.35">
      <c r="B313" s="122" t="s">
        <v>286</v>
      </c>
    </row>
    <row r="314" spans="2:26" x14ac:dyDescent="0.35">
      <c r="B314" s="85" t="s">
        <v>5</v>
      </c>
      <c r="C314" s="84" t="s">
        <v>6</v>
      </c>
      <c r="D314" s="84" t="s">
        <v>7</v>
      </c>
      <c r="E314" s="84" t="s">
        <v>8</v>
      </c>
      <c r="F314" s="83" t="s">
        <v>9</v>
      </c>
      <c r="G314" s="82" t="s">
        <v>10</v>
      </c>
      <c r="H314" s="82" t="s">
        <v>11</v>
      </c>
      <c r="I314" s="82" t="s">
        <v>12</v>
      </c>
      <c r="J314" s="81" t="s">
        <v>13</v>
      </c>
      <c r="K314" s="82" t="s">
        <v>9</v>
      </c>
      <c r="L314" s="82" t="s">
        <v>10</v>
      </c>
      <c r="M314" s="82" t="s">
        <v>11</v>
      </c>
      <c r="N314" s="82" t="s">
        <v>12</v>
      </c>
      <c r="O314" s="82" t="s">
        <v>13</v>
      </c>
      <c r="P314" s="83" t="s">
        <v>14</v>
      </c>
      <c r="Q314" s="82" t="s">
        <v>15</v>
      </c>
      <c r="R314" s="82" t="s">
        <v>16</v>
      </c>
      <c r="S314" s="82" t="s">
        <v>409</v>
      </c>
      <c r="T314" s="81" t="s">
        <v>18</v>
      </c>
      <c r="V314" s="106" t="s">
        <v>9</v>
      </c>
      <c r="W314" s="106" t="s">
        <v>10</v>
      </c>
      <c r="X314" s="106" t="s">
        <v>11</v>
      </c>
      <c r="Y314" s="106" t="s">
        <v>12</v>
      </c>
      <c r="Z314" s="111" t="s">
        <v>13</v>
      </c>
    </row>
    <row r="315" spans="2:26" x14ac:dyDescent="0.35">
      <c r="B315" s="55" t="s">
        <v>641</v>
      </c>
      <c r="C315" s="53" t="s">
        <v>234</v>
      </c>
      <c r="D315" s="53" t="s">
        <v>642</v>
      </c>
      <c r="E315" s="53" t="s">
        <v>643</v>
      </c>
      <c r="F315" s="71" t="s">
        <v>21</v>
      </c>
      <c r="G315" s="71">
        <v>8.2820860399575556E-3</v>
      </c>
      <c r="H315" s="71">
        <v>1.5266290313789435E-2</v>
      </c>
      <c r="I315" s="71">
        <v>1.7907261983258874E-2</v>
      </c>
      <c r="J315" s="63">
        <v>2.0406206752093235E-2</v>
      </c>
      <c r="K315" s="71" t="s">
        <v>21</v>
      </c>
      <c r="L315" s="71">
        <v>4.6599484399575579E-3</v>
      </c>
      <c r="M315" s="71">
        <v>1.0650881113789435E-2</v>
      </c>
      <c r="N315" s="71">
        <v>1.2402860483258872E-2</v>
      </c>
      <c r="O315" s="71">
        <v>1.3616081652093232E-2</v>
      </c>
      <c r="P315" s="55" t="s">
        <v>644</v>
      </c>
      <c r="Q315" s="53" t="s">
        <v>645</v>
      </c>
      <c r="R315" s="94">
        <v>47545</v>
      </c>
      <c r="S315" s="73">
        <v>7.1063699999999999E-3</v>
      </c>
      <c r="T315" s="63">
        <v>8.1599203137894365E-3</v>
      </c>
      <c r="V315" s="72">
        <v>1.1273518600000001</v>
      </c>
      <c r="W315" s="72">
        <v>2.8345731499999998</v>
      </c>
      <c r="X315" s="72">
        <v>4.3104019400000002</v>
      </c>
      <c r="Y315" s="72">
        <v>5.5621223799999999</v>
      </c>
      <c r="Z315" s="115">
        <v>7.1051242800000001</v>
      </c>
    </row>
    <row r="316" spans="2:26" x14ac:dyDescent="0.35">
      <c r="B316" s="55" t="s">
        <v>646</v>
      </c>
      <c r="C316" s="53" t="e">
        <v>#N/A</v>
      </c>
      <c r="D316" s="53" t="s">
        <v>647</v>
      </c>
      <c r="E316" s="53" t="s">
        <v>266</v>
      </c>
      <c r="F316" s="71">
        <v>2.8751880057481354E-5</v>
      </c>
      <c r="G316" s="71">
        <v>8.6341661735265321E-3</v>
      </c>
      <c r="H316" s="71">
        <v>1.5185033870710477E-2</v>
      </c>
      <c r="I316" s="71">
        <v>1.7687892052939063E-2</v>
      </c>
      <c r="J316" s="63">
        <v>2.0253552595915485E-2</v>
      </c>
      <c r="K316" s="71" t="s">
        <v>21</v>
      </c>
      <c r="L316" s="71">
        <v>5.0298246735265353E-3</v>
      </c>
      <c r="M316" s="71">
        <v>1.0568610070710473E-2</v>
      </c>
      <c r="N316" s="71">
        <v>1.2177908652939065E-2</v>
      </c>
      <c r="O316" s="71">
        <v>1.3456600795915484E-2</v>
      </c>
      <c r="P316" s="55" t="s">
        <v>21</v>
      </c>
      <c r="Q316" s="53" t="s">
        <v>21</v>
      </c>
      <c r="R316" s="94" t="s">
        <v>21</v>
      </c>
      <c r="S316" s="73">
        <v>0</v>
      </c>
      <c r="T316" s="63">
        <v>1.5185033870710477E-2</v>
      </c>
      <c r="V316" s="72">
        <v>1.12589154</v>
      </c>
      <c r="W316" s="72">
        <v>2.8293556099999999</v>
      </c>
      <c r="X316" s="72">
        <v>4.3047569000000001</v>
      </c>
      <c r="Y316" s="72">
        <v>5.5601313999999995</v>
      </c>
      <c r="Z316" s="115">
        <v>7.1078748699999998</v>
      </c>
    </row>
    <row r="317" spans="2:26" x14ac:dyDescent="0.35">
      <c r="B317" s="55" t="s">
        <v>289</v>
      </c>
      <c r="C317" s="53" t="s">
        <v>234</v>
      </c>
      <c r="D317" s="53" t="s">
        <v>287</v>
      </c>
      <c r="E317" s="53" t="s">
        <v>181</v>
      </c>
      <c r="F317" s="71" t="s">
        <v>21</v>
      </c>
      <c r="G317" s="71">
        <v>6.696149452249946E-3</v>
      </c>
      <c r="H317" s="71">
        <v>1.2688168549682192E-2</v>
      </c>
      <c r="I317" s="71">
        <v>1.5803503072510511E-2</v>
      </c>
      <c r="J317" s="63">
        <v>1.8712857278530046E-2</v>
      </c>
      <c r="K317" s="71" t="s">
        <v>21</v>
      </c>
      <c r="L317" s="71">
        <v>2.9736881522499461E-3</v>
      </c>
      <c r="M317" s="71">
        <v>7.9745438496821967E-3</v>
      </c>
      <c r="N317" s="71">
        <v>1.0227013772510516E-2</v>
      </c>
      <c r="O317" s="71">
        <v>1.1860767978530046E-2</v>
      </c>
      <c r="P317" s="55" t="s">
        <v>648</v>
      </c>
      <c r="Q317" s="53" t="s">
        <v>649</v>
      </c>
      <c r="R317" s="94" t="s">
        <v>32</v>
      </c>
      <c r="S317" s="73">
        <v>8.2149000000000007E-3</v>
      </c>
      <c r="T317" s="63">
        <v>4.4732685496821911E-3</v>
      </c>
      <c r="V317" s="72">
        <v>1.1297430100000001</v>
      </c>
      <c r="W317" s="72">
        <v>2.8498719700000001</v>
      </c>
      <c r="X317" s="72">
        <v>4.3565047099999994</v>
      </c>
      <c r="Y317" s="72">
        <v>5.6405672099999995</v>
      </c>
      <c r="Z317" s="115">
        <v>7.2273898299999999</v>
      </c>
    </row>
    <row r="318" spans="2:26" x14ac:dyDescent="0.35">
      <c r="B318" s="55" t="s">
        <v>650</v>
      </c>
      <c r="C318" s="53" t="s">
        <v>234</v>
      </c>
      <c r="D318" s="53" t="s">
        <v>642</v>
      </c>
      <c r="E318" s="53" t="s">
        <v>651</v>
      </c>
      <c r="F318" s="71" t="s">
        <v>21</v>
      </c>
      <c r="G318" s="71">
        <v>9.9342999497261265E-3</v>
      </c>
      <c r="H318" s="71">
        <v>1.6643198900509915E-2</v>
      </c>
      <c r="I318" s="71">
        <v>2.0114762547057539E-2</v>
      </c>
      <c r="J318" s="63">
        <v>2.3910548762047842E-2</v>
      </c>
      <c r="K318" s="71" t="s">
        <v>21</v>
      </c>
      <c r="L318" s="71">
        <v>6.3765668497261282E-3</v>
      </c>
      <c r="M318" s="71">
        <v>1.2057223600509913E-2</v>
      </c>
      <c r="N318" s="71">
        <v>1.464317204705754E-2</v>
      </c>
      <c r="O318" s="71">
        <v>1.7174894362047843E-2</v>
      </c>
      <c r="P318" s="55" t="s">
        <v>652</v>
      </c>
      <c r="Q318" s="53" t="s">
        <v>653</v>
      </c>
      <c r="R318" s="94">
        <v>47651</v>
      </c>
      <c r="S318" s="73">
        <v>8.7645899999999992E-3</v>
      </c>
      <c r="T318" s="63">
        <v>7.8786089005099154E-3</v>
      </c>
      <c r="V318" s="72">
        <v>1.1263783600000001</v>
      </c>
      <c r="W318" s="72">
        <v>2.8230931400000001</v>
      </c>
      <c r="X318" s="72">
        <v>4.2815632099999998</v>
      </c>
      <c r="Y318" s="72">
        <v>5.5030608399999998</v>
      </c>
      <c r="Z318" s="115">
        <v>6.9627619300000001</v>
      </c>
    </row>
    <row r="319" spans="2:26" x14ac:dyDescent="0.35">
      <c r="B319" s="55" t="s">
        <v>654</v>
      </c>
      <c r="C319" s="53" t="s">
        <v>234</v>
      </c>
      <c r="D319" s="53" t="s">
        <v>642</v>
      </c>
      <c r="E319" s="53" t="s">
        <v>643</v>
      </c>
      <c r="F319" s="71">
        <v>5.2200408705105512E-4</v>
      </c>
      <c r="G319" s="71">
        <v>1.0329588263449931E-2</v>
      </c>
      <c r="H319" s="71">
        <v>1.7311276064834208E-2</v>
      </c>
      <c r="I319" s="71">
        <v>2.0044925801063151E-2</v>
      </c>
      <c r="J319" s="63">
        <v>2.3175584414292558E-2</v>
      </c>
      <c r="K319" s="71" t="s">
        <v>21</v>
      </c>
      <c r="L319" s="71">
        <v>6.7852318634499306E-3</v>
      </c>
      <c r="M319" s="71">
        <v>1.2735238464834207E-2</v>
      </c>
      <c r="N319" s="71">
        <v>1.4575768201063153E-2</v>
      </c>
      <c r="O319" s="71">
        <v>1.6434074314292557E-2</v>
      </c>
      <c r="P319" s="55" t="s">
        <v>655</v>
      </c>
      <c r="Q319" s="53" t="s">
        <v>656</v>
      </c>
      <c r="R319" s="94">
        <v>47599</v>
      </c>
      <c r="S319" s="73">
        <v>8.6814100000000005E-3</v>
      </c>
      <c r="T319" s="63">
        <v>8.6298660648342074E-3</v>
      </c>
      <c r="V319" s="72">
        <v>1.12483544</v>
      </c>
      <c r="W319" s="72">
        <v>2.81684402</v>
      </c>
      <c r="X319" s="72">
        <v>4.2676866599999999</v>
      </c>
      <c r="Y319" s="72">
        <v>5.4880470399999997</v>
      </c>
      <c r="Z319" s="115">
        <v>6.96534897</v>
      </c>
    </row>
    <row r="320" spans="2:26" x14ac:dyDescent="0.35">
      <c r="B320" s="57" t="s">
        <v>657</v>
      </c>
      <c r="C320" s="67" t="s">
        <v>234</v>
      </c>
      <c r="D320" s="67" t="s">
        <v>642</v>
      </c>
      <c r="E320" s="67" t="s">
        <v>658</v>
      </c>
      <c r="F320" s="76">
        <v>7.2012278798355527E-4</v>
      </c>
      <c r="G320" s="76">
        <v>1.1121398095301396E-2</v>
      </c>
      <c r="H320" s="76">
        <v>1.7717093269350746E-2</v>
      </c>
      <c r="I320" s="76">
        <v>2.0662188483799526E-2</v>
      </c>
      <c r="J320" s="64">
        <v>2.3626524518994472E-2</v>
      </c>
      <c r="K320" s="76" t="s">
        <v>21</v>
      </c>
      <c r="L320" s="76">
        <v>7.5967084953013969E-3</v>
      </c>
      <c r="M320" s="76">
        <v>1.3147206969350745E-2</v>
      </c>
      <c r="N320" s="76">
        <v>1.5197832383799525E-2</v>
      </c>
      <c r="O320" s="76">
        <v>1.6890880118994474E-2</v>
      </c>
      <c r="P320" s="57" t="s">
        <v>659</v>
      </c>
      <c r="Q320" s="67" t="s">
        <v>660</v>
      </c>
      <c r="R320" s="96">
        <v>47490</v>
      </c>
      <c r="S320" s="74">
        <v>8.5176499999999999E-3</v>
      </c>
      <c r="T320" s="64">
        <v>9.1994432693507464E-3</v>
      </c>
      <c r="V320" s="108">
        <v>1.12424922</v>
      </c>
      <c r="W320" s="108">
        <v>2.8107244100000002</v>
      </c>
      <c r="X320" s="108">
        <v>4.2551126999999997</v>
      </c>
      <c r="Y320" s="108">
        <v>5.46699454</v>
      </c>
      <c r="Z320" s="117">
        <v>6.9312272499999992</v>
      </c>
    </row>
  </sheetData>
  <mergeCells count="6">
    <mergeCell ref="V14:Z14"/>
    <mergeCell ref="F3:J3"/>
    <mergeCell ref="K3:O3"/>
    <mergeCell ref="F4:J4"/>
    <mergeCell ref="K4:O4"/>
    <mergeCell ref="V5:Z5"/>
  </mergeCells>
  <conditionalFormatting sqref="F26">
    <cfRule type="colorScale" priority="34">
      <colorScale>
        <cfvo type="min"/>
        <cfvo type="max"/>
        <color rgb="FFFFEF9C"/>
        <color rgb="FF63BE7B"/>
      </colorScale>
    </cfRule>
  </conditionalFormatting>
  <conditionalFormatting sqref="F7:J12">
    <cfRule type="colorScale" priority="38">
      <colorScale>
        <cfvo type="min"/>
        <cfvo type="max"/>
        <color rgb="FFFFEF9C"/>
        <color rgb="FF63BE7B"/>
      </colorScale>
    </cfRule>
  </conditionalFormatting>
  <conditionalFormatting sqref="F16:J21">
    <cfRule type="colorScale" priority="25">
      <colorScale>
        <cfvo type="min"/>
        <cfvo type="max"/>
        <color rgb="FFFFEF9C"/>
        <color rgb="FF63BE7B"/>
      </colorScale>
    </cfRule>
  </conditionalFormatting>
  <conditionalFormatting sqref="F26:J105">
    <cfRule type="colorScale" priority="62">
      <colorScale>
        <cfvo type="min"/>
        <cfvo type="max"/>
        <color rgb="FFFFEF9C"/>
        <color rgb="FF63BE7B"/>
      </colorScale>
    </cfRule>
  </conditionalFormatting>
  <conditionalFormatting sqref="F40:J48">
    <cfRule type="cellIs" dxfId="4" priority="36" operator="lessThan">
      <formula>0</formula>
    </cfRule>
  </conditionalFormatting>
  <conditionalFormatting sqref="F46:J46">
    <cfRule type="colorScale" priority="35">
      <colorScale>
        <cfvo type="min"/>
        <cfvo type="max"/>
        <color rgb="FFFFEF9C"/>
        <color rgb="FF63BE7B"/>
      </colorScale>
    </cfRule>
  </conditionalFormatting>
  <conditionalFormatting sqref="F50:J55 F57:J60 F62:J66 F68:J70 F72:J73 F75:J93 F110:J129 F131:J133 F138:J253 F255:J271 F315:J320">
    <cfRule type="cellIs" dxfId="3" priority="39" operator="lessThan">
      <formula>0</formula>
    </cfRule>
  </conditionalFormatting>
  <conditionalFormatting sqref="F57:J60 F47:J48 F27:J34 G26:J26 F36:J38 F40:J45 F50:J55 F75:J93 F62:J66 F68:J70 F95:J105 F72:J73">
    <cfRule type="colorScale" priority="41">
      <colorScale>
        <cfvo type="min"/>
        <cfvo type="max"/>
        <color rgb="FFFFEF9C"/>
        <color rgb="FF63BE7B"/>
      </colorScale>
    </cfRule>
  </conditionalFormatting>
  <conditionalFormatting sqref="F57:J60 F50:J55 F26:J34 F36:J38 F40:J48 F75:J93 F62:J66 F68:J70 F95:J105 F72:J73">
    <cfRule type="colorScale" priority="42">
      <colorScale>
        <cfvo type="min"/>
        <cfvo type="max"/>
        <color rgb="FFFFEF9C"/>
        <color rgb="FF63BE7B"/>
      </colorScale>
    </cfRule>
  </conditionalFormatting>
  <conditionalFormatting sqref="F110:J129">
    <cfRule type="colorScale" priority="40">
      <colorScale>
        <cfvo type="min"/>
        <cfvo type="max"/>
        <color rgb="FFFFEF9C"/>
        <color rgb="FF63BE7B"/>
      </colorScale>
    </cfRule>
  </conditionalFormatting>
  <conditionalFormatting sqref="F131:J133 F110:J129">
    <cfRule type="colorScale" priority="44">
      <colorScale>
        <cfvo type="min"/>
        <cfvo type="max"/>
        <color rgb="FFFFEF9C"/>
        <color rgb="FF63BE7B"/>
      </colorScale>
    </cfRule>
  </conditionalFormatting>
  <conditionalFormatting sqref="F131:J133">
    <cfRule type="colorScale" priority="43">
      <colorScale>
        <cfvo type="min"/>
        <cfvo type="max"/>
        <color rgb="FFFFEF9C"/>
        <color rgb="FF63BE7B"/>
      </colorScale>
    </cfRule>
  </conditionalFormatting>
  <conditionalFormatting sqref="F138:J253">
    <cfRule type="colorScale" priority="60">
      <colorScale>
        <cfvo type="min"/>
        <cfvo type="max"/>
        <color rgb="FFFFEF9C"/>
        <color rgb="FF63BE7B"/>
      </colorScale>
    </cfRule>
  </conditionalFormatting>
  <conditionalFormatting sqref="F255:J271">
    <cfRule type="colorScale" priority="64">
      <colorScale>
        <cfvo type="min"/>
        <cfvo type="max"/>
        <color rgb="FFFFEF9C"/>
        <color rgb="FF63BE7B"/>
      </colorScale>
    </cfRule>
  </conditionalFormatting>
  <conditionalFormatting sqref="F275:J281">
    <cfRule type="cellIs" dxfId="2" priority="32" operator="lessThan">
      <formula>0</formula>
    </cfRule>
    <cfRule type="colorScale" priority="33">
      <colorScale>
        <cfvo type="min"/>
        <cfvo type="max"/>
        <color rgb="FFFFEF9C"/>
        <color rgb="FF63BE7B"/>
      </colorScale>
    </cfRule>
  </conditionalFormatting>
  <conditionalFormatting sqref="F285:J294">
    <cfRule type="colorScale" priority="45">
      <colorScale>
        <cfvo type="min"/>
        <cfvo type="max"/>
        <color rgb="FFFFEF9C"/>
        <color rgb="FF63BE7B"/>
      </colorScale>
    </cfRule>
  </conditionalFormatting>
  <conditionalFormatting sqref="F285:J311">
    <cfRule type="cellIs" dxfId="1" priority="22" operator="lessThan">
      <formula>0</formula>
    </cfRule>
  </conditionalFormatting>
  <conditionalFormatting sqref="F295:J298">
    <cfRule type="colorScale" priority="46">
      <colorScale>
        <cfvo type="min"/>
        <cfvo type="max"/>
        <color rgb="FFFFEF9C"/>
        <color rgb="FF63BE7B"/>
      </colorScale>
    </cfRule>
  </conditionalFormatting>
  <conditionalFormatting sqref="F299:J305">
    <cfRule type="colorScale" priority="31">
      <colorScale>
        <cfvo type="min"/>
        <cfvo type="max"/>
        <color rgb="FFFFEF9C"/>
        <color rgb="FF63BE7B"/>
      </colorScale>
    </cfRule>
  </conditionalFormatting>
  <conditionalFormatting sqref="F306:J306">
    <cfRule type="colorScale" priority="23">
      <colorScale>
        <cfvo type="min"/>
        <cfvo type="max"/>
        <color rgb="FFFFEF9C"/>
        <color rgb="FF63BE7B"/>
      </colorScale>
    </cfRule>
  </conditionalFormatting>
  <conditionalFormatting sqref="F307:J310">
    <cfRule type="colorScale" priority="29">
      <colorScale>
        <cfvo type="min"/>
        <cfvo type="max"/>
        <color rgb="FFFFEF9C"/>
        <color rgb="FF63BE7B"/>
      </colorScale>
    </cfRule>
  </conditionalFormatting>
  <conditionalFormatting sqref="F311:J311">
    <cfRule type="colorScale" priority="27">
      <colorScale>
        <cfvo type="min"/>
        <cfvo type="max"/>
        <color rgb="FFFFEF9C"/>
        <color rgb="FF63BE7B"/>
      </colorScale>
    </cfRule>
  </conditionalFormatting>
  <conditionalFormatting sqref="F315:J320">
    <cfRule type="colorScale" priority="48">
      <colorScale>
        <cfvo type="min"/>
        <cfvo type="max"/>
        <color rgb="FFFFEF9C"/>
        <color rgb="FF63BE7B"/>
      </colorScale>
    </cfRule>
  </conditionalFormatting>
  <conditionalFormatting sqref="G285:H311">
    <cfRule type="colorScale" priority="47">
      <colorScale>
        <cfvo type="min"/>
        <cfvo type="max"/>
        <color rgb="FFFFEF9C"/>
        <color rgb="FF63BE7B"/>
      </colorScale>
    </cfRule>
  </conditionalFormatting>
  <conditionalFormatting sqref="G315:H320">
    <cfRule type="colorScale" priority="49">
      <colorScale>
        <cfvo type="min"/>
        <cfvo type="max"/>
        <color rgb="FFFFEF9C"/>
        <color rgb="FF63BE7B"/>
      </colorScale>
    </cfRule>
  </conditionalFormatting>
  <conditionalFormatting sqref="G26:J26 F27:J34 F36:J38 F95:J107">
    <cfRule type="cellIs" dxfId="0" priority="37" operator="lessThan">
      <formula>0</formula>
    </cfRule>
  </conditionalFormatting>
  <conditionalFormatting sqref="K7:O12">
    <cfRule type="colorScale" priority="56">
      <colorScale>
        <cfvo type="min"/>
        <cfvo type="max"/>
        <color theme="0"/>
        <color theme="8" tint="0.39997558519241921"/>
      </colorScale>
    </cfRule>
  </conditionalFormatting>
  <conditionalFormatting sqref="K16:O21">
    <cfRule type="colorScale" priority="50">
      <colorScale>
        <cfvo type="min"/>
        <cfvo type="max"/>
        <color theme="0"/>
        <color theme="8" tint="0.39997558519241921"/>
      </colorScale>
    </cfRule>
  </conditionalFormatting>
  <conditionalFormatting sqref="K26:O105">
    <cfRule type="colorScale" priority="61">
      <colorScale>
        <cfvo type="min"/>
        <cfvo type="max"/>
        <color theme="0"/>
        <color theme="8" tint="0.39997558519241921"/>
      </colorScale>
    </cfRule>
  </conditionalFormatting>
  <conditionalFormatting sqref="K110:O133">
    <cfRule type="colorScale" priority="55">
      <colorScale>
        <cfvo type="min"/>
        <cfvo type="max"/>
        <color theme="0"/>
        <color theme="8" tint="0.39997558519241921"/>
      </colorScale>
    </cfRule>
  </conditionalFormatting>
  <conditionalFormatting sqref="K138:O253">
    <cfRule type="colorScale" priority="59">
      <colorScale>
        <cfvo type="min"/>
        <cfvo type="max"/>
        <color theme="0"/>
        <color theme="8" tint="0.39997558519241921"/>
      </colorScale>
    </cfRule>
  </conditionalFormatting>
  <conditionalFormatting sqref="K255:O271">
    <cfRule type="colorScale" priority="63">
      <colorScale>
        <cfvo type="min"/>
        <cfvo type="max"/>
        <color theme="0"/>
        <color theme="8" tint="0.39997558519241921"/>
      </colorScale>
    </cfRule>
  </conditionalFormatting>
  <conditionalFormatting sqref="K275:O281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K285:O298">
    <cfRule type="colorScale" priority="57">
      <colorScale>
        <cfvo type="min"/>
        <cfvo type="max"/>
        <color theme="0"/>
        <color theme="8" tint="0.39997558519241921"/>
      </colorScale>
    </cfRule>
  </conditionalFormatting>
  <conditionalFormatting sqref="K299:O305">
    <cfRule type="colorScale" priority="53">
      <colorScale>
        <cfvo type="min"/>
        <cfvo type="max"/>
        <color theme="0"/>
        <color theme="8" tint="0.39997558519241921"/>
      </colorScale>
    </cfRule>
  </conditionalFormatting>
  <conditionalFormatting sqref="K306:O306">
    <cfRule type="colorScale" priority="24">
      <colorScale>
        <cfvo type="min"/>
        <cfvo type="max"/>
        <color theme="0"/>
        <color theme="8" tint="0.39997558519241921"/>
      </colorScale>
    </cfRule>
  </conditionalFormatting>
  <conditionalFormatting sqref="K307:O310">
    <cfRule type="colorScale" priority="52">
      <colorScale>
        <cfvo type="min"/>
        <cfvo type="max"/>
        <color theme="0"/>
        <color theme="8" tint="0.39997558519241921"/>
      </colorScale>
    </cfRule>
  </conditionalFormatting>
  <conditionalFormatting sqref="K311:O311">
    <cfRule type="colorScale" priority="51">
      <colorScale>
        <cfvo type="min"/>
        <cfvo type="max"/>
        <color theme="0"/>
        <color theme="8" tint="0.39997558519241921"/>
      </colorScale>
    </cfRule>
  </conditionalFormatting>
  <conditionalFormatting sqref="K315:O320">
    <cfRule type="colorScale" priority="58">
      <colorScale>
        <cfvo type="min"/>
        <cfvo type="max"/>
        <color theme="0"/>
        <color theme="8" tint="0.39997558519241921"/>
      </colorScale>
    </cfRule>
  </conditionalFormatting>
  <conditionalFormatting sqref="T26:T105">
    <cfRule type="colorScale" priority="19">
      <colorScale>
        <cfvo type="min"/>
        <cfvo type="num" val="0"/>
        <cfvo type="max"/>
        <color theme="5" tint="0.39997558519241921"/>
        <color theme="0"/>
        <color rgb="FF06D053"/>
      </colorScale>
    </cfRule>
  </conditionalFormatting>
  <conditionalFormatting sqref="T10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0:T133">
    <cfRule type="colorScale" priority="4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1:T12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1:T13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4:T13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8:T271">
    <cfRule type="colorScale" priority="2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39:T25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5:T27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5:T281">
    <cfRule type="colorScale" priority="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6:T311">
    <cfRule type="colorScale" priority="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315:T320">
    <cfRule type="colorScale" priority="1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EUR Run</vt:lpstr>
      <vt:lpstr>USD Run</vt:lpstr>
      <vt:lpstr>GBP Run</vt:lpstr>
      <vt:lpstr>CHF Run</vt:lpstr>
      <vt:lpstr>USD Payoff</vt:lpstr>
      <vt:lpstr>EUR Payoff</vt:lpstr>
      <vt:lpstr>GBP Payoff</vt:lpstr>
      <vt:lpstr>CHF Payoff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Venkatesh-Atul-A Pai</dc:creator>
  <cp:lastModifiedBy>Yasmin-A Yazdani</cp:lastModifiedBy>
  <dcterms:created xsi:type="dcterms:W3CDTF">2023-01-31T18:16:41Z</dcterms:created>
  <dcterms:modified xsi:type="dcterms:W3CDTF">2026-03-30T11:33:23Z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2024-10-30T18:14:39Z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63b9e55e-ab31-415d-a18e-d99163251c40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